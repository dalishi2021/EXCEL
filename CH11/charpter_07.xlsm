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1\"/>
    </mc:Choice>
  </mc:AlternateContent>
  <xr:revisionPtr revIDLastSave="0" documentId="13_ncr:1_{36D4EF7E-2727-4D1B-B218-AB75C37DA0E9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definedNames>
    <definedName name="varcov">Sheet1!$B$74:$AE$103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11" i="1" l="1"/>
  <c r="P112" i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10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P68" i="1"/>
  <c r="O68" i="1"/>
  <c r="N68" i="1"/>
  <c r="M68" i="1"/>
  <c r="L68" i="1"/>
  <c r="K68" i="1"/>
  <c r="J68" i="1"/>
  <c r="I68" i="1"/>
  <c r="H68" i="1"/>
  <c r="G68" i="1"/>
  <c r="F68" i="1"/>
  <c r="E68" i="1"/>
  <c r="D68" i="1"/>
  <c r="C68" i="1"/>
  <c r="B68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P67" i="1"/>
  <c r="O67" i="1"/>
  <c r="N67" i="1"/>
  <c r="M67" i="1"/>
  <c r="L67" i="1"/>
  <c r="K67" i="1"/>
  <c r="J67" i="1"/>
  <c r="I67" i="1"/>
  <c r="H67" i="1"/>
  <c r="G67" i="1"/>
  <c r="F67" i="1"/>
  <c r="E67" i="1"/>
  <c r="D67" i="1"/>
  <c r="C67" i="1"/>
  <c r="B67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P66" i="1"/>
  <c r="O66" i="1"/>
  <c r="N66" i="1"/>
  <c r="M66" i="1"/>
  <c r="L66" i="1"/>
  <c r="K66" i="1"/>
  <c r="J66" i="1"/>
  <c r="I66" i="1"/>
  <c r="H66" i="1"/>
  <c r="G66" i="1"/>
  <c r="F66" i="1"/>
  <c r="E66" i="1"/>
  <c r="D66" i="1"/>
  <c r="C66" i="1"/>
  <c r="B66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P65" i="1"/>
  <c r="O65" i="1"/>
  <c r="N65" i="1"/>
  <c r="M65" i="1"/>
  <c r="L65" i="1"/>
  <c r="K65" i="1"/>
  <c r="J65" i="1"/>
  <c r="I65" i="1"/>
  <c r="H65" i="1"/>
  <c r="G65" i="1"/>
  <c r="F65" i="1"/>
  <c r="E65" i="1"/>
  <c r="D65" i="1"/>
  <c r="C65" i="1"/>
  <c r="B65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P64" i="1"/>
  <c r="O64" i="1"/>
  <c r="N64" i="1"/>
  <c r="M64" i="1"/>
  <c r="L64" i="1"/>
  <c r="K64" i="1"/>
  <c r="J64" i="1"/>
  <c r="I64" i="1"/>
  <c r="H64" i="1"/>
  <c r="G64" i="1"/>
  <c r="F64" i="1"/>
  <c r="E64" i="1"/>
  <c r="D64" i="1"/>
  <c r="C64" i="1"/>
  <c r="B64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P63" i="1"/>
  <c r="O63" i="1"/>
  <c r="N63" i="1"/>
  <c r="M63" i="1"/>
  <c r="L63" i="1"/>
  <c r="K63" i="1"/>
  <c r="J63" i="1"/>
  <c r="I63" i="1"/>
  <c r="H63" i="1"/>
  <c r="G63" i="1"/>
  <c r="F63" i="1"/>
  <c r="E63" i="1"/>
  <c r="D63" i="1"/>
  <c r="C63" i="1"/>
  <c r="B63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P62" i="1"/>
  <c r="O62" i="1"/>
  <c r="N62" i="1"/>
  <c r="M62" i="1"/>
  <c r="L62" i="1"/>
  <c r="K62" i="1"/>
  <c r="J62" i="1"/>
  <c r="I62" i="1"/>
  <c r="H62" i="1"/>
  <c r="G62" i="1"/>
  <c r="F62" i="1"/>
  <c r="E62" i="1"/>
  <c r="D62" i="1"/>
  <c r="C62" i="1"/>
  <c r="B62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P61" i="1"/>
  <c r="O61" i="1"/>
  <c r="N61" i="1"/>
  <c r="M61" i="1"/>
  <c r="L61" i="1"/>
  <c r="K61" i="1"/>
  <c r="J61" i="1"/>
  <c r="I61" i="1"/>
  <c r="H61" i="1"/>
  <c r="G61" i="1"/>
  <c r="F61" i="1"/>
  <c r="E61" i="1"/>
  <c r="D61" i="1"/>
  <c r="C61" i="1"/>
  <c r="B61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P60" i="1"/>
  <c r="O60" i="1"/>
  <c r="N60" i="1"/>
  <c r="M60" i="1"/>
  <c r="L60" i="1"/>
  <c r="K60" i="1"/>
  <c r="J60" i="1"/>
  <c r="I60" i="1"/>
  <c r="H60" i="1"/>
  <c r="G60" i="1"/>
  <c r="F60" i="1"/>
  <c r="E60" i="1"/>
  <c r="D60" i="1"/>
  <c r="C60" i="1"/>
  <c r="B60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P59" i="1"/>
  <c r="O59" i="1"/>
  <c r="N59" i="1"/>
  <c r="M59" i="1"/>
  <c r="L59" i="1"/>
  <c r="K59" i="1"/>
  <c r="J59" i="1"/>
  <c r="I59" i="1"/>
  <c r="H59" i="1"/>
  <c r="G59" i="1"/>
  <c r="F59" i="1"/>
  <c r="E59" i="1"/>
  <c r="D59" i="1"/>
  <c r="C59" i="1"/>
  <c r="B59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P58" i="1"/>
  <c r="O58" i="1"/>
  <c r="N58" i="1"/>
  <c r="M58" i="1"/>
  <c r="L58" i="1"/>
  <c r="K58" i="1"/>
  <c r="J58" i="1"/>
  <c r="I58" i="1"/>
  <c r="H58" i="1"/>
  <c r="G58" i="1"/>
  <c r="F58" i="1"/>
  <c r="E58" i="1"/>
  <c r="D58" i="1"/>
  <c r="C58" i="1"/>
  <c r="B58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P57" i="1"/>
  <c r="O57" i="1"/>
  <c r="N57" i="1"/>
  <c r="M57" i="1"/>
  <c r="L57" i="1"/>
  <c r="K57" i="1"/>
  <c r="J57" i="1"/>
  <c r="I57" i="1"/>
  <c r="H57" i="1"/>
  <c r="G57" i="1"/>
  <c r="F57" i="1"/>
  <c r="E57" i="1"/>
  <c r="D57" i="1"/>
  <c r="C57" i="1"/>
  <c r="B57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P56" i="1"/>
  <c r="O56" i="1"/>
  <c r="N56" i="1"/>
  <c r="M56" i="1"/>
  <c r="L56" i="1"/>
  <c r="K56" i="1"/>
  <c r="J56" i="1"/>
  <c r="I56" i="1"/>
  <c r="H56" i="1"/>
  <c r="G56" i="1"/>
  <c r="F56" i="1"/>
  <c r="E56" i="1"/>
  <c r="D56" i="1"/>
  <c r="C56" i="1"/>
  <c r="B56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P55" i="1"/>
  <c r="O55" i="1"/>
  <c r="N55" i="1"/>
  <c r="M55" i="1"/>
  <c r="L55" i="1"/>
  <c r="K55" i="1"/>
  <c r="J55" i="1"/>
  <c r="I55" i="1"/>
  <c r="H55" i="1"/>
  <c r="G55" i="1"/>
  <c r="F55" i="1"/>
  <c r="E55" i="1"/>
  <c r="D55" i="1"/>
  <c r="C55" i="1"/>
  <c r="B55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P54" i="1"/>
  <c r="O54" i="1"/>
  <c r="N54" i="1"/>
  <c r="M54" i="1"/>
  <c r="L54" i="1"/>
  <c r="K54" i="1"/>
  <c r="J54" i="1"/>
  <c r="I54" i="1"/>
  <c r="H54" i="1"/>
  <c r="G54" i="1"/>
  <c r="F54" i="1"/>
  <c r="E54" i="1"/>
  <c r="D54" i="1"/>
  <c r="C54" i="1"/>
  <c r="B54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P53" i="1"/>
  <c r="O53" i="1"/>
  <c r="N53" i="1"/>
  <c r="M53" i="1"/>
  <c r="L53" i="1"/>
  <c r="K53" i="1"/>
  <c r="J53" i="1"/>
  <c r="I53" i="1"/>
  <c r="H53" i="1"/>
  <c r="G53" i="1"/>
  <c r="F53" i="1"/>
  <c r="E53" i="1"/>
  <c r="D53" i="1"/>
  <c r="C53" i="1"/>
  <c r="B53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P52" i="1"/>
  <c r="O52" i="1"/>
  <c r="N52" i="1"/>
  <c r="M52" i="1"/>
  <c r="L52" i="1"/>
  <c r="K52" i="1"/>
  <c r="J52" i="1"/>
  <c r="I52" i="1"/>
  <c r="H52" i="1"/>
  <c r="G52" i="1"/>
  <c r="F52" i="1"/>
  <c r="E52" i="1"/>
  <c r="D52" i="1"/>
  <c r="C52" i="1"/>
  <c r="B52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P51" i="1"/>
  <c r="O51" i="1"/>
  <c r="N51" i="1"/>
  <c r="M51" i="1"/>
  <c r="L51" i="1"/>
  <c r="K51" i="1"/>
  <c r="J51" i="1"/>
  <c r="I51" i="1"/>
  <c r="H51" i="1"/>
  <c r="G51" i="1"/>
  <c r="F51" i="1"/>
  <c r="E51" i="1"/>
  <c r="D51" i="1"/>
  <c r="C51" i="1"/>
  <c r="B51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P50" i="1"/>
  <c r="O50" i="1"/>
  <c r="N50" i="1"/>
  <c r="M50" i="1"/>
  <c r="L50" i="1"/>
  <c r="K50" i="1"/>
  <c r="J50" i="1"/>
  <c r="I50" i="1"/>
  <c r="H50" i="1"/>
  <c r="G50" i="1"/>
  <c r="F50" i="1"/>
  <c r="E50" i="1"/>
  <c r="D50" i="1"/>
  <c r="C50" i="1"/>
  <c r="B50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M49" i="1"/>
  <c r="L49" i="1"/>
  <c r="K49" i="1"/>
  <c r="J49" i="1"/>
  <c r="I49" i="1"/>
  <c r="H49" i="1"/>
  <c r="G49" i="1"/>
  <c r="F49" i="1"/>
  <c r="E49" i="1"/>
  <c r="D49" i="1"/>
  <c r="C49" i="1"/>
  <c r="B49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P48" i="1"/>
  <c r="O48" i="1"/>
  <c r="N48" i="1"/>
  <c r="M48" i="1"/>
  <c r="L48" i="1"/>
  <c r="K48" i="1"/>
  <c r="J48" i="1"/>
  <c r="I48" i="1"/>
  <c r="H48" i="1"/>
  <c r="G48" i="1"/>
  <c r="F48" i="1"/>
  <c r="E48" i="1"/>
  <c r="D48" i="1"/>
  <c r="C48" i="1"/>
  <c r="B48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B47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P46" i="1"/>
  <c r="O46" i="1"/>
  <c r="N46" i="1"/>
  <c r="M46" i="1"/>
  <c r="L46" i="1"/>
  <c r="K46" i="1"/>
  <c r="J46" i="1"/>
  <c r="I46" i="1"/>
  <c r="H46" i="1"/>
  <c r="G46" i="1"/>
  <c r="F46" i="1"/>
  <c r="E46" i="1"/>
  <c r="D46" i="1"/>
  <c r="C46" i="1"/>
  <c r="B46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P45" i="1"/>
  <c r="O45" i="1"/>
  <c r="N45" i="1"/>
  <c r="M45" i="1"/>
  <c r="L45" i="1"/>
  <c r="K45" i="1"/>
  <c r="J45" i="1"/>
  <c r="I45" i="1"/>
  <c r="H45" i="1"/>
  <c r="G45" i="1"/>
  <c r="F45" i="1"/>
  <c r="E45" i="1"/>
  <c r="D45" i="1"/>
  <c r="C45" i="1"/>
  <c r="B45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C44" i="1"/>
  <c r="B44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P43" i="1"/>
  <c r="O43" i="1"/>
  <c r="N43" i="1"/>
  <c r="M43" i="1"/>
  <c r="L43" i="1"/>
  <c r="K43" i="1"/>
  <c r="J43" i="1"/>
  <c r="I43" i="1"/>
  <c r="H43" i="1"/>
  <c r="G43" i="1"/>
  <c r="F43" i="1"/>
  <c r="E43" i="1"/>
  <c r="D43" i="1"/>
  <c r="C43" i="1"/>
  <c r="B43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E42" i="1"/>
  <c r="D42" i="1"/>
  <c r="C42" i="1"/>
  <c r="B42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P41" i="1"/>
  <c r="O41" i="1"/>
  <c r="N41" i="1"/>
  <c r="M41" i="1"/>
  <c r="L41" i="1"/>
  <c r="K41" i="1"/>
  <c r="J41" i="1"/>
  <c r="I41" i="1"/>
  <c r="H41" i="1"/>
  <c r="G41" i="1"/>
  <c r="F41" i="1"/>
  <c r="E41" i="1"/>
  <c r="D41" i="1"/>
  <c r="C41" i="1"/>
  <c r="B41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P40" i="1"/>
  <c r="O40" i="1"/>
  <c r="N40" i="1"/>
  <c r="M40" i="1"/>
  <c r="L40" i="1"/>
  <c r="K40" i="1"/>
  <c r="J40" i="1"/>
  <c r="I40" i="1"/>
  <c r="H40" i="1"/>
  <c r="G40" i="1"/>
  <c r="F40" i="1"/>
  <c r="E40" i="1"/>
  <c r="D40" i="1"/>
  <c r="C40" i="1"/>
  <c r="B40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G39" i="1"/>
  <c r="F39" i="1"/>
  <c r="E39" i="1"/>
  <c r="D39" i="1"/>
  <c r="C39" i="1"/>
  <c r="B39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P38" i="1"/>
  <c r="O38" i="1"/>
  <c r="N38" i="1"/>
  <c r="M38" i="1"/>
  <c r="L38" i="1"/>
  <c r="K38" i="1"/>
  <c r="J38" i="1"/>
  <c r="I38" i="1"/>
  <c r="H38" i="1"/>
  <c r="G38" i="1"/>
  <c r="F38" i="1"/>
  <c r="E38" i="1"/>
  <c r="D38" i="1"/>
  <c r="C38" i="1"/>
  <c r="B38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P37" i="1"/>
  <c r="O37" i="1"/>
  <c r="N37" i="1"/>
  <c r="M37" i="1"/>
  <c r="L37" i="1"/>
  <c r="K37" i="1"/>
  <c r="J37" i="1"/>
  <c r="I37" i="1"/>
  <c r="H37" i="1"/>
  <c r="G37" i="1"/>
  <c r="F37" i="1"/>
  <c r="E37" i="1"/>
  <c r="D37" i="1"/>
  <c r="C37" i="1"/>
  <c r="B37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E36" i="1"/>
  <c r="D36" i="1"/>
  <c r="C36" i="1"/>
  <c r="B36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P35" i="1"/>
  <c r="O35" i="1"/>
  <c r="N35" i="1"/>
  <c r="M35" i="1"/>
  <c r="L35" i="1"/>
  <c r="K35" i="1"/>
  <c r="J35" i="1"/>
  <c r="I35" i="1"/>
  <c r="H35" i="1"/>
  <c r="G35" i="1"/>
  <c r="F35" i="1"/>
  <c r="E35" i="1"/>
  <c r="D35" i="1"/>
  <c r="C35" i="1"/>
  <c r="B35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M34" i="1"/>
  <c r="L34" i="1"/>
  <c r="K34" i="1"/>
  <c r="J34" i="1"/>
  <c r="I34" i="1"/>
  <c r="H34" i="1"/>
  <c r="G34" i="1"/>
  <c r="F34" i="1"/>
  <c r="E34" i="1"/>
  <c r="D34" i="1"/>
  <c r="C34" i="1"/>
  <c r="B34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D33" i="1"/>
  <c r="C33" i="1"/>
  <c r="B33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P32" i="1"/>
  <c r="O32" i="1"/>
  <c r="N32" i="1"/>
  <c r="M32" i="1"/>
  <c r="L32" i="1"/>
  <c r="K32" i="1"/>
  <c r="J32" i="1"/>
  <c r="I32" i="1"/>
  <c r="H32" i="1"/>
  <c r="G32" i="1"/>
  <c r="F32" i="1"/>
  <c r="E32" i="1"/>
  <c r="D32" i="1"/>
  <c r="C32" i="1"/>
  <c r="B32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P31" i="1"/>
  <c r="O31" i="1"/>
  <c r="N31" i="1"/>
  <c r="M31" i="1"/>
  <c r="L31" i="1"/>
  <c r="K31" i="1"/>
  <c r="J31" i="1"/>
  <c r="I31" i="1"/>
  <c r="H31" i="1"/>
  <c r="G31" i="1"/>
  <c r="F31" i="1"/>
  <c r="E31" i="1"/>
  <c r="D31" i="1"/>
  <c r="C31" i="1"/>
  <c r="B31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P30" i="1"/>
  <c r="O30" i="1"/>
  <c r="N30" i="1"/>
  <c r="M30" i="1"/>
  <c r="L30" i="1"/>
  <c r="K30" i="1"/>
  <c r="J30" i="1"/>
  <c r="I30" i="1"/>
  <c r="H30" i="1"/>
  <c r="G30" i="1"/>
  <c r="F30" i="1"/>
  <c r="E30" i="1"/>
  <c r="D30" i="1"/>
  <c r="C30" i="1"/>
  <c r="B30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C29" i="1"/>
  <c r="B29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P28" i="1"/>
  <c r="O28" i="1"/>
  <c r="N28" i="1"/>
  <c r="M28" i="1"/>
  <c r="L28" i="1"/>
  <c r="K28" i="1"/>
  <c r="J28" i="1"/>
  <c r="I28" i="1"/>
  <c r="H28" i="1"/>
  <c r="G28" i="1"/>
  <c r="F28" i="1"/>
  <c r="E28" i="1"/>
  <c r="D28" i="1"/>
  <c r="C28" i="1"/>
  <c r="B28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P27" i="1"/>
  <c r="O27" i="1"/>
  <c r="N27" i="1"/>
  <c r="M27" i="1"/>
  <c r="L27" i="1"/>
  <c r="K27" i="1"/>
  <c r="J27" i="1"/>
  <c r="I27" i="1"/>
  <c r="H27" i="1"/>
  <c r="G27" i="1"/>
  <c r="F27" i="1"/>
  <c r="E27" i="1"/>
  <c r="D27" i="1"/>
  <c r="C27" i="1"/>
  <c r="B27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K26" i="1"/>
  <c r="J26" i="1"/>
  <c r="I26" i="1"/>
  <c r="H26" i="1"/>
  <c r="G26" i="1"/>
  <c r="F26" i="1"/>
  <c r="E26" i="1"/>
  <c r="D26" i="1"/>
  <c r="C26" i="1"/>
  <c r="B26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L25" i="1"/>
  <c r="K25" i="1"/>
  <c r="J25" i="1"/>
  <c r="I25" i="1"/>
  <c r="H25" i="1"/>
  <c r="G25" i="1"/>
  <c r="F25" i="1"/>
  <c r="E25" i="1"/>
  <c r="D25" i="1"/>
  <c r="C25" i="1"/>
  <c r="B25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L24" i="1"/>
  <c r="K24" i="1"/>
  <c r="J24" i="1"/>
  <c r="I24" i="1"/>
  <c r="H24" i="1"/>
  <c r="G24" i="1"/>
  <c r="F24" i="1"/>
  <c r="E24" i="1"/>
  <c r="D24" i="1"/>
  <c r="C24" i="1"/>
  <c r="B24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/>
  <c r="C23" i="1"/>
  <c r="B23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B22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C21" i="1"/>
  <c r="B21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D20" i="1"/>
  <c r="C20" i="1"/>
  <c r="B20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D19" i="1"/>
  <c r="C19" i="1"/>
  <c r="B19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B18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C17" i="1"/>
  <c r="B17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B16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C15" i="1"/>
  <c r="B15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E14" i="1"/>
  <c r="D14" i="1"/>
  <c r="C14" i="1"/>
  <c r="B14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F13" i="1"/>
  <c r="E13" i="1"/>
  <c r="D13" i="1"/>
  <c r="C13" i="1"/>
  <c r="B13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F12" i="1"/>
  <c r="E12" i="1"/>
  <c r="D12" i="1"/>
  <c r="C12" i="1"/>
  <c r="B12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D10" i="1"/>
  <c r="C10" i="1"/>
  <c r="B10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C9" i="1"/>
  <c r="B9" i="1"/>
  <c r="C108" i="1"/>
  <c r="A72" i="1"/>
  <c r="G4" i="1" l="1"/>
  <c r="AE6" i="1"/>
  <c r="H4" i="1"/>
  <c r="Z6" i="1"/>
  <c r="K4" i="1"/>
  <c r="AA4" i="1"/>
  <c r="H5" i="1"/>
  <c r="AC4" i="1"/>
  <c r="AD4" i="1"/>
  <c r="AF7" i="1"/>
  <c r="N4" i="1"/>
  <c r="W4" i="1"/>
  <c r="N5" i="1"/>
  <c r="M4" i="1"/>
  <c r="X4" i="1"/>
  <c r="O6" i="1"/>
  <c r="I7" i="1"/>
  <c r="Y7" i="1"/>
  <c r="Y6" i="1"/>
  <c r="AC5" i="1"/>
  <c r="K7" i="1"/>
  <c r="N6" i="1"/>
  <c r="AD6" i="1"/>
  <c r="P4" i="1"/>
  <c r="AF4" i="1"/>
  <c r="J7" i="1"/>
  <c r="O4" i="1"/>
  <c r="P7" i="1"/>
  <c r="AB7" i="1"/>
  <c r="AB4" i="1"/>
  <c r="AB5" i="1"/>
  <c r="AB6" i="1"/>
  <c r="M7" i="1"/>
  <c r="AE4" i="1"/>
  <c r="AA7" i="1"/>
  <c r="Q7" i="1"/>
  <c r="Q4" i="1"/>
  <c r="Q5" i="1"/>
  <c r="Q6" i="1"/>
  <c r="I5" i="1"/>
  <c r="X6" i="1"/>
  <c r="R6" i="1"/>
  <c r="J4" i="1"/>
  <c r="Z4" i="1"/>
  <c r="U4" i="1"/>
  <c r="C4" i="1"/>
  <c r="S4" i="1"/>
  <c r="E4" i="1"/>
  <c r="V4" i="1"/>
  <c r="Z7" i="1"/>
  <c r="AF6" i="1"/>
  <c r="P6" i="1"/>
  <c r="AE5" i="1"/>
  <c r="O5" i="1"/>
  <c r="Z5" i="1"/>
  <c r="J5" i="1"/>
  <c r="I4" i="1"/>
  <c r="D4" i="1"/>
  <c r="Y5" i="1"/>
  <c r="L4" i="1"/>
  <c r="L7" i="1"/>
  <c r="L5" i="1"/>
  <c r="L6" i="1"/>
  <c r="Y4" i="1"/>
  <c r="T4" i="1"/>
  <c r="AD5" i="1"/>
  <c r="F4" i="1"/>
  <c r="I6" i="1"/>
  <c r="G5" i="1"/>
  <c r="W5" i="1"/>
  <c r="X5" i="1"/>
  <c r="J6" i="1"/>
  <c r="K6" i="1"/>
  <c r="AA6" i="1"/>
  <c r="K5" i="1"/>
  <c r="AA5" i="1"/>
  <c r="M6" i="1"/>
  <c r="AC6" i="1"/>
  <c r="N7" i="1"/>
  <c r="AD7" i="1"/>
  <c r="AC7" i="1"/>
  <c r="M5" i="1"/>
  <c r="O7" i="1"/>
  <c r="AE7" i="1"/>
  <c r="P5" i="1"/>
  <c r="B7" i="1"/>
  <c r="S7" i="1"/>
  <c r="B5" i="1"/>
  <c r="R5" i="1"/>
  <c r="C6" i="1"/>
  <c r="S6" i="1"/>
  <c r="D7" i="1"/>
  <c r="T7" i="1"/>
  <c r="AF5" i="1"/>
  <c r="C7" i="1"/>
  <c r="B4" i="1"/>
  <c r="R4" i="1"/>
  <c r="C5" i="1"/>
  <c r="S5" i="1"/>
  <c r="D6" i="1"/>
  <c r="T6" i="1"/>
  <c r="E7" i="1"/>
  <c r="U7" i="1"/>
  <c r="R7" i="1"/>
  <c r="B6" i="1"/>
  <c r="D5" i="1"/>
  <c r="E6" i="1"/>
  <c r="F7" i="1"/>
  <c r="V7" i="1"/>
  <c r="T5" i="1"/>
  <c r="U6" i="1"/>
  <c r="E5" i="1"/>
  <c r="U5" i="1"/>
  <c r="F6" i="1"/>
  <c r="V6" i="1"/>
  <c r="G7" i="1"/>
  <c r="W7" i="1"/>
  <c r="X7" i="1"/>
  <c r="F5" i="1"/>
  <c r="V5" i="1"/>
  <c r="G6" i="1"/>
  <c r="W6" i="1"/>
  <c r="H7" i="1"/>
  <c r="H6" i="1"/>
  <c r="B74" i="1" l="1" a="1"/>
  <c r="R103" i="1" s="1"/>
  <c r="AA75" i="1" l="1"/>
  <c r="B93" i="1"/>
  <c r="Q83" i="1"/>
  <c r="AD97" i="1"/>
  <c r="M88" i="1"/>
  <c r="G80" i="1"/>
  <c r="X93" i="1"/>
  <c r="O80" i="1"/>
  <c r="O84" i="1"/>
  <c r="AD87" i="1"/>
  <c r="U74" i="1"/>
  <c r="W91" i="1"/>
  <c r="N78" i="1"/>
  <c r="P95" i="1"/>
  <c r="W82" i="1"/>
  <c r="Y99" i="1"/>
  <c r="B87" i="1"/>
  <c r="M76" i="1"/>
  <c r="AC84" i="1"/>
  <c r="O93" i="1"/>
  <c r="AE101" i="1"/>
  <c r="V80" i="1"/>
  <c r="H89" i="1"/>
  <c r="X97" i="1"/>
  <c r="P76" i="1"/>
  <c r="B85" i="1"/>
  <c r="R93" i="1"/>
  <c r="D102" i="1"/>
  <c r="Y80" i="1"/>
  <c r="K89" i="1"/>
  <c r="AA97" i="1"/>
  <c r="R76" i="1"/>
  <c r="D85" i="1"/>
  <c r="T93" i="1"/>
  <c r="F102" i="1"/>
  <c r="Q75" i="1"/>
  <c r="C84" i="1"/>
  <c r="S92" i="1"/>
  <c r="E101" i="1"/>
  <c r="M99" i="1"/>
  <c r="N81" i="1"/>
  <c r="AD89" i="1"/>
  <c r="P98" i="1"/>
  <c r="W88" i="1"/>
  <c r="M80" i="1"/>
  <c r="AC88" i="1"/>
  <c r="O97" i="1"/>
  <c r="K82" i="1"/>
  <c r="H77" i="1"/>
  <c r="X85" i="1"/>
  <c r="J94" i="1"/>
  <c r="Z102" i="1"/>
  <c r="AE80" i="1"/>
  <c r="Q89" i="1"/>
  <c r="C98" i="1"/>
  <c r="S86" i="1"/>
  <c r="AD79" i="1"/>
  <c r="P88" i="1"/>
  <c r="B97" i="1"/>
  <c r="G75" i="1"/>
  <c r="W83" i="1"/>
  <c r="I92" i="1"/>
  <c r="Y100" i="1"/>
  <c r="AD78" i="1"/>
  <c r="P87" i="1"/>
  <c r="B96" i="1"/>
  <c r="W74" i="1"/>
  <c r="I83" i="1"/>
  <c r="Y91" i="1"/>
  <c r="K100" i="1"/>
  <c r="B79" i="1"/>
  <c r="R87" i="1"/>
  <c r="D96" i="1"/>
  <c r="H97" i="1"/>
  <c r="D93" i="1"/>
  <c r="S100" i="1"/>
  <c r="AA79" i="1"/>
  <c r="AC96" i="1"/>
  <c r="V76" i="1"/>
  <c r="H85" i="1"/>
  <c r="J102" i="1"/>
  <c r="AE88" i="1"/>
  <c r="Q97" i="1"/>
  <c r="N79" i="1"/>
  <c r="P96" i="1"/>
  <c r="G83" i="1"/>
  <c r="I100" i="1"/>
  <c r="AD86" i="1"/>
  <c r="G74" i="1"/>
  <c r="I91" i="1"/>
  <c r="P78" i="1"/>
  <c r="R95" i="1"/>
  <c r="AC76" i="1"/>
  <c r="O85" i="1"/>
  <c r="AE93" i="1"/>
  <c r="Q102" i="1"/>
  <c r="H81" i="1"/>
  <c r="X89" i="1"/>
  <c r="J98" i="1"/>
  <c r="B77" i="1"/>
  <c r="R85" i="1"/>
  <c r="D94" i="1"/>
  <c r="T102" i="1"/>
  <c r="K81" i="1"/>
  <c r="AA89" i="1"/>
  <c r="M98" i="1"/>
  <c r="D77" i="1"/>
  <c r="T85" i="1"/>
  <c r="F94" i="1"/>
  <c r="V102" i="1"/>
  <c r="C76" i="1"/>
  <c r="S84" i="1"/>
  <c r="E93" i="1"/>
  <c r="U101" i="1"/>
  <c r="Q101" i="1"/>
  <c r="AD81" i="1"/>
  <c r="P90" i="1"/>
  <c r="B99" i="1"/>
  <c r="O92" i="1"/>
  <c r="AC80" i="1"/>
  <c r="O89" i="1"/>
  <c r="AE97" i="1"/>
  <c r="Q85" i="1"/>
  <c r="X77" i="1"/>
  <c r="J86" i="1"/>
  <c r="Z94" i="1"/>
  <c r="L103" i="1"/>
  <c r="Q81" i="1"/>
  <c r="C90" i="1"/>
  <c r="S98" i="1"/>
  <c r="K90" i="1"/>
  <c r="P80" i="1"/>
  <c r="B89" i="1"/>
  <c r="R97" i="1"/>
  <c r="W75" i="1"/>
  <c r="I84" i="1"/>
  <c r="Y92" i="1"/>
  <c r="K101" i="1"/>
  <c r="P79" i="1"/>
  <c r="B88" i="1"/>
  <c r="R96" i="1"/>
  <c r="I75" i="1"/>
  <c r="Y83" i="1"/>
  <c r="K92" i="1"/>
  <c r="AA100" i="1"/>
  <c r="R79" i="1"/>
  <c r="D88" i="1"/>
  <c r="T96" i="1"/>
  <c r="K93" i="1"/>
  <c r="V86" i="1"/>
  <c r="R91" i="1"/>
  <c r="Z78" i="1"/>
  <c r="L87" i="1"/>
  <c r="AB95" i="1"/>
  <c r="C74" i="1"/>
  <c r="S82" i="1"/>
  <c r="E91" i="1"/>
  <c r="U99" i="1"/>
  <c r="I97" i="1"/>
  <c r="R81" i="1"/>
  <c r="D90" i="1"/>
  <c r="T98" i="1"/>
  <c r="Y76" i="1"/>
  <c r="K85" i="1"/>
  <c r="AA93" i="1"/>
  <c r="M102" i="1"/>
  <c r="R80" i="1"/>
  <c r="D89" i="1"/>
  <c r="T97" i="1"/>
  <c r="K76" i="1"/>
  <c r="AA84" i="1"/>
  <c r="M93" i="1"/>
  <c r="AC101" i="1"/>
  <c r="T80" i="1"/>
  <c r="F89" i="1"/>
  <c r="V97" i="1"/>
  <c r="AC92" i="1"/>
  <c r="K97" i="1"/>
  <c r="C103" i="1"/>
  <c r="AC98" i="1"/>
  <c r="E103" i="1"/>
  <c r="L95" i="1"/>
  <c r="Y84" i="1"/>
  <c r="K84" i="1"/>
  <c r="AE77" i="1"/>
  <c r="D78" i="1"/>
  <c r="H95" i="1"/>
  <c r="D100" i="1"/>
  <c r="L91" i="1"/>
  <c r="AC82" i="1"/>
  <c r="AE99" i="1"/>
  <c r="K74" i="1"/>
  <c r="U77" i="1"/>
  <c r="G86" i="1"/>
  <c r="W94" i="1"/>
  <c r="I103" i="1"/>
  <c r="B75" i="1"/>
  <c r="R83" i="1"/>
  <c r="D92" i="1"/>
  <c r="T100" i="1"/>
  <c r="O100" i="1"/>
  <c r="Q82" i="1"/>
  <c r="C91" i="1"/>
  <c r="S99" i="1"/>
  <c r="M91" i="1"/>
  <c r="L79" i="1"/>
  <c r="AB87" i="1"/>
  <c r="N96" i="1"/>
  <c r="S74" i="1"/>
  <c r="E83" i="1"/>
  <c r="U91" i="1"/>
  <c r="G100" i="1"/>
  <c r="S102" i="1"/>
  <c r="D82" i="1"/>
  <c r="T90" i="1"/>
  <c r="F99" i="1"/>
  <c r="K77" i="1"/>
  <c r="AA85" i="1"/>
  <c r="M94" i="1"/>
  <c r="AC102" i="1"/>
  <c r="D81" i="1"/>
  <c r="T89" i="1"/>
  <c r="F98" i="1"/>
  <c r="AA76" i="1"/>
  <c r="M85" i="1"/>
  <c r="AC93" i="1"/>
  <c r="O102" i="1"/>
  <c r="F81" i="1"/>
  <c r="V89" i="1"/>
  <c r="H98" i="1"/>
  <c r="AD75" i="1"/>
  <c r="C92" i="1"/>
  <c r="R77" i="1"/>
  <c r="B91" i="1"/>
  <c r="Q93" i="1"/>
  <c r="F97" i="1"/>
  <c r="Z90" i="1"/>
  <c r="O99" i="1"/>
  <c r="P74" i="1"/>
  <c r="C87" i="1"/>
  <c r="M74" i="1"/>
  <c r="C79" i="1"/>
  <c r="Q100" i="1"/>
  <c r="I95" i="1"/>
  <c r="F101" i="1"/>
  <c r="Q74" i="1"/>
  <c r="AB79" i="1"/>
  <c r="N88" i="1"/>
  <c r="AD96" i="1"/>
  <c r="E75" i="1"/>
  <c r="U83" i="1"/>
  <c r="G92" i="1"/>
  <c r="W100" i="1"/>
  <c r="D74" i="1"/>
  <c r="T82" i="1"/>
  <c r="F91" i="1"/>
  <c r="V99" i="1"/>
  <c r="AA77" i="1"/>
  <c r="M86" i="1"/>
  <c r="AC94" i="1"/>
  <c r="O103" i="1"/>
  <c r="T81" i="1"/>
  <c r="F90" i="1"/>
  <c r="V98" i="1"/>
  <c r="M77" i="1"/>
  <c r="AC85" i="1"/>
  <c r="O94" i="1"/>
  <c r="AE102" i="1"/>
  <c r="V81" i="1"/>
  <c r="H90" i="1"/>
  <c r="X98" i="1"/>
  <c r="F80" i="1"/>
  <c r="T101" i="1"/>
  <c r="AE85" i="1"/>
  <c r="T94" i="1"/>
  <c r="H103" i="1"/>
  <c r="U95" i="1"/>
  <c r="Z86" i="1"/>
  <c r="D98" i="1"/>
  <c r="Y75" i="1"/>
  <c r="Q86" i="1"/>
  <c r="F95" i="1"/>
  <c r="X103" i="1"/>
  <c r="C99" i="1"/>
  <c r="S95" i="1"/>
  <c r="T78" i="1"/>
  <c r="H87" i="1"/>
  <c r="Z74" i="1"/>
  <c r="F79" i="1"/>
  <c r="AC74" i="1"/>
  <c r="H79" i="1"/>
  <c r="E79" i="1"/>
  <c r="R75" i="1"/>
  <c r="C83" i="1"/>
  <c r="S79" i="1"/>
  <c r="E88" i="1"/>
  <c r="U96" i="1"/>
  <c r="L75" i="1"/>
  <c r="AB83" i="1"/>
  <c r="N92" i="1"/>
  <c r="AD100" i="1"/>
  <c r="V79" i="1"/>
  <c r="H88" i="1"/>
  <c r="X96" i="1"/>
  <c r="O75" i="1"/>
  <c r="AE83" i="1"/>
  <c r="Q92" i="1"/>
  <c r="C101" i="1"/>
  <c r="X79" i="1"/>
  <c r="J88" i="1"/>
  <c r="Z96" i="1"/>
  <c r="M83" i="1"/>
  <c r="W78" i="1"/>
  <c r="I87" i="1"/>
  <c r="Y95" i="1"/>
  <c r="AA74" i="1"/>
  <c r="D76" i="1"/>
  <c r="T84" i="1"/>
  <c r="F93" i="1"/>
  <c r="V101" i="1"/>
  <c r="C75" i="1"/>
  <c r="S83" i="1"/>
  <c r="E92" i="1"/>
  <c r="U100" i="1"/>
  <c r="G96" i="1"/>
  <c r="N80" i="1"/>
  <c r="AD88" i="1"/>
  <c r="P97" i="1"/>
  <c r="U75" i="1"/>
  <c r="G84" i="1"/>
  <c r="W92" i="1"/>
  <c r="I101" i="1"/>
  <c r="T74" i="1"/>
  <c r="F83" i="1"/>
  <c r="V91" i="1"/>
  <c r="H100" i="1"/>
  <c r="M78" i="1"/>
  <c r="AC86" i="1"/>
  <c r="O95" i="1"/>
  <c r="AE103" i="1"/>
  <c r="F82" i="1"/>
  <c r="V90" i="1"/>
  <c r="H99" i="1"/>
  <c r="AC77" i="1"/>
  <c r="O86" i="1"/>
  <c r="AE94" i="1"/>
  <c r="Q103" i="1"/>
  <c r="H82" i="1"/>
  <c r="X90" i="1"/>
  <c r="J99" i="1"/>
  <c r="O101" i="1"/>
  <c r="AE74" i="1"/>
  <c r="D86" i="1"/>
  <c r="E85" i="1"/>
  <c r="G88" i="1"/>
  <c r="I76" i="1"/>
  <c r="T88" i="1"/>
  <c r="M82" i="1"/>
  <c r="G94" i="1"/>
  <c r="Q90" i="1"/>
  <c r="AB99" i="1"/>
  <c r="O91" i="1"/>
  <c r="S87" i="1"/>
  <c r="AB91" i="1"/>
  <c r="H96" i="1"/>
  <c r="J96" i="1"/>
  <c r="Y103" i="1"/>
  <c r="E100" i="1"/>
  <c r="G97" i="1"/>
  <c r="AD92" i="1"/>
  <c r="P101" i="1"/>
  <c r="H80" i="1"/>
  <c r="X88" i="1"/>
  <c r="J97" i="1"/>
  <c r="AE75" i="1"/>
  <c r="Q84" i="1"/>
  <c r="C93" i="1"/>
  <c r="S101" i="1"/>
  <c r="J80" i="1"/>
  <c r="Z88" i="1"/>
  <c r="L97" i="1"/>
  <c r="E87" i="1"/>
  <c r="I79" i="1"/>
  <c r="Y87" i="1"/>
  <c r="K96" i="1"/>
  <c r="AE76" i="1"/>
  <c r="T76" i="1"/>
  <c r="F85" i="1"/>
  <c r="V93" i="1"/>
  <c r="H102" i="1"/>
  <c r="S75" i="1"/>
  <c r="E84" i="1"/>
  <c r="U92" i="1"/>
  <c r="G101" i="1"/>
  <c r="AA98" i="1"/>
  <c r="AD80" i="1"/>
  <c r="P89" i="1"/>
  <c r="B98" i="1"/>
  <c r="G76" i="1"/>
  <c r="W84" i="1"/>
  <c r="I93" i="1"/>
  <c r="Y101" i="1"/>
  <c r="F75" i="1"/>
  <c r="V83" i="1"/>
  <c r="H92" i="1"/>
  <c r="X100" i="1"/>
  <c r="AC78" i="1"/>
  <c r="O87" i="1"/>
  <c r="AE95" i="1"/>
  <c r="F74" i="1"/>
  <c r="V82" i="1"/>
  <c r="H91" i="1"/>
  <c r="X99" i="1"/>
  <c r="O78" i="1"/>
  <c r="AE86" i="1"/>
  <c r="Q95" i="1"/>
  <c r="H74" i="1"/>
  <c r="X82" i="1"/>
  <c r="J91" i="1"/>
  <c r="Z99" i="1"/>
  <c r="I80" i="1"/>
  <c r="N89" i="1"/>
  <c r="Z98" i="1"/>
  <c r="V94" i="1"/>
  <c r="O81" i="1"/>
  <c r="S90" i="1"/>
  <c r="D97" i="1"/>
  <c r="S103" i="1"/>
  <c r="V103" i="1"/>
  <c r="U85" i="1"/>
  <c r="K98" i="1"/>
  <c r="Q78" i="1"/>
  <c r="Z82" i="1"/>
  <c r="V95" i="1"/>
  <c r="V78" i="1"/>
  <c r="N100" i="1"/>
  <c r="AE91" i="1"/>
  <c r="G78" i="1"/>
  <c r="D84" i="1"/>
  <c r="S91" i="1"/>
  <c r="E80" i="1"/>
  <c r="U88" i="1"/>
  <c r="U80" i="1"/>
  <c r="W97" i="1"/>
  <c r="N76" i="1"/>
  <c r="AD84" i="1"/>
  <c r="P93" i="1"/>
  <c r="B102" i="1"/>
  <c r="X80" i="1"/>
  <c r="J89" i="1"/>
  <c r="Z97" i="1"/>
  <c r="Q76" i="1"/>
  <c r="C85" i="1"/>
  <c r="S93" i="1"/>
  <c r="E102" i="1"/>
  <c r="Z80" i="1"/>
  <c r="L89" i="1"/>
  <c r="AB97" i="1"/>
  <c r="AA90" i="1"/>
  <c r="Y79" i="1"/>
  <c r="K88" i="1"/>
  <c r="AA96" i="1"/>
  <c r="U79" i="1"/>
  <c r="F77" i="1"/>
  <c r="V85" i="1"/>
  <c r="H94" i="1"/>
  <c r="X102" i="1"/>
  <c r="E76" i="1"/>
  <c r="U84" i="1"/>
  <c r="G93" i="1"/>
  <c r="W101" i="1"/>
  <c r="AE100" i="1"/>
  <c r="P81" i="1"/>
  <c r="B90" i="1"/>
  <c r="R98" i="1"/>
  <c r="W76" i="1"/>
  <c r="I85" i="1"/>
  <c r="Y93" i="1"/>
  <c r="K102" i="1"/>
  <c r="V75" i="1"/>
  <c r="H84" i="1"/>
  <c r="X92" i="1"/>
  <c r="J101" i="1"/>
  <c r="O79" i="1"/>
  <c r="AE87" i="1"/>
  <c r="Q96" i="1"/>
  <c r="V74" i="1"/>
  <c r="H83" i="1"/>
  <c r="X91" i="1"/>
  <c r="J100" i="1"/>
  <c r="AE78" i="1"/>
  <c r="Q87" i="1"/>
  <c r="C96" i="1"/>
  <c r="X74" i="1"/>
  <c r="J83" i="1"/>
  <c r="Z91" i="1"/>
  <c r="L100" i="1"/>
  <c r="V88" i="1"/>
  <c r="R84" i="1"/>
  <c r="C86" i="1"/>
  <c r="AA81" i="1"/>
  <c r="U93" i="1"/>
  <c r="Q98" i="1"/>
  <c r="E99" i="1"/>
  <c r="R88" i="1"/>
  <c r="J82" i="1"/>
  <c r="AC90" i="1"/>
  <c r="W102" i="1"/>
  <c r="I89" i="1"/>
  <c r="J74" i="1"/>
  <c r="F87" i="1"/>
  <c r="X95" i="1"/>
  <c r="E96" i="1"/>
  <c r="L83" i="1"/>
  <c r="V87" i="1"/>
  <c r="O83" i="1"/>
  <c r="X87" i="1"/>
  <c r="W86" i="1"/>
  <c r="T92" i="1"/>
  <c r="C94" i="1"/>
  <c r="AB75" i="1"/>
  <c r="N84" i="1"/>
  <c r="G89" i="1"/>
  <c r="G81" i="1"/>
  <c r="W89" i="1"/>
  <c r="I98" i="1"/>
  <c r="AD76" i="1"/>
  <c r="P85" i="1"/>
  <c r="B94" i="1"/>
  <c r="R102" i="1"/>
  <c r="J81" i="1"/>
  <c r="Z89" i="1"/>
  <c r="L98" i="1"/>
  <c r="C77" i="1"/>
  <c r="S85" i="1"/>
  <c r="E94" i="1"/>
  <c r="U102" i="1"/>
  <c r="L81" i="1"/>
  <c r="AB89" i="1"/>
  <c r="N98" i="1"/>
  <c r="AE92" i="1"/>
  <c r="K80" i="1"/>
  <c r="AA88" i="1"/>
  <c r="M97" i="1"/>
  <c r="Y81" i="1"/>
  <c r="V77" i="1"/>
  <c r="H86" i="1"/>
  <c r="X94" i="1"/>
  <c r="J103" i="1"/>
  <c r="U76" i="1"/>
  <c r="G85" i="1"/>
  <c r="W93" i="1"/>
  <c r="I102" i="1"/>
  <c r="U103" i="1"/>
  <c r="B82" i="1"/>
  <c r="R90" i="1"/>
  <c r="D99" i="1"/>
  <c r="I77" i="1"/>
  <c r="Y85" i="1"/>
  <c r="K94" i="1"/>
  <c r="AA102" i="1"/>
  <c r="H76" i="1"/>
  <c r="X84" i="1"/>
  <c r="J93" i="1"/>
  <c r="Z101" i="1"/>
  <c r="AE79" i="1"/>
  <c r="Q88" i="1"/>
  <c r="C97" i="1"/>
  <c r="H75" i="1"/>
  <c r="X83" i="1"/>
  <c r="J92" i="1"/>
  <c r="Z100" i="1"/>
  <c r="Q79" i="1"/>
  <c r="C88" i="1"/>
  <c r="S96" i="1"/>
  <c r="J75" i="1"/>
  <c r="Z83" i="1"/>
  <c r="L92" i="1"/>
  <c r="AB100" i="1"/>
  <c r="M84" i="1"/>
  <c r="B76" i="1"/>
  <c r="Q94" i="1"/>
  <c r="F86" i="1"/>
  <c r="AE89" i="1"/>
  <c r="B81" i="1"/>
  <c r="AA92" i="1"/>
  <c r="L99" i="1"/>
  <c r="F78" i="1"/>
  <c r="B83" i="1"/>
  <c r="I90" i="1"/>
  <c r="P77" i="1"/>
  <c r="R94" i="1"/>
  <c r="Z81" i="1"/>
  <c r="AB98" i="1"/>
  <c r="E86" i="1"/>
  <c r="G103" i="1"/>
  <c r="AD98" i="1"/>
  <c r="AA80" i="1"/>
  <c r="AC97" i="1"/>
  <c r="H78" i="1"/>
  <c r="J95" i="1"/>
  <c r="G77" i="1"/>
  <c r="I94" i="1"/>
  <c r="Y102" i="1"/>
  <c r="B74" i="1"/>
  <c r="R82" i="1"/>
  <c r="T99" i="1"/>
  <c r="Y77" i="1"/>
  <c r="K86" i="1"/>
  <c r="AA94" i="1"/>
  <c r="M103" i="1"/>
  <c r="X76" i="1"/>
  <c r="J85" i="1"/>
  <c r="Z93" i="1"/>
  <c r="L102" i="1"/>
  <c r="Q80" i="1"/>
  <c r="C89" i="1"/>
  <c r="S97" i="1"/>
  <c r="X75" i="1"/>
  <c r="J84" i="1"/>
  <c r="Z92" i="1"/>
  <c r="L101" i="1"/>
  <c r="C80" i="1"/>
  <c r="S88" i="1"/>
  <c r="E97" i="1"/>
  <c r="Z75" i="1"/>
  <c r="L84" i="1"/>
  <c r="AB92" i="1"/>
  <c r="N101" i="1"/>
  <c r="Y88" i="1"/>
  <c r="O77" i="1"/>
  <c r="F103" i="1"/>
  <c r="S76" i="1"/>
  <c r="R99" i="1"/>
  <c r="J78" i="1"/>
  <c r="R89" i="1"/>
  <c r="B80" i="1"/>
  <c r="C95" i="1"/>
  <c r="T86" i="1"/>
  <c r="E77" i="1"/>
  <c r="AE81" i="1"/>
  <c r="W81" i="1"/>
  <c r="Y98" i="1"/>
  <c r="B86" i="1"/>
  <c r="D103" i="1"/>
  <c r="L90" i="1"/>
  <c r="S77" i="1"/>
  <c r="U94" i="1"/>
  <c r="AB81" i="1"/>
  <c r="N90" i="1"/>
  <c r="E95" i="1"/>
  <c r="M89" i="1"/>
  <c r="AE84" i="1"/>
  <c r="X86" i="1"/>
  <c r="Z103" i="1"/>
  <c r="W85" i="1"/>
  <c r="D91" i="1"/>
  <c r="AC83" i="1"/>
  <c r="I82" i="1"/>
  <c r="Y90" i="1"/>
  <c r="K99" i="1"/>
  <c r="B78" i="1"/>
  <c r="R86" i="1"/>
  <c r="D95" i="1"/>
  <c r="T103" i="1"/>
  <c r="L82" i="1"/>
  <c r="AB90" i="1"/>
  <c r="N99" i="1"/>
  <c r="E78" i="1"/>
  <c r="U86" i="1"/>
  <c r="G95" i="1"/>
  <c r="W103" i="1"/>
  <c r="N82" i="1"/>
  <c r="AD90" i="1"/>
  <c r="P99" i="1"/>
  <c r="Y97" i="1"/>
  <c r="M81" i="1"/>
  <c r="AC89" i="1"/>
  <c r="O98" i="1"/>
  <c r="U87" i="1"/>
  <c r="X78" i="1"/>
  <c r="J87" i="1"/>
  <c r="Z95" i="1"/>
  <c r="AC75" i="1"/>
  <c r="W77" i="1"/>
  <c r="I86" i="1"/>
  <c r="Y94" i="1"/>
  <c r="K103" i="1"/>
  <c r="R74" i="1"/>
  <c r="D83" i="1"/>
  <c r="T91" i="1"/>
  <c r="F100" i="1"/>
  <c r="K78" i="1"/>
  <c r="AA86" i="1"/>
  <c r="M95" i="1"/>
  <c r="AC103" i="1"/>
  <c r="J77" i="1"/>
  <c r="Z85" i="1"/>
  <c r="L94" i="1"/>
  <c r="AB102" i="1"/>
  <c r="C81" i="1"/>
  <c r="S89" i="1"/>
  <c r="E98" i="1"/>
  <c r="J76" i="1"/>
  <c r="Z84" i="1"/>
  <c r="L93" i="1"/>
  <c r="AB101" i="1"/>
  <c r="S80" i="1"/>
  <c r="E89" i="1"/>
  <c r="U97" i="1"/>
  <c r="L76" i="1"/>
  <c r="AB84" i="1"/>
  <c r="N93" i="1"/>
  <c r="AD101" i="1"/>
  <c r="P84" i="1"/>
  <c r="W96" i="1"/>
  <c r="J90" i="1"/>
  <c r="M90" i="1"/>
  <c r="G102" i="1"/>
  <c r="C82" i="1"/>
  <c r="M101" i="1"/>
  <c r="Y82" i="1"/>
  <c r="K91" i="1"/>
  <c r="AA99" i="1"/>
  <c r="R78" i="1"/>
  <c r="D87" i="1"/>
  <c r="T95" i="1"/>
  <c r="L74" i="1"/>
  <c r="AB82" i="1"/>
  <c r="N91" i="1"/>
  <c r="AD99" i="1"/>
  <c r="U78" i="1"/>
  <c r="G87" i="1"/>
  <c r="W95" i="1"/>
  <c r="N74" i="1"/>
  <c r="AD82" i="1"/>
  <c r="P91" i="1"/>
  <c r="B100" i="1"/>
  <c r="AC99" i="1"/>
  <c r="AC81" i="1"/>
  <c r="O90" i="1"/>
  <c r="AE98" i="1"/>
  <c r="Y89" i="1"/>
  <c r="J79" i="1"/>
  <c r="Z87" i="1"/>
  <c r="L96" i="1"/>
  <c r="C78" i="1"/>
  <c r="I78" i="1"/>
  <c r="Y86" i="1"/>
  <c r="K95" i="1"/>
  <c r="AA103" i="1"/>
  <c r="D75" i="1"/>
  <c r="T83" i="1"/>
  <c r="F92" i="1"/>
  <c r="V100" i="1"/>
  <c r="AA78" i="1"/>
  <c r="M87" i="1"/>
  <c r="AC95" i="1"/>
  <c r="O76" i="1"/>
  <c r="Z77" i="1"/>
  <c r="L86" i="1"/>
  <c r="AB94" i="1"/>
  <c r="N103" i="1"/>
  <c r="S81" i="1"/>
  <c r="E90" i="1"/>
  <c r="U98" i="1"/>
  <c r="Z76" i="1"/>
  <c r="L85" i="1"/>
  <c r="AB93" i="1"/>
  <c r="N102" i="1"/>
  <c r="E81" i="1"/>
  <c r="U89" i="1"/>
  <c r="G98" i="1"/>
  <c r="AB76" i="1"/>
  <c r="N85" i="1"/>
  <c r="AD93" i="1"/>
  <c r="P102" i="1"/>
  <c r="D80" i="1"/>
  <c r="M100" i="1"/>
  <c r="T87" i="1"/>
  <c r="F96" i="1"/>
  <c r="AB74" i="1"/>
  <c r="N83" i="1"/>
  <c r="AD91" i="1"/>
  <c r="P100" i="1"/>
  <c r="G79" i="1"/>
  <c r="W87" i="1"/>
  <c r="I96" i="1"/>
  <c r="AD74" i="1"/>
  <c r="P83" i="1"/>
  <c r="B92" i="1"/>
  <c r="R100" i="1"/>
  <c r="C102" i="1"/>
  <c r="O82" i="1"/>
  <c r="AE90" i="1"/>
  <c r="Q99" i="1"/>
  <c r="AC91" i="1"/>
  <c r="Z79" i="1"/>
  <c r="L88" i="1"/>
  <c r="AB96" i="1"/>
  <c r="W80" i="1"/>
  <c r="Y78" i="1"/>
  <c r="K87" i="1"/>
  <c r="AA95" i="1"/>
  <c r="M75" i="1"/>
  <c r="T75" i="1"/>
  <c r="F84" i="1"/>
  <c r="V92" i="1"/>
  <c r="H101" i="1"/>
  <c r="M79" i="1"/>
  <c r="AC87" i="1"/>
  <c r="O96" i="1"/>
  <c r="S78" i="1"/>
  <c r="L78" i="1"/>
  <c r="AB86" i="1"/>
  <c r="N95" i="1"/>
  <c r="AD103" i="1"/>
  <c r="E82" i="1"/>
  <c r="U90" i="1"/>
  <c r="G99" i="1"/>
  <c r="L77" i="1"/>
  <c r="AB85" i="1"/>
  <c r="N94" i="1"/>
  <c r="AD102" i="1"/>
  <c r="U81" i="1"/>
  <c r="G90" i="1"/>
  <c r="W98" i="1"/>
  <c r="N77" i="1"/>
  <c r="AD85" i="1"/>
  <c r="P94" i="1"/>
  <c r="B103" i="1"/>
  <c r="R101" i="1"/>
  <c r="AB80" i="1"/>
  <c r="X81" i="1"/>
  <c r="T77" i="1"/>
  <c r="P82" i="1"/>
  <c r="AB103" i="1"/>
  <c r="AA101" i="1"/>
  <c r="I74" i="1"/>
  <c r="Y74" i="1"/>
  <c r="K83" i="1"/>
  <c r="AA91" i="1"/>
  <c r="D79" i="1"/>
  <c r="K75" i="1"/>
  <c r="AA83" i="1"/>
  <c r="M92" i="1"/>
  <c r="AC100" i="1"/>
  <c r="T79" i="1"/>
  <c r="F88" i="1"/>
  <c r="V96" i="1"/>
  <c r="N75" i="1"/>
  <c r="AD83" i="1"/>
  <c r="P92" i="1"/>
  <c r="B101" i="1"/>
  <c r="W79" i="1"/>
  <c r="I88" i="1"/>
  <c r="Y96" i="1"/>
  <c r="P75" i="1"/>
  <c r="B84" i="1"/>
  <c r="R92" i="1"/>
  <c r="D101" i="1"/>
  <c r="O74" i="1"/>
  <c r="AE82" i="1"/>
  <c r="Q91" i="1"/>
  <c r="C100" i="1"/>
  <c r="S94" i="1"/>
  <c r="L80" i="1"/>
  <c r="AB88" i="1"/>
  <c r="N97" i="1"/>
  <c r="AA82" i="1"/>
  <c r="K79" i="1"/>
  <c r="AA87" i="1"/>
  <c r="M96" i="1"/>
  <c r="Q77" i="1"/>
  <c r="F76" i="1"/>
  <c r="V84" i="1"/>
  <c r="H93" i="1"/>
  <c r="X101" i="1"/>
  <c r="AC79" i="1"/>
  <c r="O88" i="1"/>
  <c r="AE96" i="1"/>
  <c r="I81" i="1"/>
  <c r="AB78" i="1"/>
  <c r="N87" i="1"/>
  <c r="AD95" i="1"/>
  <c r="E74" i="1"/>
  <c r="U82" i="1"/>
  <c r="G91" i="1"/>
  <c r="W99" i="1"/>
  <c r="AB77" i="1"/>
  <c r="N86" i="1"/>
  <c r="AD94" i="1"/>
  <c r="P103" i="1"/>
  <c r="G82" i="1"/>
  <c r="W90" i="1"/>
  <c r="I99" i="1"/>
  <c r="AD77" i="1"/>
  <c r="P86" i="1"/>
  <c r="B95" i="1"/>
  <c r="B108" i="1" l="1" a="1"/>
  <c r="B108" i="1" l="1"/>
  <c r="B119" i="1"/>
  <c r="B112" i="1"/>
  <c r="B134" i="1"/>
  <c r="B127" i="1"/>
  <c r="B118" i="1"/>
  <c r="B111" i="1"/>
  <c r="B120" i="1"/>
  <c r="B126" i="1"/>
  <c r="B133" i="1"/>
  <c r="B110" i="1"/>
  <c r="B117" i="1"/>
  <c r="B125" i="1"/>
  <c r="B132" i="1"/>
  <c r="B109" i="1"/>
  <c r="B116" i="1"/>
  <c r="B124" i="1"/>
  <c r="B136" i="1"/>
  <c r="B131" i="1"/>
  <c r="B115" i="1"/>
  <c r="B123" i="1"/>
  <c r="B130" i="1"/>
  <c r="B122" i="1"/>
  <c r="B114" i="1"/>
  <c r="B137" i="1"/>
  <c r="B129" i="1"/>
  <c r="B121" i="1"/>
  <c r="B113" i="1"/>
  <c r="B135" i="1"/>
  <c r="B128" i="1"/>
  <c r="R108" i="1" l="1"/>
  <c r="Q108" i="1"/>
  <c r="B140" i="1"/>
  <c r="B141" i="1"/>
  <c r="B13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Simon Benninga</author>
  </authors>
  <commentList>
    <comment ref="C4" authorId="0" shapeId="0" xr:uid="{FB03E7F1-A0E2-4F11-BE96-6303EC670F85}">
      <text>
        <r>
          <rPr>
            <b/>
            <sz val="10"/>
            <color indexed="81"/>
            <rFont val="Tahoma"/>
            <family val="2"/>
          </rPr>
          <t>=AVERAGE(C9:C68)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C5" authorId="0" shapeId="0" xr:uid="{C7264401-613B-4EDB-AC11-98D93246C642}">
      <text>
        <r>
          <rPr>
            <b/>
            <sz val="10"/>
            <color indexed="81"/>
            <rFont val="Tahoma"/>
            <family val="2"/>
          </rPr>
          <t>=SLOPE(C9:C68,$B$9:$B$68)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C6" authorId="0" shapeId="0" xr:uid="{7807E610-E192-4485-952D-5F64984A299A}">
      <text>
        <r>
          <rPr>
            <b/>
            <sz val="10"/>
            <color indexed="81"/>
            <rFont val="Tahoma"/>
            <family val="2"/>
          </rPr>
          <t>=INTERCEPT(C9:C68,$B$9:$B$68)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C7" authorId="0" shapeId="0" xr:uid="{5135D031-59A1-4143-9584-5663A2D64BBA}">
      <text>
        <r>
          <rPr>
            <b/>
            <sz val="10"/>
            <color indexed="81"/>
            <rFont val="Tahoma"/>
            <family val="2"/>
          </rPr>
          <t>=RSQ(C9:C68,$B$9:$B$68)</t>
        </r>
        <r>
          <rPr>
            <sz val="10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<sst xmlns="http://schemas.openxmlformats.org/spreadsheetml/2006/main" count="136" uniqueCount="75">
  <si>
    <r>
      <t>RETURN DATA FOR THE DOW-JONES INDUSTRIAL STOCKS AND THE STANDARD AND POORS 500</t>
    </r>
    <r>
      <rPr>
        <sz val="11"/>
        <color theme="1"/>
        <rFont val="等线"/>
        <family val="2"/>
        <charset val="134"/>
        <scheme val="minor"/>
      </rPr>
      <t xml:space="preserve">
</t>
    </r>
    <r>
      <rPr>
        <b/>
        <sz val="12"/>
        <rFont val="Arial"/>
        <family val="2"/>
      </rPr>
      <t>July 2001 - July 2006</t>
    </r>
  </si>
  <si>
    <t>Date</t>
  </si>
  <si>
    <t>SP 500 Index
^SPX</t>
  </si>
  <si>
    <t>Alcoa 
AA</t>
  </si>
  <si>
    <t>American International Group 
AIG</t>
  </si>
  <si>
    <t>American Express AXP</t>
  </si>
  <si>
    <t>Boeing BA</t>
  </si>
  <si>
    <t>Citigroup C</t>
  </si>
  <si>
    <t>Caterpillar CAT</t>
  </si>
  <si>
    <t>Du Pont DD</t>
  </si>
  <si>
    <t>Disney DIS</t>
  </si>
  <si>
    <t>General Electric GE</t>
  </si>
  <si>
    <t>General Motors GM</t>
  </si>
  <si>
    <t>Home Depot HD</t>
  </si>
  <si>
    <t>Honeywell HON</t>
  </si>
  <si>
    <t>Hewlitt Packard HPQ</t>
  </si>
  <si>
    <t>IBM</t>
  </si>
  <si>
    <t>Intel 
INTC</t>
  </si>
  <si>
    <t>Johnson &amp; Johnson JNJ</t>
  </si>
  <si>
    <t>JP Morgan JPM</t>
  </si>
  <si>
    <t>Coca Cola 
KO</t>
  </si>
  <si>
    <t>McDonalds 
MCD</t>
  </si>
  <si>
    <t>3M 
MMM</t>
  </si>
  <si>
    <t>Altria
MO</t>
  </si>
  <si>
    <t>Merck 
MRK</t>
  </si>
  <si>
    <t>Microsoft 
MSFT</t>
  </si>
  <si>
    <t>Pfizer 
PFE</t>
  </si>
  <si>
    <t>Proctor Gamble 
PG</t>
  </si>
  <si>
    <t>AT&amp;T 
T</t>
  </si>
  <si>
    <t>United Technologies UTX</t>
  </si>
  <si>
    <t>Verizon 
VZ</t>
  </si>
  <si>
    <t>Walmart 
WMT</t>
  </si>
  <si>
    <t>Exxon Mobil 
XOM</t>
  </si>
  <si>
    <t>Average return</t>
  </si>
  <si>
    <t>Beta</t>
  </si>
  <si>
    <t>Alpha</t>
  </si>
  <si>
    <t>R-squared</t>
  </si>
  <si>
    <t>AA</t>
  </si>
  <si>
    <t>AIG</t>
  </si>
  <si>
    <t>AXP</t>
  </si>
  <si>
    <t>BA</t>
  </si>
  <si>
    <t>C</t>
  </si>
  <si>
    <t>CAT</t>
  </si>
  <si>
    <t>DD</t>
  </si>
  <si>
    <t>DIS</t>
  </si>
  <si>
    <t>GE</t>
  </si>
  <si>
    <t>GM</t>
  </si>
  <si>
    <t>HD</t>
  </si>
  <si>
    <t>HON</t>
  </si>
  <si>
    <t>HPQ</t>
  </si>
  <si>
    <t>INTC</t>
  </si>
  <si>
    <t>JNJ</t>
  </si>
  <si>
    <t>JPM</t>
  </si>
  <si>
    <t>KO</t>
  </si>
  <si>
    <t>MCD</t>
  </si>
  <si>
    <t>MMM</t>
  </si>
  <si>
    <t>MP</t>
  </si>
  <si>
    <t>MRK</t>
  </si>
  <si>
    <t>MSFT</t>
  </si>
  <si>
    <t>PFE</t>
  </si>
  <si>
    <t>PG</t>
  </si>
  <si>
    <t>T</t>
  </si>
  <si>
    <t>UTX</t>
  </si>
  <si>
    <t>VZ</t>
  </si>
  <si>
    <t>WMT</t>
  </si>
  <si>
    <t>XOM</t>
  </si>
  <si>
    <t>Finding an efficient portfolio</t>
  </si>
  <si>
    <t>Constant</t>
  </si>
  <si>
    <t>Sum</t>
  </si>
  <si>
    <t>Largest short</t>
  </si>
  <si>
    <t>Largest long</t>
  </si>
  <si>
    <t>常数c</t>
    <phoneticPr fontId="1" type="noConversion"/>
  </si>
  <si>
    <t>最大的空头</t>
    <phoneticPr fontId="1" type="noConversion"/>
  </si>
  <si>
    <t>最大的多头</t>
    <phoneticPr fontId="1" type="noConversion"/>
  </si>
  <si>
    <t>jump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</si>
</sst>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%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0" fillId="0" borderId="0" xfId="0" applyAlignment="1"/>
    <xf numFmtId="0" fontId="0" fillId="0" borderId="0" xfId="0" applyAlignment="1">
      <alignment horizontal="center" wrapText="1"/>
    </xf>
    <xf numFmtId="0" fontId="5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5" fillId="0" borderId="0" xfId="0" applyFont="1" applyAlignment="1">
      <alignment wrapText="1"/>
    </xf>
    <xf numFmtId="10" fontId="0" fillId="0" borderId="0" xfId="0" applyNumberFormat="1" applyAlignment="1"/>
    <xf numFmtId="2" fontId="0" fillId="0" borderId="0" xfId="0" applyNumberFormat="1" applyAlignment="1">
      <alignment wrapText="1"/>
    </xf>
    <xf numFmtId="10" fontId="2" fillId="0" borderId="0" xfId="1" applyNumberFormat="1" applyAlignment="1"/>
    <xf numFmtId="15" fontId="0" fillId="0" borderId="0" xfId="0" applyNumberFormat="1" applyAlignment="1"/>
    <xf numFmtId="176" fontId="0" fillId="0" borderId="0" xfId="0" applyNumberFormat="1" applyAlignment="1"/>
    <xf numFmtId="0" fontId="6" fillId="0" borderId="0" xfId="0" applyFont="1" applyAlignment="1"/>
    <xf numFmtId="2" fontId="0" fillId="0" borderId="0" xfId="0" applyNumberFormat="1" applyAlignment="1"/>
    <xf numFmtId="0" fontId="4" fillId="0" borderId="0" xfId="0" applyFont="1" applyAlignment="1"/>
    <xf numFmtId="0" fontId="0" fillId="2" borderId="0" xfId="0" applyFill="1" applyAlignment="1">
      <alignment horizontal="center" wrapText="1"/>
    </xf>
    <xf numFmtId="10" fontId="0" fillId="2" borderId="0" xfId="1" applyNumberFormat="1" applyFont="1" applyFill="1" applyAlignment="1"/>
    <xf numFmtId="0" fontId="5" fillId="2" borderId="0" xfId="0" applyFont="1" applyFill="1" applyAlignment="1">
      <alignment horizontal="center" wrapText="1"/>
    </xf>
    <xf numFmtId="10" fontId="0" fillId="2" borderId="0" xfId="0" applyNumberFormat="1" applyFill="1" applyAlignment="1"/>
    <xf numFmtId="0" fontId="0" fillId="0" borderId="0" xfId="0" applyAlignment="1">
      <alignment horizontal="left" wrapText="1"/>
    </xf>
    <xf numFmtId="177" fontId="0" fillId="0" borderId="0" xfId="0" applyNumberFormat="1" applyAlignment="1"/>
    <xf numFmtId="14" fontId="0" fillId="0" borderId="0" xfId="0" applyNumberFormat="1" applyAlignment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295275</xdr:colOff>
      <xdr:row>1</xdr:row>
      <xdr:rowOff>266700</xdr:rowOff>
    </xdr:from>
    <xdr:to>
      <xdr:col>69</xdr:col>
      <xdr:colOff>552450</xdr:colOff>
      <xdr:row>70</xdr:row>
      <xdr:rowOff>19050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59E44914-57E7-7688-17EC-961D6EBB1C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3174325" y="438150"/>
          <a:ext cx="22812375" cy="12115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1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1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321, top"/>
      <sheetName val="Page 321, top中文"/>
      <sheetName val="Page 321, bottom"/>
      <sheetName val="Page 321, bottom中文"/>
      <sheetName val="Page 322"/>
      <sheetName val="Page 322中文"/>
      <sheetName val="Page 324, chart"/>
      <sheetName val="Page 324, chart中文"/>
      <sheetName val="Page 325"/>
      <sheetName val="Page 325中文"/>
      <sheetName val="Page 326"/>
      <sheetName val="Page 326中文"/>
      <sheetName val="Page 327"/>
      <sheetName val="Page 327中文"/>
      <sheetName val="Page 328"/>
      <sheetName val="Page 328 (2)"/>
      <sheetName val="Page 328 (；；；)"/>
      <sheetName val="Page 329"/>
      <sheetName val="Page 329中文"/>
      <sheetName val="Page 329, not shown"/>
      <sheetName val="Page 329, not shown (中文）"/>
      <sheetName val="Page 330"/>
      <sheetName val="Page 330 (中文)"/>
      <sheetName val="Page 331"/>
      <sheetName val="Page 331中文"/>
      <sheetName val="Page 332"/>
      <sheetName val="Page 332中文"/>
      <sheetName val="DJ return over rf"/>
      <sheetName val="DJ return over rf中文"/>
      <sheetName val="Second pass over rf"/>
      <sheetName val="Second pass over rf中文"/>
      <sheetName val="St. Louis Fed, interest rates"/>
      <sheetName val="St. Louis Fed, interest rates中文"/>
    </sheetNames>
    <sheetDataSet>
      <sheetData sheetId="0">
        <row r="3">
          <cell r="B3">
            <v>1211.23</v>
          </cell>
          <cell r="C3">
            <v>35.369999999999997</v>
          </cell>
          <cell r="D3">
            <v>81.319999999999993</v>
          </cell>
          <cell r="E3">
            <v>33.729999999999997</v>
          </cell>
          <cell r="F3">
            <v>53.64</v>
          </cell>
          <cell r="G3">
            <v>40.97</v>
          </cell>
          <cell r="H3">
            <v>24.73</v>
          </cell>
          <cell r="I3">
            <v>36.29</v>
          </cell>
          <cell r="J3">
            <v>25.02</v>
          </cell>
          <cell r="K3">
            <v>38.33</v>
          </cell>
          <cell r="L3">
            <v>49.72</v>
          </cell>
          <cell r="M3">
            <v>48.26</v>
          </cell>
          <cell r="N3">
            <v>32.75</v>
          </cell>
          <cell r="O3">
            <v>22.83</v>
          </cell>
          <cell r="P3">
            <v>101.02</v>
          </cell>
          <cell r="Q3">
            <v>28.7</v>
          </cell>
          <cell r="R3">
            <v>49.51</v>
          </cell>
          <cell r="S3">
            <v>37.96</v>
          </cell>
          <cell r="T3">
            <v>40.25</v>
          </cell>
          <cell r="U3">
            <v>26.97</v>
          </cell>
          <cell r="V3">
            <v>50.55</v>
          </cell>
          <cell r="W3">
            <v>35.61</v>
          </cell>
          <cell r="X3">
            <v>53.98</v>
          </cell>
          <cell r="Y3">
            <v>28.78</v>
          </cell>
          <cell r="Z3">
            <v>36.99</v>
          </cell>
          <cell r="AA3">
            <v>32.14</v>
          </cell>
          <cell r="AB3">
            <v>35.549999999999997</v>
          </cell>
          <cell r="AC3">
            <v>33.96</v>
          </cell>
          <cell r="AD3">
            <v>43.92</v>
          </cell>
          <cell r="AE3">
            <v>53.51</v>
          </cell>
          <cell r="AF3">
            <v>37.11</v>
          </cell>
        </row>
        <row r="4">
          <cell r="B4">
            <v>1133.58</v>
          </cell>
          <cell r="C4">
            <v>34.5</v>
          </cell>
          <cell r="D4">
            <v>76.430000000000007</v>
          </cell>
          <cell r="E4">
            <v>30.46</v>
          </cell>
          <cell r="F4">
            <v>47.06</v>
          </cell>
          <cell r="G4">
            <v>37.49</v>
          </cell>
          <cell r="H4">
            <v>22.45</v>
          </cell>
          <cell r="I4">
            <v>35.01</v>
          </cell>
          <cell r="J4">
            <v>24.14</v>
          </cell>
          <cell r="K4">
            <v>36.04</v>
          </cell>
          <cell r="L4">
            <v>43.14</v>
          </cell>
          <cell r="M4">
            <v>44.06</v>
          </cell>
          <cell r="N4">
            <v>33.270000000000003</v>
          </cell>
          <cell r="O4">
            <v>21.48</v>
          </cell>
          <cell r="P4">
            <v>96.1</v>
          </cell>
          <cell r="Q4">
            <v>26.93</v>
          </cell>
          <cell r="R4">
            <v>48.4</v>
          </cell>
          <cell r="S4">
            <v>34.54</v>
          </cell>
          <cell r="T4">
            <v>43.93</v>
          </cell>
          <cell r="U4">
            <v>27.79</v>
          </cell>
          <cell r="V4">
            <v>47.3</v>
          </cell>
          <cell r="W4">
            <v>37.1</v>
          </cell>
          <cell r="X4">
            <v>51.96</v>
          </cell>
          <cell r="Y4">
            <v>24.81</v>
          </cell>
          <cell r="Z4">
            <v>34.47</v>
          </cell>
          <cell r="AA4">
            <v>33.549999999999997</v>
          </cell>
          <cell r="AB4">
            <v>32.299999999999997</v>
          </cell>
          <cell r="AC4">
            <v>31.75</v>
          </cell>
          <cell r="AD4">
            <v>40.549999999999997</v>
          </cell>
          <cell r="AE4">
            <v>45.99</v>
          </cell>
          <cell r="AF4">
            <v>35.880000000000003</v>
          </cell>
        </row>
        <row r="5">
          <cell r="B5">
            <v>1040.94</v>
          </cell>
          <cell r="C5">
            <v>28.06</v>
          </cell>
          <cell r="D5">
            <v>76.239999999999995</v>
          </cell>
          <cell r="E5">
            <v>24.3</v>
          </cell>
          <cell r="F5">
            <v>30.79</v>
          </cell>
          <cell r="G5">
            <v>33.15</v>
          </cell>
          <cell r="H5">
            <v>20.11</v>
          </cell>
          <cell r="I5">
            <v>32.07</v>
          </cell>
          <cell r="J5">
            <v>17.68</v>
          </cell>
          <cell r="K5">
            <v>32.93</v>
          </cell>
          <cell r="L5">
            <v>33.81</v>
          </cell>
          <cell r="M5">
            <v>36.79</v>
          </cell>
          <cell r="N5">
            <v>23.57</v>
          </cell>
          <cell r="O5">
            <v>14.92</v>
          </cell>
          <cell r="P5">
            <v>88.18</v>
          </cell>
          <cell r="Q5">
            <v>19.690000000000001</v>
          </cell>
          <cell r="R5">
            <v>50.87</v>
          </cell>
          <cell r="S5">
            <v>29.94</v>
          </cell>
          <cell r="T5">
            <v>42.28</v>
          </cell>
          <cell r="U5">
            <v>25.11</v>
          </cell>
          <cell r="V5">
            <v>44.71</v>
          </cell>
          <cell r="W5">
            <v>37.79</v>
          </cell>
          <cell r="X5">
            <v>53.16</v>
          </cell>
          <cell r="Y5">
            <v>22.25</v>
          </cell>
          <cell r="Z5">
            <v>36.08</v>
          </cell>
          <cell r="AA5">
            <v>32.94</v>
          </cell>
          <cell r="AB5">
            <v>37.200000000000003</v>
          </cell>
          <cell r="AC5">
            <v>21.58</v>
          </cell>
          <cell r="AD5">
            <v>43.89</v>
          </cell>
          <cell r="AE5">
            <v>47.45</v>
          </cell>
          <cell r="AF5">
            <v>35.21</v>
          </cell>
        </row>
        <row r="6">
          <cell r="B6">
            <v>1059.78</v>
          </cell>
          <cell r="C6">
            <v>29.34</v>
          </cell>
          <cell r="D6">
            <v>76.819999999999993</v>
          </cell>
          <cell r="E6">
            <v>24.68</v>
          </cell>
          <cell r="F6">
            <v>29.97</v>
          </cell>
          <cell r="G6">
            <v>37.26</v>
          </cell>
          <cell r="H6">
            <v>20.23</v>
          </cell>
          <cell r="I6">
            <v>34.18</v>
          </cell>
          <cell r="J6">
            <v>17.649999999999999</v>
          </cell>
          <cell r="K6">
            <v>32.229999999999997</v>
          </cell>
          <cell r="L6">
            <v>32.56</v>
          </cell>
          <cell r="M6">
            <v>36.659999999999997</v>
          </cell>
          <cell r="N6">
            <v>26.38</v>
          </cell>
          <cell r="O6">
            <v>15.65</v>
          </cell>
          <cell r="P6">
            <v>103.9</v>
          </cell>
          <cell r="Q6">
            <v>23.52</v>
          </cell>
          <cell r="R6">
            <v>53.17</v>
          </cell>
          <cell r="S6">
            <v>31</v>
          </cell>
          <cell r="T6">
            <v>43.21</v>
          </cell>
          <cell r="U6">
            <v>24.12</v>
          </cell>
          <cell r="V6">
            <v>47.43</v>
          </cell>
          <cell r="W6">
            <v>36.630000000000003</v>
          </cell>
          <cell r="X6">
            <v>50.93</v>
          </cell>
          <cell r="Y6">
            <v>25.29</v>
          </cell>
          <cell r="Z6">
            <v>37.700000000000003</v>
          </cell>
          <cell r="AA6">
            <v>33.57</v>
          </cell>
          <cell r="AB6">
            <v>30.26</v>
          </cell>
          <cell r="AC6">
            <v>25.01</v>
          </cell>
          <cell r="AD6">
            <v>40.68</v>
          </cell>
          <cell r="AE6">
            <v>49.28</v>
          </cell>
          <cell r="AF6">
            <v>35.25</v>
          </cell>
        </row>
        <row r="7">
          <cell r="B7">
            <v>1139.45</v>
          </cell>
          <cell r="C7">
            <v>35.090000000000003</v>
          </cell>
          <cell r="D7">
            <v>80.540000000000006</v>
          </cell>
          <cell r="E7">
            <v>27.6</v>
          </cell>
          <cell r="F7">
            <v>32.43</v>
          </cell>
          <cell r="G7">
            <v>39.340000000000003</v>
          </cell>
          <cell r="H7">
            <v>21.45</v>
          </cell>
          <cell r="I7">
            <v>38.21</v>
          </cell>
          <cell r="J7">
            <v>19.43</v>
          </cell>
          <cell r="K7">
            <v>34.08</v>
          </cell>
          <cell r="L7">
            <v>39.630000000000003</v>
          </cell>
          <cell r="M7">
            <v>44.78</v>
          </cell>
          <cell r="N7">
            <v>29.77</v>
          </cell>
          <cell r="O7">
            <v>20.45</v>
          </cell>
          <cell r="P7">
            <v>111.27</v>
          </cell>
          <cell r="Q7">
            <v>31.49</v>
          </cell>
          <cell r="R7">
            <v>53.65</v>
          </cell>
          <cell r="S7">
            <v>33.07</v>
          </cell>
          <cell r="T7">
            <v>42.54</v>
          </cell>
          <cell r="U7">
            <v>25.08</v>
          </cell>
          <cell r="V7">
            <v>52.33</v>
          </cell>
          <cell r="W7">
            <v>36.92</v>
          </cell>
          <cell r="X7">
            <v>54.07</v>
          </cell>
          <cell r="Y7">
            <v>27.92</v>
          </cell>
          <cell r="Z7">
            <v>39.07</v>
          </cell>
          <cell r="AA7">
            <v>35.24</v>
          </cell>
          <cell r="AB7">
            <v>29.68</v>
          </cell>
          <cell r="AC7">
            <v>28.05</v>
          </cell>
          <cell r="AD7">
            <v>38.39</v>
          </cell>
          <cell r="AE7">
            <v>52.87</v>
          </cell>
          <cell r="AF7">
            <v>33.619999999999997</v>
          </cell>
        </row>
        <row r="8">
          <cell r="B8">
            <v>1148.08</v>
          </cell>
          <cell r="C8">
            <v>32.32</v>
          </cell>
          <cell r="D8">
            <v>77.64</v>
          </cell>
          <cell r="E8">
            <v>29.93</v>
          </cell>
          <cell r="F8">
            <v>35.83</v>
          </cell>
          <cell r="G8">
            <v>41.46</v>
          </cell>
          <cell r="H8">
            <v>23.63</v>
          </cell>
          <cell r="I8">
            <v>36.630000000000003</v>
          </cell>
          <cell r="J8">
            <v>19.88</v>
          </cell>
          <cell r="K8">
            <v>35.630000000000003</v>
          </cell>
          <cell r="L8">
            <v>38.75</v>
          </cell>
          <cell r="M8">
            <v>48.97</v>
          </cell>
          <cell r="N8">
            <v>30.38</v>
          </cell>
          <cell r="O8">
            <v>19.170000000000002</v>
          </cell>
          <cell r="P8">
            <v>116.44</v>
          </cell>
          <cell r="Q8">
            <v>30.32</v>
          </cell>
          <cell r="R8">
            <v>54.43</v>
          </cell>
          <cell r="S8">
            <v>31.87</v>
          </cell>
          <cell r="T8">
            <v>42.72</v>
          </cell>
          <cell r="U8">
            <v>24.73</v>
          </cell>
          <cell r="V8">
            <v>53.99</v>
          </cell>
          <cell r="W8">
            <v>36.340000000000003</v>
          </cell>
          <cell r="X8">
            <v>47.18</v>
          </cell>
          <cell r="Y8">
            <v>28.81</v>
          </cell>
          <cell r="Z8">
            <v>35.950000000000003</v>
          </cell>
          <cell r="AA8">
            <v>36</v>
          </cell>
          <cell r="AB8">
            <v>31.1</v>
          </cell>
          <cell r="AC8">
            <v>30.11</v>
          </cell>
          <cell r="AD8">
            <v>38.76</v>
          </cell>
          <cell r="AE8">
            <v>55.24</v>
          </cell>
          <cell r="AF8">
            <v>35.32</v>
          </cell>
        </row>
        <row r="9">
          <cell r="B9">
            <v>1130.2</v>
          </cell>
          <cell r="C9">
            <v>32.590000000000003</v>
          </cell>
          <cell r="D9">
            <v>72.510000000000005</v>
          </cell>
          <cell r="E9">
            <v>30.13</v>
          </cell>
          <cell r="F9">
            <v>37.83</v>
          </cell>
          <cell r="G9">
            <v>39.06</v>
          </cell>
          <cell r="H9">
            <v>22.91</v>
          </cell>
          <cell r="I9">
            <v>38.06</v>
          </cell>
          <cell r="J9">
            <v>20.21</v>
          </cell>
          <cell r="K9">
            <v>33.03</v>
          </cell>
          <cell r="L9">
            <v>40.770000000000003</v>
          </cell>
          <cell r="M9">
            <v>48.09</v>
          </cell>
          <cell r="N9">
            <v>30.19</v>
          </cell>
          <cell r="O9">
            <v>20.64</v>
          </cell>
          <cell r="P9">
            <v>103.86</v>
          </cell>
          <cell r="Q9">
            <v>33.78</v>
          </cell>
          <cell r="R9">
            <v>52.97</v>
          </cell>
          <cell r="S9">
            <v>29.85</v>
          </cell>
          <cell r="T9">
            <v>39.64</v>
          </cell>
          <cell r="U9">
            <v>25.39</v>
          </cell>
          <cell r="V9">
            <v>50.7</v>
          </cell>
          <cell r="W9">
            <v>39.71</v>
          </cell>
          <cell r="X9">
            <v>47.48</v>
          </cell>
          <cell r="Y9">
            <v>27.7</v>
          </cell>
          <cell r="Z9">
            <v>37.590000000000003</v>
          </cell>
          <cell r="AA9">
            <v>37.340000000000003</v>
          </cell>
          <cell r="AB9">
            <v>29.93</v>
          </cell>
          <cell r="AC9">
            <v>32.020000000000003</v>
          </cell>
          <cell r="AD9">
            <v>38.15</v>
          </cell>
          <cell r="AE9">
            <v>57.57</v>
          </cell>
          <cell r="AF9">
            <v>35.1</v>
          </cell>
        </row>
        <row r="10">
          <cell r="B10">
            <v>1106.73</v>
          </cell>
          <cell r="C10">
            <v>34.31</v>
          </cell>
          <cell r="D10">
            <v>72.38</v>
          </cell>
          <cell r="E10">
            <v>30.64</v>
          </cell>
          <cell r="F10">
            <v>42.64</v>
          </cell>
          <cell r="G10">
            <v>37.29</v>
          </cell>
          <cell r="H10">
            <v>25.29</v>
          </cell>
          <cell r="I10">
            <v>40.68</v>
          </cell>
          <cell r="J10">
            <v>22.07</v>
          </cell>
          <cell r="K10">
            <v>34.39</v>
          </cell>
          <cell r="L10">
            <v>42.67</v>
          </cell>
          <cell r="M10">
            <v>48</v>
          </cell>
          <cell r="N10">
            <v>34.43</v>
          </cell>
          <cell r="O10">
            <v>18.78</v>
          </cell>
          <cell r="P10">
            <v>94.58</v>
          </cell>
          <cell r="Q10">
            <v>27.54</v>
          </cell>
          <cell r="R10">
            <v>56.26</v>
          </cell>
          <cell r="S10">
            <v>25.64</v>
          </cell>
          <cell r="T10">
            <v>42.93</v>
          </cell>
          <cell r="U10">
            <v>24.38</v>
          </cell>
          <cell r="V10">
            <v>54.16</v>
          </cell>
          <cell r="W10">
            <v>41.73</v>
          </cell>
          <cell r="X10">
            <v>49.21</v>
          </cell>
          <cell r="Y10">
            <v>25.37</v>
          </cell>
          <cell r="Z10">
            <v>37.07</v>
          </cell>
          <cell r="AA10">
            <v>38.76</v>
          </cell>
          <cell r="AB10">
            <v>30.24</v>
          </cell>
          <cell r="AC10">
            <v>34.11</v>
          </cell>
          <cell r="AD10">
            <v>38.520000000000003</v>
          </cell>
          <cell r="AE10">
            <v>59.52</v>
          </cell>
          <cell r="AF10">
            <v>37.340000000000003</v>
          </cell>
        </row>
        <row r="11">
          <cell r="B11">
            <v>1147.3900000000001</v>
          </cell>
          <cell r="C11">
            <v>34.47</v>
          </cell>
          <cell r="D11">
            <v>70.58</v>
          </cell>
          <cell r="E11">
            <v>34.43</v>
          </cell>
          <cell r="F11">
            <v>44.76</v>
          </cell>
          <cell r="G11">
            <v>40.81</v>
          </cell>
          <cell r="H11">
            <v>25.9</v>
          </cell>
          <cell r="I11">
            <v>40.950000000000003</v>
          </cell>
          <cell r="J11">
            <v>22.15</v>
          </cell>
          <cell r="K11">
            <v>33.409999999999997</v>
          </cell>
          <cell r="L11">
            <v>48.69</v>
          </cell>
          <cell r="M11">
            <v>46.71</v>
          </cell>
          <cell r="N11">
            <v>34.57</v>
          </cell>
          <cell r="O11">
            <v>16.809999999999999</v>
          </cell>
          <cell r="P11">
            <v>100.25</v>
          </cell>
          <cell r="Q11">
            <v>29.33</v>
          </cell>
          <cell r="R11">
            <v>60</v>
          </cell>
          <cell r="S11">
            <v>31.25</v>
          </cell>
          <cell r="T11">
            <v>47.54</v>
          </cell>
          <cell r="U11">
            <v>25.93</v>
          </cell>
          <cell r="V11">
            <v>52.81</v>
          </cell>
          <cell r="W11">
            <v>42.21</v>
          </cell>
          <cell r="X11">
            <v>46.46</v>
          </cell>
          <cell r="Y11">
            <v>26.23</v>
          </cell>
          <cell r="Z11">
            <v>35.96</v>
          </cell>
          <cell r="AA11">
            <v>41.18</v>
          </cell>
          <cell r="AB11">
            <v>29.92</v>
          </cell>
          <cell r="AC11">
            <v>34.700000000000003</v>
          </cell>
          <cell r="AD11">
            <v>37.94</v>
          </cell>
          <cell r="AE11">
            <v>58.91</v>
          </cell>
          <cell r="AF11">
            <v>39.630000000000003</v>
          </cell>
        </row>
        <row r="12">
          <cell r="B12">
            <v>1076.92</v>
          </cell>
          <cell r="C12">
            <v>31.08</v>
          </cell>
          <cell r="D12">
            <v>67.63</v>
          </cell>
          <cell r="E12">
            <v>34.54</v>
          </cell>
          <cell r="F12">
            <v>41.38</v>
          </cell>
          <cell r="G12">
            <v>35.69</v>
          </cell>
          <cell r="H12">
            <v>25.04</v>
          </cell>
          <cell r="I12">
            <v>38.65</v>
          </cell>
          <cell r="J12">
            <v>22.24</v>
          </cell>
          <cell r="K12">
            <v>28.18</v>
          </cell>
          <cell r="L12">
            <v>51.67</v>
          </cell>
          <cell r="M12">
            <v>44.56</v>
          </cell>
          <cell r="N12">
            <v>33.130000000000003</v>
          </cell>
          <cell r="O12">
            <v>16.02</v>
          </cell>
          <cell r="P12">
            <v>80.739999999999995</v>
          </cell>
          <cell r="Q12">
            <v>27.6</v>
          </cell>
          <cell r="R12">
            <v>59</v>
          </cell>
          <cell r="S12">
            <v>30.77</v>
          </cell>
          <cell r="T12">
            <v>50.5</v>
          </cell>
          <cell r="U12">
            <v>26.53</v>
          </cell>
          <cell r="V12">
            <v>57.77</v>
          </cell>
          <cell r="W12">
            <v>43.62</v>
          </cell>
          <cell r="X12">
            <v>43.85</v>
          </cell>
          <cell r="Y12">
            <v>22.73</v>
          </cell>
          <cell r="Z12">
            <v>32.9</v>
          </cell>
          <cell r="AA12">
            <v>41.43</v>
          </cell>
          <cell r="AB12">
            <v>25</v>
          </cell>
          <cell r="AC12">
            <v>32.81</v>
          </cell>
          <cell r="AD12">
            <v>33.299999999999997</v>
          </cell>
          <cell r="AE12">
            <v>53.68</v>
          </cell>
          <cell r="AF12">
            <v>36.32</v>
          </cell>
        </row>
        <row r="13">
          <cell r="B13">
            <v>1067.1400000000001</v>
          </cell>
          <cell r="C13">
            <v>32.090000000000003</v>
          </cell>
          <cell r="D13">
            <v>65.53</v>
          </cell>
          <cell r="E13">
            <v>35.799999999999997</v>
          </cell>
          <cell r="F13">
            <v>39.72</v>
          </cell>
          <cell r="G13">
            <v>35.729999999999997</v>
          </cell>
          <cell r="H13">
            <v>23.96</v>
          </cell>
          <cell r="I13">
            <v>40.270000000000003</v>
          </cell>
          <cell r="J13">
            <v>21.98</v>
          </cell>
          <cell r="K13">
            <v>27.82</v>
          </cell>
          <cell r="L13">
            <v>50.43</v>
          </cell>
          <cell r="M13">
            <v>40.06</v>
          </cell>
          <cell r="N13">
            <v>35.58</v>
          </cell>
          <cell r="O13">
            <v>17.89</v>
          </cell>
          <cell r="P13">
            <v>77.7</v>
          </cell>
          <cell r="Q13">
            <v>26.66</v>
          </cell>
          <cell r="R13">
            <v>56.87</v>
          </cell>
          <cell r="S13">
            <v>31.52</v>
          </cell>
          <cell r="T13">
            <v>50.54</v>
          </cell>
          <cell r="U13">
            <v>27.97</v>
          </cell>
          <cell r="V13">
            <v>57.88</v>
          </cell>
          <cell r="W13">
            <v>45.88</v>
          </cell>
          <cell r="X13">
            <v>46.07</v>
          </cell>
          <cell r="Y13">
            <v>22.14</v>
          </cell>
          <cell r="Z13">
            <v>31.42</v>
          </cell>
          <cell r="AA13">
            <v>41.11</v>
          </cell>
          <cell r="AB13">
            <v>27.6</v>
          </cell>
          <cell r="AC13">
            <v>32.32</v>
          </cell>
          <cell r="AD13">
            <v>35.700000000000003</v>
          </cell>
          <cell r="AE13">
            <v>51.99</v>
          </cell>
          <cell r="AF13">
            <v>36.31</v>
          </cell>
        </row>
        <row r="14">
          <cell r="B14">
            <v>989.82</v>
          </cell>
          <cell r="C14">
            <v>30.41</v>
          </cell>
          <cell r="D14">
            <v>66.8</v>
          </cell>
          <cell r="E14">
            <v>30.59</v>
          </cell>
          <cell r="F14">
            <v>41.91</v>
          </cell>
          <cell r="G14">
            <v>32.07</v>
          </cell>
          <cell r="H14">
            <v>22.44</v>
          </cell>
          <cell r="I14">
            <v>38.86</v>
          </cell>
          <cell r="J14">
            <v>18.13</v>
          </cell>
          <cell r="K14">
            <v>26.11</v>
          </cell>
          <cell r="L14">
            <v>43.37</v>
          </cell>
          <cell r="M14">
            <v>35.340000000000003</v>
          </cell>
          <cell r="N14">
            <v>31.98</v>
          </cell>
          <cell r="O14">
            <v>14.38</v>
          </cell>
          <cell r="P14">
            <v>69.540000000000006</v>
          </cell>
          <cell r="Q14">
            <v>17.64</v>
          </cell>
          <cell r="R14">
            <v>48.44</v>
          </cell>
          <cell r="S14">
            <v>29.74</v>
          </cell>
          <cell r="T14">
            <v>51.13</v>
          </cell>
          <cell r="U14">
            <v>26.58</v>
          </cell>
          <cell r="V14">
            <v>56.76</v>
          </cell>
          <cell r="W14">
            <v>35.44</v>
          </cell>
          <cell r="X14">
            <v>41.12</v>
          </cell>
          <cell r="Y14">
            <v>23.79</v>
          </cell>
          <cell r="Z14">
            <v>31.78</v>
          </cell>
          <cell r="AA14">
            <v>41.31</v>
          </cell>
          <cell r="AB14">
            <v>24.55</v>
          </cell>
          <cell r="AC14">
            <v>31.86</v>
          </cell>
          <cell r="AD14">
            <v>33.33</v>
          </cell>
          <cell r="AE14">
            <v>52.93</v>
          </cell>
          <cell r="AF14">
            <v>37.21</v>
          </cell>
        </row>
        <row r="15">
          <cell r="B15">
            <v>911.62</v>
          </cell>
          <cell r="C15">
            <v>24.96</v>
          </cell>
          <cell r="D15">
            <v>62.58</v>
          </cell>
          <cell r="E15">
            <v>29.76</v>
          </cell>
          <cell r="F15">
            <v>38.659999999999997</v>
          </cell>
          <cell r="G15">
            <v>27.76</v>
          </cell>
          <cell r="H15">
            <v>20.66</v>
          </cell>
          <cell r="I15">
            <v>36.69</v>
          </cell>
          <cell r="J15">
            <v>17.010000000000002</v>
          </cell>
          <cell r="K15">
            <v>28.94</v>
          </cell>
          <cell r="L15">
            <v>37.770000000000003</v>
          </cell>
          <cell r="M15">
            <v>29.71</v>
          </cell>
          <cell r="N15">
            <v>29.37</v>
          </cell>
          <cell r="O15">
            <v>13.32</v>
          </cell>
          <cell r="P15">
            <v>67.989999999999995</v>
          </cell>
          <cell r="Q15">
            <v>18.14</v>
          </cell>
          <cell r="R15">
            <v>48.76</v>
          </cell>
          <cell r="S15">
            <v>21.88</v>
          </cell>
          <cell r="T15">
            <v>45.6</v>
          </cell>
          <cell r="U15">
            <v>23.12</v>
          </cell>
          <cell r="V15">
            <v>58.07</v>
          </cell>
          <cell r="W15">
            <v>37.369999999999997</v>
          </cell>
          <cell r="X15">
            <v>40.28</v>
          </cell>
          <cell r="Y15">
            <v>20.86</v>
          </cell>
          <cell r="Z15">
            <v>29.38</v>
          </cell>
          <cell r="AA15">
            <v>41.38</v>
          </cell>
          <cell r="AB15">
            <v>22.46</v>
          </cell>
          <cell r="AC15">
            <v>32.61</v>
          </cell>
          <cell r="AD15">
            <v>27.67</v>
          </cell>
          <cell r="AE15">
            <v>47.32</v>
          </cell>
          <cell r="AF15">
            <v>33.43</v>
          </cell>
        </row>
        <row r="16">
          <cell r="B16">
            <v>916.07</v>
          </cell>
          <cell r="C16">
            <v>23.15</v>
          </cell>
          <cell r="D16">
            <v>61.49</v>
          </cell>
          <cell r="E16">
            <v>30.44</v>
          </cell>
          <cell r="F16">
            <v>34.68</v>
          </cell>
          <cell r="G16">
            <v>29.22</v>
          </cell>
          <cell r="H16">
            <v>20.170000000000002</v>
          </cell>
          <cell r="I16">
            <v>35.58</v>
          </cell>
          <cell r="J16">
            <v>15.05</v>
          </cell>
          <cell r="K16">
            <v>27.1</v>
          </cell>
          <cell r="L16">
            <v>39.28</v>
          </cell>
          <cell r="M16">
            <v>31.69</v>
          </cell>
          <cell r="N16">
            <v>27.34</v>
          </cell>
          <cell r="O16">
            <v>12.64</v>
          </cell>
          <cell r="P16">
            <v>72.959999999999994</v>
          </cell>
          <cell r="Q16">
            <v>16.11</v>
          </cell>
          <cell r="R16">
            <v>50.53</v>
          </cell>
          <cell r="S16">
            <v>23.14</v>
          </cell>
          <cell r="T16">
            <v>46.57</v>
          </cell>
          <cell r="U16">
            <v>22.2</v>
          </cell>
          <cell r="V16">
            <v>57.94</v>
          </cell>
          <cell r="W16">
            <v>40.57</v>
          </cell>
          <cell r="X16">
            <v>41.03</v>
          </cell>
          <cell r="Y16">
            <v>21.34</v>
          </cell>
          <cell r="Z16">
            <v>30.16</v>
          </cell>
          <cell r="AA16">
            <v>41.22</v>
          </cell>
          <cell r="AB16">
            <v>20.079999999999998</v>
          </cell>
          <cell r="AC16">
            <v>27.98</v>
          </cell>
          <cell r="AD16">
            <v>25.99</v>
          </cell>
          <cell r="AE16">
            <v>51.46</v>
          </cell>
          <cell r="AF16">
            <v>32.450000000000003</v>
          </cell>
        </row>
        <row r="17">
          <cell r="B17">
            <v>815.28</v>
          </cell>
          <cell r="C17">
            <v>17.809999999999999</v>
          </cell>
          <cell r="D17">
            <v>53.6</v>
          </cell>
          <cell r="E17">
            <v>26.32</v>
          </cell>
          <cell r="F17">
            <v>31.93</v>
          </cell>
          <cell r="G17">
            <v>26.45</v>
          </cell>
          <cell r="H17">
            <v>17.2</v>
          </cell>
          <cell r="I17">
            <v>31.84</v>
          </cell>
          <cell r="J17">
            <v>14.53</v>
          </cell>
          <cell r="K17">
            <v>22.31</v>
          </cell>
          <cell r="L17">
            <v>31.93</v>
          </cell>
          <cell r="M17">
            <v>25.15</v>
          </cell>
          <cell r="N17">
            <v>19.78</v>
          </cell>
          <cell r="O17">
            <v>11.05</v>
          </cell>
          <cell r="P17">
            <v>56.44</v>
          </cell>
          <cell r="Q17">
            <v>13.42</v>
          </cell>
          <cell r="R17">
            <v>50.32</v>
          </cell>
          <cell r="S17">
            <v>16.649999999999999</v>
          </cell>
          <cell r="T17">
            <v>43.97</v>
          </cell>
          <cell r="U17">
            <v>16.5</v>
          </cell>
          <cell r="V17">
            <v>50.99</v>
          </cell>
          <cell r="W17">
            <v>31.91</v>
          </cell>
          <cell r="X17">
            <v>37.4</v>
          </cell>
          <cell r="Y17">
            <v>19.02</v>
          </cell>
          <cell r="Z17">
            <v>26.46</v>
          </cell>
          <cell r="AA17">
            <v>41.56</v>
          </cell>
          <cell r="AB17">
            <v>16.32</v>
          </cell>
          <cell r="AC17">
            <v>26.61</v>
          </cell>
          <cell r="AD17">
            <v>23.01</v>
          </cell>
          <cell r="AE17">
            <v>47.45</v>
          </cell>
          <cell r="AF17">
            <v>29.2</v>
          </cell>
        </row>
        <row r="18">
          <cell r="B18">
            <v>885.76</v>
          </cell>
          <cell r="C18">
            <v>20.350000000000001</v>
          </cell>
          <cell r="D18">
            <v>61.29</v>
          </cell>
          <cell r="E18">
            <v>30.77</v>
          </cell>
          <cell r="F18">
            <v>27.83</v>
          </cell>
          <cell r="G18">
            <v>33.130000000000003</v>
          </cell>
          <cell r="H18">
            <v>19.05</v>
          </cell>
          <cell r="I18">
            <v>36.409999999999997</v>
          </cell>
          <cell r="J18">
            <v>16.02</v>
          </cell>
          <cell r="K18">
            <v>22.85</v>
          </cell>
          <cell r="L18">
            <v>27.29</v>
          </cell>
          <cell r="M18">
            <v>27.83</v>
          </cell>
          <cell r="N18">
            <v>21.86</v>
          </cell>
          <cell r="O18">
            <v>14.96</v>
          </cell>
          <cell r="P18">
            <v>76.41</v>
          </cell>
          <cell r="Q18">
            <v>16.72</v>
          </cell>
          <cell r="R18">
            <v>54.66</v>
          </cell>
          <cell r="S18">
            <v>18.190000000000001</v>
          </cell>
          <cell r="T18">
            <v>42.61</v>
          </cell>
          <cell r="U18">
            <v>16.920000000000002</v>
          </cell>
          <cell r="V18">
            <v>58.86</v>
          </cell>
          <cell r="W18">
            <v>33.51</v>
          </cell>
          <cell r="X18">
            <v>44.38</v>
          </cell>
          <cell r="Y18">
            <v>23.25</v>
          </cell>
          <cell r="Z18">
            <v>28.97</v>
          </cell>
          <cell r="AA18">
            <v>41.31</v>
          </cell>
          <cell r="AB18">
            <v>21.1</v>
          </cell>
          <cell r="AC18">
            <v>29.05</v>
          </cell>
          <cell r="AD18">
            <v>32.04</v>
          </cell>
          <cell r="AE18">
            <v>51.6</v>
          </cell>
          <cell r="AF18">
            <v>30.81</v>
          </cell>
        </row>
        <row r="19">
          <cell r="B19">
            <v>936.31</v>
          </cell>
          <cell r="C19">
            <v>23.72</v>
          </cell>
          <cell r="D19">
            <v>63.84</v>
          </cell>
          <cell r="E19">
            <v>32.94</v>
          </cell>
          <cell r="F19">
            <v>32.03</v>
          </cell>
          <cell r="G19">
            <v>34.86</v>
          </cell>
          <cell r="H19">
            <v>23.28</v>
          </cell>
          <cell r="I19">
            <v>39.71</v>
          </cell>
          <cell r="J19">
            <v>19.02</v>
          </cell>
          <cell r="K19">
            <v>24.55</v>
          </cell>
          <cell r="L19">
            <v>33.06</v>
          </cell>
          <cell r="M19">
            <v>25.44</v>
          </cell>
          <cell r="N19">
            <v>23.94</v>
          </cell>
          <cell r="O19">
            <v>18.45</v>
          </cell>
          <cell r="P19">
            <v>84.29</v>
          </cell>
          <cell r="Q19">
            <v>20.2</v>
          </cell>
          <cell r="R19">
            <v>53.23</v>
          </cell>
          <cell r="S19">
            <v>22.07</v>
          </cell>
          <cell r="T19">
            <v>42.02</v>
          </cell>
          <cell r="U19">
            <v>17.52</v>
          </cell>
          <cell r="V19">
            <v>60.5</v>
          </cell>
          <cell r="W19">
            <v>31.02</v>
          </cell>
          <cell r="X19">
            <v>48.61</v>
          </cell>
          <cell r="Y19">
            <v>25.08</v>
          </cell>
          <cell r="Z19">
            <v>28.86</v>
          </cell>
          <cell r="AA19">
            <v>39.479999999999997</v>
          </cell>
          <cell r="AB19">
            <v>23.44</v>
          </cell>
          <cell r="AC19">
            <v>29.55</v>
          </cell>
          <cell r="AD19">
            <v>35.54</v>
          </cell>
          <cell r="AE19">
            <v>51.94</v>
          </cell>
          <cell r="AF19">
            <v>32.06</v>
          </cell>
        </row>
        <row r="20">
          <cell r="B20">
            <v>879.82</v>
          </cell>
          <cell r="C20">
            <v>21.15</v>
          </cell>
          <cell r="D20">
            <v>56.73</v>
          </cell>
          <cell r="E20">
            <v>29.98</v>
          </cell>
          <cell r="F20">
            <v>31.03</v>
          </cell>
          <cell r="G20">
            <v>31.55</v>
          </cell>
          <cell r="H20">
            <v>21.33</v>
          </cell>
          <cell r="I20">
            <v>37.74</v>
          </cell>
          <cell r="J20">
            <v>15.84</v>
          </cell>
          <cell r="K20">
            <v>22.21</v>
          </cell>
          <cell r="L20">
            <v>30.7</v>
          </cell>
          <cell r="M20">
            <v>23.2</v>
          </cell>
          <cell r="N20">
            <v>22.09</v>
          </cell>
          <cell r="O20">
            <v>16.510000000000002</v>
          </cell>
          <cell r="P20">
            <v>75.150000000000006</v>
          </cell>
          <cell r="Q20">
            <v>15.06</v>
          </cell>
          <cell r="R20">
            <v>50.14</v>
          </cell>
          <cell r="S20">
            <v>21.04</v>
          </cell>
          <cell r="T20">
            <v>40.369999999999997</v>
          </cell>
          <cell r="U20">
            <v>15.23</v>
          </cell>
          <cell r="V20">
            <v>57.45</v>
          </cell>
          <cell r="W20">
            <v>33.86</v>
          </cell>
          <cell r="X20">
            <v>46.61</v>
          </cell>
          <cell r="Y20">
            <v>22.48</v>
          </cell>
          <cell r="Z20">
            <v>27.98</v>
          </cell>
          <cell r="AA20">
            <v>40.14</v>
          </cell>
          <cell r="AB20">
            <v>22.3</v>
          </cell>
          <cell r="AC20">
            <v>29.29</v>
          </cell>
          <cell r="AD20">
            <v>32.880000000000003</v>
          </cell>
          <cell r="AE20">
            <v>48.74</v>
          </cell>
          <cell r="AF20">
            <v>32.19</v>
          </cell>
        </row>
        <row r="21">
          <cell r="B21">
            <v>855.7</v>
          </cell>
          <cell r="C21">
            <v>18.36</v>
          </cell>
          <cell r="D21">
            <v>53.07</v>
          </cell>
          <cell r="E21">
            <v>30.13</v>
          </cell>
          <cell r="F21">
            <v>29.71</v>
          </cell>
          <cell r="G21">
            <v>30.97</v>
          </cell>
          <cell r="H21">
            <v>20.67</v>
          </cell>
          <cell r="I21">
            <v>33.71</v>
          </cell>
          <cell r="J21">
            <v>17</v>
          </cell>
          <cell r="K21">
            <v>21.1</v>
          </cell>
          <cell r="L21">
            <v>30.26</v>
          </cell>
          <cell r="M21">
            <v>20.190000000000001</v>
          </cell>
          <cell r="N21">
            <v>22.49</v>
          </cell>
          <cell r="O21">
            <v>16.559999999999999</v>
          </cell>
          <cell r="P21">
            <v>75.83</v>
          </cell>
          <cell r="Q21">
            <v>15.15</v>
          </cell>
          <cell r="R21">
            <v>50.05</v>
          </cell>
          <cell r="S21">
            <v>20.46</v>
          </cell>
          <cell r="T21">
            <v>37.26</v>
          </cell>
          <cell r="U21">
            <v>13.49</v>
          </cell>
          <cell r="V21">
            <v>58.03</v>
          </cell>
          <cell r="W21">
            <v>31.64</v>
          </cell>
          <cell r="X21">
            <v>45.6</v>
          </cell>
          <cell r="Y21">
            <v>20.64</v>
          </cell>
          <cell r="Z21">
            <v>27.93</v>
          </cell>
          <cell r="AA21">
            <v>40.159999999999997</v>
          </cell>
          <cell r="AB21">
            <v>20.28</v>
          </cell>
          <cell r="AC21">
            <v>30.07</v>
          </cell>
          <cell r="AD21">
            <v>32.770000000000003</v>
          </cell>
          <cell r="AE21">
            <v>46.13</v>
          </cell>
          <cell r="AF21">
            <v>31.46</v>
          </cell>
        </row>
        <row r="22">
          <cell r="B22">
            <v>841.15</v>
          </cell>
          <cell r="C22">
            <v>19.18</v>
          </cell>
          <cell r="D22">
            <v>48.33</v>
          </cell>
          <cell r="E22">
            <v>28.48</v>
          </cell>
          <cell r="F22">
            <v>26.06</v>
          </cell>
          <cell r="G22">
            <v>30.06</v>
          </cell>
          <cell r="H22">
            <v>22.09</v>
          </cell>
          <cell r="I22">
            <v>32.950000000000003</v>
          </cell>
          <cell r="J22">
            <v>16.57</v>
          </cell>
          <cell r="K22">
            <v>22.11</v>
          </cell>
          <cell r="L22">
            <v>28.52</v>
          </cell>
          <cell r="M22">
            <v>22.65</v>
          </cell>
          <cell r="N22">
            <v>21.24</v>
          </cell>
          <cell r="O22">
            <v>15.08</v>
          </cell>
          <cell r="P22">
            <v>75.739999999999995</v>
          </cell>
          <cell r="Q22">
            <v>16.71</v>
          </cell>
          <cell r="R22">
            <v>49.17</v>
          </cell>
          <cell r="S22">
            <v>19.88</v>
          </cell>
          <cell r="T22">
            <v>37.03</v>
          </cell>
          <cell r="U22">
            <v>12.89</v>
          </cell>
          <cell r="V22">
            <v>58.72</v>
          </cell>
          <cell r="W22">
            <v>32.29</v>
          </cell>
          <cell r="X22">
            <v>43.43</v>
          </cell>
          <cell r="Y22">
            <v>20.68</v>
          </cell>
          <cell r="Z22">
            <v>27.43</v>
          </cell>
          <cell r="AA22">
            <v>38.42</v>
          </cell>
          <cell r="AB22">
            <v>17.260000000000002</v>
          </cell>
          <cell r="AC22">
            <v>27.81</v>
          </cell>
          <cell r="AD22">
            <v>29.6</v>
          </cell>
          <cell r="AE22">
            <v>46.38</v>
          </cell>
          <cell r="AF22">
            <v>31.55</v>
          </cell>
        </row>
        <row r="23">
          <cell r="B23">
            <v>848.18</v>
          </cell>
          <cell r="C23">
            <v>18.14</v>
          </cell>
          <cell r="D23">
            <v>48.54</v>
          </cell>
          <cell r="E23">
            <v>28.18</v>
          </cell>
          <cell r="F23">
            <v>23.7</v>
          </cell>
          <cell r="G23">
            <v>31.06</v>
          </cell>
          <cell r="H23">
            <v>23.12</v>
          </cell>
          <cell r="I23">
            <v>34.92</v>
          </cell>
          <cell r="J23">
            <v>16.53</v>
          </cell>
          <cell r="K23">
            <v>23.44</v>
          </cell>
          <cell r="L23">
            <v>28.39</v>
          </cell>
          <cell r="M23">
            <v>23.59</v>
          </cell>
          <cell r="N23">
            <v>19.82</v>
          </cell>
          <cell r="O23">
            <v>14.87</v>
          </cell>
          <cell r="P23">
            <v>76.2</v>
          </cell>
          <cell r="Q23">
            <v>15.77</v>
          </cell>
          <cell r="R23">
            <v>54.25</v>
          </cell>
          <cell r="S23">
            <v>20.79</v>
          </cell>
          <cell r="T23">
            <v>37.49</v>
          </cell>
          <cell r="U23">
            <v>13.7</v>
          </cell>
          <cell r="V23">
            <v>60.91</v>
          </cell>
          <cell r="W23">
            <v>25.48</v>
          </cell>
          <cell r="X23">
            <v>45.42</v>
          </cell>
          <cell r="Y23">
            <v>21.12</v>
          </cell>
          <cell r="Z23">
            <v>28.66</v>
          </cell>
          <cell r="AA23">
            <v>41.79</v>
          </cell>
          <cell r="AB23">
            <v>16.649999999999999</v>
          </cell>
          <cell r="AC23">
            <v>27.43</v>
          </cell>
          <cell r="AD23">
            <v>30.26</v>
          </cell>
          <cell r="AE23">
            <v>50.3</v>
          </cell>
          <cell r="AF23">
            <v>32.42</v>
          </cell>
        </row>
        <row r="24">
          <cell r="B24">
            <v>916.92</v>
          </cell>
          <cell r="C24">
            <v>21.6</v>
          </cell>
          <cell r="D24">
            <v>56.88</v>
          </cell>
          <cell r="E24">
            <v>32.18</v>
          </cell>
          <cell r="F24">
            <v>25.8</v>
          </cell>
          <cell r="G24">
            <v>35.39</v>
          </cell>
          <cell r="H24">
            <v>24.88</v>
          </cell>
          <cell r="I24">
            <v>38.22</v>
          </cell>
          <cell r="J24">
            <v>18.13</v>
          </cell>
          <cell r="K24">
            <v>27.07</v>
          </cell>
          <cell r="L24">
            <v>30.45</v>
          </cell>
          <cell r="M24">
            <v>27.24</v>
          </cell>
          <cell r="N24">
            <v>21.9</v>
          </cell>
          <cell r="O24">
            <v>15.58</v>
          </cell>
          <cell r="P24">
            <v>82.49</v>
          </cell>
          <cell r="Q24">
            <v>17.82</v>
          </cell>
          <cell r="R24">
            <v>52.83</v>
          </cell>
          <cell r="S24">
            <v>26.1</v>
          </cell>
          <cell r="T24">
            <v>37.42</v>
          </cell>
          <cell r="U24">
            <v>16.2</v>
          </cell>
          <cell r="V24">
            <v>59.04</v>
          </cell>
          <cell r="W24">
            <v>26.16</v>
          </cell>
          <cell r="X24">
            <v>48.23</v>
          </cell>
          <cell r="Y24">
            <v>22.31</v>
          </cell>
          <cell r="Z24">
            <v>28.29</v>
          </cell>
          <cell r="AA24">
            <v>42.36</v>
          </cell>
          <cell r="AB24">
            <v>19.68</v>
          </cell>
          <cell r="AC24">
            <v>29.35</v>
          </cell>
          <cell r="AD24">
            <v>32.35</v>
          </cell>
          <cell r="AE24">
            <v>54.44</v>
          </cell>
          <cell r="AF24">
            <v>32.65</v>
          </cell>
        </row>
        <row r="25">
          <cell r="B25">
            <v>963.59</v>
          </cell>
          <cell r="C25">
            <v>23.18</v>
          </cell>
          <cell r="D25">
            <v>56.81</v>
          </cell>
          <cell r="E25">
            <v>35.409999999999997</v>
          </cell>
          <cell r="F25">
            <v>29.17</v>
          </cell>
          <cell r="G25">
            <v>37.17</v>
          </cell>
          <cell r="H25">
            <v>24.67</v>
          </cell>
          <cell r="I25">
            <v>38.18</v>
          </cell>
          <cell r="J25">
            <v>19.09</v>
          </cell>
          <cell r="K25">
            <v>26.38</v>
          </cell>
          <cell r="L25">
            <v>30.26</v>
          </cell>
          <cell r="M25">
            <v>31.47</v>
          </cell>
          <cell r="N25">
            <v>24.49</v>
          </cell>
          <cell r="O25">
            <v>18.64</v>
          </cell>
          <cell r="P25">
            <v>85.7</v>
          </cell>
          <cell r="Q25">
            <v>20.190000000000001</v>
          </cell>
          <cell r="R25">
            <v>51.17</v>
          </cell>
          <cell r="S25">
            <v>29.22</v>
          </cell>
          <cell r="T25">
            <v>42.21</v>
          </cell>
          <cell r="U25">
            <v>17.739999999999998</v>
          </cell>
          <cell r="V25">
            <v>59.55</v>
          </cell>
          <cell r="W25">
            <v>35.119999999999997</v>
          </cell>
          <cell r="X25">
            <v>46.08</v>
          </cell>
          <cell r="Y25">
            <v>21.47</v>
          </cell>
          <cell r="Z25">
            <v>28.66</v>
          </cell>
          <cell r="AA25">
            <v>43.29</v>
          </cell>
          <cell r="AB25">
            <v>21.45</v>
          </cell>
          <cell r="AC25">
            <v>32.54</v>
          </cell>
          <cell r="AD25">
            <v>32.76</v>
          </cell>
          <cell r="AE25">
            <v>50.86</v>
          </cell>
          <cell r="AF25">
            <v>34</v>
          </cell>
        </row>
        <row r="26">
          <cell r="B26">
            <v>974.5</v>
          </cell>
          <cell r="C26">
            <v>24.02</v>
          </cell>
          <cell r="D26">
            <v>54.21</v>
          </cell>
          <cell r="E26">
            <v>35.54</v>
          </cell>
          <cell r="F26">
            <v>32.64</v>
          </cell>
          <cell r="G26">
            <v>38.79</v>
          </cell>
          <cell r="H26">
            <v>26.33</v>
          </cell>
          <cell r="I26">
            <v>37.72</v>
          </cell>
          <cell r="J26">
            <v>19.190000000000001</v>
          </cell>
          <cell r="K26">
            <v>26.54</v>
          </cell>
          <cell r="L26">
            <v>30.83</v>
          </cell>
          <cell r="M26">
            <v>32.14</v>
          </cell>
          <cell r="N26">
            <v>25.1</v>
          </cell>
          <cell r="O26">
            <v>20.440000000000001</v>
          </cell>
          <cell r="P26">
            <v>80.3</v>
          </cell>
          <cell r="Q26">
            <v>20.18</v>
          </cell>
          <cell r="R26">
            <v>48.67</v>
          </cell>
          <cell r="S26">
            <v>30.39</v>
          </cell>
          <cell r="T26">
            <v>43.19</v>
          </cell>
          <cell r="U26">
            <v>20.9</v>
          </cell>
          <cell r="V26">
            <v>60.74</v>
          </cell>
          <cell r="W26">
            <v>39.22</v>
          </cell>
          <cell r="X26">
            <v>50.52</v>
          </cell>
          <cell r="Y26">
            <v>22.37</v>
          </cell>
          <cell r="Z26">
            <v>31.55</v>
          </cell>
          <cell r="AA26">
            <v>42.04</v>
          </cell>
          <cell r="AB26">
            <v>21.53</v>
          </cell>
          <cell r="AC26">
            <v>33.770000000000003</v>
          </cell>
          <cell r="AD26">
            <v>34.14</v>
          </cell>
          <cell r="AE26">
            <v>51.97</v>
          </cell>
          <cell r="AF26">
            <v>33.549999999999997</v>
          </cell>
        </row>
        <row r="27">
          <cell r="B27">
            <v>990.31</v>
          </cell>
          <cell r="C27">
            <v>26.16</v>
          </cell>
          <cell r="D27">
            <v>63.07</v>
          </cell>
          <cell r="E27">
            <v>37.64</v>
          </cell>
          <cell r="F27">
            <v>31.5</v>
          </cell>
          <cell r="G27">
            <v>40.92</v>
          </cell>
          <cell r="H27">
            <v>32.11</v>
          </cell>
          <cell r="I27">
            <v>39.81</v>
          </cell>
          <cell r="J27">
            <v>21.29</v>
          </cell>
          <cell r="K27">
            <v>26.31</v>
          </cell>
          <cell r="L27">
            <v>32.049999999999997</v>
          </cell>
          <cell r="M27">
            <v>30.27</v>
          </cell>
          <cell r="N27">
            <v>26.44</v>
          </cell>
          <cell r="O27">
            <v>20.32</v>
          </cell>
          <cell r="P27">
            <v>79.09</v>
          </cell>
          <cell r="Q27">
            <v>24.14</v>
          </cell>
          <cell r="R27">
            <v>48.76</v>
          </cell>
          <cell r="S27">
            <v>31.48</v>
          </cell>
          <cell r="T27">
            <v>41.85</v>
          </cell>
          <cell r="U27">
            <v>21.8</v>
          </cell>
          <cell r="V27">
            <v>66.02</v>
          </cell>
          <cell r="W27">
            <v>34.53</v>
          </cell>
          <cell r="X27">
            <v>46.12</v>
          </cell>
          <cell r="Y27">
            <v>23.04</v>
          </cell>
          <cell r="Z27">
            <v>30.82</v>
          </cell>
          <cell r="AA27">
            <v>41.64</v>
          </cell>
          <cell r="AB27">
            <v>19.97</v>
          </cell>
          <cell r="AC27">
            <v>35.86</v>
          </cell>
          <cell r="AD27">
            <v>30.59</v>
          </cell>
          <cell r="AE27">
            <v>54.13</v>
          </cell>
          <cell r="AF27">
            <v>33.24</v>
          </cell>
        </row>
        <row r="28">
          <cell r="B28">
            <v>1008.01</v>
          </cell>
          <cell r="C28">
            <v>27.06</v>
          </cell>
          <cell r="D28">
            <v>58.52</v>
          </cell>
          <cell r="E28">
            <v>38.39</v>
          </cell>
          <cell r="F28">
            <v>35.75</v>
          </cell>
          <cell r="G28">
            <v>39.590000000000003</v>
          </cell>
          <cell r="H28">
            <v>34.18</v>
          </cell>
          <cell r="I28">
            <v>40.86</v>
          </cell>
          <cell r="J28">
            <v>19.920000000000002</v>
          </cell>
          <cell r="K28">
            <v>27.36</v>
          </cell>
          <cell r="L28">
            <v>35.67</v>
          </cell>
          <cell r="M28">
            <v>31.2</v>
          </cell>
          <cell r="N28">
            <v>27.28</v>
          </cell>
          <cell r="O28">
            <v>19.13</v>
          </cell>
          <cell r="P28">
            <v>79.989999999999995</v>
          </cell>
          <cell r="Q28">
            <v>27.75</v>
          </cell>
          <cell r="R28">
            <v>46.9</v>
          </cell>
          <cell r="S28">
            <v>30.73</v>
          </cell>
          <cell r="T28">
            <v>40.5</v>
          </cell>
          <cell r="U28">
            <v>21.24</v>
          </cell>
          <cell r="V28">
            <v>67.400000000000006</v>
          </cell>
          <cell r="W28">
            <v>35.57</v>
          </cell>
          <cell r="X28">
            <v>44.36</v>
          </cell>
          <cell r="Y28">
            <v>23.14</v>
          </cell>
          <cell r="Z28">
            <v>27.77</v>
          </cell>
          <cell r="AA28">
            <v>41.37</v>
          </cell>
          <cell r="AB28">
            <v>19.2</v>
          </cell>
          <cell r="AC28">
            <v>38.39</v>
          </cell>
          <cell r="AD28">
            <v>30.87</v>
          </cell>
          <cell r="AE28">
            <v>57.29</v>
          </cell>
          <cell r="AF28">
            <v>35.46</v>
          </cell>
        </row>
        <row r="29">
          <cell r="B29">
            <v>995.97</v>
          </cell>
          <cell r="C29">
            <v>24.78</v>
          </cell>
          <cell r="D29">
            <v>56.75</v>
          </cell>
          <cell r="E29">
            <v>38.39</v>
          </cell>
          <cell r="F29">
            <v>32.82</v>
          </cell>
          <cell r="G29">
            <v>41.56</v>
          </cell>
          <cell r="H29">
            <v>32.76</v>
          </cell>
          <cell r="I29">
            <v>36.54</v>
          </cell>
          <cell r="J29">
            <v>19.59</v>
          </cell>
          <cell r="K29">
            <v>27.75</v>
          </cell>
          <cell r="L29">
            <v>35.520000000000003</v>
          </cell>
          <cell r="M29">
            <v>30.97</v>
          </cell>
          <cell r="N29">
            <v>24.8</v>
          </cell>
          <cell r="O29">
            <v>18.649999999999999</v>
          </cell>
          <cell r="P29">
            <v>86.15</v>
          </cell>
          <cell r="Q29">
            <v>26.71</v>
          </cell>
          <cell r="R29">
            <v>46.84</v>
          </cell>
          <cell r="S29">
            <v>30.83</v>
          </cell>
          <cell r="T29">
            <v>40.17</v>
          </cell>
          <cell r="U29">
            <v>22.3</v>
          </cell>
          <cell r="V29">
            <v>65.349999999999994</v>
          </cell>
          <cell r="W29">
            <v>38.43</v>
          </cell>
          <cell r="X29">
            <v>44.95</v>
          </cell>
          <cell r="Y29">
            <v>24.26</v>
          </cell>
          <cell r="Z29">
            <v>28.2</v>
          </cell>
          <cell r="AA29">
            <v>43.99</v>
          </cell>
          <cell r="AB29">
            <v>19.02</v>
          </cell>
          <cell r="AC29">
            <v>36.97</v>
          </cell>
          <cell r="AD29">
            <v>28.35</v>
          </cell>
          <cell r="AE29">
            <v>54.08</v>
          </cell>
          <cell r="AF29">
            <v>34.43</v>
          </cell>
        </row>
        <row r="30">
          <cell r="B30">
            <v>1050.71</v>
          </cell>
          <cell r="C30">
            <v>29.91</v>
          </cell>
          <cell r="D30">
            <v>59.82</v>
          </cell>
          <cell r="E30">
            <v>40.08</v>
          </cell>
          <cell r="F30">
            <v>36.799999999999997</v>
          </cell>
          <cell r="G30">
            <v>43.61</v>
          </cell>
          <cell r="H30">
            <v>35.04</v>
          </cell>
          <cell r="I30">
            <v>36.9</v>
          </cell>
          <cell r="J30">
            <v>21.99</v>
          </cell>
          <cell r="K30">
            <v>27.01</v>
          </cell>
          <cell r="L30">
            <v>37.03</v>
          </cell>
          <cell r="M30">
            <v>36.049999999999997</v>
          </cell>
          <cell r="N30">
            <v>28.81</v>
          </cell>
          <cell r="O30">
            <v>21.5</v>
          </cell>
          <cell r="P30">
            <v>87.27</v>
          </cell>
          <cell r="Q30">
            <v>31.98</v>
          </cell>
          <cell r="R30">
            <v>47.61</v>
          </cell>
          <cell r="S30">
            <v>32.56</v>
          </cell>
          <cell r="T30">
            <v>43.39</v>
          </cell>
          <cell r="U30">
            <v>23.68</v>
          </cell>
          <cell r="V30">
            <v>74.62</v>
          </cell>
          <cell r="W30">
            <v>40.799999999999997</v>
          </cell>
          <cell r="X30">
            <v>39.29</v>
          </cell>
          <cell r="Y30">
            <v>22.94</v>
          </cell>
          <cell r="Z30">
            <v>29.33</v>
          </cell>
          <cell r="AA30">
            <v>46.8</v>
          </cell>
          <cell r="AB30">
            <v>20.85</v>
          </cell>
          <cell r="AC30">
            <v>40.51</v>
          </cell>
          <cell r="AD30">
            <v>29.7</v>
          </cell>
          <cell r="AE30">
            <v>57.17</v>
          </cell>
          <cell r="AF30">
            <v>34.409999999999997</v>
          </cell>
        </row>
        <row r="31">
          <cell r="B31">
            <v>1058.2</v>
          </cell>
          <cell r="C31">
            <v>31.23</v>
          </cell>
          <cell r="D31">
            <v>56.99</v>
          </cell>
          <cell r="E31">
            <v>39.03</v>
          </cell>
          <cell r="F31">
            <v>36.869999999999997</v>
          </cell>
          <cell r="G31">
            <v>43.27</v>
          </cell>
          <cell r="H31">
            <v>36.36</v>
          </cell>
          <cell r="I31">
            <v>38.19</v>
          </cell>
          <cell r="J31">
            <v>22.43</v>
          </cell>
          <cell r="K31">
            <v>26.69</v>
          </cell>
          <cell r="L31">
            <v>37.57</v>
          </cell>
          <cell r="M31">
            <v>35.75</v>
          </cell>
          <cell r="N31">
            <v>28.12</v>
          </cell>
          <cell r="O31">
            <v>20.95</v>
          </cell>
          <cell r="P31">
            <v>88.47</v>
          </cell>
          <cell r="Q31">
            <v>32.57</v>
          </cell>
          <cell r="R31">
            <v>46.86</v>
          </cell>
          <cell r="S31">
            <v>32.1</v>
          </cell>
          <cell r="T31">
            <v>43.69</v>
          </cell>
          <cell r="U31">
            <v>24.66</v>
          </cell>
          <cell r="V31">
            <v>75.099999999999994</v>
          </cell>
          <cell r="W31">
            <v>45.62</v>
          </cell>
          <cell r="X31">
            <v>36.049999999999997</v>
          </cell>
          <cell r="Y31">
            <v>22.56</v>
          </cell>
          <cell r="Z31">
            <v>31.31</v>
          </cell>
          <cell r="AA31">
            <v>45.82</v>
          </cell>
          <cell r="AB31">
            <v>20.239999999999998</v>
          </cell>
          <cell r="AC31">
            <v>41.16</v>
          </cell>
          <cell r="AD31">
            <v>29.03</v>
          </cell>
          <cell r="AE31">
            <v>53.96</v>
          </cell>
          <cell r="AF31">
            <v>34.29</v>
          </cell>
        </row>
        <row r="32">
          <cell r="B32">
            <v>1111.92</v>
          </cell>
          <cell r="C32">
            <v>36.17</v>
          </cell>
          <cell r="D32">
            <v>65.260000000000005</v>
          </cell>
          <cell r="E32">
            <v>41.27</v>
          </cell>
          <cell r="F32">
            <v>40.47</v>
          </cell>
          <cell r="G32">
            <v>44.66</v>
          </cell>
          <cell r="H32">
            <v>39.700000000000003</v>
          </cell>
          <cell r="I32">
            <v>42.27</v>
          </cell>
          <cell r="J32">
            <v>22.88</v>
          </cell>
          <cell r="K32">
            <v>29.03</v>
          </cell>
          <cell r="L32">
            <v>46.89</v>
          </cell>
          <cell r="M32">
            <v>34.58</v>
          </cell>
          <cell r="N32">
            <v>31.66</v>
          </cell>
          <cell r="O32">
            <v>22.21</v>
          </cell>
          <cell r="P32">
            <v>90.56</v>
          </cell>
          <cell r="Q32">
            <v>31.12</v>
          </cell>
          <cell r="R32">
            <v>49.1</v>
          </cell>
          <cell r="S32">
            <v>33.31</v>
          </cell>
          <cell r="T32">
            <v>47.69</v>
          </cell>
          <cell r="U32">
            <v>23.89</v>
          </cell>
          <cell r="V32">
            <v>80.790000000000006</v>
          </cell>
          <cell r="W32">
            <v>48.36</v>
          </cell>
          <cell r="X32">
            <v>41.39</v>
          </cell>
          <cell r="Y32">
            <v>24.01</v>
          </cell>
          <cell r="Z32">
            <v>32.950000000000003</v>
          </cell>
          <cell r="AA32">
            <v>47.56</v>
          </cell>
          <cell r="AB32">
            <v>22.67</v>
          </cell>
          <cell r="AC32">
            <v>45.52</v>
          </cell>
          <cell r="AD32">
            <v>31.01</v>
          </cell>
          <cell r="AE32">
            <v>51.54</v>
          </cell>
          <cell r="AF32">
            <v>38.83</v>
          </cell>
        </row>
        <row r="33">
          <cell r="B33">
            <v>1131.1300000000001</v>
          </cell>
          <cell r="C33">
            <v>32.53</v>
          </cell>
          <cell r="D33">
            <v>68.38</v>
          </cell>
          <cell r="E33">
            <v>44.36</v>
          </cell>
          <cell r="F33">
            <v>40.1</v>
          </cell>
          <cell r="G33">
            <v>45.9</v>
          </cell>
          <cell r="H33">
            <v>37.520000000000003</v>
          </cell>
          <cell r="I33">
            <v>40.44</v>
          </cell>
          <cell r="J33">
            <v>23.54</v>
          </cell>
          <cell r="K33">
            <v>31.51</v>
          </cell>
          <cell r="L33">
            <v>43.63</v>
          </cell>
          <cell r="M33">
            <v>34.56</v>
          </cell>
          <cell r="N33">
            <v>34.21</v>
          </cell>
          <cell r="O33">
            <v>23</v>
          </cell>
          <cell r="P33">
            <v>96.96</v>
          </cell>
          <cell r="Q33">
            <v>29.64</v>
          </cell>
          <cell r="R33">
            <v>50.77</v>
          </cell>
          <cell r="S33">
            <v>35.6</v>
          </cell>
          <cell r="T33">
            <v>46.27</v>
          </cell>
          <cell r="U33">
            <v>24.76</v>
          </cell>
          <cell r="V33">
            <v>75.150000000000006</v>
          </cell>
          <cell r="W33">
            <v>49.4</v>
          </cell>
          <cell r="X33">
            <v>42.64</v>
          </cell>
          <cell r="Y33">
            <v>24.26</v>
          </cell>
          <cell r="Z33">
            <v>34.159999999999997</v>
          </cell>
          <cell r="AA33">
            <v>48.35</v>
          </cell>
          <cell r="AB33">
            <v>22.43</v>
          </cell>
          <cell r="AC33">
            <v>45.89</v>
          </cell>
          <cell r="AD33">
            <v>32.93</v>
          </cell>
          <cell r="AE33">
            <v>52.31</v>
          </cell>
          <cell r="AF33">
            <v>38.64</v>
          </cell>
        </row>
        <row r="34">
          <cell r="B34">
            <v>1144.94</v>
          </cell>
          <cell r="C34">
            <v>35.82</v>
          </cell>
          <cell r="D34">
            <v>72.86</v>
          </cell>
          <cell r="E34">
            <v>45.71</v>
          </cell>
          <cell r="F34">
            <v>41.82</v>
          </cell>
          <cell r="G34">
            <v>46.62</v>
          </cell>
          <cell r="H34">
            <v>36.380000000000003</v>
          </cell>
          <cell r="I34">
            <v>41.86</v>
          </cell>
          <cell r="J34">
            <v>26.02</v>
          </cell>
          <cell r="K34">
            <v>30.66</v>
          </cell>
          <cell r="L34">
            <v>42.69</v>
          </cell>
          <cell r="M34">
            <v>35.380000000000003</v>
          </cell>
          <cell r="N34">
            <v>33.369999999999997</v>
          </cell>
          <cell r="O34">
            <v>21.96</v>
          </cell>
          <cell r="P34">
            <v>94.44</v>
          </cell>
          <cell r="Q34">
            <v>28.39</v>
          </cell>
          <cell r="R34">
            <v>51.47</v>
          </cell>
          <cell r="S34">
            <v>37.549999999999997</v>
          </cell>
          <cell r="T34">
            <v>46.94</v>
          </cell>
          <cell r="U34">
            <v>27.23</v>
          </cell>
          <cell r="V34">
            <v>74.47</v>
          </cell>
          <cell r="W34">
            <v>51.14</v>
          </cell>
          <cell r="X34">
            <v>43.07</v>
          </cell>
          <cell r="Y34">
            <v>23.28</v>
          </cell>
          <cell r="Z34">
            <v>34.33</v>
          </cell>
          <cell r="AA34">
            <v>49.04</v>
          </cell>
          <cell r="AB34">
            <v>21.12</v>
          </cell>
          <cell r="AC34">
            <v>44.41</v>
          </cell>
          <cell r="AD34">
            <v>34.24</v>
          </cell>
          <cell r="AE34">
            <v>57.86</v>
          </cell>
          <cell r="AF34">
            <v>40.19</v>
          </cell>
        </row>
        <row r="35">
          <cell r="B35">
            <v>1126.21</v>
          </cell>
          <cell r="C35">
            <v>33.159999999999997</v>
          </cell>
          <cell r="D35">
            <v>70.31</v>
          </cell>
          <cell r="E35">
            <v>44.46</v>
          </cell>
          <cell r="F35">
            <v>39.6</v>
          </cell>
          <cell r="G35">
            <v>47.96</v>
          </cell>
          <cell r="H35">
            <v>37.979999999999997</v>
          </cell>
          <cell r="I35">
            <v>39.200000000000003</v>
          </cell>
          <cell r="J35">
            <v>24.51</v>
          </cell>
          <cell r="K35">
            <v>28.77</v>
          </cell>
          <cell r="L35">
            <v>41.92</v>
          </cell>
          <cell r="M35">
            <v>36.47</v>
          </cell>
          <cell r="N35">
            <v>32.229999999999997</v>
          </cell>
          <cell r="O35">
            <v>22.16</v>
          </cell>
          <cell r="P35">
            <v>89.88</v>
          </cell>
          <cell r="Q35">
            <v>26.45</v>
          </cell>
          <cell r="R35">
            <v>48.42</v>
          </cell>
          <cell r="S35">
            <v>38.4</v>
          </cell>
          <cell r="T35">
            <v>47.5</v>
          </cell>
          <cell r="U35">
            <v>27.49</v>
          </cell>
          <cell r="V35">
            <v>78.14</v>
          </cell>
          <cell r="W35">
            <v>48.95</v>
          </cell>
          <cell r="X35">
            <v>39.9</v>
          </cell>
          <cell r="Y35">
            <v>21.87</v>
          </cell>
          <cell r="Z35">
            <v>32.840000000000003</v>
          </cell>
          <cell r="AA35">
            <v>50.17</v>
          </cell>
          <cell r="AB35">
            <v>21.59</v>
          </cell>
          <cell r="AC35">
            <v>41.61</v>
          </cell>
          <cell r="AD35">
            <v>32.64</v>
          </cell>
          <cell r="AE35">
            <v>58.12</v>
          </cell>
          <cell r="AF35">
            <v>39.64</v>
          </cell>
        </row>
        <row r="36">
          <cell r="B36">
            <v>1107.3</v>
          </cell>
          <cell r="C36">
            <v>29.4</v>
          </cell>
          <cell r="D36">
            <v>70.61</v>
          </cell>
          <cell r="E36">
            <v>41.97</v>
          </cell>
          <cell r="F36">
            <v>41.16</v>
          </cell>
          <cell r="G36">
            <v>44.98</v>
          </cell>
          <cell r="H36">
            <v>37.5</v>
          </cell>
          <cell r="I36">
            <v>39.880000000000003</v>
          </cell>
          <cell r="J36">
            <v>22.59</v>
          </cell>
          <cell r="K36">
            <v>28.24</v>
          </cell>
          <cell r="L36">
            <v>42.07</v>
          </cell>
          <cell r="M36">
            <v>34.35</v>
          </cell>
          <cell r="N36">
            <v>32.92</v>
          </cell>
          <cell r="O36">
            <v>19.12</v>
          </cell>
          <cell r="P36">
            <v>86.29</v>
          </cell>
          <cell r="Q36">
            <v>25.02</v>
          </cell>
          <cell r="R36">
            <v>51.58</v>
          </cell>
          <cell r="S36">
            <v>34.69</v>
          </cell>
          <cell r="T36">
            <v>47.76</v>
          </cell>
          <cell r="U36">
            <v>26.2</v>
          </cell>
          <cell r="V36">
            <v>82.54</v>
          </cell>
          <cell r="W36">
            <v>49.79</v>
          </cell>
          <cell r="X36">
            <v>42.43</v>
          </cell>
          <cell r="Y36">
            <v>22.93</v>
          </cell>
          <cell r="Z36">
            <v>33.5</v>
          </cell>
          <cell r="AA36">
            <v>50.85</v>
          </cell>
          <cell r="AB36">
            <v>22.18</v>
          </cell>
          <cell r="AC36">
            <v>41.59</v>
          </cell>
          <cell r="AD36">
            <v>34.06</v>
          </cell>
          <cell r="AE36">
            <v>55.5</v>
          </cell>
          <cell r="AF36">
            <v>40.549999999999997</v>
          </cell>
        </row>
        <row r="37">
          <cell r="B37">
            <v>1120.68</v>
          </cell>
          <cell r="C37">
            <v>30.07</v>
          </cell>
          <cell r="D37">
            <v>72.23</v>
          </cell>
          <cell r="E37">
            <v>43.47</v>
          </cell>
          <cell r="F37">
            <v>44.36</v>
          </cell>
          <cell r="G37">
            <v>43.43</v>
          </cell>
          <cell r="H37">
            <v>36.35</v>
          </cell>
          <cell r="I37">
            <v>40.450000000000003</v>
          </cell>
          <cell r="J37">
            <v>23.02</v>
          </cell>
          <cell r="K37">
            <v>29.34</v>
          </cell>
          <cell r="L37">
            <v>40.72</v>
          </cell>
          <cell r="M37">
            <v>35.06</v>
          </cell>
          <cell r="N37">
            <v>32.270000000000003</v>
          </cell>
          <cell r="O37">
            <v>20.61</v>
          </cell>
          <cell r="P37">
            <v>86.88</v>
          </cell>
          <cell r="Q37">
            <v>27.8</v>
          </cell>
          <cell r="R37">
            <v>53.46</v>
          </cell>
          <cell r="S37">
            <v>33.99</v>
          </cell>
          <cell r="T37">
            <v>48.49</v>
          </cell>
          <cell r="U37">
            <v>25.4</v>
          </cell>
          <cell r="V37">
            <v>81.06</v>
          </cell>
          <cell r="W37">
            <v>43.13</v>
          </cell>
          <cell r="X37">
            <v>42.7</v>
          </cell>
          <cell r="Y37">
            <v>23.01</v>
          </cell>
          <cell r="Z37">
            <v>33.26</v>
          </cell>
          <cell r="AA37">
            <v>51.82</v>
          </cell>
          <cell r="AB37">
            <v>21.11</v>
          </cell>
          <cell r="AC37">
            <v>40.97</v>
          </cell>
          <cell r="AD37">
            <v>31.21</v>
          </cell>
          <cell r="AE37">
            <v>54.39</v>
          </cell>
          <cell r="AF37">
            <v>41.49</v>
          </cell>
        </row>
        <row r="38">
          <cell r="B38">
            <v>1140.8399999999999</v>
          </cell>
          <cell r="C38">
            <v>31.73</v>
          </cell>
          <cell r="D38">
            <v>70.31</v>
          </cell>
          <cell r="E38">
            <v>44.14</v>
          </cell>
          <cell r="F38">
            <v>49.49</v>
          </cell>
          <cell r="G38">
            <v>43.49</v>
          </cell>
          <cell r="H38">
            <v>38.33</v>
          </cell>
          <cell r="I38">
            <v>41.59</v>
          </cell>
          <cell r="J38">
            <v>25</v>
          </cell>
          <cell r="K38">
            <v>30.73</v>
          </cell>
          <cell r="L38">
            <v>41.8</v>
          </cell>
          <cell r="M38">
            <v>34.44</v>
          </cell>
          <cell r="N38">
            <v>35.07</v>
          </cell>
          <cell r="O38">
            <v>20.55</v>
          </cell>
          <cell r="P38">
            <v>86.45</v>
          </cell>
          <cell r="Q38">
            <v>26.88</v>
          </cell>
          <cell r="R38">
            <v>53.45</v>
          </cell>
          <cell r="S38">
            <v>35.770000000000003</v>
          </cell>
          <cell r="T38">
            <v>47.9</v>
          </cell>
          <cell r="U38">
            <v>25.01</v>
          </cell>
          <cell r="V38">
            <v>86.28</v>
          </cell>
          <cell r="W38">
            <v>45.64</v>
          </cell>
          <cell r="X38">
            <v>43.21</v>
          </cell>
          <cell r="Y38">
            <v>25.06</v>
          </cell>
          <cell r="Z38">
            <v>32.270000000000003</v>
          </cell>
          <cell r="AA38">
            <v>52.33</v>
          </cell>
          <cell r="AB38">
            <v>21.6</v>
          </cell>
          <cell r="AC38">
            <v>44.29</v>
          </cell>
          <cell r="AD38">
            <v>32.67</v>
          </cell>
          <cell r="AE38">
            <v>51.24</v>
          </cell>
          <cell r="AF38">
            <v>42.6</v>
          </cell>
        </row>
        <row r="39">
          <cell r="B39">
            <v>1101.72</v>
          </cell>
          <cell r="C39">
            <v>30.77</v>
          </cell>
          <cell r="D39">
            <v>69.69</v>
          </cell>
          <cell r="E39">
            <v>43.17</v>
          </cell>
          <cell r="F39">
            <v>49.16</v>
          </cell>
          <cell r="G39">
            <v>41.62</v>
          </cell>
          <cell r="H39">
            <v>35.64</v>
          </cell>
          <cell r="I39">
            <v>40.14</v>
          </cell>
          <cell r="J39">
            <v>22.64</v>
          </cell>
          <cell r="K39">
            <v>31.54</v>
          </cell>
          <cell r="L39">
            <v>38.700000000000003</v>
          </cell>
          <cell r="M39">
            <v>32.99</v>
          </cell>
          <cell r="N39">
            <v>36.01</v>
          </cell>
          <cell r="O39">
            <v>19.63</v>
          </cell>
          <cell r="P39">
            <v>85.39</v>
          </cell>
          <cell r="Q39">
            <v>23.74</v>
          </cell>
          <cell r="R39">
            <v>53.04</v>
          </cell>
          <cell r="S39">
            <v>34.75</v>
          </cell>
          <cell r="T39">
            <v>41.62</v>
          </cell>
          <cell r="U39">
            <v>26.46</v>
          </cell>
          <cell r="V39">
            <v>78.95</v>
          </cell>
          <cell r="W39">
            <v>43.4</v>
          </cell>
          <cell r="X39">
            <v>41.26</v>
          </cell>
          <cell r="Y39">
            <v>25</v>
          </cell>
          <cell r="Z39">
            <v>30.08</v>
          </cell>
          <cell r="AA39">
            <v>50.36</v>
          </cell>
          <cell r="AB39">
            <v>22.87</v>
          </cell>
          <cell r="AC39">
            <v>45.27</v>
          </cell>
          <cell r="AD39">
            <v>35.159999999999997</v>
          </cell>
          <cell r="AE39">
            <v>51.74</v>
          </cell>
          <cell r="AF39">
            <v>44.41</v>
          </cell>
        </row>
        <row r="40">
          <cell r="B40">
            <v>1104.24</v>
          </cell>
          <cell r="C40">
            <v>31.25</v>
          </cell>
          <cell r="D40">
            <v>70.27</v>
          </cell>
          <cell r="E40">
            <v>42.97</v>
          </cell>
          <cell r="F40">
            <v>50.79</v>
          </cell>
          <cell r="G40">
            <v>43.97</v>
          </cell>
          <cell r="H40">
            <v>35.26</v>
          </cell>
          <cell r="I40">
            <v>39.9</v>
          </cell>
          <cell r="J40">
            <v>22.02</v>
          </cell>
          <cell r="K40">
            <v>31.1</v>
          </cell>
          <cell r="L40">
            <v>37.51</v>
          </cell>
          <cell r="M40">
            <v>35.85</v>
          </cell>
          <cell r="N40">
            <v>34.64</v>
          </cell>
          <cell r="O40">
            <v>17.43</v>
          </cell>
          <cell r="P40">
            <v>83.23</v>
          </cell>
          <cell r="Q40">
            <v>20.77</v>
          </cell>
          <cell r="R40">
            <v>56.04</v>
          </cell>
          <cell r="S40">
            <v>36.840000000000003</v>
          </cell>
          <cell r="T40">
            <v>42.43</v>
          </cell>
          <cell r="U40">
            <v>25.99</v>
          </cell>
          <cell r="V40">
            <v>79.31</v>
          </cell>
          <cell r="W40">
            <v>44.63</v>
          </cell>
          <cell r="X40">
            <v>40.909999999999997</v>
          </cell>
          <cell r="Y40">
            <v>24.02</v>
          </cell>
          <cell r="Z40">
            <v>30.92</v>
          </cell>
          <cell r="AA40">
            <v>54.05</v>
          </cell>
          <cell r="AB40">
            <v>23.27</v>
          </cell>
          <cell r="AC40">
            <v>45.64</v>
          </cell>
          <cell r="AD40">
            <v>35.81</v>
          </cell>
          <cell r="AE40">
            <v>51.53</v>
          </cell>
          <cell r="AF40">
            <v>44.49</v>
          </cell>
        </row>
        <row r="41">
          <cell r="B41">
            <v>1114.58</v>
          </cell>
          <cell r="C41">
            <v>32.42</v>
          </cell>
          <cell r="D41">
            <v>67.14</v>
          </cell>
          <cell r="E41">
            <v>44.21</v>
          </cell>
          <cell r="F41">
            <v>50.2</v>
          </cell>
          <cell r="G41">
            <v>41.64</v>
          </cell>
          <cell r="H41">
            <v>39.020000000000003</v>
          </cell>
          <cell r="I41">
            <v>40.409999999999997</v>
          </cell>
          <cell r="J41">
            <v>22.12</v>
          </cell>
          <cell r="K41">
            <v>32.04</v>
          </cell>
          <cell r="L41">
            <v>38.57</v>
          </cell>
          <cell r="M41">
            <v>38.44</v>
          </cell>
          <cell r="N41">
            <v>34.520000000000003</v>
          </cell>
          <cell r="O41">
            <v>18.34</v>
          </cell>
          <cell r="P41">
            <v>84.26</v>
          </cell>
          <cell r="Q41">
            <v>19.57</v>
          </cell>
          <cell r="R41">
            <v>54.33</v>
          </cell>
          <cell r="S41">
            <v>36.979999999999997</v>
          </cell>
          <cell r="T41">
            <v>38.229999999999997</v>
          </cell>
          <cell r="U41">
            <v>26.97</v>
          </cell>
          <cell r="V41">
            <v>77.010000000000005</v>
          </cell>
          <cell r="W41">
            <v>43.53</v>
          </cell>
          <cell r="X41">
            <v>30.28</v>
          </cell>
          <cell r="Y41">
            <v>24.33</v>
          </cell>
          <cell r="Z41">
            <v>28.96</v>
          </cell>
          <cell r="AA41">
            <v>52.26</v>
          </cell>
          <cell r="AB41">
            <v>23.42</v>
          </cell>
          <cell r="AC41">
            <v>45.38</v>
          </cell>
          <cell r="AD41">
            <v>35.93</v>
          </cell>
          <cell r="AE41">
            <v>52.04</v>
          </cell>
          <cell r="AF41">
            <v>46.64</v>
          </cell>
        </row>
        <row r="42">
          <cell r="B42">
            <v>1130.2</v>
          </cell>
          <cell r="C42">
            <v>31.37</v>
          </cell>
          <cell r="D42">
            <v>59.95</v>
          </cell>
          <cell r="E42">
            <v>45.69</v>
          </cell>
          <cell r="F42">
            <v>48.53</v>
          </cell>
          <cell r="G42">
            <v>42.27</v>
          </cell>
          <cell r="H42">
            <v>39.26</v>
          </cell>
          <cell r="I42">
            <v>40.479999999999997</v>
          </cell>
          <cell r="J42">
            <v>24.73</v>
          </cell>
          <cell r="K42">
            <v>32.549999999999997</v>
          </cell>
          <cell r="L42">
            <v>35</v>
          </cell>
          <cell r="M42">
            <v>40.29</v>
          </cell>
          <cell r="N42">
            <v>32.42</v>
          </cell>
          <cell r="O42">
            <v>18.25</v>
          </cell>
          <cell r="P42">
            <v>88.2</v>
          </cell>
          <cell r="Q42">
            <v>21.71</v>
          </cell>
          <cell r="R42">
            <v>56.31</v>
          </cell>
          <cell r="S42">
            <v>36.24</v>
          </cell>
          <cell r="T42">
            <v>38.81</v>
          </cell>
          <cell r="U42">
            <v>28.04</v>
          </cell>
          <cell r="V42">
            <v>74.7</v>
          </cell>
          <cell r="W42">
            <v>44.84</v>
          </cell>
          <cell r="X42">
            <v>28.73</v>
          </cell>
          <cell r="Y42">
            <v>24.61</v>
          </cell>
          <cell r="Z42">
            <v>27.4</v>
          </cell>
          <cell r="AA42">
            <v>49.66</v>
          </cell>
          <cell r="AB42">
            <v>23.06</v>
          </cell>
          <cell r="AC42">
            <v>45.11</v>
          </cell>
          <cell r="AD42">
            <v>36.01</v>
          </cell>
          <cell r="AE42">
            <v>52.75</v>
          </cell>
          <cell r="AF42">
            <v>47.5</v>
          </cell>
        </row>
        <row r="43">
          <cell r="B43">
            <v>1173.82</v>
          </cell>
          <cell r="C43">
            <v>32.950000000000003</v>
          </cell>
          <cell r="D43">
            <v>62.56</v>
          </cell>
          <cell r="E43">
            <v>47.97</v>
          </cell>
          <cell r="F43">
            <v>52.3</v>
          </cell>
          <cell r="G43">
            <v>42.63</v>
          </cell>
          <cell r="H43">
            <v>44.63</v>
          </cell>
          <cell r="I43">
            <v>43.13</v>
          </cell>
          <cell r="J43">
            <v>26.36</v>
          </cell>
          <cell r="K43">
            <v>33.74</v>
          </cell>
          <cell r="L43">
            <v>35.5</v>
          </cell>
          <cell r="M43">
            <v>41.03</v>
          </cell>
          <cell r="N43">
            <v>34.19</v>
          </cell>
          <cell r="O43">
            <v>19.57</v>
          </cell>
          <cell r="P43">
            <v>92.79</v>
          </cell>
          <cell r="Q43">
            <v>21.87</v>
          </cell>
          <cell r="R43">
            <v>58.45</v>
          </cell>
          <cell r="S43">
            <v>35.35</v>
          </cell>
          <cell r="T43">
            <v>37.76</v>
          </cell>
          <cell r="U43">
            <v>30.12</v>
          </cell>
          <cell r="V43">
            <v>76.98</v>
          </cell>
          <cell r="W43">
            <v>53.2</v>
          </cell>
          <cell r="X43">
            <v>25.71</v>
          </cell>
          <cell r="Y43">
            <v>26.29</v>
          </cell>
          <cell r="Z43">
            <v>26.44</v>
          </cell>
          <cell r="AA43">
            <v>51.89</v>
          </cell>
          <cell r="AB43">
            <v>22.98</v>
          </cell>
          <cell r="AC43">
            <v>47.6</v>
          </cell>
          <cell r="AD43">
            <v>37.97</v>
          </cell>
          <cell r="AE43">
            <v>50.93</v>
          </cell>
          <cell r="AF43">
            <v>49.72</v>
          </cell>
        </row>
        <row r="44">
          <cell r="B44">
            <v>1211.92</v>
          </cell>
          <cell r="C44">
            <v>30.46</v>
          </cell>
          <cell r="D44">
            <v>64.930000000000007</v>
          </cell>
          <cell r="E44">
            <v>48.54</v>
          </cell>
          <cell r="F44">
            <v>50.54</v>
          </cell>
          <cell r="G44">
            <v>45.89</v>
          </cell>
          <cell r="H44">
            <v>47.53</v>
          </cell>
          <cell r="I44">
            <v>46.68</v>
          </cell>
          <cell r="J44">
            <v>27.51</v>
          </cell>
          <cell r="K44">
            <v>35.03</v>
          </cell>
          <cell r="L44">
            <v>36.85</v>
          </cell>
          <cell r="M44">
            <v>42</v>
          </cell>
          <cell r="N44">
            <v>34.270000000000003</v>
          </cell>
          <cell r="O44">
            <v>20.59</v>
          </cell>
          <cell r="P44">
            <v>97.07</v>
          </cell>
          <cell r="Q44">
            <v>22.86</v>
          </cell>
          <cell r="R44">
            <v>61.46</v>
          </cell>
          <cell r="S44">
            <v>36.619999999999997</v>
          </cell>
          <cell r="T44">
            <v>40</v>
          </cell>
          <cell r="U44">
            <v>31.42</v>
          </cell>
          <cell r="V44">
            <v>79.38</v>
          </cell>
          <cell r="W44">
            <v>57.22</v>
          </cell>
          <cell r="X44">
            <v>29.89</v>
          </cell>
          <cell r="Y44">
            <v>26.21</v>
          </cell>
          <cell r="Z44">
            <v>25.6</v>
          </cell>
          <cell r="AA44">
            <v>53.44</v>
          </cell>
          <cell r="AB44">
            <v>23.53</v>
          </cell>
          <cell r="AC44">
            <v>50.41</v>
          </cell>
          <cell r="AD44">
            <v>37.31</v>
          </cell>
          <cell r="AE44">
            <v>51.8</v>
          </cell>
          <cell r="AF44">
            <v>49.73</v>
          </cell>
        </row>
        <row r="45">
          <cell r="B45">
            <v>1181.27</v>
          </cell>
          <cell r="C45">
            <v>28.62</v>
          </cell>
          <cell r="D45">
            <v>65.540000000000006</v>
          </cell>
          <cell r="E45">
            <v>46.04</v>
          </cell>
          <cell r="F45">
            <v>49.4</v>
          </cell>
          <cell r="G45">
            <v>46.72</v>
          </cell>
          <cell r="H45">
            <v>43.62</v>
          </cell>
          <cell r="I45">
            <v>45.26</v>
          </cell>
          <cell r="J45">
            <v>28.33</v>
          </cell>
          <cell r="K45">
            <v>34.68</v>
          </cell>
          <cell r="L45">
            <v>33.86</v>
          </cell>
          <cell r="M45">
            <v>40.54</v>
          </cell>
          <cell r="N45">
            <v>34.82</v>
          </cell>
          <cell r="O45">
            <v>19.239999999999998</v>
          </cell>
          <cell r="P45">
            <v>91.99</v>
          </cell>
          <cell r="Q45">
            <v>21.94</v>
          </cell>
          <cell r="R45">
            <v>62.7</v>
          </cell>
          <cell r="S45">
            <v>35.35</v>
          </cell>
          <cell r="T45">
            <v>39.85</v>
          </cell>
          <cell r="U45">
            <v>31.74</v>
          </cell>
          <cell r="V45">
            <v>81.599999999999994</v>
          </cell>
          <cell r="W45">
            <v>59.78</v>
          </cell>
          <cell r="X45">
            <v>26.09</v>
          </cell>
          <cell r="Y45">
            <v>25.77</v>
          </cell>
          <cell r="Z45">
            <v>23</v>
          </cell>
          <cell r="AA45">
            <v>51.88</v>
          </cell>
          <cell r="AB45">
            <v>21.97</v>
          </cell>
          <cell r="AC45">
            <v>49.11</v>
          </cell>
          <cell r="AD45">
            <v>33.1</v>
          </cell>
          <cell r="AE45">
            <v>51.39</v>
          </cell>
          <cell r="AF45">
            <v>50.06</v>
          </cell>
        </row>
        <row r="46">
          <cell r="B46">
            <v>1203.5999999999999</v>
          </cell>
          <cell r="C46">
            <v>31.31</v>
          </cell>
          <cell r="D46">
            <v>66.040000000000006</v>
          </cell>
          <cell r="E46">
            <v>46.73</v>
          </cell>
          <cell r="F46">
            <v>53.92</v>
          </cell>
          <cell r="G46">
            <v>45.86</v>
          </cell>
          <cell r="H46">
            <v>46.54</v>
          </cell>
          <cell r="I46">
            <v>51.08</v>
          </cell>
          <cell r="J46">
            <v>27.65</v>
          </cell>
          <cell r="K46">
            <v>34</v>
          </cell>
          <cell r="L46">
            <v>33.229999999999997</v>
          </cell>
          <cell r="M46">
            <v>39.33</v>
          </cell>
          <cell r="N46">
            <v>36.94</v>
          </cell>
          <cell r="O46">
            <v>20.43</v>
          </cell>
          <cell r="P46">
            <v>91.33</v>
          </cell>
          <cell r="Q46">
            <v>23.53</v>
          </cell>
          <cell r="R46">
            <v>63.85</v>
          </cell>
          <cell r="S46">
            <v>34.61</v>
          </cell>
          <cell r="T46">
            <v>41.11</v>
          </cell>
          <cell r="U46">
            <v>32.42</v>
          </cell>
          <cell r="V46">
            <v>81.599999999999994</v>
          </cell>
          <cell r="W46">
            <v>61.48</v>
          </cell>
          <cell r="X46">
            <v>29.49</v>
          </cell>
          <cell r="Y46">
            <v>24.75</v>
          </cell>
          <cell r="Z46">
            <v>25.22</v>
          </cell>
          <cell r="AA46">
            <v>51.74</v>
          </cell>
          <cell r="AB46">
            <v>22.25</v>
          </cell>
          <cell r="AC46">
            <v>48.93</v>
          </cell>
          <cell r="AD46">
            <v>33.450000000000003</v>
          </cell>
          <cell r="AE46">
            <v>50.61</v>
          </cell>
          <cell r="AF46">
            <v>61.72</v>
          </cell>
        </row>
        <row r="47">
          <cell r="B47">
            <v>1180.5899999999999</v>
          </cell>
          <cell r="C47">
            <v>29.62</v>
          </cell>
          <cell r="D47">
            <v>54.88</v>
          </cell>
          <cell r="E47">
            <v>44.43</v>
          </cell>
          <cell r="F47">
            <v>57.34</v>
          </cell>
          <cell r="G47">
            <v>43.19</v>
          </cell>
          <cell r="H47">
            <v>44.77</v>
          </cell>
          <cell r="I47">
            <v>49.1</v>
          </cell>
          <cell r="J47">
            <v>28.43</v>
          </cell>
          <cell r="K47">
            <v>34.83</v>
          </cell>
          <cell r="L47">
            <v>27.4</v>
          </cell>
          <cell r="M47">
            <v>37.67</v>
          </cell>
          <cell r="N47">
            <v>36.200000000000003</v>
          </cell>
          <cell r="O47">
            <v>21.63</v>
          </cell>
          <cell r="P47">
            <v>90.15</v>
          </cell>
          <cell r="Q47">
            <v>22.78</v>
          </cell>
          <cell r="R47">
            <v>65.36</v>
          </cell>
          <cell r="S47">
            <v>32.770000000000003</v>
          </cell>
          <cell r="T47">
            <v>40.29</v>
          </cell>
          <cell r="U47">
            <v>30.51</v>
          </cell>
          <cell r="V47">
            <v>83.3</v>
          </cell>
          <cell r="W47">
            <v>61.93</v>
          </cell>
          <cell r="X47">
            <v>30.47</v>
          </cell>
          <cell r="Y47">
            <v>23.78</v>
          </cell>
          <cell r="Z47">
            <v>25.2</v>
          </cell>
          <cell r="AA47">
            <v>51.66</v>
          </cell>
          <cell r="AB47">
            <v>21.91</v>
          </cell>
          <cell r="AC47">
            <v>49.8</v>
          </cell>
          <cell r="AD47">
            <v>33.01</v>
          </cell>
          <cell r="AE47">
            <v>49.29</v>
          </cell>
          <cell r="AF47">
            <v>58.11</v>
          </cell>
        </row>
        <row r="48">
          <cell r="B48">
            <v>1156.8499999999999</v>
          </cell>
          <cell r="C48">
            <v>28.29</v>
          </cell>
          <cell r="D48">
            <v>50.37</v>
          </cell>
          <cell r="E48">
            <v>45.58</v>
          </cell>
          <cell r="F48">
            <v>58.38</v>
          </cell>
          <cell r="G48">
            <v>45.56</v>
          </cell>
          <cell r="H48">
            <v>43.31</v>
          </cell>
          <cell r="I48">
            <v>45.14</v>
          </cell>
          <cell r="J48">
            <v>26.12</v>
          </cell>
          <cell r="K48">
            <v>34.96</v>
          </cell>
          <cell r="L48">
            <v>24.87</v>
          </cell>
          <cell r="M48">
            <v>34.840000000000003</v>
          </cell>
          <cell r="N48">
            <v>34.79</v>
          </cell>
          <cell r="O48">
            <v>20.18</v>
          </cell>
          <cell r="P48">
            <v>75.349999999999994</v>
          </cell>
          <cell r="Q48">
            <v>23.06</v>
          </cell>
          <cell r="R48">
            <v>66.8</v>
          </cell>
          <cell r="S48">
            <v>33.950000000000003</v>
          </cell>
          <cell r="T48">
            <v>42</v>
          </cell>
          <cell r="U48">
            <v>28.72</v>
          </cell>
          <cell r="V48">
            <v>74.34</v>
          </cell>
          <cell r="W48">
            <v>61.55</v>
          </cell>
          <cell r="X48">
            <v>31.91</v>
          </cell>
          <cell r="Y48">
            <v>24.89</v>
          </cell>
          <cell r="Z48">
            <v>26.06</v>
          </cell>
          <cell r="AA48">
            <v>53.05</v>
          </cell>
          <cell r="AB48">
            <v>22.3</v>
          </cell>
          <cell r="AC48">
            <v>49.83</v>
          </cell>
          <cell r="AD48">
            <v>33.67</v>
          </cell>
          <cell r="AE48">
            <v>46.36</v>
          </cell>
          <cell r="AF48">
            <v>55.6</v>
          </cell>
        </row>
        <row r="49">
          <cell r="B49">
            <v>1191.5</v>
          </cell>
          <cell r="C49">
            <v>26.55</v>
          </cell>
          <cell r="D49">
            <v>55.02</v>
          </cell>
          <cell r="E49">
            <v>46.58</v>
          </cell>
          <cell r="F49">
            <v>62.94</v>
          </cell>
          <cell r="G49">
            <v>45.7</v>
          </cell>
          <cell r="H49">
            <v>46.29</v>
          </cell>
          <cell r="I49">
            <v>44.92</v>
          </cell>
          <cell r="J49">
            <v>27.15</v>
          </cell>
          <cell r="K49">
            <v>35.229999999999997</v>
          </cell>
          <cell r="L49">
            <v>29.88</v>
          </cell>
          <cell r="M49">
            <v>38.76</v>
          </cell>
          <cell r="N49">
            <v>35.450000000000003</v>
          </cell>
          <cell r="O49">
            <v>22.2</v>
          </cell>
          <cell r="P49">
            <v>74.73</v>
          </cell>
          <cell r="Q49">
            <v>26.53</v>
          </cell>
          <cell r="R49">
            <v>65.63</v>
          </cell>
          <cell r="S49">
            <v>34.200000000000003</v>
          </cell>
          <cell r="T49">
            <v>43.15</v>
          </cell>
          <cell r="U49">
            <v>30.32</v>
          </cell>
          <cell r="V49">
            <v>74.92</v>
          </cell>
          <cell r="W49">
            <v>63.59</v>
          </cell>
          <cell r="X49">
            <v>30.53</v>
          </cell>
          <cell r="Y49">
            <v>25.46</v>
          </cell>
          <cell r="Z49">
            <v>26.95</v>
          </cell>
          <cell r="AA49">
            <v>54.03</v>
          </cell>
          <cell r="AB49">
            <v>21.91</v>
          </cell>
          <cell r="AC49">
            <v>52.49</v>
          </cell>
          <cell r="AD49">
            <v>33.28</v>
          </cell>
          <cell r="AE49">
            <v>46.6</v>
          </cell>
          <cell r="AF49">
            <v>55.07</v>
          </cell>
        </row>
        <row r="50">
          <cell r="B50">
            <v>1191.33</v>
          </cell>
          <cell r="C50">
            <v>25.6</v>
          </cell>
          <cell r="D50">
            <v>57.68</v>
          </cell>
          <cell r="E50">
            <v>46.14</v>
          </cell>
          <cell r="F50">
            <v>65.010000000000005</v>
          </cell>
          <cell r="G50">
            <v>44.85</v>
          </cell>
          <cell r="H50">
            <v>46.88</v>
          </cell>
          <cell r="I50">
            <v>41.54</v>
          </cell>
          <cell r="J50">
            <v>24.92</v>
          </cell>
          <cell r="K50">
            <v>33.67</v>
          </cell>
          <cell r="L50">
            <v>32.22</v>
          </cell>
          <cell r="M50">
            <v>38.42</v>
          </cell>
          <cell r="N50">
            <v>35.840000000000003</v>
          </cell>
          <cell r="O50">
            <v>23.26</v>
          </cell>
          <cell r="P50">
            <v>73.39</v>
          </cell>
          <cell r="Q50">
            <v>25.6</v>
          </cell>
          <cell r="R50">
            <v>63.57</v>
          </cell>
          <cell r="S50">
            <v>33.78</v>
          </cell>
          <cell r="T50">
            <v>40.619999999999997</v>
          </cell>
          <cell r="U50">
            <v>27.19</v>
          </cell>
          <cell r="V50">
            <v>70.67</v>
          </cell>
          <cell r="W50">
            <v>61.89</v>
          </cell>
          <cell r="X50">
            <v>29.33</v>
          </cell>
          <cell r="Y50">
            <v>24.52</v>
          </cell>
          <cell r="Z50">
            <v>26.64</v>
          </cell>
          <cell r="AA50">
            <v>51.68</v>
          </cell>
          <cell r="AB50">
            <v>22.26</v>
          </cell>
          <cell r="AC50">
            <v>50.52</v>
          </cell>
          <cell r="AD50">
            <v>32.5</v>
          </cell>
          <cell r="AE50">
            <v>47.56</v>
          </cell>
          <cell r="AF50">
            <v>56.32</v>
          </cell>
        </row>
        <row r="51">
          <cell r="B51">
            <v>1234.18</v>
          </cell>
          <cell r="C51">
            <v>27.48</v>
          </cell>
          <cell r="D51">
            <v>59.76</v>
          </cell>
          <cell r="E51">
            <v>47.68</v>
          </cell>
          <cell r="F51">
            <v>65.02</v>
          </cell>
          <cell r="G51">
            <v>42.62</v>
          </cell>
          <cell r="H51">
            <v>53.28</v>
          </cell>
          <cell r="I51">
            <v>41.22</v>
          </cell>
          <cell r="J51">
            <v>25.37</v>
          </cell>
          <cell r="K51">
            <v>33.53</v>
          </cell>
          <cell r="L51">
            <v>34.89</v>
          </cell>
          <cell r="M51">
            <v>42.97</v>
          </cell>
          <cell r="N51">
            <v>38.43</v>
          </cell>
          <cell r="O51">
            <v>24.36</v>
          </cell>
          <cell r="P51">
            <v>82.55</v>
          </cell>
          <cell r="Q51">
            <v>26.7</v>
          </cell>
          <cell r="R51">
            <v>62.56</v>
          </cell>
          <cell r="S51">
            <v>33.94</v>
          </cell>
          <cell r="T51">
            <v>42.58</v>
          </cell>
          <cell r="U51">
            <v>30.54</v>
          </cell>
          <cell r="V51">
            <v>73.31</v>
          </cell>
          <cell r="W51">
            <v>64.09</v>
          </cell>
          <cell r="X51">
            <v>29.58</v>
          </cell>
          <cell r="Y51">
            <v>25.28</v>
          </cell>
          <cell r="Z51">
            <v>25.6</v>
          </cell>
          <cell r="AA51">
            <v>54.78</v>
          </cell>
          <cell r="AB51">
            <v>23.23</v>
          </cell>
          <cell r="AC51">
            <v>49.88</v>
          </cell>
          <cell r="AD51">
            <v>32.57</v>
          </cell>
          <cell r="AE51">
            <v>48.69</v>
          </cell>
          <cell r="AF51">
            <v>57.57</v>
          </cell>
        </row>
        <row r="52">
          <cell r="B52">
            <v>1220.33</v>
          </cell>
          <cell r="C52">
            <v>26.38</v>
          </cell>
          <cell r="D52">
            <v>58.92</v>
          </cell>
          <cell r="E52">
            <v>47.89</v>
          </cell>
          <cell r="F52">
            <v>66.260000000000005</v>
          </cell>
          <cell r="G52">
            <v>42.89</v>
          </cell>
          <cell r="H52">
            <v>54.85</v>
          </cell>
          <cell r="I52">
            <v>38.549999999999997</v>
          </cell>
          <cell r="J52">
            <v>24.93</v>
          </cell>
          <cell r="K52">
            <v>32.659999999999997</v>
          </cell>
          <cell r="L52">
            <v>32.86</v>
          </cell>
          <cell r="M52">
            <v>39.92</v>
          </cell>
          <cell r="N52">
            <v>37.659999999999997</v>
          </cell>
          <cell r="O52">
            <v>27.47</v>
          </cell>
          <cell r="P52">
            <v>79.94</v>
          </cell>
          <cell r="Q52">
            <v>25.38</v>
          </cell>
          <cell r="R52">
            <v>62.32</v>
          </cell>
          <cell r="S52">
            <v>32.729999999999997</v>
          </cell>
          <cell r="T52">
            <v>42.81</v>
          </cell>
          <cell r="U52">
            <v>31.8</v>
          </cell>
          <cell r="V52">
            <v>69.959999999999994</v>
          </cell>
          <cell r="W52">
            <v>67.67</v>
          </cell>
          <cell r="X52">
            <v>27.25</v>
          </cell>
          <cell r="Y52">
            <v>27.1</v>
          </cell>
          <cell r="Z52">
            <v>24.79</v>
          </cell>
          <cell r="AA52">
            <v>54.63</v>
          </cell>
          <cell r="AB52">
            <v>22.87</v>
          </cell>
          <cell r="AC52">
            <v>49.4</v>
          </cell>
          <cell r="AD52">
            <v>31.13</v>
          </cell>
          <cell r="AE52">
            <v>44.5</v>
          </cell>
          <cell r="AF52">
            <v>58.98</v>
          </cell>
        </row>
        <row r="53">
          <cell r="B53">
            <v>1228.81</v>
          </cell>
          <cell r="C53">
            <v>24.05</v>
          </cell>
          <cell r="D53">
            <v>61.67</v>
          </cell>
          <cell r="E53">
            <v>49.79</v>
          </cell>
          <cell r="F53">
            <v>67.180000000000007</v>
          </cell>
          <cell r="G53">
            <v>44.6</v>
          </cell>
          <cell r="H53">
            <v>58.07</v>
          </cell>
          <cell r="I53">
            <v>38.159999999999997</v>
          </cell>
          <cell r="J53">
            <v>23.88</v>
          </cell>
          <cell r="K53">
            <v>32.94</v>
          </cell>
          <cell r="L53">
            <v>29.42</v>
          </cell>
          <cell r="M53">
            <v>37.76</v>
          </cell>
          <cell r="N53">
            <v>36.89</v>
          </cell>
          <cell r="O53">
            <v>28.97</v>
          </cell>
          <cell r="P53">
            <v>79.540000000000006</v>
          </cell>
          <cell r="Q53">
            <v>24.32</v>
          </cell>
          <cell r="R53">
            <v>62.21</v>
          </cell>
          <cell r="S53">
            <v>32.770000000000003</v>
          </cell>
          <cell r="T53">
            <v>42.29</v>
          </cell>
          <cell r="U53">
            <v>32.82</v>
          </cell>
          <cell r="V53">
            <v>72.13</v>
          </cell>
          <cell r="W53">
            <v>71.34</v>
          </cell>
          <cell r="X53">
            <v>26.27</v>
          </cell>
          <cell r="Y53">
            <v>25.47</v>
          </cell>
          <cell r="Z53">
            <v>24.29</v>
          </cell>
          <cell r="AA53">
            <v>58.55</v>
          </cell>
          <cell r="AB53">
            <v>22.77</v>
          </cell>
          <cell r="AC53">
            <v>51.22</v>
          </cell>
          <cell r="AD53">
            <v>31.11</v>
          </cell>
          <cell r="AE53">
            <v>43.37</v>
          </cell>
          <cell r="AF53">
            <v>62.57</v>
          </cell>
        </row>
        <row r="54">
          <cell r="B54">
            <v>1207.01</v>
          </cell>
          <cell r="C54">
            <v>23.92</v>
          </cell>
          <cell r="D54">
            <v>64.489999999999995</v>
          </cell>
          <cell r="E54">
            <v>49.41</v>
          </cell>
          <cell r="F54">
            <v>63.91</v>
          </cell>
          <cell r="G54">
            <v>44.86</v>
          </cell>
          <cell r="H54">
            <v>52.22</v>
          </cell>
          <cell r="I54">
            <v>40.619999999999997</v>
          </cell>
          <cell r="J54">
            <v>24.11</v>
          </cell>
          <cell r="K54">
            <v>33.17</v>
          </cell>
          <cell r="L54">
            <v>26.33</v>
          </cell>
          <cell r="M54">
            <v>40.630000000000003</v>
          </cell>
          <cell r="N54">
            <v>33.65</v>
          </cell>
          <cell r="O54">
            <v>27.82</v>
          </cell>
          <cell r="P54">
            <v>81.19</v>
          </cell>
          <cell r="Q54">
            <v>23.19</v>
          </cell>
          <cell r="R54">
            <v>61.56</v>
          </cell>
          <cell r="S54">
            <v>35.72</v>
          </cell>
          <cell r="T54">
            <v>41.89</v>
          </cell>
          <cell r="U54">
            <v>30.96</v>
          </cell>
          <cell r="V54">
            <v>74.7</v>
          </cell>
          <cell r="W54">
            <v>72.64</v>
          </cell>
          <cell r="X54">
            <v>27.24</v>
          </cell>
          <cell r="Y54">
            <v>25.44</v>
          </cell>
          <cell r="Z54">
            <v>21.15</v>
          </cell>
          <cell r="AA54">
            <v>55.42</v>
          </cell>
          <cell r="AB54">
            <v>22.97</v>
          </cell>
          <cell r="AC54">
            <v>50.67</v>
          </cell>
          <cell r="AD54">
            <v>30.37</v>
          </cell>
          <cell r="AE54">
            <v>46.83</v>
          </cell>
          <cell r="AF54">
            <v>55.28</v>
          </cell>
        </row>
        <row r="55">
          <cell r="B55">
            <v>1249.48</v>
          </cell>
          <cell r="C55">
            <v>27.16</v>
          </cell>
          <cell r="D55">
            <v>66.819999999999993</v>
          </cell>
          <cell r="E55">
            <v>51.04</v>
          </cell>
          <cell r="F55">
            <v>67.67</v>
          </cell>
          <cell r="G55">
            <v>48.04</v>
          </cell>
          <cell r="H55">
            <v>57.37</v>
          </cell>
          <cell r="I55">
            <v>42.02</v>
          </cell>
          <cell r="J55">
            <v>24.67</v>
          </cell>
          <cell r="K55">
            <v>34.94</v>
          </cell>
          <cell r="L55">
            <v>21.44</v>
          </cell>
          <cell r="M55">
            <v>41.46</v>
          </cell>
          <cell r="N55">
            <v>36.15</v>
          </cell>
          <cell r="O55">
            <v>29.44</v>
          </cell>
          <cell r="P55">
            <v>88.36</v>
          </cell>
          <cell r="Q55">
            <v>26.42</v>
          </cell>
          <cell r="R55">
            <v>61.02</v>
          </cell>
          <cell r="S55">
            <v>37.31</v>
          </cell>
          <cell r="T55">
            <v>42.08</v>
          </cell>
          <cell r="U55">
            <v>33.85</v>
          </cell>
          <cell r="V55">
            <v>77.569999999999993</v>
          </cell>
          <cell r="W55">
            <v>70.45</v>
          </cell>
          <cell r="X55">
            <v>28.75</v>
          </cell>
          <cell r="Y55">
            <v>27.48</v>
          </cell>
          <cell r="Z55">
            <v>20.8</v>
          </cell>
          <cell r="AA55">
            <v>56.6</v>
          </cell>
          <cell r="AB55">
            <v>23.99</v>
          </cell>
          <cell r="AC55">
            <v>53.42</v>
          </cell>
          <cell r="AD55">
            <v>30.82</v>
          </cell>
          <cell r="AE55">
            <v>48.07</v>
          </cell>
          <cell r="AF55">
            <v>57.43</v>
          </cell>
        </row>
        <row r="56">
          <cell r="B56">
            <v>1248.29</v>
          </cell>
          <cell r="C56">
            <v>29.3</v>
          </cell>
          <cell r="D56">
            <v>67.91</v>
          </cell>
          <cell r="E56">
            <v>51.08</v>
          </cell>
          <cell r="F56">
            <v>69.709999999999994</v>
          </cell>
          <cell r="G56">
            <v>48.02</v>
          </cell>
          <cell r="H56">
            <v>57.36</v>
          </cell>
          <cell r="I56">
            <v>41.77</v>
          </cell>
          <cell r="J56">
            <v>23.97</v>
          </cell>
          <cell r="K56">
            <v>34.53</v>
          </cell>
          <cell r="L56">
            <v>19.010000000000002</v>
          </cell>
          <cell r="M56">
            <v>40.17</v>
          </cell>
          <cell r="N56">
            <v>36.85</v>
          </cell>
          <cell r="O56">
            <v>28.48</v>
          </cell>
          <cell r="P56">
            <v>81.7</v>
          </cell>
          <cell r="Q56">
            <v>24.72</v>
          </cell>
          <cell r="R56">
            <v>59.39</v>
          </cell>
          <cell r="S56">
            <v>38.72</v>
          </cell>
          <cell r="T56">
            <v>39.729999999999997</v>
          </cell>
          <cell r="U56">
            <v>33.72</v>
          </cell>
          <cell r="V56">
            <v>76.599999999999994</v>
          </cell>
          <cell r="W56">
            <v>73.08</v>
          </cell>
          <cell r="X56">
            <v>31.1</v>
          </cell>
          <cell r="Y56">
            <v>25.96</v>
          </cell>
          <cell r="Z56">
            <v>22.88</v>
          </cell>
          <cell r="AA56">
            <v>57.29</v>
          </cell>
          <cell r="AB56">
            <v>23.58</v>
          </cell>
          <cell r="AC56">
            <v>55.47</v>
          </cell>
          <cell r="AD56">
            <v>29.03</v>
          </cell>
          <cell r="AE56">
            <v>46.46</v>
          </cell>
          <cell r="AF56">
            <v>55.59</v>
          </cell>
        </row>
        <row r="57">
          <cell r="B57">
            <v>1280.08</v>
          </cell>
          <cell r="C57">
            <v>31.21</v>
          </cell>
          <cell r="D57">
            <v>65.150000000000006</v>
          </cell>
          <cell r="E57">
            <v>52.19</v>
          </cell>
          <cell r="F57">
            <v>67.790000000000006</v>
          </cell>
          <cell r="G57">
            <v>46.09</v>
          </cell>
          <cell r="H57">
            <v>67.69</v>
          </cell>
          <cell r="I57">
            <v>38.479999999999997</v>
          </cell>
          <cell r="J57">
            <v>25.31</v>
          </cell>
          <cell r="K57">
            <v>32.270000000000003</v>
          </cell>
          <cell r="L57">
            <v>23.56</v>
          </cell>
          <cell r="M57">
            <v>40.24</v>
          </cell>
          <cell r="N57">
            <v>38.01</v>
          </cell>
          <cell r="O57">
            <v>31.02</v>
          </cell>
          <cell r="P57">
            <v>80.8</v>
          </cell>
          <cell r="Q57">
            <v>21.05</v>
          </cell>
          <cell r="R57">
            <v>56.86</v>
          </cell>
          <cell r="S57">
            <v>39.11</v>
          </cell>
          <cell r="T57">
            <v>40.79</v>
          </cell>
          <cell r="U57">
            <v>35.01</v>
          </cell>
          <cell r="V57">
            <v>71.91</v>
          </cell>
          <cell r="W57">
            <v>70.75</v>
          </cell>
          <cell r="X57">
            <v>33.729999999999997</v>
          </cell>
          <cell r="Y57">
            <v>27.95</v>
          </cell>
          <cell r="Z57">
            <v>25.2</v>
          </cell>
          <cell r="AA57">
            <v>58.9</v>
          </cell>
          <cell r="AB57">
            <v>25.33</v>
          </cell>
          <cell r="AC57">
            <v>57.91</v>
          </cell>
          <cell r="AD57">
            <v>30.91</v>
          </cell>
          <cell r="AE57">
            <v>45.78</v>
          </cell>
          <cell r="AF57">
            <v>62.11</v>
          </cell>
        </row>
        <row r="58">
          <cell r="B58">
            <v>1280.6600000000001</v>
          </cell>
          <cell r="C58">
            <v>29.19</v>
          </cell>
          <cell r="D58">
            <v>66.05</v>
          </cell>
          <cell r="E58">
            <v>53.61</v>
          </cell>
          <cell r="F58">
            <v>72.44</v>
          </cell>
          <cell r="G58">
            <v>46.37</v>
          </cell>
          <cell r="H58">
            <v>72.849999999999994</v>
          </cell>
          <cell r="I58">
            <v>39.909999999999997</v>
          </cell>
          <cell r="J58">
            <v>27.99</v>
          </cell>
          <cell r="K58">
            <v>32.630000000000003</v>
          </cell>
          <cell r="L58">
            <v>20.11</v>
          </cell>
          <cell r="M58">
            <v>41.83</v>
          </cell>
          <cell r="N58">
            <v>40.74</v>
          </cell>
          <cell r="O58">
            <v>32.64</v>
          </cell>
          <cell r="P58">
            <v>79.95</v>
          </cell>
          <cell r="Q58">
            <v>20.49</v>
          </cell>
          <cell r="R58">
            <v>57.29</v>
          </cell>
          <cell r="S58">
            <v>40.479999999999997</v>
          </cell>
          <cell r="T58">
            <v>41.37</v>
          </cell>
          <cell r="U58">
            <v>34.909999999999997</v>
          </cell>
          <cell r="V58">
            <v>73.2</v>
          </cell>
          <cell r="W58">
            <v>70.319999999999993</v>
          </cell>
          <cell r="X58">
            <v>34.090000000000003</v>
          </cell>
          <cell r="Y58">
            <v>26.77</v>
          </cell>
          <cell r="Z58">
            <v>25.94</v>
          </cell>
          <cell r="AA58">
            <v>59.6</v>
          </cell>
          <cell r="AB58">
            <v>26.93</v>
          </cell>
          <cell r="AC58">
            <v>58.26</v>
          </cell>
          <cell r="AD58">
            <v>32.9</v>
          </cell>
          <cell r="AE58">
            <v>45.03</v>
          </cell>
          <cell r="AF58">
            <v>59.07</v>
          </cell>
        </row>
        <row r="59">
          <cell r="B59">
            <v>1294.8699999999999</v>
          </cell>
          <cell r="C59">
            <v>30.43</v>
          </cell>
          <cell r="D59">
            <v>65.930000000000007</v>
          </cell>
          <cell r="E59">
            <v>52.28</v>
          </cell>
          <cell r="F59">
            <v>77.66</v>
          </cell>
          <cell r="G59">
            <v>47.23</v>
          </cell>
          <cell r="H59">
            <v>71.58</v>
          </cell>
          <cell r="I59">
            <v>41.87</v>
          </cell>
          <cell r="J59">
            <v>27.89</v>
          </cell>
          <cell r="K59">
            <v>34.520000000000003</v>
          </cell>
          <cell r="L59">
            <v>21.06</v>
          </cell>
          <cell r="M59">
            <v>42.13</v>
          </cell>
          <cell r="N59">
            <v>42.55</v>
          </cell>
          <cell r="O59">
            <v>32.81</v>
          </cell>
          <cell r="P59">
            <v>82.17</v>
          </cell>
          <cell r="Q59">
            <v>19.36</v>
          </cell>
          <cell r="R59">
            <v>58.85</v>
          </cell>
          <cell r="S59">
            <v>40.97</v>
          </cell>
          <cell r="T59">
            <v>41.57</v>
          </cell>
          <cell r="U59">
            <v>34.36</v>
          </cell>
          <cell r="V59">
            <v>75.290000000000006</v>
          </cell>
          <cell r="W59">
            <v>70.06</v>
          </cell>
          <cell r="X59">
            <v>34.83</v>
          </cell>
          <cell r="Y59">
            <v>27.1</v>
          </cell>
          <cell r="Z59">
            <v>24.69</v>
          </cell>
          <cell r="AA59">
            <v>57.31</v>
          </cell>
          <cell r="AB59">
            <v>26.39</v>
          </cell>
          <cell r="AC59">
            <v>57.73</v>
          </cell>
          <cell r="AD59">
            <v>33.25</v>
          </cell>
          <cell r="AE59">
            <v>47.07</v>
          </cell>
          <cell r="AF59">
            <v>60.56</v>
          </cell>
        </row>
        <row r="60">
          <cell r="B60">
            <v>1310.6099999999999</v>
          </cell>
          <cell r="C60">
            <v>33.630000000000003</v>
          </cell>
          <cell r="D60">
            <v>65.09</v>
          </cell>
          <cell r="E60">
            <v>53.66</v>
          </cell>
          <cell r="F60">
            <v>83.17</v>
          </cell>
          <cell r="G60">
            <v>49.95</v>
          </cell>
          <cell r="H60">
            <v>75.739999999999995</v>
          </cell>
          <cell r="I60">
            <v>43.74</v>
          </cell>
          <cell r="J60">
            <v>27.96</v>
          </cell>
          <cell r="K60">
            <v>34.33</v>
          </cell>
          <cell r="L60">
            <v>22.66</v>
          </cell>
          <cell r="M60">
            <v>39.770000000000003</v>
          </cell>
          <cell r="N60">
            <v>42.28</v>
          </cell>
          <cell r="O60">
            <v>32.380000000000003</v>
          </cell>
          <cell r="P60">
            <v>82.04</v>
          </cell>
          <cell r="Q60">
            <v>19.88</v>
          </cell>
          <cell r="R60">
            <v>58.25</v>
          </cell>
          <cell r="S60">
            <v>45.01</v>
          </cell>
          <cell r="T60">
            <v>41.66</v>
          </cell>
          <cell r="U60">
            <v>34.57</v>
          </cell>
          <cell r="V60">
            <v>84.98</v>
          </cell>
          <cell r="W60">
            <v>72.34</v>
          </cell>
          <cell r="X60">
            <v>34.03</v>
          </cell>
          <cell r="Y60">
            <v>24.06</v>
          </cell>
          <cell r="Z60">
            <v>25.09</v>
          </cell>
          <cell r="AA60">
            <v>58.21</v>
          </cell>
          <cell r="AB60">
            <v>25.9</v>
          </cell>
          <cell r="AC60">
            <v>62.55</v>
          </cell>
          <cell r="AD60">
            <v>32.630000000000003</v>
          </cell>
          <cell r="AE60">
            <v>44.87</v>
          </cell>
          <cell r="AF60">
            <v>62.76</v>
          </cell>
        </row>
        <row r="61">
          <cell r="B61">
            <v>1270.0899999999999</v>
          </cell>
          <cell r="C61">
            <v>31.72</v>
          </cell>
          <cell r="D61">
            <v>60.8</v>
          </cell>
          <cell r="E61">
            <v>54.21</v>
          </cell>
          <cell r="F61">
            <v>83.25</v>
          </cell>
          <cell r="G61">
            <v>49.3</v>
          </cell>
          <cell r="H61">
            <v>72.95</v>
          </cell>
          <cell r="I61">
            <v>42.53</v>
          </cell>
          <cell r="J61">
            <v>30.5</v>
          </cell>
          <cell r="K61">
            <v>34.01</v>
          </cell>
          <cell r="L61">
            <v>26.93</v>
          </cell>
          <cell r="M61">
            <v>37.97</v>
          </cell>
          <cell r="N61">
            <v>41.18</v>
          </cell>
          <cell r="O61">
            <v>32.29</v>
          </cell>
          <cell r="P61">
            <v>79.900000000000006</v>
          </cell>
          <cell r="Q61">
            <v>18.02</v>
          </cell>
          <cell r="R61">
            <v>60.22</v>
          </cell>
          <cell r="S61">
            <v>42.29</v>
          </cell>
          <cell r="T61">
            <v>43.71</v>
          </cell>
          <cell r="U61">
            <v>33.17</v>
          </cell>
          <cell r="V61">
            <v>83.66</v>
          </cell>
          <cell r="W61">
            <v>71.540000000000006</v>
          </cell>
          <cell r="X61">
            <v>33.29</v>
          </cell>
          <cell r="Y61">
            <v>22.65</v>
          </cell>
          <cell r="Z61">
            <v>23.66</v>
          </cell>
          <cell r="AA61">
            <v>54.25</v>
          </cell>
          <cell r="AB61">
            <v>25.75</v>
          </cell>
          <cell r="AC61">
            <v>62.52</v>
          </cell>
          <cell r="AD61">
            <v>30.83</v>
          </cell>
          <cell r="AE61">
            <v>48.45</v>
          </cell>
          <cell r="AF61">
            <v>60.91</v>
          </cell>
        </row>
        <row r="62">
          <cell r="B62">
            <v>1270.2</v>
          </cell>
          <cell r="C62">
            <v>32.36</v>
          </cell>
          <cell r="D62">
            <v>59.05</v>
          </cell>
          <cell r="E62">
            <v>53.07</v>
          </cell>
          <cell r="F62">
            <v>81.91</v>
          </cell>
          <cell r="G62">
            <v>48.25</v>
          </cell>
          <cell r="H62">
            <v>74.48</v>
          </cell>
          <cell r="I62">
            <v>41.6</v>
          </cell>
          <cell r="J62">
            <v>30</v>
          </cell>
          <cell r="K62">
            <v>32.96</v>
          </cell>
          <cell r="L62">
            <v>29.79</v>
          </cell>
          <cell r="M62">
            <v>35.79</v>
          </cell>
          <cell r="N62">
            <v>40.299999999999997</v>
          </cell>
          <cell r="O62">
            <v>31.68</v>
          </cell>
          <cell r="P62">
            <v>76.819999999999993</v>
          </cell>
          <cell r="Q62">
            <v>19</v>
          </cell>
          <cell r="R62">
            <v>59.92</v>
          </cell>
          <cell r="S62">
            <v>41.66</v>
          </cell>
          <cell r="T62">
            <v>43.02</v>
          </cell>
          <cell r="U62">
            <v>33.6</v>
          </cell>
          <cell r="V62">
            <v>80.77</v>
          </cell>
          <cell r="W62">
            <v>73.430000000000007</v>
          </cell>
          <cell r="X62">
            <v>36.43</v>
          </cell>
          <cell r="Y62">
            <v>23.3</v>
          </cell>
          <cell r="Z62">
            <v>23.47</v>
          </cell>
          <cell r="AA62">
            <v>55.6</v>
          </cell>
          <cell r="AB62">
            <v>27.56</v>
          </cell>
          <cell r="AC62">
            <v>63.42</v>
          </cell>
          <cell r="AD62">
            <v>33.08</v>
          </cell>
          <cell r="AE62">
            <v>48.17</v>
          </cell>
          <cell r="AF62">
            <v>61.35</v>
          </cell>
        </row>
        <row r="63">
          <cell r="B63">
            <v>1265.48</v>
          </cell>
          <cell r="C63">
            <v>33.549999999999997</v>
          </cell>
          <cell r="D63">
            <v>58.97</v>
          </cell>
          <cell r="E63">
            <v>51.98</v>
          </cell>
          <cell r="F63">
            <v>79.989999999999995</v>
          </cell>
          <cell r="G63">
            <v>49.08</v>
          </cell>
          <cell r="H63">
            <v>72.58</v>
          </cell>
          <cell r="I63">
            <v>40.54</v>
          </cell>
          <cell r="J63">
            <v>29.83</v>
          </cell>
          <cell r="K63">
            <v>33.299999999999997</v>
          </cell>
          <cell r="L63">
            <v>29.48</v>
          </cell>
          <cell r="M63">
            <v>35.369999999999997</v>
          </cell>
          <cell r="N63">
            <v>38.96</v>
          </cell>
          <cell r="O63">
            <v>32.85</v>
          </cell>
          <cell r="P63">
            <v>76.42</v>
          </cell>
          <cell r="Q63">
            <v>18.559999999999999</v>
          </cell>
          <cell r="R63">
            <v>60.62</v>
          </cell>
          <cell r="S63">
            <v>42.41</v>
          </cell>
          <cell r="T63">
            <v>43.18</v>
          </cell>
          <cell r="U63">
            <v>33.18</v>
          </cell>
          <cell r="V63">
            <v>74.099999999999994</v>
          </cell>
          <cell r="W63">
            <v>77.8</v>
          </cell>
          <cell r="X63">
            <v>36.97</v>
          </cell>
          <cell r="Y63">
            <v>23.3</v>
          </cell>
          <cell r="Z63">
            <v>23.68</v>
          </cell>
          <cell r="AA63">
            <v>56.5</v>
          </cell>
          <cell r="AB63">
            <v>27.74</v>
          </cell>
          <cell r="AC63">
            <v>63.1</v>
          </cell>
          <cell r="AD63">
            <v>32.71</v>
          </cell>
          <cell r="AE63">
            <v>46</v>
          </cell>
          <cell r="AF63">
            <v>62.84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AF141"/>
  <sheetViews>
    <sheetView tabSelected="1" topLeftCell="A81" workbookViewId="0">
      <selection activeCell="T114" sqref="T114"/>
    </sheetView>
  </sheetViews>
  <sheetFormatPr defaultRowHeight="13.8" x14ac:dyDescent="0.25"/>
  <cols>
    <col min="1" max="1" width="16.109375" style="1" customWidth="1"/>
    <col min="2" max="2" width="9.33203125" style="1" bestFit="1" customWidth="1"/>
    <col min="3" max="3" width="11.88671875" style="1" bestFit="1" customWidth="1"/>
    <col min="4" max="4" width="10.88671875" style="1" customWidth="1"/>
    <col min="5" max="10" width="9.6640625" style="1" bestFit="1" customWidth="1"/>
    <col min="11" max="11" width="13.109375" style="1" bestFit="1" customWidth="1"/>
    <col min="12" max="15" width="9.6640625" style="1" bestFit="1" customWidth="1"/>
    <col min="16" max="16" width="9.77734375" style="1" bestFit="1" customWidth="1"/>
    <col min="17" max="17" width="11" style="1" bestFit="1" customWidth="1"/>
    <col min="18" max="18" width="9.88671875" style="1" bestFit="1" customWidth="1"/>
    <col min="19" max="19" width="9.6640625" style="1" bestFit="1" customWidth="1"/>
    <col min="20" max="20" width="13.109375" style="1" bestFit="1" customWidth="1"/>
    <col min="21" max="21" width="10.88671875" style="1" customWidth="1"/>
    <col min="22" max="27" width="9.6640625" style="1" bestFit="1" customWidth="1"/>
    <col min="28" max="28" width="13.109375" style="1" bestFit="1" customWidth="1"/>
    <col min="29" max="29" width="11.88671875" style="1" customWidth="1"/>
    <col min="30" max="31" width="9.6640625" style="1" bestFit="1" customWidth="1"/>
    <col min="32" max="32" width="9.5546875" style="1" bestFit="1" customWidth="1"/>
  </cols>
  <sheetData>
    <row r="1" spans="1:32" x14ac:dyDescent="0.25">
      <c r="A1" s="21" t="s">
        <v>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</row>
    <row r="2" spans="1:32" ht="55.2" x14ac:dyDescent="0.25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  <c r="O2" s="2" t="s">
        <v>15</v>
      </c>
      <c r="P2" s="2" t="s">
        <v>16</v>
      </c>
      <c r="Q2" s="2" t="s">
        <v>17</v>
      </c>
      <c r="R2" s="2" t="s">
        <v>18</v>
      </c>
      <c r="S2" s="2" t="s">
        <v>19</v>
      </c>
      <c r="T2" s="2" t="s">
        <v>20</v>
      </c>
      <c r="U2" s="2" t="s">
        <v>21</v>
      </c>
      <c r="V2" s="2" t="s">
        <v>22</v>
      </c>
      <c r="W2" s="2" t="s">
        <v>23</v>
      </c>
      <c r="X2" s="2" t="s">
        <v>24</v>
      </c>
      <c r="Y2" s="2" t="s">
        <v>25</v>
      </c>
      <c r="Z2" s="2" t="s">
        <v>26</v>
      </c>
      <c r="AA2" s="2" t="s">
        <v>27</v>
      </c>
      <c r="AB2" s="2" t="s">
        <v>28</v>
      </c>
      <c r="AC2" s="2" t="s">
        <v>29</v>
      </c>
      <c r="AD2" s="2" t="s">
        <v>30</v>
      </c>
      <c r="AE2" s="3" t="s">
        <v>31</v>
      </c>
      <c r="AF2" s="2" t="s">
        <v>32</v>
      </c>
    </row>
    <row r="3" spans="1:32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5"/>
      <c r="AF3" s="4"/>
    </row>
    <row r="4" spans="1:32" x14ac:dyDescent="0.25">
      <c r="A4" s="1" t="s">
        <v>33</v>
      </c>
      <c r="B4" s="6">
        <f t="shared" ref="B4:AF4" si="0">AVERAGE(B9:B68)</f>
        <v>7.3025207715862923E-4</v>
      </c>
      <c r="C4" s="6">
        <f t="shared" si="0"/>
        <v>-8.8045232999497481E-4</v>
      </c>
      <c r="D4" s="6">
        <f t="shared" si="0"/>
        <v>-5.3560524791288885E-3</v>
      </c>
      <c r="E4" s="6">
        <f t="shared" si="0"/>
        <v>7.2078563356630853E-3</v>
      </c>
      <c r="F4" s="6">
        <f t="shared" si="0"/>
        <v>6.6601094741208884E-3</v>
      </c>
      <c r="G4" s="6">
        <f t="shared" si="0"/>
        <v>3.010192138065507E-3</v>
      </c>
      <c r="H4" s="6">
        <f t="shared" si="0"/>
        <v>1.7944538670859995E-2</v>
      </c>
      <c r="I4" s="6">
        <f t="shared" si="0"/>
        <v>1.8457819966479114E-3</v>
      </c>
      <c r="J4" s="6">
        <f t="shared" si="0"/>
        <v>2.9306515581315239E-3</v>
      </c>
      <c r="K4" s="6">
        <f t="shared" si="0"/>
        <v>-2.3445913734344336E-3</v>
      </c>
      <c r="L4" s="6">
        <f t="shared" si="0"/>
        <v>-8.7115866553562366E-3</v>
      </c>
      <c r="M4" s="6">
        <f t="shared" si="0"/>
        <v>-5.1789842829916052E-3</v>
      </c>
      <c r="N4" s="6">
        <f t="shared" si="0"/>
        <v>2.8938752782178977E-3</v>
      </c>
      <c r="O4" s="6">
        <f t="shared" si="0"/>
        <v>6.0646047398152676E-3</v>
      </c>
      <c r="P4" s="6">
        <f t="shared" si="0"/>
        <v>-4.651234583685872E-3</v>
      </c>
      <c r="Q4" s="6">
        <f t="shared" si="0"/>
        <v>-7.2648065901253448E-3</v>
      </c>
      <c r="R4" s="6">
        <f t="shared" si="0"/>
        <v>3.3741700376054302E-3</v>
      </c>
      <c r="S4" s="6">
        <f t="shared" si="0"/>
        <v>1.8475201624128701E-3</v>
      </c>
      <c r="T4" s="6">
        <f t="shared" si="0"/>
        <v>1.1711236870348115E-3</v>
      </c>
      <c r="U4" s="6">
        <f t="shared" si="0"/>
        <v>3.4537024601776645E-3</v>
      </c>
      <c r="V4" s="6">
        <f t="shared" si="0"/>
        <v>6.3742097805926674E-3</v>
      </c>
      <c r="W4" s="6">
        <f t="shared" si="0"/>
        <v>1.3025248898244331E-2</v>
      </c>
      <c r="X4" s="6">
        <f t="shared" si="0"/>
        <v>-6.3084472440219719E-3</v>
      </c>
      <c r="Y4" s="6">
        <f t="shared" si="0"/>
        <v>-3.5204556814594479E-3</v>
      </c>
      <c r="Z4" s="6">
        <f t="shared" si="0"/>
        <v>-7.4336132638093003E-3</v>
      </c>
      <c r="AA4" s="6">
        <f t="shared" si="0"/>
        <v>9.4023212973838102E-3</v>
      </c>
      <c r="AB4" s="6">
        <f t="shared" si="0"/>
        <v>-4.1344123560427496E-3</v>
      </c>
      <c r="AC4" s="6">
        <f t="shared" si="0"/>
        <v>1.0325623468400351E-2</v>
      </c>
      <c r="AD4" s="6">
        <f t="shared" si="0"/>
        <v>-4.91148259418305E-3</v>
      </c>
      <c r="AE4" s="6">
        <f t="shared" si="0"/>
        <v>-2.5204525972353053E-3</v>
      </c>
      <c r="AF4" s="6">
        <f t="shared" si="0"/>
        <v>8.7784223052485757E-3</v>
      </c>
    </row>
    <row r="5" spans="1:32" x14ac:dyDescent="0.25">
      <c r="A5" s="4" t="s">
        <v>34</v>
      </c>
      <c r="B5" s="7">
        <f t="shared" ref="B5:AF5" si="1">SLOPE(B9:B68,$B$9:$B$68)</f>
        <v>1</v>
      </c>
      <c r="C5" s="7">
        <f t="shared" si="1"/>
        <v>1.9027983836619957</v>
      </c>
      <c r="D5" s="7">
        <f t="shared" si="1"/>
        <v>0.99357597429546707</v>
      </c>
      <c r="E5" s="7">
        <f t="shared" si="1"/>
        <v>1.3784130266948689</v>
      </c>
      <c r="F5" s="7">
        <f t="shared" si="1"/>
        <v>1.1514634616640862</v>
      </c>
      <c r="G5" s="7">
        <f t="shared" si="1"/>
        <v>1.2951646980207125</v>
      </c>
      <c r="H5" s="7">
        <f t="shared" si="1"/>
        <v>1.3903214616252038</v>
      </c>
      <c r="I5" s="7">
        <f t="shared" si="1"/>
        <v>1.0009466005598446</v>
      </c>
      <c r="J5" s="7">
        <f t="shared" si="1"/>
        <v>1.2805379702174076</v>
      </c>
      <c r="K5" s="7">
        <f t="shared" si="1"/>
        <v>0.84198822730205147</v>
      </c>
      <c r="L5" s="7">
        <f t="shared" si="1"/>
        <v>1.4059650700066386</v>
      </c>
      <c r="M5" s="7">
        <f t="shared" si="1"/>
        <v>1.552790870242573</v>
      </c>
      <c r="N5" s="7">
        <f t="shared" si="1"/>
        <v>1.6639716851986359</v>
      </c>
      <c r="O5" s="7">
        <f t="shared" si="1"/>
        <v>1.9594245248915774</v>
      </c>
      <c r="P5" s="7">
        <f t="shared" si="1"/>
        <v>1.5764137929690809</v>
      </c>
      <c r="Q5" s="7">
        <f t="shared" si="1"/>
        <v>2.2648399177150527</v>
      </c>
      <c r="R5" s="7">
        <f t="shared" si="1"/>
        <v>0.24707693477970649</v>
      </c>
      <c r="S5" s="7">
        <f t="shared" si="1"/>
        <v>1.7916694423015864</v>
      </c>
      <c r="T5" s="7">
        <f t="shared" si="1"/>
        <v>0.35903260375546042</v>
      </c>
      <c r="U5" s="7">
        <f t="shared" si="1"/>
        <v>1.2645943445894277</v>
      </c>
      <c r="V5" s="7">
        <f t="shared" si="1"/>
        <v>0.65043868573479957</v>
      </c>
      <c r="W5" s="7">
        <f t="shared" si="1"/>
        <v>0.66329440207335677</v>
      </c>
      <c r="X5" s="7">
        <f t="shared" si="1"/>
        <v>0.60992724226830031</v>
      </c>
      <c r="Y5" s="7">
        <f t="shared" si="1"/>
        <v>1.1219401416299413</v>
      </c>
      <c r="Z5" s="7">
        <f t="shared" si="1"/>
        <v>0.55717127351603968</v>
      </c>
      <c r="AA5" s="7">
        <f t="shared" si="1"/>
        <v>0.16872571999704272</v>
      </c>
      <c r="AB5" s="7">
        <f t="shared" si="1"/>
        <v>1.127501815122895</v>
      </c>
      <c r="AC5" s="7">
        <f t="shared" si="1"/>
        <v>1.0659180109233315</v>
      </c>
      <c r="AD5" s="7">
        <f t="shared" si="1"/>
        <v>1.0231125023839318</v>
      </c>
      <c r="AE5" s="7">
        <f t="shared" si="1"/>
        <v>0.6000114438168378</v>
      </c>
      <c r="AF5" s="7">
        <f t="shared" si="1"/>
        <v>0.6455250865233817</v>
      </c>
    </row>
    <row r="6" spans="1:32" x14ac:dyDescent="0.25">
      <c r="A6" s="1" t="s">
        <v>35</v>
      </c>
      <c r="B6" s="1">
        <f t="shared" ref="B6:AF6" si="2">INTERCEPT(B9:B68,$B$9:$B$68)</f>
        <v>0</v>
      </c>
      <c r="C6" s="8">
        <f t="shared" si="2"/>
        <v>-2.2699748020782295E-3</v>
      </c>
      <c r="D6" s="8">
        <f t="shared" si="2"/>
        <v>-6.0816133981730618E-3</v>
      </c>
      <c r="E6" s="8">
        <f t="shared" si="2"/>
        <v>6.201267359736644E-3</v>
      </c>
      <c r="F6" s="8">
        <f t="shared" si="2"/>
        <v>5.819250889468424E-3</v>
      </c>
      <c r="G6" s="8">
        <f t="shared" si="2"/>
        <v>2.0643954270733529E-3</v>
      </c>
      <c r="H6" s="8">
        <f t="shared" si="2"/>
        <v>1.692925353558997E-2</v>
      </c>
      <c r="I6" s="8">
        <f t="shared" si="2"/>
        <v>1.1148386624642162E-3</v>
      </c>
      <c r="J6" s="8">
        <f t="shared" si="2"/>
        <v>1.9955360454997672E-3</v>
      </c>
      <c r="K6" s="8">
        <f t="shared" si="2"/>
        <v>-2.9594550253648688E-3</v>
      </c>
      <c r="L6" s="8">
        <f t="shared" si="2"/>
        <v>-9.738295568141063E-3</v>
      </c>
      <c r="M6" s="8">
        <f t="shared" si="2"/>
        <v>-6.3129130413791994E-3</v>
      </c>
      <c r="N6" s="8">
        <f t="shared" si="2"/>
        <v>1.6787564987684491E-3</v>
      </c>
      <c r="O6" s="8">
        <f t="shared" si="2"/>
        <v>4.6337309104776334E-3</v>
      </c>
      <c r="P6" s="8">
        <f t="shared" si="2"/>
        <v>-5.8024140304630562E-3</v>
      </c>
      <c r="Q6" s="8">
        <f t="shared" si="2"/>
        <v>-8.9187106444685409E-3</v>
      </c>
      <c r="R6" s="8">
        <f t="shared" si="2"/>
        <v>3.1937415927645622E-3</v>
      </c>
      <c r="S6" s="8">
        <f t="shared" si="2"/>
        <v>5.3914983059049379E-4</v>
      </c>
      <c r="T6" s="8">
        <f t="shared" si="2"/>
        <v>9.0893938237471543E-4</v>
      </c>
      <c r="U6" s="8">
        <f t="shared" si="2"/>
        <v>2.5302298132781798E-3</v>
      </c>
      <c r="V6" s="8">
        <f t="shared" si="2"/>
        <v>5.8992255792705015E-3</v>
      </c>
      <c r="W6" s="8">
        <f t="shared" si="2"/>
        <v>1.2540876783362572E-2</v>
      </c>
      <c r="X6" s="8">
        <f t="shared" si="2"/>
        <v>-6.7538478796040323E-3</v>
      </c>
      <c r="Y6" s="8">
        <f t="shared" si="2"/>
        <v>-4.3397548003323589E-3</v>
      </c>
      <c r="Z6" s="8">
        <f t="shared" si="2"/>
        <v>-7.8404887436275064E-3</v>
      </c>
      <c r="AA6" s="8">
        <f t="shared" si="2"/>
        <v>9.2791089898858845E-3</v>
      </c>
      <c r="AB6" s="8">
        <f t="shared" si="2"/>
        <v>-4.9577728985363686E-3</v>
      </c>
      <c r="AC6" s="8">
        <f t="shared" si="2"/>
        <v>9.5472346268427929E-3</v>
      </c>
      <c r="AD6" s="8">
        <f t="shared" si="2"/>
        <v>-5.658612624215879E-3</v>
      </c>
      <c r="AE6" s="8">
        <f t="shared" si="2"/>
        <v>-2.9586122004014994E-3</v>
      </c>
      <c r="AF6" s="8">
        <f t="shared" si="2"/>
        <v>8.3070262699568732E-3</v>
      </c>
    </row>
    <row r="7" spans="1:32" x14ac:dyDescent="0.25">
      <c r="A7" s="9" t="s">
        <v>36</v>
      </c>
      <c r="B7" s="1">
        <f t="shared" ref="B7:AF7" si="3">RSQ(B9:B68,$B$9:$B$68)</f>
        <v>1</v>
      </c>
      <c r="C7" s="10">
        <f t="shared" si="3"/>
        <v>0.60847765066893644</v>
      </c>
      <c r="D7" s="10">
        <f t="shared" si="3"/>
        <v>0.3518481112203532</v>
      </c>
      <c r="E7" s="10">
        <f t="shared" si="3"/>
        <v>0.7051780176036373</v>
      </c>
      <c r="F7" s="10">
        <f t="shared" si="3"/>
        <v>0.24867752412854968</v>
      </c>
      <c r="G7" s="10">
        <f t="shared" si="3"/>
        <v>0.59718406379967004</v>
      </c>
      <c r="H7" s="10">
        <f t="shared" si="3"/>
        <v>0.51582030933360234</v>
      </c>
      <c r="I7" s="10">
        <f t="shared" si="3"/>
        <v>0.43624143766022538</v>
      </c>
      <c r="J7" s="10">
        <f t="shared" si="3"/>
        <v>0.38454683391705435</v>
      </c>
      <c r="K7" s="10">
        <f t="shared" si="3"/>
        <v>0.32207336771025202</v>
      </c>
      <c r="L7" s="10">
        <f t="shared" si="3"/>
        <v>0.26067090340619081</v>
      </c>
      <c r="M7" s="10">
        <f t="shared" si="3"/>
        <v>0.5287578585042142</v>
      </c>
      <c r="N7" s="10">
        <f t="shared" si="3"/>
        <v>0.54733733270476037</v>
      </c>
      <c r="O7" s="10">
        <f t="shared" si="3"/>
        <v>0.52093660013759546</v>
      </c>
      <c r="P7" s="10">
        <f t="shared" si="3"/>
        <v>0.54750841607413736</v>
      </c>
      <c r="Q7" s="10">
        <f t="shared" si="3"/>
        <v>0.48361819242009407</v>
      </c>
      <c r="R7" s="10">
        <f t="shared" si="3"/>
        <v>5.6626615446838925E-2</v>
      </c>
      <c r="S7" s="10">
        <f t="shared" si="3"/>
        <v>0.59512672624119656</v>
      </c>
      <c r="T7" s="10">
        <f t="shared" si="3"/>
        <v>8.0821985992514361E-2</v>
      </c>
      <c r="U7" s="10">
        <f t="shared" si="3"/>
        <v>0.44267287742790795</v>
      </c>
      <c r="V7" s="10">
        <f t="shared" si="3"/>
        <v>0.20296006525126686</v>
      </c>
      <c r="W7" s="10">
        <f t="shared" si="3"/>
        <v>9.0399117733825293E-2</v>
      </c>
      <c r="X7" s="10">
        <f t="shared" si="3"/>
        <v>8.8723971944721688E-2</v>
      </c>
      <c r="Y7" s="10">
        <f t="shared" si="3"/>
        <v>0.40731957218483722</v>
      </c>
      <c r="Z7" s="10">
        <f t="shared" si="3"/>
        <v>0.1564725457373137</v>
      </c>
      <c r="AA7" s="10">
        <f t="shared" si="3"/>
        <v>3.8528345098536212E-2</v>
      </c>
      <c r="AB7" s="10">
        <f t="shared" si="3"/>
        <v>0.28400964418052643</v>
      </c>
      <c r="AC7" s="10">
        <f t="shared" si="3"/>
        <v>0.32313581038494305</v>
      </c>
      <c r="AD7" s="10">
        <f t="shared" si="3"/>
        <v>0.28539837699207221</v>
      </c>
      <c r="AE7" s="10">
        <f t="shared" si="3"/>
        <v>0.19127972027703805</v>
      </c>
      <c r="AF7" s="10">
        <f t="shared" si="3"/>
        <v>0.22625193335445209</v>
      </c>
    </row>
    <row r="8" spans="1:32" x14ac:dyDescent="0.25">
      <c r="A8" s="9"/>
    </row>
    <row r="9" spans="1:32" x14ac:dyDescent="0.25">
      <c r="A9" s="20">
        <v>37104</v>
      </c>
      <c r="B9" s="8">
        <f>LN('[1]Page 321, top'!B4/'[1]Page 321, top'!B3)</f>
        <v>-6.6255605887467039E-2</v>
      </c>
      <c r="C9" s="8">
        <f>LN('[1]Page 321, top'!C4/'[1]Page 321, top'!C3)</f>
        <v>-2.4904679180075117E-2</v>
      </c>
      <c r="D9" s="8">
        <f>LN('[1]Page 321, top'!D4/'[1]Page 321, top'!D3)</f>
        <v>-6.2016699505352997E-2</v>
      </c>
      <c r="E9" s="8">
        <f>LN('[1]Page 321, top'!E4/'[1]Page 321, top'!E3)</f>
        <v>-0.10197330160654307</v>
      </c>
      <c r="F9" s="8">
        <f>LN('[1]Page 321, top'!F4/'[1]Page 321, top'!F3)</f>
        <v>-0.13087167511426126</v>
      </c>
      <c r="G9" s="8">
        <f>LN('[1]Page 321, top'!G4/'[1]Page 321, top'!G3)</f>
        <v>-8.8765860810958969E-2</v>
      </c>
      <c r="H9" s="8">
        <f>LN('[1]Page 321, top'!H4/'[1]Page 321, top'!H3)</f>
        <v>-9.6726467345061545E-2</v>
      </c>
      <c r="I9" s="8">
        <f>LN('[1]Page 321, top'!I4/'[1]Page 321, top'!I3)</f>
        <v>-3.5908486258404655E-2</v>
      </c>
      <c r="J9" s="8">
        <f>LN('[1]Page 321, top'!J4/'[1]Page 321, top'!J3)</f>
        <v>-3.5805289369379566E-2</v>
      </c>
      <c r="K9" s="8">
        <f>LN('[1]Page 321, top'!K4/'[1]Page 321, top'!K3)</f>
        <v>-6.1603446652326505E-2</v>
      </c>
      <c r="L9" s="8">
        <f>LN('[1]Page 321, top'!L4/'[1]Page 321, top'!L3)</f>
        <v>-0.14195662568150003</v>
      </c>
      <c r="M9" s="8">
        <f>LN('[1]Page 321, top'!M4/'[1]Page 321, top'!M3)</f>
        <v>-9.1050718822688559E-2</v>
      </c>
      <c r="N9" s="8">
        <f>LN('[1]Page 321, top'!N4/'[1]Page 321, top'!N3)</f>
        <v>1.5753127949124486E-2</v>
      </c>
      <c r="O9" s="8">
        <f>LN('[1]Page 321, top'!O4/'[1]Page 321, top'!O3)</f>
        <v>-6.0953190901040094E-2</v>
      </c>
      <c r="P9" s="8">
        <f>LN('[1]Page 321, top'!P4/'[1]Page 321, top'!P3)</f>
        <v>-4.9929201063659778E-2</v>
      </c>
      <c r="Q9" s="8">
        <f>LN('[1]Page 321, top'!Q4/'[1]Page 321, top'!Q3)</f>
        <v>-6.3656215942067843E-2</v>
      </c>
      <c r="R9" s="8">
        <f>LN('[1]Page 321, top'!R4/'[1]Page 321, top'!R3)</f>
        <v>-2.2674855650745698E-2</v>
      </c>
      <c r="S9" s="8">
        <f>LN('[1]Page 321, top'!S4/'[1]Page 321, top'!S3)</f>
        <v>-9.4414901023194581E-2</v>
      </c>
      <c r="T9" s="8">
        <f>LN('[1]Page 321, top'!T4/'[1]Page 321, top'!T3)</f>
        <v>8.7487454123115801E-2</v>
      </c>
      <c r="U9" s="8">
        <f>LN('[1]Page 321, top'!U4/'[1]Page 321, top'!U3)</f>
        <v>2.9951106602773683E-2</v>
      </c>
      <c r="V9" s="8">
        <f>LN('[1]Page 321, top'!V4/'[1]Page 321, top'!V3)</f>
        <v>-6.645264996859318E-2</v>
      </c>
      <c r="W9" s="8">
        <f>LN('[1]Page 321, top'!W4/'[1]Page 321, top'!W3)</f>
        <v>4.0990472323703141E-2</v>
      </c>
      <c r="X9" s="8">
        <f>LN('[1]Page 321, top'!X4/'[1]Page 321, top'!X3)</f>
        <v>-3.8139415787459788E-2</v>
      </c>
      <c r="Y9" s="8">
        <f>LN('[1]Page 321, top'!Y4/'[1]Page 321, top'!Y3)</f>
        <v>-0.14843390375551219</v>
      </c>
      <c r="Z9" s="8">
        <f>LN('[1]Page 321, top'!Z4/'[1]Page 321, top'!Z3)</f>
        <v>-7.0558225315588641E-2</v>
      </c>
      <c r="AA9" s="8">
        <f>LN('[1]Page 321, top'!AA4/'[1]Page 321, top'!AA3)</f>
        <v>4.2935503108324086E-2</v>
      </c>
      <c r="AB9" s="8">
        <f>LN('[1]Page 321, top'!AB4/'[1]Page 321, top'!AB3)</f>
        <v>-9.5872926020639057E-2</v>
      </c>
      <c r="AC9" s="8">
        <f>LN('[1]Page 321, top'!AC4/'[1]Page 321, top'!AC3)</f>
        <v>-6.7290636104445939E-2</v>
      </c>
      <c r="AD9" s="8">
        <f>LN('[1]Page 321, top'!AD4/'[1]Page 321, top'!AD3)</f>
        <v>-7.98340166398534E-2</v>
      </c>
      <c r="AE9" s="8">
        <f>LN('[1]Page 321, top'!AE4/'[1]Page 321, top'!AE3)</f>
        <v>-0.15144457077138077</v>
      </c>
      <c r="AF9" s="8">
        <f>LN('[1]Page 321, top'!AF4/'[1]Page 321, top'!AF3)</f>
        <v>-3.3706437881910779E-2</v>
      </c>
    </row>
    <row r="10" spans="1:32" x14ac:dyDescent="0.25">
      <c r="A10" s="20">
        <v>37138</v>
      </c>
      <c r="B10" s="8">
        <f>LN('[1]Page 321, top'!B5/'[1]Page 321, top'!B4)</f>
        <v>-8.5256615246989922E-2</v>
      </c>
      <c r="C10" s="8">
        <f>LN('[1]Page 321, top'!C5/'[1]Page 321, top'!C4)</f>
        <v>-0.2066142493629993</v>
      </c>
      <c r="D10" s="8">
        <f>LN('[1]Page 321, top'!D5/'[1]Page 321, top'!D4)</f>
        <v>-2.4890299088461518E-3</v>
      </c>
      <c r="E10" s="8">
        <f>LN('[1]Page 321, top'!E5/'[1]Page 321, top'!E4)</f>
        <v>-0.22593799712051296</v>
      </c>
      <c r="F10" s="8">
        <f>LN('[1]Page 321, top'!F5/'[1]Page 321, top'!F4)</f>
        <v>-0.42423342136280745</v>
      </c>
      <c r="G10" s="8">
        <f>LN('[1]Page 321, top'!G5/'[1]Page 321, top'!G4)</f>
        <v>-0.12303151411594927</v>
      </c>
      <c r="H10" s="8">
        <f>LN('[1]Page 321, top'!H5/'[1]Page 321, top'!H4)</f>
        <v>-0.11007341040370261</v>
      </c>
      <c r="I10" s="8">
        <f>LN('[1]Page 321, top'!I5/'[1]Page 321, top'!I4)</f>
        <v>-8.7712721261510654E-2</v>
      </c>
      <c r="J10" s="8">
        <f>LN('[1]Page 321, top'!J5/'[1]Page 321, top'!J4)</f>
        <v>-0.31143615845988804</v>
      </c>
      <c r="K10" s="8">
        <f>LN('[1]Page 321, top'!K5/'[1]Page 321, top'!K4)</f>
        <v>-9.0245336351864242E-2</v>
      </c>
      <c r="L10" s="8">
        <f>LN('[1]Page 321, top'!L5/'[1]Page 321, top'!L4)</f>
        <v>-0.24369402424121561</v>
      </c>
      <c r="M10" s="8">
        <f>LN('[1]Page 321, top'!M5/'[1]Page 321, top'!M4)</f>
        <v>-0.18032627225751421</v>
      </c>
      <c r="N10" s="8">
        <f>LN('[1]Page 321, top'!N5/'[1]Page 321, top'!N4)</f>
        <v>-0.34468137308234564</v>
      </c>
      <c r="O10" s="8">
        <f>LN('[1]Page 321, top'!O5/'[1]Page 321, top'!O4)</f>
        <v>-0.36441967486504917</v>
      </c>
      <c r="P10" s="8">
        <f>LN('[1]Page 321, top'!P5/'[1]Page 321, top'!P4)</f>
        <v>-8.6009136046455131E-2</v>
      </c>
      <c r="Q10" s="8">
        <f>LN('[1]Page 321, top'!Q5/'[1]Page 321, top'!Q4)</f>
        <v>-0.31313001417247327</v>
      </c>
      <c r="R10" s="8">
        <f>LN('[1]Page 321, top'!R5/'[1]Page 321, top'!R4)</f>
        <v>4.977354511208764E-2</v>
      </c>
      <c r="S10" s="8">
        <f>LN('[1]Page 321, top'!S5/'[1]Page 321, top'!S4)</f>
        <v>-0.14292269372705024</v>
      </c>
      <c r="T10" s="8">
        <f>LN('[1]Page 321, top'!T5/'[1]Page 321, top'!T4)</f>
        <v>-3.8283296985651298E-2</v>
      </c>
      <c r="U10" s="8">
        <f>LN('[1]Page 321, top'!U5/'[1]Page 321, top'!U4)</f>
        <v>-0.10141007058491872</v>
      </c>
      <c r="V10" s="8">
        <f>LN('[1]Page 321, top'!V5/'[1]Page 321, top'!V4)</f>
        <v>-5.6313105251997946E-2</v>
      </c>
      <c r="W10" s="8">
        <f>LN('[1]Page 321, top'!W5/'[1]Page 321, top'!W4)</f>
        <v>1.8427547748008123E-2</v>
      </c>
      <c r="X10" s="8">
        <f>LN('[1]Page 321, top'!X5/'[1]Page 321, top'!X4)</f>
        <v>2.2832042042645689E-2</v>
      </c>
      <c r="Y10" s="8">
        <f>LN('[1]Page 321, top'!Y5/'[1]Page 321, top'!Y4)</f>
        <v>-0.1089047890914604</v>
      </c>
      <c r="Z10" s="8">
        <f>LN('[1]Page 321, top'!Z5/'[1]Page 321, top'!Z4)</f>
        <v>4.5649314665648928E-2</v>
      </c>
      <c r="AA10" s="8">
        <f>LN('[1]Page 321, top'!AA5/'[1]Page 321, top'!AA4)</f>
        <v>-1.8349138668196541E-2</v>
      </c>
      <c r="AB10" s="8">
        <f>LN('[1]Page 321, top'!AB5/'[1]Page 321, top'!AB4)</f>
        <v>0.1412415310504902</v>
      </c>
      <c r="AC10" s="8">
        <f>LN('[1]Page 321, top'!AC5/'[1]Page 321, top'!AC4)</f>
        <v>-0.38612576550871208</v>
      </c>
      <c r="AD10" s="8">
        <f>LN('[1]Page 321, top'!AD5/'[1]Page 321, top'!AD4)</f>
        <v>7.9150723138720805E-2</v>
      </c>
      <c r="AE10" s="8">
        <f>LN('[1]Page 321, top'!AE5/'[1]Page 321, top'!AE4)</f>
        <v>3.125254350410453E-2</v>
      </c>
      <c r="AF10" s="8">
        <f>LN('[1]Page 321, top'!AF5/'[1]Page 321, top'!AF4)</f>
        <v>-1.8849904023634231E-2</v>
      </c>
    </row>
    <row r="11" spans="1:32" x14ac:dyDescent="0.25">
      <c r="A11" s="20">
        <v>37165</v>
      </c>
      <c r="B11" s="8">
        <f>LN('[1]Page 321, top'!B6/'[1]Page 321, top'!B5)</f>
        <v>1.7937188329115412E-2</v>
      </c>
      <c r="C11" s="8">
        <f>LN('[1]Page 321, top'!C6/'[1]Page 321, top'!C5)</f>
        <v>4.4606698040520781E-2</v>
      </c>
      <c r="D11" s="8">
        <f>LN('[1]Page 321, top'!D6/'[1]Page 321, top'!D5)</f>
        <v>7.5787635718121277E-3</v>
      </c>
      <c r="E11" s="8">
        <f>LN('[1]Page 321, top'!E6/'[1]Page 321, top'!E5)</f>
        <v>1.5516848690684155E-2</v>
      </c>
      <c r="F11" s="8">
        <f>LN('[1]Page 321, top'!F6/'[1]Page 321, top'!F5)</f>
        <v>-2.6993080607837172E-2</v>
      </c>
      <c r="G11" s="8">
        <f>LN('[1]Page 321, top'!G6/'[1]Page 321, top'!G5)</f>
        <v>0.11687764854157089</v>
      </c>
      <c r="H11" s="8">
        <f>LN('[1]Page 321, top'!H6/'[1]Page 321, top'!H5)</f>
        <v>5.9494473950934216E-3</v>
      </c>
      <c r="I11" s="8">
        <f>LN('[1]Page 321, top'!I6/'[1]Page 321, top'!I5)</f>
        <v>6.3719663982381269E-2</v>
      </c>
      <c r="J11" s="8">
        <f>LN('[1]Page 321, top'!J6/'[1]Page 321, top'!J5)</f>
        <v>-1.6982738301917076E-3</v>
      </c>
      <c r="K11" s="8">
        <f>LN('[1]Page 321, top'!K6/'[1]Page 321, top'!K5)</f>
        <v>-2.1486400560926558E-2</v>
      </c>
      <c r="L11" s="8">
        <f>LN('[1]Page 321, top'!L6/'[1]Page 321, top'!L5)</f>
        <v>-3.7672075585455093E-2</v>
      </c>
      <c r="M11" s="8">
        <f>LN('[1]Page 321, top'!M6/'[1]Page 321, top'!M5)</f>
        <v>-3.5398267051240623E-3</v>
      </c>
      <c r="N11" s="8">
        <f>LN('[1]Page 321, top'!N6/'[1]Page 321, top'!N5)</f>
        <v>0.11263143034112882</v>
      </c>
      <c r="O11" s="8">
        <f>LN('[1]Page 321, top'!O6/'[1]Page 321, top'!O5)</f>
        <v>4.7768322210547512E-2</v>
      </c>
      <c r="P11" s="8">
        <f>LN('[1]Page 321, top'!P6/'[1]Page 321, top'!P5)</f>
        <v>0.1640487181753901</v>
      </c>
      <c r="Q11" s="8">
        <f>LN('[1]Page 321, top'!Q6/'[1]Page 321, top'!Q5)</f>
        <v>0.17774023037939196</v>
      </c>
      <c r="R11" s="8">
        <f>LN('[1]Page 321, top'!R6/'[1]Page 321, top'!R5)</f>
        <v>4.4220968681573464E-2</v>
      </c>
      <c r="S11" s="8">
        <f>LN('[1]Page 321, top'!S6/'[1]Page 321, top'!S5)</f>
        <v>3.4791825493663948E-2</v>
      </c>
      <c r="T11" s="8">
        <f>LN('[1]Page 321, top'!T6/'[1]Page 321, top'!T5)</f>
        <v>2.1757788941804957E-2</v>
      </c>
      <c r="U11" s="8">
        <f>LN('[1]Page 321, top'!U6/'[1]Page 321, top'!U5)</f>
        <v>-4.0224801310508873E-2</v>
      </c>
      <c r="V11" s="8">
        <f>LN('[1]Page 321, top'!V6/'[1]Page 321, top'!V5)</f>
        <v>5.9057749643601151E-2</v>
      </c>
      <c r="W11" s="8">
        <f>LN('[1]Page 321, top'!W6/'[1]Page 321, top'!W5)</f>
        <v>-3.1176940570674497E-2</v>
      </c>
      <c r="X11" s="8">
        <f>LN('[1]Page 321, top'!X6/'[1]Page 321, top'!X5)</f>
        <v>-4.2854092948531319E-2</v>
      </c>
      <c r="Y11" s="8">
        <f>LN('[1]Page 321, top'!Y6/'[1]Page 321, top'!Y5)</f>
        <v>0.12806705206962446</v>
      </c>
      <c r="Z11" s="8">
        <f>LN('[1]Page 321, top'!Z6/'[1]Page 321, top'!Z5)</f>
        <v>4.3921399259542193E-2</v>
      </c>
      <c r="AA11" s="8">
        <f>LN('[1]Page 321, top'!AA6/'[1]Page 321, top'!AA5)</f>
        <v>1.8945086242449422E-2</v>
      </c>
      <c r="AB11" s="8">
        <f>LN('[1]Page 321, top'!AB6/'[1]Page 321, top'!AB5)</f>
        <v>-0.20648205291889096</v>
      </c>
      <c r="AC11" s="8">
        <f>LN('[1]Page 321, top'!AC6/'[1]Page 321, top'!AC5)</f>
        <v>0.14750878505953929</v>
      </c>
      <c r="AD11" s="8">
        <f>LN('[1]Page 321, top'!AD6/'[1]Page 321, top'!AD5)</f>
        <v>-7.5949932519783436E-2</v>
      </c>
      <c r="AE11" s="8">
        <f>LN('[1]Page 321, top'!AE6/'[1]Page 321, top'!AE5)</f>
        <v>3.7841794169327356E-2</v>
      </c>
      <c r="AF11" s="8">
        <f>LN('[1]Page 321, top'!AF6/'[1]Page 321, top'!AF5)</f>
        <v>1.1353960913165304E-3</v>
      </c>
    </row>
    <row r="12" spans="1:32" x14ac:dyDescent="0.25">
      <c r="A12" s="20">
        <v>37196</v>
      </c>
      <c r="B12" s="8">
        <f>LN('[1]Page 321, top'!B7/'[1]Page 321, top'!B6)</f>
        <v>7.2484350433373146E-2</v>
      </c>
      <c r="C12" s="8">
        <f>LN('[1]Page 321, top'!C7/'[1]Page 321, top'!C6)</f>
        <v>0.17896441688028816</v>
      </c>
      <c r="D12" s="8">
        <f>LN('[1]Page 321, top'!D7/'[1]Page 321, top'!D6)</f>
        <v>4.7288932505549441E-2</v>
      </c>
      <c r="E12" s="8">
        <f>LN('[1]Page 321, top'!E7/'[1]Page 321, top'!E6)</f>
        <v>0.11182257368591726</v>
      </c>
      <c r="F12" s="8">
        <f>LN('[1]Page 321, top'!F7/'[1]Page 321, top'!F6)</f>
        <v>7.888703899065469E-2</v>
      </c>
      <c r="G12" s="8">
        <f>LN('[1]Page 321, top'!G7/'[1]Page 321, top'!G6)</f>
        <v>5.4321447787470847E-2</v>
      </c>
      <c r="H12" s="8">
        <f>LN('[1]Page 321, top'!H7/'[1]Page 321, top'!H6)</f>
        <v>5.8557994194371764E-2</v>
      </c>
      <c r="I12" s="8">
        <f>LN('[1]Page 321, top'!I7/'[1]Page 321, top'!I6)</f>
        <v>0.11145658377136383</v>
      </c>
      <c r="J12" s="8">
        <f>LN('[1]Page 321, top'!J7/'[1]Page 321, top'!J6)</f>
        <v>9.6082480010043034E-2</v>
      </c>
      <c r="K12" s="8">
        <f>LN('[1]Page 321, top'!K7/'[1]Page 321, top'!K6)</f>
        <v>5.5813006133768522E-2</v>
      </c>
      <c r="L12" s="8">
        <f>LN('[1]Page 321, top'!L7/'[1]Page 321, top'!L6)</f>
        <v>0.19650186606800416</v>
      </c>
      <c r="M12" s="8">
        <f>LN('[1]Page 321, top'!M7/'[1]Page 321, top'!M6)</f>
        <v>0.20007536875904985</v>
      </c>
      <c r="N12" s="8">
        <f>LN('[1]Page 321, top'!N7/'[1]Page 321, top'!N6)</f>
        <v>0.12089502773851651</v>
      </c>
      <c r="O12" s="8">
        <f>LN('[1]Page 321, top'!O7/'[1]Page 321, top'!O6)</f>
        <v>0.2675119655026485</v>
      </c>
      <c r="P12" s="8">
        <f>LN('[1]Page 321, top'!P7/'[1]Page 321, top'!P6)</f>
        <v>6.853078206442742E-2</v>
      </c>
      <c r="Q12" s="8">
        <f>LN('[1]Page 321, top'!Q7/'[1]Page 321, top'!Q6)</f>
        <v>0.2918189120825071</v>
      </c>
      <c r="R12" s="8">
        <f>LN('[1]Page 321, top'!R7/'[1]Page 321, top'!R6)</f>
        <v>8.9871415604602708E-3</v>
      </c>
      <c r="S12" s="8">
        <f>LN('[1]Page 321, top'!S7/'[1]Page 321, top'!S6)</f>
        <v>6.4639322508555266E-2</v>
      </c>
      <c r="T12" s="8">
        <f>LN('[1]Page 321, top'!T7/'[1]Page 321, top'!T6)</f>
        <v>-1.5627140171750719E-2</v>
      </c>
      <c r="U12" s="8">
        <f>LN('[1]Page 321, top'!U7/'[1]Page 321, top'!U6)</f>
        <v>3.9029343905735078E-2</v>
      </c>
      <c r="V12" s="8">
        <f>LN('[1]Page 321, top'!V7/'[1]Page 321, top'!V6)</f>
        <v>9.8314880494626E-2</v>
      </c>
      <c r="W12" s="8">
        <f>LN('[1]Page 321, top'!W7/'[1]Page 321, top'!W6)</f>
        <v>7.8858328439283774E-3</v>
      </c>
      <c r="X12" s="8">
        <f>LN('[1]Page 321, top'!X7/'[1]Page 321, top'!X6)</f>
        <v>5.9827362497400234E-2</v>
      </c>
      <c r="Y12" s="8">
        <f>LN('[1]Page 321, top'!Y7/'[1]Page 321, top'!Y6)</f>
        <v>9.8934217212298003E-2</v>
      </c>
      <c r="Z12" s="8">
        <f>LN('[1]Page 321, top'!Z7/'[1]Page 321, top'!Z6)</f>
        <v>3.5694814613013971E-2</v>
      </c>
      <c r="AA12" s="8">
        <f>LN('[1]Page 321, top'!AA7/'[1]Page 321, top'!AA6)</f>
        <v>4.8548990076035255E-2</v>
      </c>
      <c r="AB12" s="8">
        <f>LN('[1]Page 321, top'!AB7/'[1]Page 321, top'!AB6)</f>
        <v>-1.9353290061030263E-2</v>
      </c>
      <c r="AC12" s="8">
        <f>LN('[1]Page 321, top'!AC7/'[1]Page 321, top'!AC6)</f>
        <v>0.11471288707917753</v>
      </c>
      <c r="AD12" s="8">
        <f>LN('[1]Page 321, top'!AD7/'[1]Page 321, top'!AD6)</f>
        <v>-5.7939562167652871E-2</v>
      </c>
      <c r="AE12" s="8">
        <f>LN('[1]Page 321, top'!AE7/'[1]Page 321, top'!AE6)</f>
        <v>7.0317751022094518E-2</v>
      </c>
      <c r="AF12" s="8">
        <f>LN('[1]Page 321, top'!AF7/'[1]Page 321, top'!AF6)</f>
        <v>-4.7344401277808229E-2</v>
      </c>
    </row>
    <row r="13" spans="1:32" x14ac:dyDescent="0.25">
      <c r="A13" s="20">
        <v>37228</v>
      </c>
      <c r="B13" s="8">
        <f>LN('[1]Page 321, top'!B8/'[1]Page 321, top'!B7)</f>
        <v>7.545292033896033E-3</v>
      </c>
      <c r="C13" s="8">
        <f>LN('[1]Page 321, top'!C8/'[1]Page 321, top'!C7)</f>
        <v>-8.2229955942229177E-2</v>
      </c>
      <c r="D13" s="8">
        <f>LN('[1]Page 321, top'!D8/'[1]Page 321, top'!D7)</f>
        <v>-3.6671197122498625E-2</v>
      </c>
      <c r="E13" s="8">
        <f>LN('[1]Page 321, top'!E8/'[1]Page 321, top'!E7)</f>
        <v>8.1045549141503123E-2</v>
      </c>
      <c r="F13" s="8">
        <f>LN('[1]Page 321, top'!F8/'[1]Page 321, top'!F7)</f>
        <v>9.9701610997635887E-2</v>
      </c>
      <c r="G13" s="8">
        <f>LN('[1]Page 321, top'!G8/'[1]Page 321, top'!G7)</f>
        <v>5.2487294046720416E-2</v>
      </c>
      <c r="H13" s="8">
        <f>LN('[1]Page 321, top'!H8/'[1]Page 321, top'!H7)</f>
        <v>9.6792445824790518E-2</v>
      </c>
      <c r="I13" s="8">
        <f>LN('[1]Page 321, top'!I8/'[1]Page 321, top'!I7)</f>
        <v>-4.2229684668085556E-2</v>
      </c>
      <c r="J13" s="8">
        <f>LN('[1]Page 321, top'!J8/'[1]Page 321, top'!J7)</f>
        <v>2.2895937839079176E-2</v>
      </c>
      <c r="K13" s="8">
        <f>LN('[1]Page 321, top'!K8/'[1]Page 321, top'!K7)</f>
        <v>4.4477277656629913E-2</v>
      </c>
      <c r="L13" s="8">
        <f>LN('[1]Page 321, top'!L8/'[1]Page 321, top'!L7)</f>
        <v>-2.2455651402987761E-2</v>
      </c>
      <c r="M13" s="8">
        <f>LN('[1]Page 321, top'!M8/'[1]Page 321, top'!M7)</f>
        <v>8.9446254543617196E-2</v>
      </c>
      <c r="N13" s="8">
        <f>LN('[1]Page 321, top'!N8/'[1]Page 321, top'!N7)</f>
        <v>2.0283322139941669E-2</v>
      </c>
      <c r="O13" s="8">
        <f>LN('[1]Page 321, top'!O8/'[1]Page 321, top'!O7)</f>
        <v>-6.4636325431257524E-2</v>
      </c>
      <c r="P13" s="8">
        <f>LN('[1]Page 321, top'!P8/'[1]Page 321, top'!P7)</f>
        <v>4.5416438707813464E-2</v>
      </c>
      <c r="Q13" s="8">
        <f>LN('[1]Page 321, top'!Q8/'[1]Page 321, top'!Q7)</f>
        <v>-3.786247433876231E-2</v>
      </c>
      <c r="R13" s="8">
        <f>LN('[1]Page 321, top'!R8/'[1]Page 321, top'!R7)</f>
        <v>1.4434003369401132E-2</v>
      </c>
      <c r="S13" s="8">
        <f>LN('[1]Page 321, top'!S8/'[1]Page 321, top'!S7)</f>
        <v>-3.6961398564456335E-2</v>
      </c>
      <c r="T13" s="8">
        <f>LN('[1]Page 321, top'!T8/'[1]Page 321, top'!T7)</f>
        <v>4.2223848798482611E-3</v>
      </c>
      <c r="U13" s="8">
        <f>LN('[1]Page 321, top'!U8/'[1]Page 321, top'!U7)</f>
        <v>-1.4053634231395062E-2</v>
      </c>
      <c r="V13" s="8">
        <f>LN('[1]Page 321, top'!V8/'[1]Page 321, top'!V7)</f>
        <v>3.1229023846079226E-2</v>
      </c>
      <c r="W13" s="8">
        <f>LN('[1]Page 321, top'!W8/'[1]Page 321, top'!W7)</f>
        <v>-1.5834346666626219E-2</v>
      </c>
      <c r="X13" s="8">
        <f>LN('[1]Page 321, top'!X8/'[1]Page 321, top'!X7)</f>
        <v>-0.13630942941438459</v>
      </c>
      <c r="Y13" s="8">
        <f>LN('[1]Page 321, top'!Y8/'[1]Page 321, top'!Y7)</f>
        <v>3.1379271202265246E-2</v>
      </c>
      <c r="Z13" s="8">
        <f>LN('[1]Page 321, top'!Z8/'[1]Page 321, top'!Z7)</f>
        <v>-8.3225824899923431E-2</v>
      </c>
      <c r="AA13" s="8">
        <f>LN('[1]Page 321, top'!AA8/'[1]Page 321, top'!AA7)</f>
        <v>2.1337137388131106E-2</v>
      </c>
      <c r="AB13" s="8">
        <f>LN('[1]Page 321, top'!AB8/'[1]Page 321, top'!AB7)</f>
        <v>4.6734400886008887E-2</v>
      </c>
      <c r="AC13" s="8">
        <f>LN('[1]Page 321, top'!AC8/'[1]Page 321, top'!AC7)</f>
        <v>7.0868710524937178E-2</v>
      </c>
      <c r="AD13" s="8">
        <f>LN('[1]Page 321, top'!AD8/'[1]Page 321, top'!AD7)</f>
        <v>9.5917780098590637E-3</v>
      </c>
      <c r="AE13" s="8">
        <f>LN('[1]Page 321, top'!AE8/'[1]Page 321, top'!AE7)</f>
        <v>4.3851258293732528E-2</v>
      </c>
      <c r="AF13" s="8">
        <f>LN('[1]Page 321, top'!AF8/'[1]Page 321, top'!AF7)</f>
        <v>4.9328247755289843E-2</v>
      </c>
    </row>
    <row r="14" spans="1:32" x14ac:dyDescent="0.25">
      <c r="A14" s="20">
        <v>37258</v>
      </c>
      <c r="B14" s="8">
        <f>LN('[1]Page 321, top'!B9/'[1]Page 321, top'!B8)</f>
        <v>-1.5696373666933345E-2</v>
      </c>
      <c r="C14" s="8">
        <f>LN('[1]Page 321, top'!C9/'[1]Page 321, top'!C8)</f>
        <v>8.3192591965755795E-3</v>
      </c>
      <c r="D14" s="8">
        <f>LN('[1]Page 321, top'!D9/'[1]Page 321, top'!D8)</f>
        <v>-6.8358274917308073E-2</v>
      </c>
      <c r="E14" s="8">
        <f>LN('[1]Page 321, top'!E9/'[1]Page 321, top'!E8)</f>
        <v>6.6600312776022262E-3</v>
      </c>
      <c r="F14" s="8">
        <f>LN('[1]Page 321, top'!F9/'[1]Page 321, top'!F8)</f>
        <v>5.4316907328075453E-2</v>
      </c>
      <c r="G14" s="8">
        <f>LN('[1]Page 321, top'!G9/'[1]Page 321, top'!G8)</f>
        <v>-5.9630181559100652E-2</v>
      </c>
      <c r="H14" s="8">
        <f>LN('[1]Page 321, top'!H9/'[1]Page 321, top'!H8)</f>
        <v>-3.0943594733412221E-2</v>
      </c>
      <c r="I14" s="8">
        <f>LN('[1]Page 321, top'!I9/'[1]Page 321, top'!I8)</f>
        <v>3.8296285077280327E-2</v>
      </c>
      <c r="J14" s="8">
        <f>LN('[1]Page 321, top'!J9/'[1]Page 321, top'!J8)</f>
        <v>1.646333018710169E-2</v>
      </c>
      <c r="K14" s="8">
        <f>LN('[1]Page 321, top'!K9/'[1]Page 321, top'!K8)</f>
        <v>-7.5771740215046443E-2</v>
      </c>
      <c r="L14" s="8">
        <f>LN('[1]Page 321, top'!L9/'[1]Page 321, top'!L8)</f>
        <v>5.0815761031806052E-2</v>
      </c>
      <c r="M14" s="8">
        <f>LN('[1]Page 321, top'!M9/'[1]Page 321, top'!M8)</f>
        <v>-1.8133610424654605E-2</v>
      </c>
      <c r="N14" s="8">
        <f>LN('[1]Page 321, top'!N9/'[1]Page 321, top'!N8)</f>
        <v>-6.2737534488792801E-3</v>
      </c>
      <c r="O14" s="8">
        <f>LN('[1]Page 321, top'!O9/'[1]Page 321, top'!O8)</f>
        <v>7.3884383555808855E-2</v>
      </c>
      <c r="P14" s="8">
        <f>LN('[1]Page 321, top'!P9/'[1]Page 321, top'!P8)</f>
        <v>-0.11433228046124953</v>
      </c>
      <c r="Q14" s="8">
        <f>LN('[1]Page 321, top'!Q9/'[1]Page 321, top'!Q8)</f>
        <v>0.10806135060548314</v>
      </c>
      <c r="R14" s="8">
        <f>LN('[1]Page 321, top'!R9/'[1]Page 321, top'!R8)</f>
        <v>-2.7189756889673386E-2</v>
      </c>
      <c r="S14" s="8">
        <f>LN('[1]Page 321, top'!S9/'[1]Page 321, top'!S8)</f>
        <v>-6.5480288590633914E-2</v>
      </c>
      <c r="T14" s="8">
        <f>LN('[1]Page 321, top'!T9/'[1]Page 321, top'!T8)</f>
        <v>-7.4828485190152172E-2</v>
      </c>
      <c r="U14" s="8">
        <f>LN('[1]Page 321, top'!U9/'[1]Page 321, top'!U8)</f>
        <v>2.6338314183262136E-2</v>
      </c>
      <c r="V14" s="8">
        <f>LN('[1]Page 321, top'!V9/'[1]Page 321, top'!V8)</f>
        <v>-6.2872933633058056E-2</v>
      </c>
      <c r="W14" s="8">
        <f>LN('[1]Page 321, top'!W9/'[1]Page 321, top'!W8)</f>
        <v>8.8683982175134984E-2</v>
      </c>
      <c r="X14" s="8">
        <f>LN('[1]Page 321, top'!X9/'[1]Page 321, top'!X8)</f>
        <v>6.3384957619382039E-3</v>
      </c>
      <c r="Y14" s="8">
        <f>LN('[1]Page 321, top'!Y9/'[1]Page 321, top'!Y8)</f>
        <v>-3.9290135903144265E-2</v>
      </c>
      <c r="Z14" s="8">
        <f>LN('[1]Page 321, top'!Z9/'[1]Page 321, top'!Z8)</f>
        <v>4.4608973409030986E-2</v>
      </c>
      <c r="AA14" s="8">
        <f>LN('[1]Page 321, top'!AA9/'[1]Page 321, top'!AA8)</f>
        <v>3.6546199657466596E-2</v>
      </c>
      <c r="AB14" s="8">
        <f>LN('[1]Page 321, top'!AB9/'[1]Page 321, top'!AB8)</f>
        <v>-3.8346497320580909E-2</v>
      </c>
      <c r="AC14" s="8">
        <f>LN('[1]Page 321, top'!AC9/'[1]Page 321, top'!AC8)</f>
        <v>6.1503365074926306E-2</v>
      </c>
      <c r="AD14" s="8">
        <f>LN('[1]Page 321, top'!AD9/'[1]Page 321, top'!AD8)</f>
        <v>-1.5863029292099467E-2</v>
      </c>
      <c r="AE14" s="8">
        <f>LN('[1]Page 321, top'!AE9/'[1]Page 321, top'!AE8)</f>
        <v>4.1314270146626794E-2</v>
      </c>
      <c r="AF14" s="8">
        <f>LN('[1]Page 321, top'!AF9/'[1]Page 321, top'!AF8)</f>
        <v>-6.2482452639390828E-3</v>
      </c>
    </row>
    <row r="15" spans="1:32" x14ac:dyDescent="0.25">
      <c r="A15" s="20">
        <v>37288</v>
      </c>
      <c r="B15" s="8">
        <f>LN('[1]Page 321, top'!B10/'[1]Page 321, top'!B9)</f>
        <v>-2.0984886675167722E-2</v>
      </c>
      <c r="C15" s="8">
        <f>LN('[1]Page 321, top'!C10/'[1]Page 321, top'!C9)</f>
        <v>5.1431364020888035E-2</v>
      </c>
      <c r="D15" s="8">
        <f>LN('[1]Page 321, top'!D10/'[1]Page 321, top'!D9)</f>
        <v>-1.7944652479050878E-3</v>
      </c>
      <c r="E15" s="8">
        <f>LN('[1]Page 321, top'!E10/'[1]Page 321, top'!E9)</f>
        <v>1.6784991730180783E-2</v>
      </c>
      <c r="F15" s="8">
        <f>LN('[1]Page 321, top'!F10/'[1]Page 321, top'!F9)</f>
        <v>0.11969034121265121</v>
      </c>
      <c r="G15" s="8">
        <f>LN('[1]Page 321, top'!G10/'[1]Page 321, top'!G9)</f>
        <v>-4.6373731257803565E-2</v>
      </c>
      <c r="H15" s="8">
        <f>LN('[1]Page 321, top'!H10/'[1]Page 321, top'!H9)</f>
        <v>9.8835564216469551E-2</v>
      </c>
      <c r="I15" s="8">
        <f>LN('[1]Page 321, top'!I10/'[1]Page 321, top'!I9)</f>
        <v>6.6572709312355663E-2</v>
      </c>
      <c r="J15" s="8">
        <f>LN('[1]Page 321, top'!J10/'[1]Page 321, top'!J9)</f>
        <v>8.8041688853115377E-2</v>
      </c>
      <c r="K15" s="8">
        <f>LN('[1]Page 321, top'!K10/'[1]Page 321, top'!K9)</f>
        <v>4.0349585041476566E-2</v>
      </c>
      <c r="L15" s="8">
        <f>LN('[1]Page 321, top'!L10/'[1]Page 321, top'!L9)</f>
        <v>4.5549580368746484E-2</v>
      </c>
      <c r="M15" s="8">
        <f>LN('[1]Page 321, top'!M10/'[1]Page 321, top'!M9)</f>
        <v>-1.8732443816804475E-3</v>
      </c>
      <c r="N15" s="8">
        <f>LN('[1]Page 321, top'!N10/'[1]Page 321, top'!N9)</f>
        <v>0.13141753363168499</v>
      </c>
      <c r="O15" s="8">
        <f>LN('[1]Page 321, top'!O10/'[1]Page 321, top'!O9)</f>
        <v>-9.4438466833245069E-2</v>
      </c>
      <c r="P15" s="8">
        <f>LN('[1]Page 321, top'!P10/'[1]Page 321, top'!P9)</f>
        <v>-9.3597801200443129E-2</v>
      </c>
      <c r="Q15" s="8">
        <f>LN('[1]Page 321, top'!Q10/'[1]Page 321, top'!Q9)</f>
        <v>-0.20422941807914533</v>
      </c>
      <c r="R15" s="8">
        <f>LN('[1]Page 321, top'!R10/'[1]Page 321, top'!R9)</f>
        <v>6.0258087505275552E-2</v>
      </c>
      <c r="S15" s="8">
        <f>LN('[1]Page 321, top'!S10/'[1]Page 321, top'!S9)</f>
        <v>-0.15203120778614188</v>
      </c>
      <c r="T15" s="8">
        <f>LN('[1]Page 321, top'!T10/'[1]Page 321, top'!T9)</f>
        <v>7.9732172774681864E-2</v>
      </c>
      <c r="U15" s="8">
        <f>LN('[1]Page 321, top'!U10/'[1]Page 321, top'!U9)</f>
        <v>-4.0592271663461701E-2</v>
      </c>
      <c r="V15" s="8">
        <f>LN('[1]Page 321, top'!V10/'[1]Page 321, top'!V9)</f>
        <v>6.6016718006881941E-2</v>
      </c>
      <c r="W15" s="8">
        <f>LN('[1]Page 321, top'!W10/'[1]Page 321, top'!W9)</f>
        <v>4.9617249460301077E-2</v>
      </c>
      <c r="X15" s="8">
        <f>LN('[1]Page 321, top'!X10/'[1]Page 321, top'!X9)</f>
        <v>3.5788285136419642E-2</v>
      </c>
      <c r="Y15" s="8">
        <f>LN('[1]Page 321, top'!Y10/'[1]Page 321, top'!Y9)</f>
        <v>-8.7865039582102275E-2</v>
      </c>
      <c r="Z15" s="8">
        <f>LN('[1]Page 321, top'!Z10/'[1]Page 321, top'!Z9)</f>
        <v>-1.3930040413445774E-2</v>
      </c>
      <c r="AA15" s="8">
        <f>LN('[1]Page 321, top'!AA10/'[1]Page 321, top'!AA9)</f>
        <v>3.7323648908988684E-2</v>
      </c>
      <c r="AB15" s="8">
        <f>LN('[1]Page 321, top'!AB10/'[1]Page 321, top'!AB9)</f>
        <v>1.0304229446724666E-2</v>
      </c>
      <c r="AC15" s="8">
        <f>LN('[1]Page 321, top'!AC10/'[1]Page 321, top'!AC9)</f>
        <v>6.3229888861985634E-2</v>
      </c>
      <c r="AD15" s="8">
        <f>LN('[1]Page 321, top'!AD10/'[1]Page 321, top'!AD9)</f>
        <v>9.6518291994588824E-3</v>
      </c>
      <c r="AE15" s="8">
        <f>LN('[1]Page 321, top'!AE10/'[1]Page 321, top'!AE9)</f>
        <v>3.3310791837118298E-2</v>
      </c>
      <c r="AF15" s="8">
        <f>LN('[1]Page 321, top'!AF10/'[1]Page 321, top'!AF9)</f>
        <v>6.1864007641756563E-2</v>
      </c>
    </row>
    <row r="16" spans="1:32" x14ac:dyDescent="0.25">
      <c r="A16" s="20">
        <v>37316</v>
      </c>
      <c r="B16" s="8">
        <f>LN('[1]Page 321, top'!B11/'[1]Page 321, top'!B10)</f>
        <v>3.6080076252758407E-2</v>
      </c>
      <c r="C16" s="8">
        <f>LN('[1]Page 321, top'!C11/'[1]Page 321, top'!C10)</f>
        <v>4.6525236584155066E-3</v>
      </c>
      <c r="D16" s="8">
        <f>LN('[1]Page 321, top'!D11/'[1]Page 321, top'!D10)</f>
        <v>-2.5183199888472337E-2</v>
      </c>
      <c r="E16" s="8">
        <f>LN('[1]Page 321, top'!E11/'[1]Page 321, top'!E10)</f>
        <v>0.11662193247804178</v>
      </c>
      <c r="F16" s="8">
        <f>LN('[1]Page 321, top'!F11/'[1]Page 321, top'!F10)</f>
        <v>4.8522103586135346E-2</v>
      </c>
      <c r="G16" s="8">
        <f>LN('[1]Page 321, top'!G11/'[1]Page 321, top'!G10)</f>
        <v>9.0201955226984876E-2</v>
      </c>
      <c r="H16" s="8">
        <f>LN('[1]Page 321, top'!H11/'[1]Page 321, top'!H10)</f>
        <v>2.3833908023618247E-2</v>
      </c>
      <c r="I16" s="8">
        <f>LN('[1]Page 321, top'!I11/'[1]Page 321, top'!I10)</f>
        <v>6.6152391187194043E-3</v>
      </c>
      <c r="J16" s="8">
        <f>LN('[1]Page 321, top'!J11/'[1]Page 321, top'!J10)</f>
        <v>3.6182762224996126E-3</v>
      </c>
      <c r="K16" s="8">
        <f>LN('[1]Page 321, top'!K11/'[1]Page 321, top'!K10)</f>
        <v>-2.8910568075509839E-2</v>
      </c>
      <c r="L16" s="8">
        <f>LN('[1]Page 321, top'!L11/'[1]Page 321, top'!L10)</f>
        <v>0.13197757299470086</v>
      </c>
      <c r="M16" s="8">
        <f>LN('[1]Page 321, top'!M11/'[1]Page 321, top'!M10)</f>
        <v>-2.7242736393874256E-2</v>
      </c>
      <c r="N16" s="8">
        <f>LN('[1]Page 321, top'!N11/'[1]Page 321, top'!N10)</f>
        <v>4.0579765831008459E-3</v>
      </c>
      <c r="O16" s="8">
        <f>LN('[1]Page 321, top'!O11/'[1]Page 321, top'!O10)</f>
        <v>-0.11081852635959275</v>
      </c>
      <c r="P16" s="8">
        <f>LN('[1]Page 321, top'!P11/'[1]Page 321, top'!P10)</f>
        <v>5.8221028970948878E-2</v>
      </c>
      <c r="Q16" s="8">
        <f>LN('[1]Page 321, top'!Q11/'[1]Page 321, top'!Q10)</f>
        <v>6.2971389688850923E-2</v>
      </c>
      <c r="R16" s="8">
        <f>LN('[1]Page 321, top'!R11/'[1]Page 321, top'!R10)</f>
        <v>6.436075916039001E-2</v>
      </c>
      <c r="S16" s="8">
        <f>LN('[1]Page 321, top'!S11/'[1]Page 321, top'!S10)</f>
        <v>0.19786574412994123</v>
      </c>
      <c r="T16" s="8">
        <f>LN('[1]Page 321, top'!T11/'[1]Page 321, top'!T10)</f>
        <v>0.10200057969557871</v>
      </c>
      <c r="U16" s="8">
        <f>LN('[1]Page 321, top'!U11/'[1]Page 321, top'!U10)</f>
        <v>6.1637475497447559E-2</v>
      </c>
      <c r="V16" s="8">
        <f>LN('[1]Page 321, top'!V11/'[1]Page 321, top'!V10)</f>
        <v>-2.5242061885177698E-2</v>
      </c>
      <c r="W16" s="8">
        <f>LN('[1]Page 321, top'!W11/'[1]Page 321, top'!W10)</f>
        <v>1.1436865190946199E-2</v>
      </c>
      <c r="X16" s="8">
        <f>LN('[1]Page 321, top'!X11/'[1]Page 321, top'!X10)</f>
        <v>-5.7505127535623791E-2</v>
      </c>
      <c r="Y16" s="8">
        <f>LN('[1]Page 321, top'!Y11/'[1]Page 321, top'!Y10)</f>
        <v>3.3336420267591711E-2</v>
      </c>
      <c r="Z16" s="8">
        <f>LN('[1]Page 321, top'!Z11/'[1]Page 321, top'!Z10)</f>
        <v>-3.0400807559221411E-2</v>
      </c>
      <c r="AA16" s="8">
        <f>LN('[1]Page 321, top'!AA11/'[1]Page 321, top'!AA10)</f>
        <v>6.0563914577078028E-2</v>
      </c>
      <c r="AB16" s="8">
        <f>LN('[1]Page 321, top'!AB11/'[1]Page 321, top'!AB10)</f>
        <v>-1.0638398205055643E-2</v>
      </c>
      <c r="AC16" s="8">
        <f>LN('[1]Page 321, top'!AC11/'[1]Page 321, top'!AC10)</f>
        <v>1.7149090522259349E-2</v>
      </c>
      <c r="AD16" s="8">
        <f>LN('[1]Page 321, top'!AD11/'[1]Page 321, top'!AD10)</f>
        <v>-1.5171622423056794E-2</v>
      </c>
      <c r="AE16" s="8">
        <f>LN('[1]Page 321, top'!AE11/'[1]Page 321, top'!AE10)</f>
        <v>-1.0301534991240572E-2</v>
      </c>
      <c r="AF16" s="8">
        <f>LN('[1]Page 321, top'!AF11/'[1]Page 321, top'!AF10)</f>
        <v>5.9521269088767141E-2</v>
      </c>
    </row>
    <row r="17" spans="1:32" x14ac:dyDescent="0.25">
      <c r="A17" s="20">
        <v>37347</v>
      </c>
      <c r="B17" s="8">
        <f>LN('[1]Page 321, top'!B12/'[1]Page 321, top'!B11)</f>
        <v>-6.3384682784413518E-2</v>
      </c>
      <c r="C17" s="8">
        <f>LN('[1]Page 321, top'!C12/'[1]Page 321, top'!C11)</f>
        <v>-0.10352485502932729</v>
      </c>
      <c r="D17" s="8">
        <f>LN('[1]Page 321, top'!D12/'[1]Page 321, top'!D11)</f>
        <v>-4.269514666027549E-2</v>
      </c>
      <c r="E17" s="8">
        <f>LN('[1]Page 321, top'!E12/'[1]Page 321, top'!E11)</f>
        <v>3.1897953681000808E-3</v>
      </c>
      <c r="F17" s="8">
        <f>LN('[1]Page 321, top'!F12/'[1]Page 321, top'!F11)</f>
        <v>-7.851721112632741E-2</v>
      </c>
      <c r="G17" s="8">
        <f>LN('[1]Page 321, top'!G12/'[1]Page 321, top'!G11)</f>
        <v>-0.13405661191564541</v>
      </c>
      <c r="H17" s="8">
        <f>LN('[1]Page 321, top'!H12/'[1]Page 321, top'!H11)</f>
        <v>-3.3768422473594267E-2</v>
      </c>
      <c r="I17" s="8">
        <f>LN('[1]Page 321, top'!I12/'[1]Page 321, top'!I11)</f>
        <v>-5.7805035265647606E-2</v>
      </c>
      <c r="J17" s="8">
        <f>LN('[1]Page 321, top'!J12/'[1]Page 321, top'!J11)</f>
        <v>4.0549728912370551E-3</v>
      </c>
      <c r="K17" s="8">
        <f>LN('[1]Page 321, top'!K12/'[1]Page 321, top'!K11)</f>
        <v>-0.17024274989813087</v>
      </c>
      <c r="L17" s="8">
        <f>LN('[1]Page 321, top'!L12/'[1]Page 321, top'!L11)</f>
        <v>5.9403672104483787E-2</v>
      </c>
      <c r="M17" s="8">
        <f>LN('[1]Page 321, top'!M12/'[1]Page 321, top'!M11)</f>
        <v>-4.7121678894988021E-2</v>
      </c>
      <c r="N17" s="8">
        <f>LN('[1]Page 321, top'!N12/'[1]Page 321, top'!N11)</f>
        <v>-4.2547037621728657E-2</v>
      </c>
      <c r="O17" s="8">
        <f>LN('[1]Page 321, top'!O12/'[1]Page 321, top'!O11)</f>
        <v>-4.8136005780311027E-2</v>
      </c>
      <c r="P17" s="8">
        <f>LN('[1]Page 321, top'!P12/'[1]Page 321, top'!P11)</f>
        <v>-0.2164329507618839</v>
      </c>
      <c r="Q17" s="8">
        <f>LN('[1]Page 321, top'!Q12/'[1]Page 321, top'!Q11)</f>
        <v>-6.0795110266255288E-2</v>
      </c>
      <c r="R17" s="8">
        <f>LN('[1]Page 321, top'!R12/'[1]Page 321, top'!R11)</f>
        <v>-1.6807118316381289E-2</v>
      </c>
      <c r="S17" s="8">
        <f>LN('[1]Page 321, top'!S12/'[1]Page 321, top'!S11)</f>
        <v>-1.5479186848460088E-2</v>
      </c>
      <c r="T17" s="8">
        <f>LN('[1]Page 321, top'!T12/'[1]Page 321, top'!T11)</f>
        <v>6.0401874349266242E-2</v>
      </c>
      <c r="U17" s="8">
        <f>LN('[1]Page 321, top'!U12/'[1]Page 321, top'!U11)</f>
        <v>2.2875568599075361E-2</v>
      </c>
      <c r="V17" s="8">
        <f>LN('[1]Page 321, top'!V12/'[1]Page 321, top'!V11)</f>
        <v>8.9769043074332422E-2</v>
      </c>
      <c r="W17" s="8">
        <f>LN('[1]Page 321, top'!W12/'[1]Page 321, top'!W11)</f>
        <v>3.2858600979075607E-2</v>
      </c>
      <c r="X17" s="8">
        <f>LN('[1]Page 321, top'!X12/'[1]Page 321, top'!X11)</f>
        <v>-5.7817008524070991E-2</v>
      </c>
      <c r="Y17" s="8">
        <f>LN('[1]Page 321, top'!Y12/'[1]Page 321, top'!Y11)</f>
        <v>-0.14321815601433052</v>
      </c>
      <c r="Z17" s="8">
        <f>LN('[1]Page 321, top'!Z12/'[1]Page 321, top'!Z11)</f>
        <v>-8.8934551832093325E-2</v>
      </c>
      <c r="AA17" s="8">
        <f>LN('[1]Page 321, top'!AA12/'[1]Page 321, top'!AA11)</f>
        <v>6.0525544896669753E-3</v>
      </c>
      <c r="AB17" s="8">
        <f>LN('[1]Page 321, top'!AB12/'[1]Page 321, top'!AB11)</f>
        <v>-0.17965132823807586</v>
      </c>
      <c r="AC17" s="8">
        <f>LN('[1]Page 321, top'!AC12/'[1]Page 321, top'!AC11)</f>
        <v>-5.6006339979803317E-2</v>
      </c>
      <c r="AD17" s="8">
        <f>LN('[1]Page 321, top'!AD12/'[1]Page 321, top'!AD11)</f>
        <v>-0.1304485675204701</v>
      </c>
      <c r="AE17" s="8">
        <f>LN('[1]Page 321, top'!AE12/'[1]Page 321, top'!AE11)</f>
        <v>-9.2970362870169576E-2</v>
      </c>
      <c r="AF17" s="8">
        <f>LN('[1]Page 321, top'!AF12/'[1]Page 321, top'!AF11)</f>
        <v>-8.7217853469251205E-2</v>
      </c>
    </row>
    <row r="18" spans="1:32" x14ac:dyDescent="0.25">
      <c r="A18" s="20">
        <v>37377</v>
      </c>
      <c r="B18" s="8">
        <f>LN('[1]Page 321, top'!B13/'[1]Page 321, top'!B12)</f>
        <v>-9.122942297125956E-3</v>
      </c>
      <c r="C18" s="8">
        <f>LN('[1]Page 321, top'!C13/'[1]Page 321, top'!C12)</f>
        <v>3.1979929622318874E-2</v>
      </c>
      <c r="D18" s="8">
        <f>LN('[1]Page 321, top'!D13/'[1]Page 321, top'!D12)</f>
        <v>-3.1543618535442949E-2</v>
      </c>
      <c r="E18" s="8">
        <f>LN('[1]Page 321, top'!E13/'[1]Page 321, top'!E12)</f>
        <v>3.5829820688122127E-2</v>
      </c>
      <c r="F18" s="8">
        <f>LN('[1]Page 321, top'!F13/'[1]Page 321, top'!F12)</f>
        <v>-4.0942833140425211E-2</v>
      </c>
      <c r="G18" s="8">
        <f>LN('[1]Page 321, top'!G13/'[1]Page 321, top'!G12)</f>
        <v>1.1201345332493495E-3</v>
      </c>
      <c r="H18" s="8">
        <f>LN('[1]Page 321, top'!H13/'[1]Page 321, top'!H12)</f>
        <v>-4.4088772984649124E-2</v>
      </c>
      <c r="I18" s="8">
        <f>LN('[1]Page 321, top'!I13/'[1]Page 321, top'!I12)</f>
        <v>4.1059999829931984E-2</v>
      </c>
      <c r="J18" s="8">
        <f>LN('[1]Page 321, top'!J13/'[1]Page 321, top'!J12)</f>
        <v>-1.1759520406906249E-2</v>
      </c>
      <c r="K18" s="8">
        <f>LN('[1]Page 321, top'!K13/'[1]Page 321, top'!K12)</f>
        <v>-1.2857319975237317E-2</v>
      </c>
      <c r="L18" s="8">
        <f>LN('[1]Page 321, top'!L13/'[1]Page 321, top'!L12)</f>
        <v>-2.4291106210459393E-2</v>
      </c>
      <c r="M18" s="8">
        <f>LN('[1]Page 321, top'!M13/'[1]Page 321, top'!M12)</f>
        <v>-0.10645826538135635</v>
      </c>
      <c r="N18" s="8">
        <f>LN('[1]Page 321, top'!N13/'[1]Page 321, top'!N12)</f>
        <v>7.1344465925884379E-2</v>
      </c>
      <c r="O18" s="8">
        <f>LN('[1]Page 321, top'!O13/'[1]Page 321, top'!O12)</f>
        <v>0.11040395588041478</v>
      </c>
      <c r="P18" s="8">
        <f>LN('[1]Page 321, top'!P13/'[1]Page 321, top'!P12)</f>
        <v>-3.8378858051192878E-2</v>
      </c>
      <c r="Q18" s="8">
        <f>LN('[1]Page 321, top'!Q13/'[1]Page 321, top'!Q12)</f>
        <v>-3.4651457972541773E-2</v>
      </c>
      <c r="R18" s="8">
        <f>LN('[1]Page 321, top'!R13/'[1]Page 321, top'!R12)</f>
        <v>-3.6769482587011189E-2</v>
      </c>
      <c r="S18" s="8">
        <f>LN('[1]Page 321, top'!S13/'[1]Page 321, top'!S12)</f>
        <v>2.4082075655727977E-2</v>
      </c>
      <c r="T18" s="8">
        <f>LN('[1]Page 321, top'!T13/'[1]Page 321, top'!T12)</f>
        <v>7.9176567873402574E-4</v>
      </c>
      <c r="U18" s="8">
        <f>LN('[1]Page 321, top'!U13/'[1]Page 321, top'!U12)</f>
        <v>5.2856339064220076E-2</v>
      </c>
      <c r="V18" s="8">
        <f>LN('[1]Page 321, top'!V13/'[1]Page 321, top'!V12)</f>
        <v>1.9022919701089634E-3</v>
      </c>
      <c r="W18" s="8">
        <f>LN('[1]Page 321, top'!W13/'[1]Page 321, top'!W12)</f>
        <v>5.0513531487687044E-2</v>
      </c>
      <c r="X18" s="8">
        <f>LN('[1]Page 321, top'!X13/'[1]Page 321, top'!X12)</f>
        <v>4.9387260129633438E-2</v>
      </c>
      <c r="Y18" s="8">
        <f>LN('[1]Page 321, top'!Y13/'[1]Page 321, top'!Y12)</f>
        <v>-2.6299710583961015E-2</v>
      </c>
      <c r="Z18" s="8">
        <f>LN('[1]Page 321, top'!Z13/'[1]Page 321, top'!Z12)</f>
        <v>-4.6028024943851012E-2</v>
      </c>
      <c r="AA18" s="8">
        <f>LN('[1]Page 321, top'!AA13/'[1]Page 321, top'!AA12)</f>
        <v>-7.7538551795234053E-3</v>
      </c>
      <c r="AB18" s="8">
        <f>LN('[1]Page 321, top'!AB13/'[1]Page 321, top'!AB12)</f>
        <v>9.8939947854903648E-2</v>
      </c>
      <c r="AC18" s="8">
        <f>LN('[1]Page 321, top'!AC13/'[1]Page 321, top'!AC12)</f>
        <v>-1.5047113320115641E-2</v>
      </c>
      <c r="AD18" s="8">
        <f>LN('[1]Page 321, top'!AD13/'[1]Page 321, top'!AD12)</f>
        <v>6.9593291799195392E-2</v>
      </c>
      <c r="AE18" s="8">
        <f>LN('[1]Page 321, top'!AE13/'[1]Page 321, top'!AE12)</f>
        <v>-3.198910026780194E-2</v>
      </c>
      <c r="AF18" s="8">
        <f>LN('[1]Page 321, top'!AF13/'[1]Page 321, top'!AF12)</f>
        <v>-2.7536830684811583E-4</v>
      </c>
    </row>
    <row r="19" spans="1:32" x14ac:dyDescent="0.25">
      <c r="A19" s="20">
        <v>37410</v>
      </c>
      <c r="B19" s="8">
        <f>LN('[1]Page 321, top'!B14/'[1]Page 321, top'!B13)</f>
        <v>-7.5214343275906148E-2</v>
      </c>
      <c r="C19" s="8">
        <f>LN('[1]Page 321, top'!C14/'[1]Page 321, top'!C13)</f>
        <v>-5.3772953432492283E-2</v>
      </c>
      <c r="D19" s="8">
        <f>LN('[1]Page 321, top'!D14/'[1]Page 321, top'!D13)</f>
        <v>1.9195027491194547E-2</v>
      </c>
      <c r="E19" s="8">
        <f>LN('[1]Page 321, top'!E14/'[1]Page 321, top'!E13)</f>
        <v>-0.15727473524384245</v>
      </c>
      <c r="F19" s="8">
        <f>LN('[1]Page 321, top'!F14/'[1]Page 321, top'!F13)</f>
        <v>5.3669622760008306E-2</v>
      </c>
      <c r="G19" s="8">
        <f>LN('[1]Page 321, top'!G14/'[1]Page 321, top'!G13)</f>
        <v>-0.10806965833025482</v>
      </c>
      <c r="H19" s="8">
        <f>LN('[1]Page 321, top'!H14/'[1]Page 321, top'!H13)</f>
        <v>-6.5540692592752997E-2</v>
      </c>
      <c r="I19" s="8">
        <f>LN('[1]Page 321, top'!I14/'[1]Page 321, top'!I13)</f>
        <v>-3.5641330914068861E-2</v>
      </c>
      <c r="J19" s="8">
        <f>LN('[1]Page 321, top'!J14/'[1]Page 321, top'!J13)</f>
        <v>-0.19256492420871571</v>
      </c>
      <c r="K19" s="8">
        <f>LN('[1]Page 321, top'!K14/'[1]Page 321, top'!K13)</f>
        <v>-6.3436803784259463E-2</v>
      </c>
      <c r="L19" s="8">
        <f>LN('[1]Page 321, top'!L14/'[1]Page 321, top'!L13)</f>
        <v>-0.15081827824135915</v>
      </c>
      <c r="M19" s="8">
        <f>LN('[1]Page 321, top'!M14/'[1]Page 321, top'!M13)</f>
        <v>-0.12536286334612179</v>
      </c>
      <c r="N19" s="8">
        <f>LN('[1]Page 321, top'!N14/'[1]Page 321, top'!N13)</f>
        <v>-0.10667297483188079</v>
      </c>
      <c r="O19" s="8">
        <f>LN('[1]Page 321, top'!O14/'[1]Page 321, top'!O13)</f>
        <v>-0.21840354522772715</v>
      </c>
      <c r="P19" s="8">
        <f>LN('[1]Page 321, top'!P14/'[1]Page 321, top'!P13)</f>
        <v>-0.1109531307938864</v>
      </c>
      <c r="Q19" s="8">
        <f>LN('[1]Page 321, top'!Q14/'[1]Page 321, top'!Q13)</f>
        <v>-0.4129952641719174</v>
      </c>
      <c r="R19" s="8">
        <f>LN('[1]Page 321, top'!R14/'[1]Page 321, top'!R13)</f>
        <v>-0.16044204263381684</v>
      </c>
      <c r="S19" s="8">
        <f>LN('[1]Page 321, top'!S14/'[1]Page 321, top'!S13)</f>
        <v>-5.812932395766944E-2</v>
      </c>
      <c r="T19" s="8">
        <f>LN('[1]Page 321, top'!T14/'[1]Page 321, top'!T13)</f>
        <v>1.1606307131859832E-2</v>
      </c>
      <c r="U19" s="8">
        <f>LN('[1]Page 321, top'!U14/'[1]Page 321, top'!U13)</f>
        <v>-5.0973453928769133E-2</v>
      </c>
      <c r="V19" s="8">
        <f>LN('[1]Page 321, top'!V14/'[1]Page 321, top'!V13)</f>
        <v>-1.9540049471441244E-2</v>
      </c>
      <c r="W19" s="8">
        <f>LN('[1]Page 321, top'!W14/'[1]Page 321, top'!W13)</f>
        <v>-0.25818816652428989</v>
      </c>
      <c r="X19" s="8">
        <f>LN('[1]Page 321, top'!X14/'[1]Page 321, top'!X13)</f>
        <v>-0.11366735780091598</v>
      </c>
      <c r="Y19" s="8">
        <f>LN('[1]Page 321, top'!Y14/'[1]Page 321, top'!Y13)</f>
        <v>7.18793970343755E-2</v>
      </c>
      <c r="Z19" s="8">
        <f>LN('[1]Page 321, top'!Z14/'[1]Page 321, top'!Z13)</f>
        <v>1.1392528281094841E-2</v>
      </c>
      <c r="AA19" s="8">
        <f>LN('[1]Page 321, top'!AA14/'[1]Page 321, top'!AA13)</f>
        <v>4.8532004988862043E-3</v>
      </c>
      <c r="AB19" s="8">
        <f>LN('[1]Page 321, top'!AB14/'[1]Page 321, top'!AB13)</f>
        <v>-0.11710391848257479</v>
      </c>
      <c r="AC19" s="8">
        <f>LN('[1]Page 321, top'!AC14/'[1]Page 321, top'!AC13)</f>
        <v>-1.4334929170992232E-2</v>
      </c>
      <c r="AD19" s="8">
        <f>LN('[1]Page 321, top'!AD14/'[1]Page 321, top'!AD13)</f>
        <v>-6.8692796465945172E-2</v>
      </c>
      <c r="AE19" s="8">
        <f>LN('[1]Page 321, top'!AE14/'[1]Page 321, top'!AE13)</f>
        <v>1.7918893474271808E-2</v>
      </c>
      <c r="AF19" s="8">
        <f>LN('[1]Page 321, top'!AF14/'[1]Page 321, top'!AF13)</f>
        <v>2.4484356932286747E-2</v>
      </c>
    </row>
    <row r="20" spans="1:32" x14ac:dyDescent="0.25">
      <c r="A20" s="20">
        <v>37438</v>
      </c>
      <c r="B20" s="8">
        <f>LN('[1]Page 321, top'!B15/'[1]Page 321, top'!B14)</f>
        <v>-8.2299871837899052E-2</v>
      </c>
      <c r="C20" s="8">
        <f>LN('[1]Page 321, top'!C15/'[1]Page 321, top'!C14)</f>
        <v>-0.19749695818804633</v>
      </c>
      <c r="D20" s="8">
        <f>LN('[1]Page 321, top'!D15/'[1]Page 321, top'!D14)</f>
        <v>-6.5257342301863905E-2</v>
      </c>
      <c r="E20" s="8">
        <f>LN('[1]Page 321, top'!E15/'[1]Page 321, top'!E14)</f>
        <v>-2.7507948197920899E-2</v>
      </c>
      <c r="F20" s="8">
        <f>LN('[1]Page 321, top'!F15/'[1]Page 321, top'!F14)</f>
        <v>-8.0718988156795304E-2</v>
      </c>
      <c r="G20" s="8">
        <f>LN('[1]Page 321, top'!G15/'[1]Page 321, top'!G14)</f>
        <v>-0.14432487806645969</v>
      </c>
      <c r="H20" s="8">
        <f>LN('[1]Page 321, top'!H15/'[1]Page 321, top'!H14)</f>
        <v>-8.2645616963003099E-2</v>
      </c>
      <c r="I20" s="8">
        <f>LN('[1]Page 321, top'!I15/'[1]Page 321, top'!I14)</f>
        <v>-5.7461205582103388E-2</v>
      </c>
      <c r="J20" s="8">
        <f>LN('[1]Page 321, top'!J15/'[1]Page 321, top'!J14)</f>
        <v>-6.3766618358989155E-2</v>
      </c>
      <c r="K20" s="8">
        <f>LN('[1]Page 321, top'!K15/'[1]Page 321, top'!K14)</f>
        <v>0.10290633849230048</v>
      </c>
      <c r="L20" s="8">
        <f>LN('[1]Page 321, top'!L15/'[1]Page 321, top'!L14)</f>
        <v>-0.13825282112290918</v>
      </c>
      <c r="M20" s="8">
        <f>LN('[1]Page 321, top'!M15/'[1]Page 321, top'!M14)</f>
        <v>-0.17353177741703407</v>
      </c>
      <c r="N20" s="8">
        <f>LN('[1]Page 321, top'!N15/'[1]Page 321, top'!N14)</f>
        <v>-8.5136962195279428E-2</v>
      </c>
      <c r="O20" s="8">
        <f>LN('[1]Page 321, top'!O15/'[1]Page 321, top'!O14)</f>
        <v>-7.6571687180657641E-2</v>
      </c>
      <c r="P20" s="8">
        <f>LN('[1]Page 321, top'!P15/'[1]Page 321, top'!P14)</f>
        <v>-2.2541491041347252E-2</v>
      </c>
      <c r="Q20" s="8">
        <f>LN('[1]Page 321, top'!Q15/'[1]Page 321, top'!Q14)</f>
        <v>2.7950394108345294E-2</v>
      </c>
      <c r="R20" s="8">
        <f>LN('[1]Page 321, top'!R15/'[1]Page 321, top'!R14)</f>
        <v>6.5843859281792382E-3</v>
      </c>
      <c r="S20" s="8">
        <f>LN('[1]Page 321, top'!S15/'[1]Page 321, top'!S14)</f>
        <v>-0.30691996347822859</v>
      </c>
      <c r="T20" s="8">
        <f>LN('[1]Page 321, top'!T15/'[1]Page 321, top'!T14)</f>
        <v>-0.11446369257156745</v>
      </c>
      <c r="U20" s="8">
        <f>LN('[1]Page 321, top'!U15/'[1]Page 321, top'!U14)</f>
        <v>-0.13946100948092249</v>
      </c>
      <c r="V20" s="8">
        <f>LN('[1]Page 321, top'!V15/'[1]Page 321, top'!V14)</f>
        <v>2.2817327092116615E-2</v>
      </c>
      <c r="W20" s="8">
        <f>LN('[1]Page 321, top'!W15/'[1]Page 321, top'!W14)</f>
        <v>5.3027117760512429E-2</v>
      </c>
      <c r="X20" s="8">
        <f>LN('[1]Page 321, top'!X15/'[1]Page 321, top'!X14)</f>
        <v>-2.0639553296548048E-2</v>
      </c>
      <c r="Y20" s="8">
        <f>LN('[1]Page 321, top'!Y15/'[1]Page 321, top'!Y14)</f>
        <v>-0.13143187474223988</v>
      </c>
      <c r="Z20" s="8">
        <f>LN('[1]Page 321, top'!Z15/'[1]Page 321, top'!Z14)</f>
        <v>-7.8522990362838732E-2</v>
      </c>
      <c r="AA20" s="8">
        <f>LN('[1]Page 321, top'!AA15/'[1]Page 321, top'!AA14)</f>
        <v>1.6930709087237886E-3</v>
      </c>
      <c r="AB20" s="8">
        <f>LN('[1]Page 321, top'!AB15/'[1]Page 321, top'!AB14)</f>
        <v>-8.8975904930232483E-2</v>
      </c>
      <c r="AC20" s="8">
        <f>LN('[1]Page 321, top'!AC15/'[1]Page 321, top'!AC14)</f>
        <v>2.3267685319325215E-2</v>
      </c>
      <c r="AD20" s="8">
        <f>LN('[1]Page 321, top'!AD15/'[1]Page 321, top'!AD14)</f>
        <v>-0.18610909852081367</v>
      </c>
      <c r="AE20" s="8">
        <f>LN('[1]Page 321, top'!AE15/'[1]Page 321, top'!AE14)</f>
        <v>-0.11203724675971019</v>
      </c>
      <c r="AF20" s="8">
        <f>LN('[1]Page 321, top'!AF15/'[1]Page 321, top'!AF14)</f>
        <v>-0.10712384192652391</v>
      </c>
    </row>
    <row r="21" spans="1:32" x14ac:dyDescent="0.25">
      <c r="A21" s="20">
        <v>37469</v>
      </c>
      <c r="B21" s="8">
        <f>LN('[1]Page 321, top'!B16/'[1]Page 321, top'!B15)</f>
        <v>4.8695443903156652E-3</v>
      </c>
      <c r="C21" s="8">
        <f>LN('[1]Page 321, top'!C16/'[1]Page 321, top'!C15)</f>
        <v>-7.5279762968983976E-2</v>
      </c>
      <c r="D21" s="8">
        <f>LN('[1]Page 321, top'!D16/'[1]Page 321, top'!D15)</f>
        <v>-1.757117827535767E-2</v>
      </c>
      <c r="E21" s="8">
        <f>LN('[1]Page 321, top'!E16/'[1]Page 321, top'!E15)</f>
        <v>2.2592323028594059E-2</v>
      </c>
      <c r="F21" s="8">
        <f>LN('[1]Page 321, top'!F16/'[1]Page 321, top'!F15)</f>
        <v>-0.10864232186784364</v>
      </c>
      <c r="G21" s="8">
        <f>LN('[1]Page 321, top'!G16/'[1]Page 321, top'!G15)</f>
        <v>5.1257270683949648E-2</v>
      </c>
      <c r="H21" s="8">
        <f>LN('[1]Page 321, top'!H16/'[1]Page 321, top'!H15)</f>
        <v>-2.4003111725371958E-2</v>
      </c>
      <c r="I21" s="8">
        <f>LN('[1]Page 321, top'!I16/'[1]Page 321, top'!I15)</f>
        <v>-3.0720556129501569E-2</v>
      </c>
      <c r="J21" s="8">
        <f>LN('[1]Page 321, top'!J16/'[1]Page 321, top'!J15)</f>
        <v>-0.12242341521288569</v>
      </c>
      <c r="K21" s="8">
        <f>LN('[1]Page 321, top'!K16/'[1]Page 321, top'!K15)</f>
        <v>-6.5690993317682592E-2</v>
      </c>
      <c r="L21" s="8">
        <f>LN('[1]Page 321, top'!L16/'[1]Page 321, top'!L15)</f>
        <v>3.9200346761899596E-2</v>
      </c>
      <c r="M21" s="8">
        <f>LN('[1]Page 321, top'!M16/'[1]Page 321, top'!M15)</f>
        <v>6.4517484228313049E-2</v>
      </c>
      <c r="N21" s="8">
        <f>LN('[1]Page 321, top'!N16/'[1]Page 321, top'!N15)</f>
        <v>-7.1622913914725195E-2</v>
      </c>
      <c r="O21" s="8">
        <f>LN('[1]Page 321, top'!O16/'[1]Page 321, top'!O15)</f>
        <v>-5.2400276393531675E-2</v>
      </c>
      <c r="P21" s="8">
        <f>LN('[1]Page 321, top'!P16/'[1]Page 321, top'!P15)</f>
        <v>7.0550710227707661E-2</v>
      </c>
      <c r="Q21" s="8">
        <f>LN('[1]Page 321, top'!Q16/'[1]Page 321, top'!Q15)</f>
        <v>-0.11867924749810754</v>
      </c>
      <c r="R21" s="8">
        <f>LN('[1]Page 321, top'!R16/'[1]Page 321, top'!R15)</f>
        <v>3.5656914690746486E-2</v>
      </c>
      <c r="S21" s="8">
        <f>LN('[1]Page 321, top'!S16/'[1]Page 321, top'!S15)</f>
        <v>5.5989744211750223E-2</v>
      </c>
      <c r="T21" s="8">
        <f>LN('[1]Page 321, top'!T16/'[1]Page 321, top'!T15)</f>
        <v>2.1048840473945431E-2</v>
      </c>
      <c r="U21" s="8">
        <f>LN('[1]Page 321, top'!U16/'[1]Page 321, top'!U15)</f>
        <v>-4.0605754925943018E-2</v>
      </c>
      <c r="V21" s="8">
        <f>LN('[1]Page 321, top'!V16/'[1]Page 321, top'!V15)</f>
        <v>-2.2411870427542419E-3</v>
      </c>
      <c r="W21" s="8">
        <f>LN('[1]Page 321, top'!W16/'[1]Page 321, top'!W15)</f>
        <v>8.2160633720963452E-2</v>
      </c>
      <c r="X21" s="8">
        <f>LN('[1]Page 321, top'!X16/'[1]Page 321, top'!X15)</f>
        <v>1.8448438603733165E-2</v>
      </c>
      <c r="Y21" s="8">
        <f>LN('[1]Page 321, top'!Y16/'[1]Page 321, top'!Y15)</f>
        <v>2.2749796300981041E-2</v>
      </c>
      <c r="Z21" s="8">
        <f>LN('[1]Page 321, top'!Z16/'[1]Page 321, top'!Z15)</f>
        <v>2.6202372394024117E-2</v>
      </c>
      <c r="AA21" s="8">
        <f>LN('[1]Page 321, top'!AA16/'[1]Page 321, top'!AA15)</f>
        <v>-3.8740968550840995E-3</v>
      </c>
      <c r="AB21" s="8">
        <f>LN('[1]Page 321, top'!AB16/'[1]Page 321, top'!AB15)</f>
        <v>-0.11201165448676881</v>
      </c>
      <c r="AC21" s="8">
        <f>LN('[1]Page 321, top'!AC16/'[1]Page 321, top'!AC15)</f>
        <v>-0.15312902056389266</v>
      </c>
      <c r="AD21" s="8">
        <f>LN('[1]Page 321, top'!AD16/'[1]Page 321, top'!AD15)</f>
        <v>-6.2636945145435732E-2</v>
      </c>
      <c r="AE21" s="8">
        <f>LN('[1]Page 321, top'!AE16/'[1]Page 321, top'!AE15)</f>
        <v>8.3871767743412165E-2</v>
      </c>
      <c r="AF21" s="8">
        <f>LN('[1]Page 321, top'!AF16/'[1]Page 321, top'!AF15)</f>
        <v>-2.9753257281908193E-2</v>
      </c>
    </row>
    <row r="22" spans="1:32" x14ac:dyDescent="0.25">
      <c r="A22" s="20">
        <v>37502</v>
      </c>
      <c r="B22" s="8">
        <f>LN('[1]Page 321, top'!B17/'[1]Page 321, top'!B16)</f>
        <v>-0.11656116844786664</v>
      </c>
      <c r="C22" s="8">
        <f>LN('[1]Page 321, top'!C17/'[1]Page 321, top'!C16)</f>
        <v>-0.26223468323067284</v>
      </c>
      <c r="D22" s="8">
        <f>LN('[1]Page 321, top'!D17/'[1]Page 321, top'!D16)</f>
        <v>-0.13732549188862203</v>
      </c>
      <c r="E22" s="8">
        <f>LN('[1]Page 321, top'!E17/'[1]Page 321, top'!E16)</f>
        <v>-0.1454284265363687</v>
      </c>
      <c r="F22" s="8">
        <f>LN('[1]Page 321, top'!F17/'[1]Page 321, top'!F16)</f>
        <v>-8.261714518565047E-2</v>
      </c>
      <c r="G22" s="8">
        <f>LN('[1]Page 321, top'!G17/'[1]Page 321, top'!G16)</f>
        <v>-9.9597248018244988E-2</v>
      </c>
      <c r="H22" s="8">
        <f>LN('[1]Page 321, top'!H17/'[1]Page 321, top'!H16)</f>
        <v>-0.15928696814671314</v>
      </c>
      <c r="I22" s="8">
        <f>LN('[1]Page 321, top'!I17/'[1]Page 321, top'!I16)</f>
        <v>-0.11106032126150675</v>
      </c>
      <c r="J22" s="8">
        <f>LN('[1]Page 321, top'!J17/'[1]Page 321, top'!J16)</f>
        <v>-3.5162513612693271E-2</v>
      </c>
      <c r="K22" s="8">
        <f>LN('[1]Page 321, top'!K17/'[1]Page 321, top'!K16)</f>
        <v>-0.19449871944121414</v>
      </c>
      <c r="L22" s="8">
        <f>LN('[1]Page 321, top'!L17/'[1]Page 321, top'!L16)</f>
        <v>-0.20716947675957453</v>
      </c>
      <c r="M22" s="8">
        <f>LN('[1]Page 321, top'!M17/'[1]Page 321, top'!M16)</f>
        <v>-0.23114327715708133</v>
      </c>
      <c r="N22" s="8">
        <f>LN('[1]Page 321, top'!N17/'[1]Page 321, top'!N16)</f>
        <v>-0.32367950510123739</v>
      </c>
      <c r="O22" s="8">
        <f>LN('[1]Page 321, top'!O17/'[1]Page 321, top'!O16)</f>
        <v>-0.13443596075494954</v>
      </c>
      <c r="P22" s="8">
        <f>LN('[1]Page 321, top'!P17/'[1]Page 321, top'!P16)</f>
        <v>-0.25673321878146271</v>
      </c>
      <c r="Q22" s="8">
        <f>LN('[1]Page 321, top'!Q17/'[1]Page 321, top'!Q16)</f>
        <v>-0.18269406564534726</v>
      </c>
      <c r="R22" s="8">
        <f>LN('[1]Page 321, top'!R17/'[1]Page 321, top'!R16)</f>
        <v>-4.1646069116321278E-3</v>
      </c>
      <c r="S22" s="8">
        <f>LN('[1]Page 321, top'!S17/'[1]Page 321, top'!S16)</f>
        <v>-0.32915250533907781</v>
      </c>
      <c r="T22" s="8">
        <f>LN('[1]Page 321, top'!T17/'[1]Page 321, top'!T16)</f>
        <v>-5.7448973801567112E-2</v>
      </c>
      <c r="U22" s="8">
        <f>LN('[1]Page 321, top'!U17/'[1]Page 321, top'!U16)</f>
        <v>-0.29673190797169874</v>
      </c>
      <c r="V22" s="8">
        <f>LN('[1]Page 321, top'!V17/'[1]Page 321, top'!V16)</f>
        <v>-0.12777845727413992</v>
      </c>
      <c r="W22" s="8">
        <f>LN('[1]Page 321, top'!W17/'[1]Page 321, top'!W16)</f>
        <v>-0.24010943692820372</v>
      </c>
      <c r="X22" s="8">
        <f>LN('[1]Page 321, top'!X17/'[1]Page 321, top'!X16)</f>
        <v>-9.2632802033608533E-2</v>
      </c>
      <c r="Y22" s="8">
        <f>LN('[1]Page 321, top'!Y17/'[1]Page 321, top'!Y16)</f>
        <v>-0.11509218875636305</v>
      </c>
      <c r="Z22" s="8">
        <f>LN('[1]Page 321, top'!Z17/'[1]Page 321, top'!Z16)</f>
        <v>-0.13088238445294573</v>
      </c>
      <c r="AA22" s="8">
        <f>LN('[1]Page 321, top'!AA17/'[1]Page 321, top'!AA16)</f>
        <v>8.2145907687138243E-3</v>
      </c>
      <c r="AB22" s="8">
        <f>LN('[1]Page 321, top'!AB17/'[1]Page 321, top'!AB16)</f>
        <v>-0.20733294528756743</v>
      </c>
      <c r="AC22" s="8">
        <f>LN('[1]Page 321, top'!AC17/'[1]Page 321, top'!AC16)</f>
        <v>-5.0202884247737375E-2</v>
      </c>
      <c r="AD22" s="8">
        <f>LN('[1]Page 321, top'!AD17/'[1]Page 321, top'!AD16)</f>
        <v>-0.12178294460612428</v>
      </c>
      <c r="AE22" s="8">
        <f>LN('[1]Page 321, top'!AE17/'[1]Page 321, top'!AE16)</f>
        <v>-8.1128281797661156E-2</v>
      </c>
      <c r="AF22" s="8">
        <f>LN('[1]Page 321, top'!AF17/'[1]Page 321, top'!AF16)</f>
        <v>-0.10553173387586309</v>
      </c>
    </row>
    <row r="23" spans="1:32" x14ac:dyDescent="0.25">
      <c r="A23" s="20">
        <v>37530</v>
      </c>
      <c r="B23" s="8">
        <f>LN('[1]Page 321, top'!B18/'[1]Page 321, top'!B17)</f>
        <v>8.2914421028757151E-2</v>
      </c>
      <c r="C23" s="8">
        <f>LN('[1]Page 321, top'!C18/'[1]Page 321, top'!C17)</f>
        <v>0.13332081458703388</v>
      </c>
      <c r="D23" s="8">
        <f>LN('[1]Page 321, top'!D18/'[1]Page 321, top'!D17)</f>
        <v>0.1340676294208841</v>
      </c>
      <c r="E23" s="8">
        <f>LN('[1]Page 321, top'!E18/'[1]Page 321, top'!E17)</f>
        <v>0.15621108287683391</v>
      </c>
      <c r="F23" s="8">
        <f>LN('[1]Page 321, top'!F18/'[1]Page 321, top'!F17)</f>
        <v>-0.13743143118889126</v>
      </c>
      <c r="G23" s="8">
        <f>LN('[1]Page 321, top'!G18/'[1]Page 321, top'!G17)</f>
        <v>0.22518305800749616</v>
      </c>
      <c r="H23" s="8">
        <f>LN('[1]Page 321, top'!H18/'[1]Page 321, top'!H17)</f>
        <v>0.10215771775330279</v>
      </c>
      <c r="I23" s="8">
        <f>LN('[1]Page 321, top'!I18/'[1]Page 321, top'!I17)</f>
        <v>0.13412010121115972</v>
      </c>
      <c r="J23" s="8">
        <f>LN('[1]Page 321, top'!J18/'[1]Page 321, top'!J17)</f>
        <v>9.7622464058021677E-2</v>
      </c>
      <c r="K23" s="8">
        <f>LN('[1]Page 321, top'!K18/'[1]Page 321, top'!K17)</f>
        <v>2.391610889577276E-2</v>
      </c>
      <c r="L23" s="8">
        <f>LN('[1]Page 321, top'!L18/'[1]Page 321, top'!L17)</f>
        <v>-0.15702567200644355</v>
      </c>
      <c r="M23" s="8">
        <f>LN('[1]Page 321, top'!M18/'[1]Page 321, top'!M17)</f>
        <v>0.10125667899205118</v>
      </c>
      <c r="N23" s="8">
        <f>LN('[1]Page 321, top'!N18/'[1]Page 321, top'!N17)</f>
        <v>9.9987156553826395E-2</v>
      </c>
      <c r="O23" s="8">
        <f>LN('[1]Page 321, top'!O18/'[1]Page 321, top'!O17)</f>
        <v>0.3029495445825694</v>
      </c>
      <c r="P23" s="8">
        <f>LN('[1]Page 321, top'!P18/'[1]Page 321, top'!P17)</f>
        <v>0.30293545067486211</v>
      </c>
      <c r="Q23" s="8">
        <f>LN('[1]Page 321, top'!Q18/'[1]Page 321, top'!Q17)</f>
        <v>0.2198594761130197</v>
      </c>
      <c r="R23" s="8">
        <f>LN('[1]Page 321, top'!R18/'[1]Page 321, top'!R17)</f>
        <v>8.2729568107736864E-2</v>
      </c>
      <c r="S23" s="8">
        <f>LN('[1]Page 321, top'!S18/'[1]Page 321, top'!S17)</f>
        <v>8.8461776103578138E-2</v>
      </c>
      <c r="T23" s="8">
        <f>LN('[1]Page 321, top'!T18/'[1]Page 321, top'!T17)</f>
        <v>-3.1418615680898078E-2</v>
      </c>
      <c r="U23" s="8">
        <f>LN('[1]Page 321, top'!U18/'[1]Page 321, top'!U17)</f>
        <v>2.5135973271542454E-2</v>
      </c>
      <c r="V23" s="8">
        <f>LN('[1]Page 321, top'!V18/'[1]Page 321, top'!V17)</f>
        <v>0.14353220773826222</v>
      </c>
      <c r="W23" s="8">
        <f>LN('[1]Page 321, top'!W18/'[1]Page 321, top'!W17)</f>
        <v>4.8924461459066891E-2</v>
      </c>
      <c r="X23" s="8">
        <f>LN('[1]Page 321, top'!X18/'[1]Page 321, top'!X17)</f>
        <v>0.17111821308396172</v>
      </c>
      <c r="Y23" s="8">
        <f>LN('[1]Page 321, top'!Y18/'[1]Page 321, top'!Y17)</f>
        <v>0.20081407491612102</v>
      </c>
      <c r="Z23" s="8">
        <f>LN('[1]Page 321, top'!Z18/'[1]Page 321, top'!Z17)</f>
        <v>9.0626653094449311E-2</v>
      </c>
      <c r="AA23" s="8">
        <f>LN('[1]Page 321, top'!AA18/'[1]Page 321, top'!AA17)</f>
        <v>-6.033564822353424E-3</v>
      </c>
      <c r="AB23" s="8">
        <f>LN('[1]Page 321, top'!AB18/'[1]Page 321, top'!AB17)</f>
        <v>0.25688169094605989</v>
      </c>
      <c r="AC23" s="8">
        <f>LN('[1]Page 321, top'!AC18/'[1]Page 321, top'!AC17)</f>
        <v>8.7731398308322481E-2</v>
      </c>
      <c r="AD23" s="8">
        <f>LN('[1]Page 321, top'!AD18/'[1]Page 321, top'!AD17)</f>
        <v>0.33105621815288383</v>
      </c>
      <c r="AE23" s="8">
        <f>LN('[1]Page 321, top'!AE18/'[1]Page 321, top'!AE17)</f>
        <v>8.3845147431580211E-2</v>
      </c>
      <c r="AF23" s="8">
        <f>LN('[1]Page 321, top'!AF18/'[1]Page 321, top'!AF17)</f>
        <v>5.3670603334340393E-2</v>
      </c>
    </row>
    <row r="24" spans="1:32" x14ac:dyDescent="0.25">
      <c r="A24" s="20">
        <v>37561</v>
      </c>
      <c r="B24" s="8">
        <f>LN('[1]Page 321, top'!B19/'[1]Page 321, top'!B18)</f>
        <v>5.550058467611222E-2</v>
      </c>
      <c r="C24" s="8">
        <f>LN('[1]Page 321, top'!C19/'[1]Page 321, top'!C18)</f>
        <v>0.15323766224092053</v>
      </c>
      <c r="D24" s="8">
        <f>LN('[1]Page 321, top'!D19/'[1]Page 321, top'!D18)</f>
        <v>4.076325564391297E-2</v>
      </c>
      <c r="E24" s="8">
        <f>LN('[1]Page 321, top'!E19/'[1]Page 321, top'!E18)</f>
        <v>6.8147535415543706E-2</v>
      </c>
      <c r="F24" s="8">
        <f>LN('[1]Page 321, top'!F19/'[1]Page 321, top'!F18)</f>
        <v>0.14055838808326743</v>
      </c>
      <c r="G24" s="8">
        <f>LN('[1]Page 321, top'!G19/'[1]Page 321, top'!G18)</f>
        <v>5.0900823780070249E-2</v>
      </c>
      <c r="H24" s="8">
        <f>LN('[1]Page 321, top'!H19/'[1]Page 321, top'!H18)</f>
        <v>0.20052752129052717</v>
      </c>
      <c r="I24" s="8">
        <f>LN('[1]Page 321, top'!I19/'[1]Page 321, top'!I18)</f>
        <v>8.6759582955818135E-2</v>
      </c>
      <c r="J24" s="8">
        <f>LN('[1]Page 321, top'!J19/'[1]Page 321, top'!J18)</f>
        <v>0.1716531154770311</v>
      </c>
      <c r="K24" s="8">
        <f>LN('[1]Page 321, top'!K19/'[1]Page 321, top'!K18)</f>
        <v>7.1760736900315869E-2</v>
      </c>
      <c r="L24" s="8">
        <f>LN('[1]Page 321, top'!L19/'[1]Page 321, top'!L18)</f>
        <v>0.19180375767263116</v>
      </c>
      <c r="M24" s="8">
        <f>LN('[1]Page 321, top'!M19/'[1]Page 321, top'!M18)</f>
        <v>-8.97918370658779E-2</v>
      </c>
      <c r="N24" s="8">
        <f>LN('[1]Page 321, top'!N19/'[1]Page 321, top'!N18)</f>
        <v>9.0892217381434673E-2</v>
      </c>
      <c r="O24" s="8">
        <f>LN('[1]Page 321, top'!O19/'[1]Page 321, top'!O18)</f>
        <v>0.20968439794020491</v>
      </c>
      <c r="P24" s="8">
        <f>LN('[1]Page 321, top'!P19/'[1]Page 321, top'!P18)</f>
        <v>9.8149656349915612E-2</v>
      </c>
      <c r="Q24" s="8">
        <f>LN('[1]Page 321, top'!Q19/'[1]Page 321, top'!Q18)</f>
        <v>0.18907699675060363</v>
      </c>
      <c r="R24" s="8">
        <f>LN('[1]Page 321, top'!R19/'[1]Page 321, top'!R18)</f>
        <v>-2.6510033315255976E-2</v>
      </c>
      <c r="S24" s="8">
        <f>LN('[1]Page 321, top'!S19/'[1]Page 321, top'!S18)</f>
        <v>0.19334722773861415</v>
      </c>
      <c r="T24" s="8">
        <f>LN('[1]Page 321, top'!T19/'[1]Page 321, top'!T18)</f>
        <v>-1.3943272094966194E-2</v>
      </c>
      <c r="U24" s="8">
        <f>LN('[1]Page 321, top'!U19/'[1]Page 321, top'!U18)</f>
        <v>3.48467313301681E-2</v>
      </c>
      <c r="V24" s="8">
        <f>LN('[1]Page 321, top'!V19/'[1]Page 321, top'!V18)</f>
        <v>2.748162223146906E-2</v>
      </c>
      <c r="W24" s="8">
        <f>LN('[1]Page 321, top'!W19/'[1]Page 321, top'!W18)</f>
        <v>-7.7211744000826268E-2</v>
      </c>
      <c r="X24" s="8">
        <f>LN('[1]Page 321, top'!X19/'[1]Page 321, top'!X18)</f>
        <v>9.1040353552916189E-2</v>
      </c>
      <c r="Y24" s="8">
        <f>LN('[1]Page 321, top'!Y19/'[1]Page 321, top'!Y18)</f>
        <v>7.5765583731354544E-2</v>
      </c>
      <c r="Z24" s="8">
        <f>LN('[1]Page 321, top'!Z19/'[1]Page 321, top'!Z18)</f>
        <v>-3.8042584355342203E-3</v>
      </c>
      <c r="AA24" s="8">
        <f>LN('[1]Page 321, top'!AA19/'[1]Page 321, top'!AA18)</f>
        <v>-4.5310386843392496E-2</v>
      </c>
      <c r="AB24" s="8">
        <f>LN('[1]Page 321, top'!AB19/'[1]Page 321, top'!AB18)</f>
        <v>0.10517092422679099</v>
      </c>
      <c r="AC24" s="8">
        <f>LN('[1]Page 321, top'!AC19/'[1]Page 321, top'!AC18)</f>
        <v>1.7065260554186931E-2</v>
      </c>
      <c r="AD24" s="8">
        <f>LN('[1]Page 321, top'!AD19/'[1]Page 321, top'!AD18)</f>
        <v>0.10367370052634674</v>
      </c>
      <c r="AE24" s="8">
        <f>LN('[1]Page 321, top'!AE19/'[1]Page 321, top'!AE18)</f>
        <v>6.5675337470852153E-3</v>
      </c>
      <c r="AF24" s="8">
        <f>LN('[1]Page 321, top'!AF19/'[1]Page 321, top'!AF18)</f>
        <v>3.9769834572830502E-2</v>
      </c>
    </row>
    <row r="25" spans="1:32" x14ac:dyDescent="0.25">
      <c r="A25" s="20">
        <v>37592</v>
      </c>
      <c r="B25" s="8">
        <f>LN('[1]Page 321, top'!B20/'[1]Page 321, top'!B19)</f>
        <v>-6.2229277129875436E-2</v>
      </c>
      <c r="C25" s="8">
        <f>LN('[1]Page 321, top'!C20/'[1]Page 321, top'!C19)</f>
        <v>-0.11467866863723777</v>
      </c>
      <c r="D25" s="8">
        <f>LN('[1]Page 321, top'!D20/'[1]Page 321, top'!D19)</f>
        <v>-0.11807678180307767</v>
      </c>
      <c r="E25" s="8">
        <f>LN('[1]Page 321, top'!E20/'[1]Page 321, top'!E19)</f>
        <v>-9.4157232075042577E-2</v>
      </c>
      <c r="F25" s="8">
        <f>LN('[1]Page 321, top'!F20/'[1]Page 321, top'!F19)</f>
        <v>-3.1718485160777944E-2</v>
      </c>
      <c r="G25" s="8">
        <f>LN('[1]Page 321, top'!G20/'[1]Page 321, top'!G19)</f>
        <v>-9.976645110465264E-2</v>
      </c>
      <c r="H25" s="8">
        <f>LN('[1]Page 321, top'!H20/'[1]Page 321, top'!H19)</f>
        <v>-8.7480090379978032E-2</v>
      </c>
      <c r="I25" s="8">
        <f>LN('[1]Page 321, top'!I20/'[1]Page 321, top'!I19)</f>
        <v>-5.0882505202755855E-2</v>
      </c>
      <c r="J25" s="8">
        <f>LN('[1]Page 321, top'!J20/'[1]Page 321, top'!J19)</f>
        <v>-0.18295267073096441</v>
      </c>
      <c r="K25" s="8">
        <f>LN('[1]Page 321, top'!K20/'[1]Page 321, top'!K19)</f>
        <v>-0.10016921633419347</v>
      </c>
      <c r="L25" s="8">
        <f>LN('[1]Page 321, top'!L20/'[1]Page 321, top'!L19)</f>
        <v>-7.4061437799726737E-2</v>
      </c>
      <c r="M25" s="8">
        <f>LN('[1]Page 321, top'!M20/'[1]Page 321, top'!M19)</f>
        <v>-9.2170459799657226E-2</v>
      </c>
      <c r="N25" s="8">
        <f>LN('[1]Page 321, top'!N20/'[1]Page 321, top'!N19)</f>
        <v>-8.0425682697801315E-2</v>
      </c>
      <c r="O25" s="8">
        <f>LN('[1]Page 321, top'!O20/'[1]Page 321, top'!O19)</f>
        <v>-0.11109811255449942</v>
      </c>
      <c r="P25" s="8">
        <f>LN('[1]Page 321, top'!P20/'[1]Page 321, top'!P19)</f>
        <v>-0.11477711781040728</v>
      </c>
      <c r="Q25" s="8">
        <f>LN('[1]Page 321, top'!Q20/'[1]Page 321, top'!Q19)</f>
        <v>-0.29364038203541154</v>
      </c>
      <c r="R25" s="8">
        <f>LN('[1]Page 321, top'!R20/'[1]Page 321, top'!R19)</f>
        <v>-5.9803054454518605E-2</v>
      </c>
      <c r="S25" s="8">
        <f>LN('[1]Page 321, top'!S20/'[1]Page 321, top'!S19)</f>
        <v>-4.7793832399136003E-2</v>
      </c>
      <c r="T25" s="8">
        <f>LN('[1]Page 321, top'!T20/'[1]Page 321, top'!T19)</f>
        <v>-4.00587605520051E-2</v>
      </c>
      <c r="U25" s="8">
        <f>LN('[1]Page 321, top'!U20/'[1]Page 321, top'!U19)</f>
        <v>-0.14007591860117491</v>
      </c>
      <c r="V25" s="8">
        <f>LN('[1]Page 321, top'!V20/'[1]Page 321, top'!V19)</f>
        <v>-5.1728360742031007E-2</v>
      </c>
      <c r="W25" s="8">
        <f>LN('[1]Page 321, top'!W20/'[1]Page 321, top'!W19)</f>
        <v>8.7602218956596464E-2</v>
      </c>
      <c r="X25" s="8">
        <f>LN('[1]Page 321, top'!X20/'[1]Page 321, top'!X19)</f>
        <v>-4.2014160672714566E-2</v>
      </c>
      <c r="Y25" s="8">
        <f>LN('[1]Page 321, top'!Y20/'[1]Page 321, top'!Y19)</f>
        <v>-0.10944469073922956</v>
      </c>
      <c r="Z25" s="8">
        <f>LN('[1]Page 321, top'!Z20/'[1]Page 321, top'!Z19)</f>
        <v>-3.0966584108389622E-2</v>
      </c>
      <c r="AA25" s="8">
        <f>LN('[1]Page 321, top'!AA20/'[1]Page 321, top'!AA19)</f>
        <v>1.6579128802911264E-2</v>
      </c>
      <c r="AB25" s="8">
        <f>LN('[1]Page 321, top'!AB20/'[1]Page 321, top'!AB19)</f>
        <v>-4.9857286242738795E-2</v>
      </c>
      <c r="AC25" s="8">
        <f>LN('[1]Page 321, top'!AC20/'[1]Page 321, top'!AC19)</f>
        <v>-8.8375830124651066E-3</v>
      </c>
      <c r="AD25" s="8">
        <f>LN('[1]Page 321, top'!AD20/'[1]Page 321, top'!AD19)</f>
        <v>-7.7794252538525996E-2</v>
      </c>
      <c r="AE25" s="8">
        <f>LN('[1]Page 321, top'!AE20/'[1]Page 321, top'!AE19)</f>
        <v>-6.3589158037542184E-2</v>
      </c>
      <c r="AF25" s="8">
        <f>LN('[1]Page 321, top'!AF20/'[1]Page 321, top'!AF19)</f>
        <v>4.0466981293098385E-3</v>
      </c>
    </row>
    <row r="26" spans="1:32" x14ac:dyDescent="0.25">
      <c r="A26" s="20">
        <v>37623</v>
      </c>
      <c r="B26" s="8">
        <f>LN('[1]Page 321, top'!B21/'[1]Page 321, top'!B20)</f>
        <v>-2.7797493671422965E-2</v>
      </c>
      <c r="C26" s="8">
        <f>LN('[1]Page 321, top'!C21/'[1]Page 321, top'!C20)</f>
        <v>-0.14146552029994253</v>
      </c>
      <c r="D26" s="8">
        <f>LN('[1]Page 321, top'!D21/'[1]Page 321, top'!D20)</f>
        <v>-6.6691374498672157E-2</v>
      </c>
      <c r="E26" s="8">
        <f>LN('[1]Page 321, top'!E21/'[1]Page 321, top'!E20)</f>
        <v>4.9908604677582208E-3</v>
      </c>
      <c r="F26" s="8">
        <f>LN('[1]Page 321, top'!F21/'[1]Page 321, top'!F20)</f>
        <v>-4.3470788985772571E-2</v>
      </c>
      <c r="G26" s="8">
        <f>LN('[1]Page 321, top'!G21/'[1]Page 321, top'!G20)</f>
        <v>-1.8554595002110815E-2</v>
      </c>
      <c r="H26" s="8">
        <f>LN('[1]Page 321, top'!H21/'[1]Page 321, top'!H20)</f>
        <v>-3.1431158789582109E-2</v>
      </c>
      <c r="I26" s="8">
        <f>LN('[1]Page 321, top'!I21/'[1]Page 321, top'!I20)</f>
        <v>-0.11292601069443486</v>
      </c>
      <c r="J26" s="8">
        <f>LN('[1]Page 321, top'!J21/'[1]Page 321, top'!J20)</f>
        <v>7.0674957669936367E-2</v>
      </c>
      <c r="K26" s="8">
        <f>LN('[1]Page 321, top'!K21/'[1]Page 321, top'!K20)</f>
        <v>-5.1269597424315243E-2</v>
      </c>
      <c r="L26" s="8">
        <f>LN('[1]Page 321, top'!L21/'[1]Page 321, top'!L20)</f>
        <v>-1.443594623294148E-2</v>
      </c>
      <c r="M26" s="8">
        <f>LN('[1]Page 321, top'!M21/'[1]Page 321, top'!M20)</f>
        <v>-0.1389648463475181</v>
      </c>
      <c r="N26" s="8">
        <f>LN('[1]Page 321, top'!N21/'[1]Page 321, top'!N20)</f>
        <v>1.7945748539198343E-2</v>
      </c>
      <c r="O26" s="8">
        <f>LN('[1]Page 321, top'!O21/'[1]Page 321, top'!O20)</f>
        <v>3.0238910250769192E-3</v>
      </c>
      <c r="P26" s="8">
        <f>LN('[1]Page 321, top'!P21/'[1]Page 321, top'!P20)</f>
        <v>9.0078765138604609E-3</v>
      </c>
      <c r="Q26" s="8">
        <f>LN('[1]Page 321, top'!Q21/'[1]Page 321, top'!Q20)</f>
        <v>5.9583095836306249E-3</v>
      </c>
      <c r="R26" s="8">
        <f>LN('[1]Page 321, top'!R21/'[1]Page 321, top'!R20)</f>
        <v>-1.7965869689177784E-3</v>
      </c>
      <c r="S26" s="8">
        <f>LN('[1]Page 321, top'!S21/'[1]Page 321, top'!S20)</f>
        <v>-2.7953627346028617E-2</v>
      </c>
      <c r="T26" s="8">
        <f>LN('[1]Page 321, top'!T21/'[1]Page 321, top'!T20)</f>
        <v>-8.0166569691407036E-2</v>
      </c>
      <c r="U26" s="8">
        <f>LN('[1]Page 321, top'!U21/'[1]Page 321, top'!U20)</f>
        <v>-0.12131849668740595</v>
      </c>
      <c r="V26" s="8">
        <f>LN('[1]Page 321, top'!V21/'[1]Page 321, top'!V20)</f>
        <v>1.0045113907752113E-2</v>
      </c>
      <c r="W26" s="8">
        <f>LN('[1]Page 321, top'!W21/'[1]Page 321, top'!W20)</f>
        <v>-6.7812233805536068E-2</v>
      </c>
      <c r="X26" s="8">
        <f>LN('[1]Page 321, top'!X21/'[1]Page 321, top'!X20)</f>
        <v>-2.1907393864309101E-2</v>
      </c>
      <c r="Y26" s="8">
        <f>LN('[1]Page 321, top'!Y21/'[1]Page 321, top'!Y20)</f>
        <v>-8.53950844121283E-2</v>
      </c>
      <c r="Z26" s="8">
        <f>LN('[1]Page 321, top'!Z21/'[1]Page 321, top'!Z20)</f>
        <v>-1.7885892802497201E-3</v>
      </c>
      <c r="AA26" s="8">
        <f>LN('[1]Page 321, top'!AA21/'[1]Page 321, top'!AA20)</f>
        <v>4.9813201528147724E-4</v>
      </c>
      <c r="AB26" s="8">
        <f>LN('[1]Page 321, top'!AB21/'[1]Page 321, top'!AB20)</f>
        <v>-9.4951499743090681E-2</v>
      </c>
      <c r="AC26" s="8">
        <f>LN('[1]Page 321, top'!AC21/'[1]Page 321, top'!AC20)</f>
        <v>2.6281836160795637E-2</v>
      </c>
      <c r="AD26" s="8">
        <f>LN('[1]Page 321, top'!AD21/'[1]Page 321, top'!AD20)</f>
        <v>-3.3511074772559768E-3</v>
      </c>
      <c r="AE26" s="8">
        <f>LN('[1]Page 321, top'!AE21/'[1]Page 321, top'!AE20)</f>
        <v>-5.5036550627331024E-2</v>
      </c>
      <c r="AF26" s="8">
        <f>LN('[1]Page 321, top'!AF21/'[1]Page 321, top'!AF20)</f>
        <v>-2.2938947680584975E-2</v>
      </c>
    </row>
    <row r="27" spans="1:32" x14ac:dyDescent="0.25">
      <c r="A27" s="20">
        <v>37655</v>
      </c>
      <c r="B27" s="8">
        <f>LN('[1]Page 321, top'!B22/'[1]Page 321, top'!B21)</f>
        <v>-1.7149844258839787E-2</v>
      </c>
      <c r="C27" s="8">
        <f>LN('[1]Page 321, top'!C22/'[1]Page 321, top'!C21)</f>
        <v>4.3693684262947743E-2</v>
      </c>
      <c r="D27" s="8">
        <f>LN('[1]Page 321, top'!D22/'[1]Page 321, top'!D21)</f>
        <v>-9.3559310982810992E-2</v>
      </c>
      <c r="E27" s="8">
        <f>LN('[1]Page 321, top'!E22/'[1]Page 321, top'!E21)</f>
        <v>-5.6319266598434774E-2</v>
      </c>
      <c r="F27" s="8">
        <f>LN('[1]Page 321, top'!F22/'[1]Page 321, top'!F21)</f>
        <v>-0.13108211777781725</v>
      </c>
      <c r="G27" s="8">
        <f>LN('[1]Page 321, top'!G22/'[1]Page 321, top'!G21)</f>
        <v>-2.9823609660282947E-2</v>
      </c>
      <c r="H27" s="8">
        <f>LN('[1]Page 321, top'!H22/'[1]Page 321, top'!H21)</f>
        <v>6.6441643738348766E-2</v>
      </c>
      <c r="I27" s="8">
        <f>LN('[1]Page 321, top'!I22/'[1]Page 321, top'!I21)</f>
        <v>-2.2803268297453029E-2</v>
      </c>
      <c r="J27" s="8">
        <f>LN('[1]Page 321, top'!J22/'[1]Page 321, top'!J21)</f>
        <v>-2.5619512617744512E-2</v>
      </c>
      <c r="K27" s="8">
        <f>LN('[1]Page 321, top'!K22/'[1]Page 321, top'!K21)</f>
        <v>4.6756954387334002E-2</v>
      </c>
      <c r="L27" s="8">
        <f>LN('[1]Page 321, top'!L22/'[1]Page 321, top'!L21)</f>
        <v>-5.9221112814114754E-2</v>
      </c>
      <c r="M27" s="8">
        <f>LN('[1]Page 321, top'!M22/'[1]Page 321, top'!M21)</f>
        <v>0.11497241960429672</v>
      </c>
      <c r="N27" s="8">
        <f>LN('[1]Page 321, top'!N22/'[1]Page 321, top'!N21)</f>
        <v>-5.7184569597486232E-2</v>
      </c>
      <c r="O27" s="8">
        <f>LN('[1]Page 321, top'!O22/'[1]Page 321, top'!O21)</f>
        <v>-9.3620786377303575E-2</v>
      </c>
      <c r="P27" s="8">
        <f>LN('[1]Page 321, top'!P22/'[1]Page 321, top'!P21)</f>
        <v>-1.1875702391953846E-3</v>
      </c>
      <c r="Q27" s="8">
        <f>LN('[1]Page 321, top'!Q22/'[1]Page 321, top'!Q21)</f>
        <v>9.8006810651924278E-2</v>
      </c>
      <c r="R27" s="8">
        <f>LN('[1]Page 321, top'!R22/'[1]Page 321, top'!R21)</f>
        <v>-1.7738824337381519E-2</v>
      </c>
      <c r="S27" s="8">
        <f>LN('[1]Page 321, top'!S22/'[1]Page 321, top'!S21)</f>
        <v>-2.8757559295052533E-2</v>
      </c>
      <c r="T27" s="8">
        <f>LN('[1]Page 321, top'!T22/'[1]Page 321, top'!T21)</f>
        <v>-6.1919702479209951E-3</v>
      </c>
      <c r="U27" s="8">
        <f>LN('[1]Page 321, top'!U22/'[1]Page 321, top'!U21)</f>
        <v>-4.5496853268568518E-2</v>
      </c>
      <c r="V27" s="8">
        <f>LN('[1]Page 321, top'!V22/'[1]Page 321, top'!V21)</f>
        <v>1.1820266103743152E-2</v>
      </c>
      <c r="W27" s="8">
        <f>LN('[1]Page 321, top'!W22/'[1]Page 321, top'!W21)</f>
        <v>2.0335441870730667E-2</v>
      </c>
      <c r="X27" s="8">
        <f>LN('[1]Page 321, top'!X22/'[1]Page 321, top'!X21)</f>
        <v>-4.8757269973609955E-2</v>
      </c>
      <c r="Y27" s="8">
        <f>LN('[1]Page 321, top'!Y22/'[1]Page 321, top'!Y21)</f>
        <v>1.9361090268664007E-3</v>
      </c>
      <c r="Z27" s="8">
        <f>LN('[1]Page 321, top'!Z22/'[1]Page 321, top'!Z21)</f>
        <v>-1.8064075007573496E-2</v>
      </c>
      <c r="AA27" s="8">
        <f>LN('[1]Page 321, top'!AA22/'[1]Page 321, top'!AA21)</f>
        <v>-4.429331804306301E-2</v>
      </c>
      <c r="AB27" s="8">
        <f>LN('[1]Page 321, top'!AB22/'[1]Page 321, top'!AB21)</f>
        <v>-0.1612434930677005</v>
      </c>
      <c r="AC27" s="8">
        <f>LN('[1]Page 321, top'!AC22/'[1]Page 321, top'!AC21)</f>
        <v>-7.8132328754564259E-2</v>
      </c>
      <c r="AD27" s="8">
        <f>LN('[1]Page 321, top'!AD22/'[1]Page 321, top'!AD21)</f>
        <v>-0.10173910138070855</v>
      </c>
      <c r="AE27" s="8">
        <f>LN('[1]Page 321, top'!AE22/'[1]Page 321, top'!AE21)</f>
        <v>5.4048342576563692E-3</v>
      </c>
      <c r="AF27" s="8">
        <f>LN('[1]Page 321, top'!AF22/'[1]Page 321, top'!AF21)</f>
        <v>2.8566913570903974E-3</v>
      </c>
    </row>
    <row r="28" spans="1:32" x14ac:dyDescent="0.25">
      <c r="A28" s="20">
        <v>37683</v>
      </c>
      <c r="B28" s="8">
        <f>LN('[1]Page 321, top'!B23/'[1]Page 321, top'!B22)</f>
        <v>8.3228742528296627E-3</v>
      </c>
      <c r="C28" s="8">
        <f>LN('[1]Page 321, top'!C23/'[1]Page 321, top'!C22)</f>
        <v>-5.5748624768301544E-2</v>
      </c>
      <c r="D28" s="8">
        <f>LN('[1]Page 321, top'!D23/'[1]Page 321, top'!D22)</f>
        <v>4.3357144414625601E-3</v>
      </c>
      <c r="E28" s="8">
        <f>LN('[1]Page 321, top'!E23/'[1]Page 321, top'!E22)</f>
        <v>-1.0589580073240927E-2</v>
      </c>
      <c r="F28" s="8">
        <f>LN('[1]Page 321, top'!F23/'[1]Page 321, top'!F22)</f>
        <v>-9.4926523555613498E-2</v>
      </c>
      <c r="G28" s="8">
        <f>LN('[1]Page 321, top'!G23/'[1]Page 321, top'!G22)</f>
        <v>3.2725433395712572E-2</v>
      </c>
      <c r="H28" s="8">
        <f>LN('[1]Page 321, top'!H23/'[1]Page 321, top'!H22)</f>
        <v>4.5573026372150868E-2</v>
      </c>
      <c r="I28" s="8">
        <f>LN('[1]Page 321, top'!I23/'[1]Page 321, top'!I22)</f>
        <v>5.8068470022885253E-2</v>
      </c>
      <c r="J28" s="8">
        <f>LN('[1]Page 321, top'!J23/'[1]Page 321, top'!J22)</f>
        <v>-2.4169196055386566E-3</v>
      </c>
      <c r="K28" s="8">
        <f>LN('[1]Page 321, top'!K23/'[1]Page 321, top'!K22)</f>
        <v>5.8413969839456993E-2</v>
      </c>
      <c r="L28" s="8">
        <f>LN('[1]Page 321, top'!L23/'[1]Page 321, top'!L22)</f>
        <v>-4.5686250612152913E-3</v>
      </c>
      <c r="M28" s="8">
        <f>LN('[1]Page 321, top'!M23/'[1]Page 321, top'!M22)</f>
        <v>4.0663041490540751E-2</v>
      </c>
      <c r="N28" s="8">
        <f>LN('[1]Page 321, top'!N23/'[1]Page 321, top'!N22)</f>
        <v>-6.9194667471896065E-2</v>
      </c>
      <c r="O28" s="8">
        <f>LN('[1]Page 321, top'!O23/'[1]Page 321, top'!O22)</f>
        <v>-1.4023602107746367E-2</v>
      </c>
      <c r="P28" s="8">
        <f>LN('[1]Page 321, top'!P23/'[1]Page 321, top'!P22)</f>
        <v>6.0550402189520243E-3</v>
      </c>
      <c r="Q28" s="8">
        <f>LN('[1]Page 321, top'!Q23/'[1]Page 321, top'!Q22)</f>
        <v>-5.7897941632355364E-2</v>
      </c>
      <c r="R28" s="8">
        <f>LN('[1]Page 321, top'!R23/'[1]Page 321, top'!R22)</f>
        <v>9.8319310996720991E-2</v>
      </c>
      <c r="S28" s="8">
        <f>LN('[1]Page 321, top'!S23/'[1]Page 321, top'!S22)</f>
        <v>4.4757900641493625E-2</v>
      </c>
      <c r="T28" s="8">
        <f>LN('[1]Page 321, top'!T23/'[1]Page 321, top'!T22)</f>
        <v>1.2345835822299362E-2</v>
      </c>
      <c r="U28" s="8">
        <f>LN('[1]Page 321, top'!U23/'[1]Page 321, top'!U22)</f>
        <v>6.0944015882983212E-2</v>
      </c>
      <c r="V28" s="8">
        <f>LN('[1]Page 321, top'!V23/'[1]Page 321, top'!V22)</f>
        <v>3.6616980542133158E-2</v>
      </c>
      <c r="W28" s="8">
        <f>LN('[1]Page 321, top'!W23/'[1]Page 321, top'!W22)</f>
        <v>-0.23686375406622115</v>
      </c>
      <c r="X28" s="8">
        <f>LN('[1]Page 321, top'!X23/'[1]Page 321, top'!X22)</f>
        <v>4.4802090130681892E-2</v>
      </c>
      <c r="Y28" s="8">
        <f>LN('[1]Page 321, top'!Y23/'[1]Page 321, top'!Y22)</f>
        <v>2.1053409197832482E-2</v>
      </c>
      <c r="Z28" s="8">
        <f>LN('[1]Page 321, top'!Z23/'[1]Page 321, top'!Z22)</f>
        <v>4.386511745051392E-2</v>
      </c>
      <c r="AA28" s="8">
        <f>LN('[1]Page 321, top'!AA23/'[1]Page 321, top'!AA22)</f>
        <v>8.4078919119413342E-2</v>
      </c>
      <c r="AB28" s="8">
        <f>LN('[1]Page 321, top'!AB23/'[1]Page 321, top'!AB22)</f>
        <v>-3.5981469228829284E-2</v>
      </c>
      <c r="AC28" s="8">
        <f>LN('[1]Page 321, top'!AC23/'[1]Page 321, top'!AC22)</f>
        <v>-1.3758363296361585E-2</v>
      </c>
      <c r="AD28" s="8">
        <f>LN('[1]Page 321, top'!AD23/'[1]Page 321, top'!AD22)</f>
        <v>2.205234703019511E-2</v>
      </c>
      <c r="AE28" s="8">
        <f>LN('[1]Page 321, top'!AE23/'[1]Page 321, top'!AE22)</f>
        <v>8.1136745278307804E-2</v>
      </c>
      <c r="AF28" s="8">
        <f>LN('[1]Page 321, top'!AF23/'[1]Page 321, top'!AF22)</f>
        <v>2.7201927320307937E-2</v>
      </c>
    </row>
    <row r="29" spans="1:32" x14ac:dyDescent="0.25">
      <c r="A29" s="20">
        <v>37712</v>
      </c>
      <c r="B29" s="8">
        <f>LN('[1]Page 321, top'!B24/'[1]Page 321, top'!B23)</f>
        <v>7.7927350029476733E-2</v>
      </c>
      <c r="C29" s="8">
        <f>LN('[1]Page 321, top'!C24/'[1]Page 321, top'!C23)</f>
        <v>0.17457387000312879</v>
      </c>
      <c r="D29" s="8">
        <f>LN('[1]Page 321, top'!D24/'[1]Page 321, top'!D23)</f>
        <v>0.15855558519653012</v>
      </c>
      <c r="E29" s="8">
        <f>LN('[1]Page 321, top'!E24/'[1]Page 321, top'!E23)</f>
        <v>0.13273263509370303</v>
      </c>
      <c r="F29" s="8">
        <f>LN('[1]Page 321, top'!F24/'[1]Page 321, top'!F23)</f>
        <v>8.489944378648627E-2</v>
      </c>
      <c r="G29" s="8">
        <f>LN('[1]Page 321, top'!G24/'[1]Page 321, top'!G23)</f>
        <v>0.13050847663683099</v>
      </c>
      <c r="H29" s="8">
        <f>LN('[1]Page 321, top'!H24/'[1]Page 321, top'!H23)</f>
        <v>7.3366224066801822E-2</v>
      </c>
      <c r="I29" s="8">
        <f>LN('[1]Page 321, top'!I24/'[1]Page 321, top'!I23)</f>
        <v>9.0299207840725426E-2</v>
      </c>
      <c r="J29" s="8">
        <f>LN('[1]Page 321, top'!J24/'[1]Page 321, top'!J23)</f>
        <v>9.2391112933826666E-2</v>
      </c>
      <c r="K29" s="8">
        <f>LN('[1]Page 321, top'!K24/'[1]Page 321, top'!K23)</f>
        <v>0.14398213891739789</v>
      </c>
      <c r="L29" s="8">
        <f>LN('[1]Page 321, top'!L24/'[1]Page 321, top'!L23)</f>
        <v>7.0049023671026195E-2</v>
      </c>
      <c r="M29" s="8">
        <f>LN('[1]Page 321, top'!M24/'[1]Page 321, top'!M23)</f>
        <v>0.14386358786172787</v>
      </c>
      <c r="N29" s="8">
        <f>LN('[1]Page 321, top'!N24/'[1]Page 321, top'!N23)</f>
        <v>9.9795107920613191E-2</v>
      </c>
      <c r="O29" s="8">
        <f>LN('[1]Page 321, top'!O24/'[1]Page 321, top'!O23)</f>
        <v>4.6642279970538637E-2</v>
      </c>
      <c r="P29" s="8">
        <f>LN('[1]Page 321, top'!P24/'[1]Page 321, top'!P23)</f>
        <v>7.9315611180039547E-2</v>
      </c>
      <c r="Q29" s="8">
        <f>LN('[1]Page 321, top'!Q24/'[1]Page 321, top'!Q23)</f>
        <v>0.12221202106771634</v>
      </c>
      <c r="R29" s="8">
        <f>LN('[1]Page 321, top'!R24/'[1]Page 321, top'!R23)</f>
        <v>-2.6523781244344454E-2</v>
      </c>
      <c r="S29" s="8">
        <f>LN('[1]Page 321, top'!S24/'[1]Page 321, top'!S23)</f>
        <v>0.22746321245872628</v>
      </c>
      <c r="T29" s="8">
        <f>LN('[1]Page 321, top'!T24/'[1]Page 321, top'!T23)</f>
        <v>-1.868909901877089E-3</v>
      </c>
      <c r="U29" s="8">
        <f>LN('[1]Page 321, top'!U24/'[1]Page 321, top'!U23)</f>
        <v>0.16761540940425926</v>
      </c>
      <c r="V29" s="8">
        <f>LN('[1]Page 321, top'!V24/'[1]Page 321, top'!V23)</f>
        <v>-3.1182184556176201E-2</v>
      </c>
      <c r="W29" s="8">
        <f>LN('[1]Page 321, top'!W24/'[1]Page 321, top'!W23)</f>
        <v>2.6337695885035418E-2</v>
      </c>
      <c r="X29" s="8">
        <f>LN('[1]Page 321, top'!X24/'[1]Page 321, top'!X23)</f>
        <v>6.0028697403467925E-2</v>
      </c>
      <c r="Y29" s="8">
        <f>LN('[1]Page 321, top'!Y24/'[1]Page 321, top'!Y23)</f>
        <v>5.4814549606380256E-2</v>
      </c>
      <c r="Z29" s="8">
        <f>LN('[1]Page 321, top'!Z24/'[1]Page 321, top'!Z23)</f>
        <v>-1.2994037086550041E-2</v>
      </c>
      <c r="AA29" s="8">
        <f>LN('[1]Page 321, top'!AA24/'[1]Page 321, top'!AA23)</f>
        <v>1.3547444273381792E-2</v>
      </c>
      <c r="AB29" s="8">
        <f>LN('[1]Page 321, top'!AB24/'[1]Page 321, top'!AB23)</f>
        <v>0.16719267519765466</v>
      </c>
      <c r="AC29" s="8">
        <f>LN('[1]Page 321, top'!AC24/'[1]Page 321, top'!AC23)</f>
        <v>6.7655241324593704E-2</v>
      </c>
      <c r="AD29" s="8">
        <f>LN('[1]Page 321, top'!AD24/'[1]Page 321, top'!AD23)</f>
        <v>6.6787312586699746E-2</v>
      </c>
      <c r="AE29" s="8">
        <f>LN('[1]Page 321, top'!AE24/'[1]Page 321, top'!AE23)</f>
        <v>7.9094100677571888E-2</v>
      </c>
      <c r="AF29" s="8">
        <f>LN('[1]Page 321, top'!AF24/'[1]Page 321, top'!AF23)</f>
        <v>7.0693394149099822E-3</v>
      </c>
    </row>
    <row r="30" spans="1:32" x14ac:dyDescent="0.25">
      <c r="A30" s="20">
        <v>37742</v>
      </c>
      <c r="B30" s="8">
        <f>LN('[1]Page 321, top'!B25/'[1]Page 321, top'!B24)</f>
        <v>4.9645665489287727E-2</v>
      </c>
      <c r="C30" s="8">
        <f>LN('[1]Page 321, top'!C25/'[1]Page 321, top'!C24)</f>
        <v>7.0596523221486157E-2</v>
      </c>
      <c r="D30" s="8">
        <f>LN('[1]Page 321, top'!D25/'[1]Page 321, top'!D24)</f>
        <v>-1.2314189259499126E-3</v>
      </c>
      <c r="E30" s="8">
        <f>LN('[1]Page 321, top'!E25/'[1]Page 321, top'!E24)</f>
        <v>9.5649124559575222E-2</v>
      </c>
      <c r="F30" s="8">
        <f>LN('[1]Page 321, top'!F25/'[1]Page 321, top'!F24)</f>
        <v>0.1227662919520584</v>
      </c>
      <c r="G30" s="8">
        <f>LN('[1]Page 321, top'!G25/'[1]Page 321, top'!G24)</f>
        <v>4.9072689951788817E-2</v>
      </c>
      <c r="H30" s="8">
        <f>LN('[1]Page 321, top'!H25/'[1]Page 321, top'!H24)</f>
        <v>-8.4763373297132502E-3</v>
      </c>
      <c r="I30" s="8">
        <f>LN('[1]Page 321, top'!I25/'[1]Page 321, top'!I24)</f>
        <v>-1.047120514525356E-3</v>
      </c>
      <c r="J30" s="8">
        <f>LN('[1]Page 321, top'!J25/'[1]Page 321, top'!J24)</f>
        <v>5.1596612970896613E-2</v>
      </c>
      <c r="K30" s="8">
        <f>LN('[1]Page 321, top'!K25/'[1]Page 321, top'!K24)</f>
        <v>-2.5819956337041317E-2</v>
      </c>
      <c r="L30" s="8">
        <f>LN('[1]Page 321, top'!L25/'[1]Page 321, top'!L24)</f>
        <v>-6.2592857956961399E-3</v>
      </c>
      <c r="M30" s="8">
        <f>LN('[1]Page 321, top'!M25/'[1]Page 321, top'!M24)</f>
        <v>0.14434822979500392</v>
      </c>
      <c r="N30" s="8">
        <f>LN('[1]Page 321, top'!N25/'[1]Page 321, top'!N24)</f>
        <v>0.11177823414162132</v>
      </c>
      <c r="O30" s="8">
        <f>LN('[1]Page 321, top'!O25/'[1]Page 321, top'!O24)</f>
        <v>0.17932176881484305</v>
      </c>
      <c r="P30" s="8">
        <f>LN('[1]Page 321, top'!P25/'[1]Page 321, top'!P24)</f>
        <v>3.817575173109395E-2</v>
      </c>
      <c r="Q30" s="8">
        <f>LN('[1]Page 321, top'!Q25/'[1]Page 321, top'!Q24)</f>
        <v>0.12486601028208288</v>
      </c>
      <c r="R30" s="8">
        <f>LN('[1]Page 321, top'!R25/'[1]Page 321, top'!R24)</f>
        <v>-3.1925788359223974E-2</v>
      </c>
      <c r="S30" s="8">
        <f>LN('[1]Page 321, top'!S25/'[1]Page 321, top'!S24)</f>
        <v>0.11291809199390565</v>
      </c>
      <c r="T30" s="8">
        <f>LN('[1]Page 321, top'!T25/'[1]Page 321, top'!T24)</f>
        <v>0.12045183894846385</v>
      </c>
      <c r="U30" s="8">
        <f>LN('[1]Page 321, top'!U25/'[1]Page 321, top'!U24)</f>
        <v>9.0810734643094984E-2</v>
      </c>
      <c r="V30" s="8">
        <f>LN('[1]Page 321, top'!V25/'[1]Page 321, top'!V24)</f>
        <v>8.6011155090919712E-3</v>
      </c>
      <c r="W30" s="8">
        <f>LN('[1]Page 321, top'!W25/'[1]Page 321, top'!W24)</f>
        <v>0.29453924217791788</v>
      </c>
      <c r="X30" s="8">
        <f>LN('[1]Page 321, top'!X25/'[1]Page 321, top'!X24)</f>
        <v>-4.5602217693244643E-2</v>
      </c>
      <c r="Y30" s="8">
        <f>LN('[1]Page 321, top'!Y25/'[1]Page 321, top'!Y24)</f>
        <v>-3.8378396553751505E-2</v>
      </c>
      <c r="Z30" s="8">
        <f>LN('[1]Page 321, top'!Z25/'[1]Page 321, top'!Z24)</f>
        <v>1.2994037086550106E-2</v>
      </c>
      <c r="AA30" s="8">
        <f>LN('[1]Page 321, top'!AA25/'[1]Page 321, top'!AA24)</f>
        <v>2.1717140720683405E-2</v>
      </c>
      <c r="AB30" s="8">
        <f>LN('[1]Page 321, top'!AB25/'[1]Page 321, top'!AB24)</f>
        <v>8.6121753749918539E-2</v>
      </c>
      <c r="AC30" s="8">
        <f>LN('[1]Page 321, top'!AC25/'[1]Page 321, top'!AC24)</f>
        <v>0.1031775555167863</v>
      </c>
      <c r="AD30" s="8">
        <f>LN('[1]Page 321, top'!AD25/'[1]Page 321, top'!AD24)</f>
        <v>1.2594238037958991E-2</v>
      </c>
      <c r="AE30" s="8">
        <f>LN('[1]Page 321, top'!AE25/'[1]Page 321, top'!AE24)</f>
        <v>-6.8022417789291759E-2</v>
      </c>
      <c r="AF30" s="8">
        <f>LN('[1]Page 321, top'!AF25/'[1]Page 321, top'!AF24)</f>
        <v>4.0515668893721414E-2</v>
      </c>
    </row>
    <row r="31" spans="1:32" x14ac:dyDescent="0.25">
      <c r="A31" s="20">
        <v>37774</v>
      </c>
      <c r="B31" s="8">
        <f>LN('[1]Page 321, top'!B26/'[1]Page 321, top'!B25)</f>
        <v>1.125862601085219E-2</v>
      </c>
      <c r="C31" s="8">
        <f>LN('[1]Page 321, top'!C26/'[1]Page 321, top'!C25)</f>
        <v>3.5596978740231759E-2</v>
      </c>
      <c r="D31" s="8">
        <f>LN('[1]Page 321, top'!D26/'[1]Page 321, top'!D25)</f>
        <v>-4.6846973296788781E-2</v>
      </c>
      <c r="E31" s="8">
        <f>LN('[1]Page 321, top'!E26/'[1]Page 321, top'!E25)</f>
        <v>3.6645566026929938E-3</v>
      </c>
      <c r="F31" s="8">
        <f>LN('[1]Page 321, top'!F26/'[1]Page 321, top'!F25)</f>
        <v>0.11239774621627627</v>
      </c>
      <c r="G31" s="8">
        <f>LN('[1]Page 321, top'!G26/'[1]Page 321, top'!G25)</f>
        <v>4.266049714271504E-2</v>
      </c>
      <c r="H31" s="8">
        <f>LN('[1]Page 321, top'!H26/'[1]Page 321, top'!H25)</f>
        <v>6.5121042966952508E-2</v>
      </c>
      <c r="I31" s="8">
        <f>LN('[1]Page 321, top'!I26/'[1]Page 321, top'!I25)</f>
        <v>-1.212136053234485E-2</v>
      </c>
      <c r="J31" s="8">
        <f>LN('[1]Page 321, top'!J26/'[1]Page 321, top'!J25)</f>
        <v>5.224672281952304E-3</v>
      </c>
      <c r="K31" s="8">
        <f>LN('[1]Page 321, top'!K26/'[1]Page 321, top'!K25)</f>
        <v>6.046881614892907E-3</v>
      </c>
      <c r="L31" s="8">
        <f>LN('[1]Page 321, top'!L26/'[1]Page 321, top'!L25)</f>
        <v>1.8661533537849079E-2</v>
      </c>
      <c r="M31" s="8">
        <f>LN('[1]Page 321, top'!M26/'[1]Page 321, top'!M25)</f>
        <v>2.1066649233051005E-2</v>
      </c>
      <c r="N31" s="8">
        <f>LN('[1]Page 321, top'!N26/'[1]Page 321, top'!N25)</f>
        <v>2.4602975173661945E-2</v>
      </c>
      <c r="O31" s="8">
        <f>LN('[1]Page 321, top'!O26/'[1]Page 321, top'!O25)</f>
        <v>9.2183956078058613E-2</v>
      </c>
      <c r="P31" s="8">
        <f>LN('[1]Page 321, top'!P26/'[1]Page 321, top'!P25)</f>
        <v>-6.5083204651018176E-2</v>
      </c>
      <c r="Q31" s="8">
        <f>LN('[1]Page 321, top'!Q26/'[1]Page 321, top'!Q25)</f>
        <v>-4.9541739928333941E-4</v>
      </c>
      <c r="R31" s="8">
        <f>LN('[1]Page 321, top'!R26/'[1]Page 321, top'!R25)</f>
        <v>-5.0090598971637451E-2</v>
      </c>
      <c r="S31" s="8">
        <f>LN('[1]Page 321, top'!S26/'[1]Page 321, top'!S25)</f>
        <v>3.9260200606148342E-2</v>
      </c>
      <c r="T31" s="8">
        <f>LN('[1]Page 321, top'!T26/'[1]Page 321, top'!T25)</f>
        <v>2.295182717820227E-2</v>
      </c>
      <c r="U31" s="8">
        <f>LN('[1]Page 321, top'!U26/'[1]Page 321, top'!U25)</f>
        <v>0.16392718208933182</v>
      </c>
      <c r="V31" s="8">
        <f>LN('[1]Page 321, top'!V26/'[1]Page 321, top'!V25)</f>
        <v>1.9786163816293573E-2</v>
      </c>
      <c r="W31" s="8">
        <f>LN('[1]Page 321, top'!W26/'[1]Page 321, top'!W25)</f>
        <v>0.11041605200128428</v>
      </c>
      <c r="X31" s="8">
        <f>LN('[1]Page 321, top'!X26/'[1]Page 321, top'!X25)</f>
        <v>9.1990281094654625E-2</v>
      </c>
      <c r="Y31" s="8">
        <f>LN('[1]Page 321, top'!Y26/'[1]Page 321, top'!Y25)</f>
        <v>4.1064163611348611E-2</v>
      </c>
      <c r="Z31" s="8">
        <f>LN('[1]Page 321, top'!Z26/'[1]Page 321, top'!Z25)</f>
        <v>9.6071166587196374E-2</v>
      </c>
      <c r="AA31" s="8">
        <f>LN('[1]Page 321, top'!AA26/'[1]Page 321, top'!AA25)</f>
        <v>-2.9300115445138851E-2</v>
      </c>
      <c r="AB31" s="8">
        <f>LN('[1]Page 321, top'!AB26/'[1]Page 321, top'!AB25)</f>
        <v>3.7226660022456914E-3</v>
      </c>
      <c r="AC31" s="8">
        <f>LN('[1]Page 321, top'!AC26/'[1]Page 321, top'!AC25)</f>
        <v>3.7102732606584705E-2</v>
      </c>
      <c r="AD31" s="8">
        <f>LN('[1]Page 321, top'!AD26/'[1]Page 321, top'!AD25)</f>
        <v>4.1261458381425947E-2</v>
      </c>
      <c r="AE31" s="8">
        <f>LN('[1]Page 321, top'!AE26/'[1]Page 321, top'!AE25)</f>
        <v>2.1589869026376819E-2</v>
      </c>
      <c r="AF31" s="8">
        <f>LN('[1]Page 321, top'!AF26/'[1]Page 321, top'!AF25)</f>
        <v>-1.3323661198470655E-2</v>
      </c>
    </row>
    <row r="32" spans="1:32" x14ac:dyDescent="0.25">
      <c r="A32" s="20">
        <v>37803</v>
      </c>
      <c r="B32" s="8">
        <f>LN('[1]Page 321, top'!B27/'[1]Page 321, top'!B26)</f>
        <v>1.6093506478773681E-2</v>
      </c>
      <c r="C32" s="8">
        <f>LN('[1]Page 321, top'!C27/'[1]Page 321, top'!C26)</f>
        <v>8.5344709937160576E-2</v>
      </c>
      <c r="D32" s="8">
        <f>LN('[1]Page 321, top'!D27/'[1]Page 321, top'!D26)</f>
        <v>0.1513798274033131</v>
      </c>
      <c r="E32" s="8">
        <f>LN('[1]Page 321, top'!E27/'[1]Page 321, top'!E26)</f>
        <v>5.7408491990673653E-2</v>
      </c>
      <c r="F32" s="8">
        <f>LN('[1]Page 321, top'!F27/'[1]Page 321, top'!F26)</f>
        <v>-3.5550984264318866E-2</v>
      </c>
      <c r="G32" s="8">
        <f>LN('[1]Page 321, top'!G27/'[1]Page 321, top'!G26)</f>
        <v>5.3456459631549977E-2</v>
      </c>
      <c r="H32" s="8">
        <f>LN('[1]Page 321, top'!H27/'[1]Page 321, top'!H26)</f>
        <v>0.19845853459320464</v>
      </c>
      <c r="I32" s="8">
        <f>LN('[1]Page 321, top'!I27/'[1]Page 321, top'!I26)</f>
        <v>5.392767924696916E-2</v>
      </c>
      <c r="J32" s="8">
        <f>LN('[1]Page 321, top'!J27/'[1]Page 321, top'!J26)</f>
        <v>0.10384816888577954</v>
      </c>
      <c r="K32" s="8">
        <f>LN('[1]Page 321, top'!K27/'[1]Page 321, top'!K26)</f>
        <v>-8.703933851860135E-3</v>
      </c>
      <c r="L32" s="8">
        <f>LN('[1]Page 321, top'!L27/'[1]Page 321, top'!L26)</f>
        <v>3.8808941468620115E-2</v>
      </c>
      <c r="M32" s="8">
        <f>LN('[1]Page 321, top'!M27/'[1]Page 321, top'!M26)</f>
        <v>-5.9944237275739262E-2</v>
      </c>
      <c r="N32" s="8">
        <f>LN('[1]Page 321, top'!N27/'[1]Page 321, top'!N26)</f>
        <v>5.2010168845747329E-2</v>
      </c>
      <c r="O32" s="8">
        <f>LN('[1]Page 321, top'!O27/'[1]Page 321, top'!O26)</f>
        <v>-5.8881426252225975E-3</v>
      </c>
      <c r="P32" s="8">
        <f>LN('[1]Page 321, top'!P27/'[1]Page 321, top'!P26)</f>
        <v>-1.5183176421390006E-2</v>
      </c>
      <c r="Q32" s="8">
        <f>LN('[1]Page 321, top'!Q27/'[1]Page 321, top'!Q26)</f>
        <v>0.17917820074392266</v>
      </c>
      <c r="R32" s="8">
        <f>LN('[1]Page 321, top'!R27/'[1]Page 321, top'!R26)</f>
        <v>1.8474807677078544E-3</v>
      </c>
      <c r="S32" s="8">
        <f>LN('[1]Page 321, top'!S27/'[1]Page 321, top'!S26)</f>
        <v>3.5238816620500768E-2</v>
      </c>
      <c r="T32" s="8">
        <f>LN('[1]Page 321, top'!T27/'[1]Page 321, top'!T26)</f>
        <v>-3.151719003712531E-2</v>
      </c>
      <c r="U32" s="8">
        <f>LN('[1]Page 321, top'!U27/'[1]Page 321, top'!U26)</f>
        <v>4.2160810824278118E-2</v>
      </c>
      <c r="V32" s="8">
        <f>LN('[1]Page 321, top'!V27/'[1]Page 321, top'!V26)</f>
        <v>8.3355266807444053E-2</v>
      </c>
      <c r="W32" s="8">
        <f>LN('[1]Page 321, top'!W27/'[1]Page 321, top'!W26)</f>
        <v>-0.12735830936629924</v>
      </c>
      <c r="X32" s="8">
        <f>LN('[1]Page 321, top'!X27/'[1]Page 321, top'!X26)</f>
        <v>-9.1122602081432233E-2</v>
      </c>
      <c r="Y32" s="8">
        <f>LN('[1]Page 321, top'!Y27/'[1]Page 321, top'!Y26)</f>
        <v>2.951106032565216E-2</v>
      </c>
      <c r="Z32" s="8">
        <f>LN('[1]Page 321, top'!Z27/'[1]Page 321, top'!Z26)</f>
        <v>-2.3409759095252527E-2</v>
      </c>
      <c r="AA32" s="8">
        <f>LN('[1]Page 321, top'!AA27/'[1]Page 321, top'!AA26)</f>
        <v>-9.5603022619822255E-3</v>
      </c>
      <c r="AB32" s="8">
        <f>LN('[1]Page 321, top'!AB27/'[1]Page 321, top'!AB26)</f>
        <v>-7.5216163948547937E-2</v>
      </c>
      <c r="AC32" s="8">
        <f>LN('[1]Page 321, top'!AC27/'[1]Page 321, top'!AC26)</f>
        <v>6.0049633779510309E-2</v>
      </c>
      <c r="AD32" s="8">
        <f>LN('[1]Page 321, top'!AD27/'[1]Page 321, top'!AD26)</f>
        <v>-0.10979655920348243</v>
      </c>
      <c r="AE32" s="8">
        <f>LN('[1]Page 321, top'!AE27/'[1]Page 321, top'!AE26)</f>
        <v>4.072193178853617E-2</v>
      </c>
      <c r="AF32" s="8">
        <f>LN('[1]Page 321, top'!AF27/'[1]Page 321, top'!AF26)</f>
        <v>-9.2828934304432006E-3</v>
      </c>
    </row>
    <row r="33" spans="1:32" x14ac:dyDescent="0.25">
      <c r="A33" s="20">
        <v>37834</v>
      </c>
      <c r="B33" s="8">
        <f>LN('[1]Page 321, top'!B28/'[1]Page 321, top'!B27)</f>
        <v>1.7715343790636197E-2</v>
      </c>
      <c r="C33" s="8">
        <f>LN('[1]Page 321, top'!C28/'[1]Page 321, top'!C27)</f>
        <v>3.3825096153643881E-2</v>
      </c>
      <c r="D33" s="8">
        <f>LN('[1]Page 321, top'!D28/'[1]Page 321, top'!D27)</f>
        <v>-7.4876644523636238E-2</v>
      </c>
      <c r="E33" s="8">
        <f>LN('[1]Page 321, top'!E28/'[1]Page 321, top'!E27)</f>
        <v>1.9729694295527435E-2</v>
      </c>
      <c r="F33" s="8">
        <f>LN('[1]Page 321, top'!F28/'[1]Page 321, top'!F27)</f>
        <v>0.12656272330842924</v>
      </c>
      <c r="G33" s="8">
        <f>LN('[1]Page 321, top'!G28/'[1]Page 321, top'!G27)</f>
        <v>-3.3042379965386455E-2</v>
      </c>
      <c r="H33" s="8">
        <f>LN('[1]Page 321, top'!H28/'[1]Page 321, top'!H27)</f>
        <v>6.2473169586022267E-2</v>
      </c>
      <c r="I33" s="8">
        <f>LN('[1]Page 321, top'!I28/'[1]Page 321, top'!I27)</f>
        <v>2.6033452377250046E-2</v>
      </c>
      <c r="J33" s="8">
        <f>LN('[1]Page 321, top'!J28/'[1]Page 321, top'!J27)</f>
        <v>-6.6513226748935797E-2</v>
      </c>
      <c r="K33" s="8">
        <f>LN('[1]Page 321, top'!K28/'[1]Page 321, top'!K27)</f>
        <v>3.9132997702148328E-2</v>
      </c>
      <c r="L33" s="8">
        <f>LN('[1]Page 321, top'!L28/'[1]Page 321, top'!L27)</f>
        <v>0.10701281600412117</v>
      </c>
      <c r="M33" s="8">
        <f>LN('[1]Page 321, top'!M28/'[1]Page 321, top'!M27)</f>
        <v>3.0260971781809479E-2</v>
      </c>
      <c r="N33" s="8">
        <f>LN('[1]Page 321, top'!N28/'[1]Page 321, top'!N27)</f>
        <v>3.1275817991775902E-2</v>
      </c>
      <c r="O33" s="8">
        <f>LN('[1]Page 321, top'!O28/'[1]Page 321, top'!O27)</f>
        <v>-6.0347839258119644E-2</v>
      </c>
      <c r="P33" s="8">
        <f>LN('[1]Page 321, top'!P28/'[1]Page 321, top'!P27)</f>
        <v>1.1315182329404493E-2</v>
      </c>
      <c r="Q33" s="8">
        <f>LN('[1]Page 321, top'!Q28/'[1]Page 321, top'!Q27)</f>
        <v>0.13936562452305809</v>
      </c>
      <c r="R33" s="8">
        <f>LN('[1]Page 321, top'!R28/'[1]Page 321, top'!R27)</f>
        <v>-3.8892629160837099E-2</v>
      </c>
      <c r="S33" s="8">
        <f>LN('[1]Page 321, top'!S28/'[1]Page 321, top'!S27)</f>
        <v>-2.4113047406809193E-2</v>
      </c>
      <c r="T33" s="8">
        <f>LN('[1]Page 321, top'!T28/'[1]Page 321, top'!T27)</f>
        <v>-3.2789822822990956E-2</v>
      </c>
      <c r="U33" s="8">
        <f>LN('[1]Page 321, top'!U28/'[1]Page 321, top'!U27)</f>
        <v>-2.6023773421305359E-2</v>
      </c>
      <c r="V33" s="8">
        <f>LN('[1]Page 321, top'!V28/'[1]Page 321, top'!V27)</f>
        <v>2.0687291493214577E-2</v>
      </c>
      <c r="W33" s="8">
        <f>LN('[1]Page 321, top'!W28/'[1]Page 321, top'!W27)</f>
        <v>2.9674074558462916E-2</v>
      </c>
      <c r="X33" s="8">
        <f>LN('[1]Page 321, top'!X28/'[1]Page 321, top'!X27)</f>
        <v>-3.8908532918691993E-2</v>
      </c>
      <c r="Y33" s="8">
        <f>LN('[1]Page 321, top'!Y28/'[1]Page 321, top'!Y27)</f>
        <v>4.3308859378401489E-3</v>
      </c>
      <c r="Z33" s="8">
        <f>LN('[1]Page 321, top'!Z28/'[1]Page 321, top'!Z27)</f>
        <v>-0.1042075285732616</v>
      </c>
      <c r="AA33" s="8">
        <f>LN('[1]Page 321, top'!AA28/'[1]Page 321, top'!AA27)</f>
        <v>-6.5052632734480583E-3</v>
      </c>
      <c r="AB33" s="8">
        <f>LN('[1]Page 321, top'!AB28/'[1]Page 321, top'!AB27)</f>
        <v>-3.9320868393987976E-2</v>
      </c>
      <c r="AC33" s="8">
        <f>LN('[1]Page 321, top'!AC28/'[1]Page 321, top'!AC27)</f>
        <v>6.8174540835719555E-2</v>
      </c>
      <c r="AD33" s="8">
        <f>LN('[1]Page 321, top'!AD28/'[1]Page 321, top'!AD27)</f>
        <v>9.1116803512558131E-3</v>
      </c>
      <c r="AE33" s="8">
        <f>LN('[1]Page 321, top'!AE28/'[1]Page 321, top'!AE27)</f>
        <v>5.6737527611599781E-2</v>
      </c>
      <c r="AF33" s="8">
        <f>LN('[1]Page 321, top'!AF28/'[1]Page 321, top'!AF27)</f>
        <v>6.465133065881444E-2</v>
      </c>
    </row>
    <row r="34" spans="1:32" x14ac:dyDescent="0.25">
      <c r="A34" s="20">
        <v>37866</v>
      </c>
      <c r="B34" s="8">
        <f>LN('[1]Page 321, top'!B29/'[1]Page 321, top'!B28)</f>
        <v>-1.2016232567985653E-2</v>
      </c>
      <c r="C34" s="8">
        <f>LN('[1]Page 321, top'!C29/'[1]Page 321, top'!C28)</f>
        <v>-8.8019746541645447E-2</v>
      </c>
      <c r="D34" s="8">
        <f>LN('[1]Page 321, top'!D29/'[1]Page 321, top'!D28)</f>
        <v>-3.071291979041154E-2</v>
      </c>
      <c r="E34" s="8">
        <f>LN('[1]Page 321, top'!E29/'[1]Page 321, top'!E28)</f>
        <v>0</v>
      </c>
      <c r="F34" s="8">
        <f>LN('[1]Page 321, top'!F29/'[1]Page 321, top'!F28)</f>
        <v>-8.5512183478071768E-2</v>
      </c>
      <c r="G34" s="8">
        <f>LN('[1]Page 321, top'!G29/'[1]Page 321, top'!G28)</f>
        <v>4.8561605112987349E-2</v>
      </c>
      <c r="H34" s="8">
        <f>LN('[1]Page 321, top'!H29/'[1]Page 321, top'!H28)</f>
        <v>-4.2432418702576156E-2</v>
      </c>
      <c r="I34" s="8">
        <f>LN('[1]Page 321, top'!I29/'[1]Page 321, top'!I28)</f>
        <v>-0.11174403843961539</v>
      </c>
      <c r="J34" s="8">
        <f>LN('[1]Page 321, top'!J29/'[1]Page 321, top'!J28)</f>
        <v>-1.6705020200002887E-2</v>
      </c>
      <c r="K34" s="8">
        <f>LN('[1]Page 321, top'!K29/'[1]Page 321, top'!K28)</f>
        <v>1.4153747438093766E-2</v>
      </c>
      <c r="L34" s="8">
        <f>LN('[1]Page 321, top'!L29/'[1]Page 321, top'!L28)</f>
        <v>-4.2140812468307665E-3</v>
      </c>
      <c r="M34" s="8">
        <f>LN('[1]Page 321, top'!M29/'[1]Page 321, top'!M28)</f>
        <v>-7.3991008303252196E-3</v>
      </c>
      <c r="N34" s="8">
        <f>LN('[1]Page 321, top'!N29/'[1]Page 321, top'!N28)</f>
        <v>-9.5310179804324893E-2</v>
      </c>
      <c r="O34" s="8">
        <f>LN('[1]Page 321, top'!O29/'[1]Page 321, top'!O28)</f>
        <v>-2.5411637362336956E-2</v>
      </c>
      <c r="P34" s="8">
        <f>LN('[1]Page 321, top'!P29/'[1]Page 321, top'!P28)</f>
        <v>7.4188336113208256E-2</v>
      </c>
      <c r="Q34" s="8">
        <f>LN('[1]Page 321, top'!Q29/'[1]Page 321, top'!Q28)</f>
        <v>-3.8197813070573967E-2</v>
      </c>
      <c r="R34" s="8">
        <f>LN('[1]Page 321, top'!R29/'[1]Page 321, top'!R28)</f>
        <v>-1.2801367227169426E-3</v>
      </c>
      <c r="S34" s="8">
        <f>LN('[1]Page 321, top'!S29/'[1]Page 321, top'!S28)</f>
        <v>3.2488657556656369E-3</v>
      </c>
      <c r="T34" s="8">
        <f>LN('[1]Page 321, top'!T29/'[1]Page 321, top'!T28)</f>
        <v>-8.1815257413026046E-3</v>
      </c>
      <c r="U34" s="8">
        <f>LN('[1]Page 321, top'!U29/'[1]Page 321, top'!U28)</f>
        <v>4.8700482092335171E-2</v>
      </c>
      <c r="V34" s="8">
        <f>LN('[1]Page 321, top'!V29/'[1]Page 321, top'!V28)</f>
        <v>-3.0887577848030593E-2</v>
      </c>
      <c r="W34" s="8">
        <f>LN('[1]Page 321, top'!W29/'[1]Page 321, top'!W28)</f>
        <v>7.7335818616388816E-2</v>
      </c>
      <c r="X34" s="8">
        <f>LN('[1]Page 321, top'!X29/'[1]Page 321, top'!X28)</f>
        <v>1.321259843546308E-2</v>
      </c>
      <c r="Y34" s="8">
        <f>LN('[1]Page 321, top'!Y29/'[1]Page 321, top'!Y28)</f>
        <v>4.7266181750373705E-2</v>
      </c>
      <c r="Z34" s="8">
        <f>LN('[1]Page 321, top'!Z29/'[1]Page 321, top'!Z28)</f>
        <v>1.5365676625359811E-2</v>
      </c>
      <c r="AA34" s="8">
        <f>LN('[1]Page 321, top'!AA29/'[1]Page 321, top'!AA28)</f>
        <v>6.1406354887308355E-2</v>
      </c>
      <c r="AB34" s="8">
        <f>LN('[1]Page 321, top'!AB29/'[1]Page 321, top'!AB28)</f>
        <v>-9.4192219164916397E-3</v>
      </c>
      <c r="AC34" s="8">
        <f>LN('[1]Page 321, top'!AC29/'[1]Page 321, top'!AC28)</f>
        <v>-3.7690236064165793E-2</v>
      </c>
      <c r="AD34" s="8">
        <f>LN('[1]Page 321, top'!AD29/'[1]Page 321, top'!AD28)</f>
        <v>-8.5157808340306826E-2</v>
      </c>
      <c r="AE34" s="8">
        <f>LN('[1]Page 321, top'!AE29/'[1]Page 321, top'!AE28)</f>
        <v>-5.7661656685777822E-2</v>
      </c>
      <c r="AF34" s="8">
        <f>LN('[1]Page 321, top'!AF29/'[1]Page 321, top'!AF28)</f>
        <v>-2.9477023295629484E-2</v>
      </c>
    </row>
    <row r="35" spans="1:32" x14ac:dyDescent="0.25">
      <c r="A35" s="20">
        <v>37895</v>
      </c>
      <c r="B35" s="8">
        <f>LN('[1]Page 321, top'!B30/'[1]Page 321, top'!B29)</f>
        <v>5.3504268464946513E-2</v>
      </c>
      <c r="C35" s="8">
        <f>LN('[1]Page 321, top'!C30/'[1]Page 321, top'!C29)</f>
        <v>0.18815599644086031</v>
      </c>
      <c r="D35" s="8">
        <f>LN('[1]Page 321, top'!D30/'[1]Page 321, top'!D29)</f>
        <v>5.2684396840289915E-2</v>
      </c>
      <c r="E35" s="8">
        <f>LN('[1]Page 321, top'!E30/'[1]Page 321, top'!E29)</f>
        <v>4.3080447763902879E-2</v>
      </c>
      <c r="F35" s="8">
        <f>LN('[1]Page 321, top'!F30/'[1]Page 321, top'!F29)</f>
        <v>0.11445975951294031</v>
      </c>
      <c r="G35" s="8">
        <f>LN('[1]Page 321, top'!G30/'[1]Page 321, top'!G29)</f>
        <v>4.8148315623648345E-2</v>
      </c>
      <c r="H35" s="8">
        <f>LN('[1]Page 321, top'!H30/'[1]Page 321, top'!H29)</f>
        <v>6.7282007083321993E-2</v>
      </c>
      <c r="I35" s="8">
        <f>LN('[1]Page 321, top'!I30/'[1]Page 321, top'!I29)</f>
        <v>9.8040000966208348E-3</v>
      </c>
      <c r="J35" s="8">
        <f>LN('[1]Page 321, top'!J30/'[1]Page 321, top'!J29)</f>
        <v>0.11556857261022038</v>
      </c>
      <c r="K35" s="8">
        <f>LN('[1]Page 321, top'!K30/'[1]Page 321, top'!K29)</f>
        <v>-2.7028672387919259E-2</v>
      </c>
      <c r="L35" s="8">
        <f>LN('[1]Page 321, top'!L30/'[1]Page 321, top'!L29)</f>
        <v>4.1632476801552E-2</v>
      </c>
      <c r="M35" s="8">
        <f>LN('[1]Page 321, top'!M30/'[1]Page 321, top'!M29)</f>
        <v>0.15188786974584667</v>
      </c>
      <c r="N35" s="8">
        <f>LN('[1]Page 321, top'!N30/'[1]Page 321, top'!N29)</f>
        <v>0.14987889592550058</v>
      </c>
      <c r="O35" s="8">
        <f>LN('[1]Page 321, top'!O30/'[1]Page 321, top'!O29)</f>
        <v>0.14220678904379266</v>
      </c>
      <c r="P35" s="8">
        <f>LN('[1]Page 321, top'!P30/'[1]Page 321, top'!P29)</f>
        <v>1.2916798201281145E-2</v>
      </c>
      <c r="Q35" s="8">
        <f>LN('[1]Page 321, top'!Q30/'[1]Page 321, top'!Q29)</f>
        <v>0.18007268028393869</v>
      </c>
      <c r="R35" s="8">
        <f>LN('[1]Page 321, top'!R30/'[1]Page 321, top'!R29)</f>
        <v>1.6305284476910688E-2</v>
      </c>
      <c r="S35" s="8">
        <f>LN('[1]Page 321, top'!S30/'[1]Page 321, top'!S29)</f>
        <v>5.4596299236280781E-2</v>
      </c>
      <c r="T35" s="8">
        <f>LN('[1]Page 321, top'!T30/'[1]Page 321, top'!T29)</f>
        <v>7.7108551439068529E-2</v>
      </c>
      <c r="U35" s="8">
        <f>LN('[1]Page 321, top'!U30/'[1]Page 321, top'!U29)</f>
        <v>6.0044131549731733E-2</v>
      </c>
      <c r="V35" s="8">
        <f>LN('[1]Page 321, top'!V30/'[1]Page 321, top'!V29)</f>
        <v>0.1326511277227809</v>
      </c>
      <c r="W35" s="8">
        <f>LN('[1]Page 321, top'!W30/'[1]Page 321, top'!W29)</f>
        <v>5.98436768333633E-2</v>
      </c>
      <c r="X35" s="8">
        <f>LN('[1]Page 321, top'!X30/'[1]Page 321, top'!X29)</f>
        <v>-0.13458072734726104</v>
      </c>
      <c r="Y35" s="8">
        <f>LN('[1]Page 321, top'!Y30/'[1]Page 321, top'!Y29)</f>
        <v>-5.5946791814679479E-2</v>
      </c>
      <c r="Z35" s="8">
        <f>LN('[1]Page 321, top'!Z30/'[1]Page 321, top'!Z29)</f>
        <v>3.9288905045291686E-2</v>
      </c>
      <c r="AA35" s="8">
        <f>LN('[1]Page 321, top'!AA30/'[1]Page 321, top'!AA29)</f>
        <v>6.1920867562972624E-2</v>
      </c>
      <c r="AB35" s="8">
        <f>LN('[1]Page 321, top'!AB30/'[1]Page 321, top'!AB29)</f>
        <v>9.1862891127566265E-2</v>
      </c>
      <c r="AC35" s="8">
        <f>LN('[1]Page 321, top'!AC30/'[1]Page 321, top'!AC29)</f>
        <v>9.1442084266058724E-2</v>
      </c>
      <c r="AD35" s="8">
        <f>LN('[1]Page 321, top'!AD30/'[1]Page 321, top'!AD29)</f>
        <v>4.6520015634892699E-2</v>
      </c>
      <c r="AE35" s="8">
        <f>LN('[1]Page 321, top'!AE30/'[1]Page 321, top'!AE29)</f>
        <v>5.5564853541171258E-2</v>
      </c>
      <c r="AF35" s="8">
        <f>LN('[1]Page 321, top'!AF30/'[1]Page 321, top'!AF29)</f>
        <v>-5.8105754104343711E-4</v>
      </c>
    </row>
    <row r="36" spans="1:32" x14ac:dyDescent="0.25">
      <c r="A36" s="20">
        <v>37928</v>
      </c>
      <c r="B36" s="8">
        <f>LN('[1]Page 321, top'!B31/'[1]Page 321, top'!B30)</f>
        <v>7.1032253560451564E-3</v>
      </c>
      <c r="C36" s="8">
        <f>LN('[1]Page 321, top'!C31/'[1]Page 321, top'!C30)</f>
        <v>4.3186298653130631E-2</v>
      </c>
      <c r="D36" s="8">
        <f>LN('[1]Page 321, top'!D31/'[1]Page 321, top'!D30)</f>
        <v>-4.8464239354893759E-2</v>
      </c>
      <c r="E36" s="8">
        <f>LN('[1]Page 321, top'!E31/'[1]Page 321, top'!E30)</f>
        <v>-2.6546875584085701E-2</v>
      </c>
      <c r="F36" s="8">
        <f>LN('[1]Page 321, top'!F31/'[1]Page 321, top'!F30)</f>
        <v>1.9003670711680138E-3</v>
      </c>
      <c r="G36" s="8">
        <f>LN('[1]Page 321, top'!G31/'[1]Page 321, top'!G30)</f>
        <v>-7.8269276178815211E-3</v>
      </c>
      <c r="H36" s="8">
        <f>LN('[1]Page 321, top'!H31/'[1]Page 321, top'!H30)</f>
        <v>3.6979003241087431E-2</v>
      </c>
      <c r="I36" s="8">
        <f>LN('[1]Page 321, top'!I31/'[1]Page 321, top'!I30)</f>
        <v>3.4362150190943297E-2</v>
      </c>
      <c r="J36" s="8">
        <f>LN('[1]Page 321, top'!J31/'[1]Page 321, top'!J30)</f>
        <v>1.9811543965447154E-2</v>
      </c>
      <c r="K36" s="8">
        <f>LN('[1]Page 321, top'!K31/'[1]Page 321, top'!K30)</f>
        <v>-1.191820438809145E-2</v>
      </c>
      <c r="L36" s="8">
        <f>LN('[1]Page 321, top'!L31/'[1]Page 321, top'!L30)</f>
        <v>1.4477464660356284E-2</v>
      </c>
      <c r="M36" s="8">
        <f>LN('[1]Page 321, top'!M31/'[1]Page 321, top'!M30)</f>
        <v>-8.3565945909413047E-3</v>
      </c>
      <c r="N36" s="8">
        <f>LN('[1]Page 321, top'!N31/'[1]Page 321, top'!N30)</f>
        <v>-2.4241482153972871E-2</v>
      </c>
      <c r="O36" s="8">
        <f>LN('[1]Page 321, top'!O31/'[1]Page 321, top'!O30)</f>
        <v>-2.5914288765470354E-2</v>
      </c>
      <c r="P36" s="8">
        <f>LN('[1]Page 321, top'!P31/'[1]Page 321, top'!P30)</f>
        <v>1.3656750320074559E-2</v>
      </c>
      <c r="Q36" s="8">
        <f>LN('[1]Page 321, top'!Q31/'[1]Page 321, top'!Q30)</f>
        <v>1.8280911882333842E-2</v>
      </c>
      <c r="R36" s="8">
        <f>LN('[1]Page 321, top'!R31/'[1]Page 321, top'!R30)</f>
        <v>-1.5878390126777799E-2</v>
      </c>
      <c r="S36" s="8">
        <f>LN('[1]Page 321, top'!S31/'[1]Page 321, top'!S30)</f>
        <v>-1.4228510998369416E-2</v>
      </c>
      <c r="T36" s="8">
        <f>LN('[1]Page 321, top'!T31/'[1]Page 321, top'!T30)</f>
        <v>6.8902431530850385E-3</v>
      </c>
      <c r="U36" s="8">
        <f>LN('[1]Page 321, top'!U31/'[1]Page 321, top'!U30)</f>
        <v>4.0551687720393262E-2</v>
      </c>
      <c r="V36" s="8">
        <f>LN('[1]Page 321, top'!V31/'[1]Page 321, top'!V30)</f>
        <v>6.4119909770771703E-3</v>
      </c>
      <c r="W36" s="8">
        <f>LN('[1]Page 321, top'!W31/'[1]Page 321, top'!W30)</f>
        <v>0.11166413544612598</v>
      </c>
      <c r="X36" s="8">
        <f>LN('[1]Page 321, top'!X31/'[1]Page 321, top'!X30)</f>
        <v>-8.6063169839410369E-2</v>
      </c>
      <c r="Y36" s="8">
        <f>LN('[1]Page 321, top'!Y31/'[1]Page 321, top'!Y30)</f>
        <v>-1.6703685071366603E-2</v>
      </c>
      <c r="Z36" s="8">
        <f>LN('[1]Page 321, top'!Z31/'[1]Page 321, top'!Z30)</f>
        <v>6.5326652348954573E-2</v>
      </c>
      <c r="AA36" s="8">
        <f>LN('[1]Page 321, top'!AA31/'[1]Page 321, top'!AA30)</f>
        <v>-2.1162525898251516E-2</v>
      </c>
      <c r="AB36" s="8">
        <f>LN('[1]Page 321, top'!AB31/'[1]Page 321, top'!AB30)</f>
        <v>-2.9693103825545863E-2</v>
      </c>
      <c r="AC36" s="8">
        <f>LN('[1]Page 321, top'!AC31/'[1]Page 321, top'!AC30)</f>
        <v>1.5918053751249654E-2</v>
      </c>
      <c r="AD36" s="8">
        <f>LN('[1]Page 321, top'!AD31/'[1]Page 321, top'!AD30)</f>
        <v>-2.2817267772115294E-2</v>
      </c>
      <c r="AE36" s="8">
        <f>LN('[1]Page 321, top'!AE31/'[1]Page 321, top'!AE30)</f>
        <v>-5.7786253936324757E-2</v>
      </c>
      <c r="AF36" s="8">
        <f>LN('[1]Page 321, top'!AF31/'[1]Page 321, top'!AF30)</f>
        <v>-3.493453334559977E-3</v>
      </c>
    </row>
    <row r="37" spans="1:32" x14ac:dyDescent="0.25">
      <c r="A37" s="20">
        <v>37956</v>
      </c>
      <c r="B37" s="8">
        <f>LN('[1]Page 321, top'!B32/'[1]Page 321, top'!B31)</f>
        <v>4.9518899306471208E-2</v>
      </c>
      <c r="C37" s="8">
        <f>LN('[1]Page 321, top'!C32/'[1]Page 321, top'!C31)</f>
        <v>0.1468508746690195</v>
      </c>
      <c r="D37" s="8">
        <f>LN('[1]Page 321, top'!D32/'[1]Page 321, top'!D31)</f>
        <v>0.13550347731826642</v>
      </c>
      <c r="E37" s="8">
        <f>LN('[1]Page 321, top'!E32/'[1]Page 321, top'!E31)</f>
        <v>5.5805262571967003E-2</v>
      </c>
      <c r="F37" s="8">
        <f>LN('[1]Page 321, top'!F32/'[1]Page 321, top'!F31)</f>
        <v>9.3162746641721098E-2</v>
      </c>
      <c r="G37" s="8">
        <f>LN('[1]Page 321, top'!G32/'[1]Page 321, top'!G31)</f>
        <v>3.1618692175218219E-2</v>
      </c>
      <c r="H37" s="8">
        <f>LN('[1]Page 321, top'!H32/'[1]Page 321, top'!H31)</f>
        <v>8.7881918383866761E-2</v>
      </c>
      <c r="I37" s="8">
        <f>LN('[1]Page 321, top'!I32/'[1]Page 321, top'!I31)</f>
        <v>0.10150391334127384</v>
      </c>
      <c r="J37" s="8">
        <f>LN('[1]Page 321, top'!J32/'[1]Page 321, top'!J31)</f>
        <v>1.9863817979480232E-2</v>
      </c>
      <c r="K37" s="8">
        <f>LN('[1]Page 321, top'!K32/'[1]Page 321, top'!K31)</f>
        <v>8.4040814620105708E-2</v>
      </c>
      <c r="L37" s="8">
        <f>LN('[1]Page 321, top'!L32/'[1]Page 321, top'!L31)</f>
        <v>0.22159857351561749</v>
      </c>
      <c r="M37" s="8">
        <f>LN('[1]Page 321, top'!M32/'[1]Page 321, top'!M31)</f>
        <v>-3.3274788884872321E-2</v>
      </c>
      <c r="N37" s="8">
        <f>LN('[1]Page 321, top'!N32/'[1]Page 321, top'!N31)</f>
        <v>0.11857298751040188</v>
      </c>
      <c r="O37" s="8">
        <f>LN('[1]Page 321, top'!O32/'[1]Page 321, top'!O31)</f>
        <v>5.8403991538189343E-2</v>
      </c>
      <c r="P37" s="8">
        <f>LN('[1]Page 321, top'!P32/'[1]Page 321, top'!P31)</f>
        <v>2.3349102959578361E-2</v>
      </c>
      <c r="Q37" s="8">
        <f>LN('[1]Page 321, top'!Q32/'[1]Page 321, top'!Q31)</f>
        <v>-4.5540919977951212E-2</v>
      </c>
      <c r="R37" s="8">
        <f>LN('[1]Page 321, top'!R32/'[1]Page 321, top'!R31)</f>
        <v>4.6694601720825395E-2</v>
      </c>
      <c r="S37" s="8">
        <f>LN('[1]Page 321, top'!S32/'[1]Page 321, top'!S31)</f>
        <v>3.7001622069618184E-2</v>
      </c>
      <c r="T37" s="8">
        <f>LN('[1]Page 321, top'!T32/'[1]Page 321, top'!T31)</f>
        <v>8.7602489346788368E-2</v>
      </c>
      <c r="U37" s="8">
        <f>LN('[1]Page 321, top'!U32/'[1]Page 321, top'!U31)</f>
        <v>-3.1722536398480015E-2</v>
      </c>
      <c r="V37" s="8">
        <f>LN('[1]Page 321, top'!V32/'[1]Page 321, top'!V31)</f>
        <v>7.3032636721528266E-2</v>
      </c>
      <c r="W37" s="8">
        <f>LN('[1]Page 321, top'!W32/'[1]Page 321, top'!W31)</f>
        <v>5.8326808890349982E-2</v>
      </c>
      <c r="X37" s="8">
        <f>LN('[1]Page 321, top'!X32/'[1]Page 321, top'!X31)</f>
        <v>0.13813244202968306</v>
      </c>
      <c r="Y37" s="8">
        <f>LN('[1]Page 321, top'!Y32/'[1]Page 321, top'!Y31)</f>
        <v>6.2291983603303888E-2</v>
      </c>
      <c r="Z37" s="8">
        <f>LN('[1]Page 321, top'!Z32/'[1]Page 321, top'!Z31)</f>
        <v>5.1053725610202091E-2</v>
      </c>
      <c r="AA37" s="8">
        <f>LN('[1]Page 321, top'!AA32/'[1]Page 321, top'!AA31)</f>
        <v>3.72713947972316E-2</v>
      </c>
      <c r="AB37" s="8">
        <f>LN('[1]Page 321, top'!AB32/'[1]Page 321, top'!AB31)</f>
        <v>0.11338162010017296</v>
      </c>
      <c r="AC37" s="8">
        <f>LN('[1]Page 321, top'!AC32/'[1]Page 321, top'!AC31)</f>
        <v>0.10068487885222685</v>
      </c>
      <c r="AD37" s="8">
        <f>LN('[1]Page 321, top'!AD32/'[1]Page 321, top'!AD31)</f>
        <v>6.5979955075818969E-2</v>
      </c>
      <c r="AE37" s="8">
        <f>LN('[1]Page 321, top'!AE32/'[1]Page 321, top'!AE31)</f>
        <v>-4.5884826115336126E-2</v>
      </c>
      <c r="AF37" s="8">
        <f>LN('[1]Page 321, top'!AF32/'[1]Page 321, top'!AF31)</f>
        <v>0.12433937726874698</v>
      </c>
    </row>
    <row r="38" spans="1:32" x14ac:dyDescent="0.25">
      <c r="A38" s="20">
        <v>37988</v>
      </c>
      <c r="B38" s="8">
        <f>LN('[1]Page 321, top'!B33/'[1]Page 321, top'!B32)</f>
        <v>1.7128882262967212E-2</v>
      </c>
      <c r="C38" s="8">
        <f>LN('[1]Page 321, top'!C33/'[1]Page 321, top'!C32)</f>
        <v>-0.10606730547874653</v>
      </c>
      <c r="D38" s="8">
        <f>LN('[1]Page 321, top'!D33/'[1]Page 321, top'!D32)</f>
        <v>4.6701093045980621E-2</v>
      </c>
      <c r="E38" s="8">
        <f>LN('[1]Page 321, top'!E33/'[1]Page 321, top'!E32)</f>
        <v>7.220231871767574E-2</v>
      </c>
      <c r="F38" s="8">
        <f>LN('[1]Page 321, top'!F33/'[1]Page 321, top'!F32)</f>
        <v>-9.1846245752505943E-3</v>
      </c>
      <c r="G38" s="8">
        <f>LN('[1]Page 321, top'!G33/'[1]Page 321, top'!G32)</f>
        <v>2.7386870654487638E-2</v>
      </c>
      <c r="H38" s="8">
        <f>LN('[1]Page 321, top'!H33/'[1]Page 321, top'!H32)</f>
        <v>-5.6477063555120791E-2</v>
      </c>
      <c r="I38" s="8">
        <f>LN('[1]Page 321, top'!I33/'[1]Page 321, top'!I32)</f>
        <v>-4.4258220426428019E-2</v>
      </c>
      <c r="J38" s="8">
        <f>LN('[1]Page 321, top'!J33/'[1]Page 321, top'!J32)</f>
        <v>2.843793532053341E-2</v>
      </c>
      <c r="K38" s="8">
        <f>LN('[1]Page 321, top'!K33/'[1]Page 321, top'!K32)</f>
        <v>8.1975177732644747E-2</v>
      </c>
      <c r="L38" s="8">
        <f>LN('[1]Page 321, top'!L33/'[1]Page 321, top'!L32)</f>
        <v>-7.2059445965976701E-2</v>
      </c>
      <c r="M38" s="8">
        <f>LN('[1]Page 321, top'!M33/'[1]Page 321, top'!M32)</f>
        <v>-5.7853631928948075E-4</v>
      </c>
      <c r="N38" s="8">
        <f>LN('[1]Page 321, top'!N33/'[1]Page 321, top'!N32)</f>
        <v>7.746394453664722E-2</v>
      </c>
      <c r="O38" s="8">
        <f>LN('[1]Page 321, top'!O33/'[1]Page 321, top'!O32)</f>
        <v>3.4951578022813505E-2</v>
      </c>
      <c r="P38" s="8">
        <f>LN('[1]Page 321, top'!P33/'[1]Page 321, top'!P32)</f>
        <v>6.8285907866131368E-2</v>
      </c>
      <c r="Q38" s="8">
        <f>LN('[1]Page 321, top'!Q33/'[1]Page 321, top'!Q32)</f>
        <v>-4.8725898882304684E-2</v>
      </c>
      <c r="R38" s="8">
        <f>LN('[1]Page 321, top'!R33/'[1]Page 321, top'!R32)</f>
        <v>3.3446594158827996E-2</v>
      </c>
      <c r="S38" s="8">
        <f>LN('[1]Page 321, top'!S33/'[1]Page 321, top'!S32)</f>
        <v>6.6487985652396456E-2</v>
      </c>
      <c r="T38" s="8">
        <f>LN('[1]Page 321, top'!T33/'[1]Page 321, top'!T32)</f>
        <v>-3.0227929391224644E-2</v>
      </c>
      <c r="U38" s="8">
        <f>LN('[1]Page 321, top'!U33/'[1]Page 321, top'!U32)</f>
        <v>3.5769486478677309E-2</v>
      </c>
      <c r="V38" s="8">
        <f>LN('[1]Page 321, top'!V33/'[1]Page 321, top'!V32)</f>
        <v>-7.2367079292633765E-2</v>
      </c>
      <c r="W38" s="8">
        <f>LN('[1]Page 321, top'!W33/'[1]Page 321, top'!W32)</f>
        <v>2.1277398447284879E-2</v>
      </c>
      <c r="X38" s="8">
        <f>LN('[1]Page 321, top'!X33/'[1]Page 321, top'!X32)</f>
        <v>2.9753474096948125E-2</v>
      </c>
      <c r="Y38" s="8">
        <f>LN('[1]Page 321, top'!Y33/'[1]Page 321, top'!Y32)</f>
        <v>1.0358493282742128E-2</v>
      </c>
      <c r="Z38" s="8">
        <f>LN('[1]Page 321, top'!Z33/'[1]Page 321, top'!Z32)</f>
        <v>3.606410797185268E-2</v>
      </c>
      <c r="AA38" s="8">
        <f>LN('[1]Page 321, top'!AA33/'[1]Page 321, top'!AA32)</f>
        <v>1.6474150076722295E-2</v>
      </c>
      <c r="AB38" s="8">
        <f>LN('[1]Page 321, top'!AB33/'[1]Page 321, top'!AB32)</f>
        <v>-1.064311598732076E-2</v>
      </c>
      <c r="AC38" s="8">
        <f>LN('[1]Page 321, top'!AC33/'[1]Page 321, top'!AC32)</f>
        <v>8.0954385886665547E-3</v>
      </c>
      <c r="AD38" s="8">
        <f>LN('[1]Page 321, top'!AD33/'[1]Page 321, top'!AD32)</f>
        <v>6.0074363275915192E-2</v>
      </c>
      <c r="AE38" s="8">
        <f>LN('[1]Page 321, top'!AE33/'[1]Page 321, top'!AE32)</f>
        <v>1.4829352158300783E-2</v>
      </c>
      <c r="AF38" s="8">
        <f>LN('[1]Page 321, top'!AF33/'[1]Page 321, top'!AF32)</f>
        <v>-4.9051343992586203E-3</v>
      </c>
    </row>
    <row r="39" spans="1:32" x14ac:dyDescent="0.25">
      <c r="A39" s="20">
        <v>38019</v>
      </c>
      <c r="B39" s="8">
        <f>LN('[1]Page 321, top'!B34/'[1]Page 321, top'!B33)</f>
        <v>1.2135100829125884E-2</v>
      </c>
      <c r="C39" s="8">
        <f>LN('[1]Page 321, top'!C34/'[1]Page 321, top'!C33)</f>
        <v>9.634365614730557E-2</v>
      </c>
      <c r="D39" s="8">
        <f>LN('[1]Page 321, top'!D34/'[1]Page 321, top'!D33)</f>
        <v>6.3459407369262477E-2</v>
      </c>
      <c r="E39" s="8">
        <f>LN('[1]Page 321, top'!E34/'[1]Page 321, top'!E33)</f>
        <v>2.9978929861486769E-2</v>
      </c>
      <c r="F39" s="8">
        <f>LN('[1]Page 321, top'!F34/'[1]Page 321, top'!F33)</f>
        <v>4.1998359687963879E-2</v>
      </c>
      <c r="G39" s="8">
        <f>LN('[1]Page 321, top'!G34/'[1]Page 321, top'!G33)</f>
        <v>1.5564516541111548E-2</v>
      </c>
      <c r="H39" s="8">
        <f>LN('[1]Page 321, top'!H34/'[1]Page 321, top'!H33)</f>
        <v>-3.0854951048047748E-2</v>
      </c>
      <c r="I39" s="8">
        <f>LN('[1]Page 321, top'!I34/'[1]Page 321, top'!I33)</f>
        <v>3.4511322865583019E-2</v>
      </c>
      <c r="J39" s="8">
        <f>LN('[1]Page 321, top'!J34/'[1]Page 321, top'!J33)</f>
        <v>0.10016437125222855</v>
      </c>
      <c r="K39" s="8">
        <f>LN('[1]Page 321, top'!K34/'[1]Page 321, top'!K33)</f>
        <v>-2.7346082325515195E-2</v>
      </c>
      <c r="L39" s="8">
        <f>LN('[1]Page 321, top'!L34/'[1]Page 321, top'!L33)</f>
        <v>-2.1780286365647616E-2</v>
      </c>
      <c r="M39" s="8">
        <f>LN('[1]Page 321, top'!M34/'[1]Page 321, top'!M33)</f>
        <v>2.3449744795784353E-2</v>
      </c>
      <c r="N39" s="8">
        <f>LN('[1]Page 321, top'!N34/'[1]Page 321, top'!N33)</f>
        <v>-2.4860706226230728E-2</v>
      </c>
      <c r="O39" s="8">
        <f>LN('[1]Page 321, top'!O34/'[1]Page 321, top'!O33)</f>
        <v>-4.6271599287819744E-2</v>
      </c>
      <c r="P39" s="8">
        <f>LN('[1]Page 321, top'!P34/'[1]Page 321, top'!P33)</f>
        <v>-2.6333810103692061E-2</v>
      </c>
      <c r="Q39" s="8">
        <f>LN('[1]Page 321, top'!Q34/'[1]Page 321, top'!Q33)</f>
        <v>-4.3087829943006355E-2</v>
      </c>
      <c r="R39" s="8">
        <f>LN('[1]Page 321, top'!R34/'[1]Page 321, top'!R33)</f>
        <v>1.3693484705360101E-2</v>
      </c>
      <c r="S39" s="8">
        <f>LN('[1]Page 321, top'!S34/'[1]Page 321, top'!S33)</f>
        <v>5.3327740352158766E-2</v>
      </c>
      <c r="T39" s="8">
        <f>LN('[1]Page 321, top'!T34/'[1]Page 321, top'!T33)</f>
        <v>1.4376387503969058E-2</v>
      </c>
      <c r="U39" s="8">
        <f>LN('[1]Page 321, top'!U34/'[1]Page 321, top'!U33)</f>
        <v>9.5089858869272931E-2</v>
      </c>
      <c r="V39" s="8">
        <f>LN('[1]Page 321, top'!V34/'[1]Page 321, top'!V33)</f>
        <v>-9.0897564764294558E-3</v>
      </c>
      <c r="W39" s="8">
        <f>LN('[1]Page 321, top'!W34/'[1]Page 321, top'!W33)</f>
        <v>3.4616545669163876E-2</v>
      </c>
      <c r="X39" s="8">
        <f>LN('[1]Page 321, top'!X34/'[1]Page 321, top'!X33)</f>
        <v>1.0033919208430145E-2</v>
      </c>
      <c r="Y39" s="8">
        <f>LN('[1]Page 321, top'!Y34/'[1]Page 321, top'!Y33)</f>
        <v>-4.1234280652667023E-2</v>
      </c>
      <c r="Z39" s="8">
        <f>LN('[1]Page 321, top'!Z34/'[1]Page 321, top'!Z33)</f>
        <v>4.9642385492316065E-3</v>
      </c>
      <c r="AA39" s="8">
        <f>LN('[1]Page 321, top'!AA34/'[1]Page 321, top'!AA33)</f>
        <v>1.4170069728652691E-2</v>
      </c>
      <c r="AB39" s="8">
        <f>LN('[1]Page 321, top'!AB34/'[1]Page 321, top'!AB33)</f>
        <v>-6.017888969405611E-2</v>
      </c>
      <c r="AC39" s="8">
        <f>LN('[1]Page 321, top'!AC34/'[1]Page 321, top'!AC33)</f>
        <v>-3.2782559102731333E-2</v>
      </c>
      <c r="AD39" s="8">
        <f>LN('[1]Page 321, top'!AD34/'[1]Page 321, top'!AD33)</f>
        <v>3.9010454885268518E-2</v>
      </c>
      <c r="AE39" s="8">
        <f>LN('[1]Page 321, top'!AE34/'[1]Page 321, top'!AE33)</f>
        <v>0.10083874216546934</v>
      </c>
      <c r="AF39" s="8">
        <f>LN('[1]Page 321, top'!AF34/'[1]Page 321, top'!AF33)</f>
        <v>3.9330199116792378E-2</v>
      </c>
    </row>
    <row r="40" spans="1:32" x14ac:dyDescent="0.25">
      <c r="A40" s="20">
        <v>38047</v>
      </c>
      <c r="B40" s="8">
        <f>LN('[1]Page 321, top'!B35/'[1]Page 321, top'!B34)</f>
        <v>-1.6494220669989047E-2</v>
      </c>
      <c r="C40" s="8">
        <f>LN('[1]Page 321, top'!C35/'[1]Page 321, top'!C34)</f>
        <v>-7.7162066365471571E-2</v>
      </c>
      <c r="D40" s="8">
        <f>LN('[1]Page 321, top'!D35/'[1]Page 321, top'!D34)</f>
        <v>-3.5625755369347686E-2</v>
      </c>
      <c r="E40" s="8">
        <f>LN('[1]Page 321, top'!E35/'[1]Page 321, top'!E34)</f>
        <v>-2.7727183807602505E-2</v>
      </c>
      <c r="F40" s="8">
        <f>LN('[1]Page 321, top'!F35/'[1]Page 321, top'!F34)</f>
        <v>-5.4545575740052671E-2</v>
      </c>
      <c r="G40" s="8">
        <f>LN('[1]Page 321, top'!G35/'[1]Page 321, top'!G34)</f>
        <v>2.8337696551702485E-2</v>
      </c>
      <c r="H40" s="8">
        <f>LN('[1]Page 321, top'!H35/'[1]Page 321, top'!H34)</f>
        <v>4.3040532294163519E-2</v>
      </c>
      <c r="I40" s="8">
        <f>LN('[1]Page 321, top'!I35/'[1]Page 321, top'!I34)</f>
        <v>-6.5653970221436778E-2</v>
      </c>
      <c r="J40" s="8">
        <f>LN('[1]Page 321, top'!J35/'[1]Page 321, top'!J34)</f>
        <v>-5.9784275544337961E-2</v>
      </c>
      <c r="K40" s="8">
        <f>LN('[1]Page 321, top'!K35/'[1]Page 321, top'!K34)</f>
        <v>-6.3625695880211552E-2</v>
      </c>
      <c r="L40" s="8">
        <f>LN('[1]Page 321, top'!L35/'[1]Page 321, top'!L34)</f>
        <v>-1.8201660757083821E-2</v>
      </c>
      <c r="M40" s="8">
        <f>LN('[1]Page 321, top'!M35/'[1]Page 321, top'!M34)</f>
        <v>3.03433160889496E-2</v>
      </c>
      <c r="N40" s="8">
        <f>LN('[1]Page 321, top'!N35/'[1]Page 321, top'!N34)</f>
        <v>-3.4759596935936145E-2</v>
      </c>
      <c r="O40" s="8">
        <f>LN('[1]Page 321, top'!O35/'[1]Page 321, top'!O34)</f>
        <v>9.0662452377530418E-3</v>
      </c>
      <c r="P40" s="8">
        <f>LN('[1]Page 321, top'!P35/'[1]Page 321, top'!P34)</f>
        <v>-4.9489264900183773E-2</v>
      </c>
      <c r="Q40" s="8">
        <f>LN('[1]Page 321, top'!Q35/'[1]Page 321, top'!Q34)</f>
        <v>-7.0780812180571473E-2</v>
      </c>
      <c r="R40" s="8">
        <f>LN('[1]Page 321, top'!R35/'[1]Page 321, top'!R34)</f>
        <v>-6.1086162154750691E-2</v>
      </c>
      <c r="S40" s="8">
        <f>LN('[1]Page 321, top'!S35/'[1]Page 321, top'!S34)</f>
        <v>2.2384081383537435E-2</v>
      </c>
      <c r="T40" s="8">
        <f>LN('[1]Page 321, top'!T35/'[1]Page 321, top'!T34)</f>
        <v>1.1859520617718222E-2</v>
      </c>
      <c r="U40" s="8">
        <f>LN('[1]Page 321, top'!U35/'[1]Page 321, top'!U34)</f>
        <v>9.5029954914861142E-3</v>
      </c>
      <c r="V40" s="8">
        <f>LN('[1]Page 321, top'!V35/'[1]Page 321, top'!V34)</f>
        <v>4.8105729904370467E-2</v>
      </c>
      <c r="W40" s="8">
        <f>LN('[1]Page 321, top'!W35/'[1]Page 321, top'!W34)</f>
        <v>-4.3767600886521159E-2</v>
      </c>
      <c r="X40" s="8">
        <f>LN('[1]Page 321, top'!X35/'[1]Page 321, top'!X34)</f>
        <v>-7.6450375170201493E-2</v>
      </c>
      <c r="Y40" s="8">
        <f>LN('[1]Page 321, top'!Y35/'[1]Page 321, top'!Y34)</f>
        <v>-6.2478788174560609E-2</v>
      </c>
      <c r="Z40" s="8">
        <f>LN('[1]Page 321, top'!Z35/'[1]Page 321, top'!Z34)</f>
        <v>-4.4372322885373093E-2</v>
      </c>
      <c r="AA40" s="8">
        <f>LN('[1]Page 321, top'!AA35/'[1]Page 321, top'!AA34)</f>
        <v>2.2780946868205625E-2</v>
      </c>
      <c r="AB40" s="8">
        <f>LN('[1]Page 321, top'!AB35/'[1]Page 321, top'!AB34)</f>
        <v>2.2009785688655227E-2</v>
      </c>
      <c r="AC40" s="8">
        <f>LN('[1]Page 321, top'!AC35/'[1]Page 321, top'!AC34)</f>
        <v>-6.5124146309160968E-2</v>
      </c>
      <c r="AD40" s="8">
        <f>LN('[1]Page 321, top'!AD35/'[1]Page 321, top'!AD34)</f>
        <v>-4.78560211776351E-2</v>
      </c>
      <c r="AE40" s="8">
        <f>LN('[1]Page 321, top'!AE35/'[1]Page 321, top'!AE34)</f>
        <v>4.4835391540929857E-3</v>
      </c>
      <c r="AF40" s="8">
        <f>LN('[1]Page 321, top'!AF35/'[1]Page 321, top'!AF34)</f>
        <v>-1.3779498999322442E-2</v>
      </c>
    </row>
    <row r="41" spans="1:32" x14ac:dyDescent="0.25">
      <c r="A41" s="20">
        <v>38078</v>
      </c>
      <c r="B41" s="8">
        <f>LN('[1]Page 321, top'!B36/'[1]Page 321, top'!B35)</f>
        <v>-1.6933393494544095E-2</v>
      </c>
      <c r="C41" s="8">
        <f>LN('[1]Page 321, top'!C36/'[1]Page 321, top'!C35)</f>
        <v>-0.12034965592245828</v>
      </c>
      <c r="D41" s="8">
        <f>LN('[1]Page 321, top'!D36/'[1]Page 321, top'!D35)</f>
        <v>4.2577413171854105E-3</v>
      </c>
      <c r="E41" s="8">
        <f>LN('[1]Page 321, top'!E36/'[1]Page 321, top'!E35)</f>
        <v>-5.7634831190551052E-2</v>
      </c>
      <c r="F41" s="8">
        <f>LN('[1]Page 321, top'!F36/'[1]Page 321, top'!F35)</f>
        <v>3.8637792705413919E-2</v>
      </c>
      <c r="G41" s="8">
        <f>LN('[1]Page 321, top'!G36/'[1]Page 321, top'!G35)</f>
        <v>-6.4149383628143999E-2</v>
      </c>
      <c r="H41" s="8">
        <f>LN('[1]Page 321, top'!H36/'[1]Page 321, top'!H35)</f>
        <v>-1.2718772407774559E-2</v>
      </c>
      <c r="I41" s="8">
        <f>LN('[1]Page 321, top'!I36/'[1]Page 321, top'!I35)</f>
        <v>1.7198198297220822E-2</v>
      </c>
      <c r="J41" s="8">
        <f>LN('[1]Page 321, top'!J36/'[1]Page 321, top'!J35)</f>
        <v>-8.1573867060109426E-2</v>
      </c>
      <c r="K41" s="8">
        <f>LN('[1]Page 321, top'!K36/'[1]Page 321, top'!K35)</f>
        <v>-1.8593764938415306E-2</v>
      </c>
      <c r="L41" s="8">
        <f>LN('[1]Page 321, top'!L36/'[1]Page 321, top'!L35)</f>
        <v>3.5718575896427612E-3</v>
      </c>
      <c r="M41" s="8">
        <f>LN('[1]Page 321, top'!M36/'[1]Page 321, top'!M35)</f>
        <v>-5.9887986152230469E-2</v>
      </c>
      <c r="N41" s="8">
        <f>LN('[1]Page 321, top'!N36/'[1]Page 321, top'!N35)</f>
        <v>2.1182679981522696E-2</v>
      </c>
      <c r="O41" s="8">
        <f>LN('[1]Page 321, top'!O36/'[1]Page 321, top'!O35)</f>
        <v>-0.14755395425582776</v>
      </c>
      <c r="P41" s="8">
        <f>LN('[1]Page 321, top'!P36/'[1]Page 321, top'!P35)</f>
        <v>-4.0761730796912123E-2</v>
      </c>
      <c r="Q41" s="8">
        <f>LN('[1]Page 321, top'!Q36/'[1]Page 321, top'!Q35)</f>
        <v>-5.5580653265543241E-2</v>
      </c>
      <c r="R41" s="8">
        <f>LN('[1]Page 321, top'!R36/'[1]Page 321, top'!R35)</f>
        <v>6.3221048943286159E-2</v>
      </c>
      <c r="S41" s="8">
        <f>LN('[1]Page 321, top'!S36/'[1]Page 321, top'!S35)</f>
        <v>-0.10160599861202289</v>
      </c>
      <c r="T41" s="8">
        <f>LN('[1]Page 321, top'!T36/'[1]Page 321, top'!T35)</f>
        <v>5.4587580437511036E-3</v>
      </c>
      <c r="U41" s="8">
        <f>LN('[1]Page 321, top'!U36/'[1]Page 321, top'!U35)</f>
        <v>-4.8062891410103142E-2</v>
      </c>
      <c r="V41" s="8">
        <f>LN('[1]Page 321, top'!V36/'[1]Page 321, top'!V35)</f>
        <v>5.4780934697511344E-2</v>
      </c>
      <c r="W41" s="8">
        <f>LN('[1]Page 321, top'!W36/'[1]Page 321, top'!W35)</f>
        <v>1.7014791677571944E-2</v>
      </c>
      <c r="X41" s="8">
        <f>LN('[1]Page 321, top'!X36/'[1]Page 321, top'!X35)</f>
        <v>6.1479335318415811E-2</v>
      </c>
      <c r="Y41" s="8">
        <f>LN('[1]Page 321, top'!Y36/'[1]Page 321, top'!Y35)</f>
        <v>4.7330262181136555E-2</v>
      </c>
      <c r="Z41" s="8">
        <f>LN('[1]Page 321, top'!Z36/'[1]Page 321, top'!Z35)</f>
        <v>1.9898154246793115E-2</v>
      </c>
      <c r="AA41" s="8">
        <f>LN('[1]Page 321, top'!AA36/'[1]Page 321, top'!AA35)</f>
        <v>1.3462883998407262E-2</v>
      </c>
      <c r="AB41" s="8">
        <f>LN('[1]Page 321, top'!AB36/'[1]Page 321, top'!AB35)</f>
        <v>2.6960737395505058E-2</v>
      </c>
      <c r="AC41" s="8">
        <f>LN('[1]Page 321, top'!AC36/'[1]Page 321, top'!AC35)</f>
        <v>-4.8076924002949875E-4</v>
      </c>
      <c r="AD41" s="8">
        <f>LN('[1]Page 321, top'!AD36/'[1]Page 321, top'!AD35)</f>
        <v>4.258514513863592E-2</v>
      </c>
      <c r="AE41" s="8">
        <f>LN('[1]Page 321, top'!AE36/'[1]Page 321, top'!AE35)</f>
        <v>-4.6126817949693283E-2</v>
      </c>
      <c r="AF41" s="8">
        <f>LN('[1]Page 321, top'!AF36/'[1]Page 321, top'!AF35)</f>
        <v>2.2697071099634526E-2</v>
      </c>
    </row>
    <row r="42" spans="1:32" x14ac:dyDescent="0.25">
      <c r="A42" s="20">
        <v>38110</v>
      </c>
      <c r="B42" s="8">
        <f>LN('[1]Page 321, top'!B37/'[1]Page 321, top'!B36)</f>
        <v>1.2011024205564368E-2</v>
      </c>
      <c r="C42" s="8">
        <f>LN('[1]Page 321, top'!C37/'[1]Page 321, top'!C36)</f>
        <v>2.2533322655801786E-2</v>
      </c>
      <c r="D42" s="8">
        <f>LN('[1]Page 321, top'!D37/'[1]Page 321, top'!D36)</f>
        <v>2.2683694534500053E-2</v>
      </c>
      <c r="E42" s="8">
        <f>LN('[1]Page 321, top'!E37/'[1]Page 321, top'!E36)</f>
        <v>3.5115967655201141E-2</v>
      </c>
      <c r="F42" s="8">
        <f>LN('[1]Page 321, top'!F37/'[1]Page 321, top'!F36)</f>
        <v>7.48712515163176E-2</v>
      </c>
      <c r="G42" s="8">
        <f>LN('[1]Page 321, top'!G37/'[1]Page 321, top'!G36)</f>
        <v>-3.5067499984439081E-2</v>
      </c>
      <c r="H42" s="8">
        <f>LN('[1]Page 321, top'!H37/'[1]Page 321, top'!H36)</f>
        <v>-3.1146728996836709E-2</v>
      </c>
      <c r="I42" s="8">
        <f>LN('[1]Page 321, top'!I37/'[1]Page 321, top'!I36)</f>
        <v>1.4191698410863171E-2</v>
      </c>
      <c r="J42" s="8">
        <f>LN('[1]Page 321, top'!J37/'[1]Page 321, top'!J36)</f>
        <v>1.8856072813824742E-2</v>
      </c>
      <c r="K42" s="8">
        <f>LN('[1]Page 321, top'!K37/'[1]Page 321, top'!K36)</f>
        <v>3.8212360089794326E-2</v>
      </c>
      <c r="L42" s="8">
        <f>LN('[1]Page 321, top'!L37/'[1]Page 321, top'!L36)</f>
        <v>-3.2615525360162281E-2</v>
      </c>
      <c r="M42" s="8">
        <f>LN('[1]Page 321, top'!M37/'[1]Page 321, top'!M36)</f>
        <v>2.0458860824730089E-2</v>
      </c>
      <c r="N42" s="8">
        <f>LN('[1]Page 321, top'!N37/'[1]Page 321, top'!N36)</f>
        <v>-1.9942369744998568E-2</v>
      </c>
      <c r="O42" s="8">
        <f>LN('[1]Page 321, top'!O37/'[1]Page 321, top'!O36)</f>
        <v>7.5041487279112279E-2</v>
      </c>
      <c r="P42" s="8">
        <f>LN('[1]Page 321, top'!P37/'[1]Page 321, top'!P36)</f>
        <v>6.8141396654091352E-3</v>
      </c>
      <c r="Q42" s="8">
        <f>LN('[1]Page 321, top'!Q37/'[1]Page 321, top'!Q36)</f>
        <v>0.10536051565782635</v>
      </c>
      <c r="R42" s="8">
        <f>LN('[1]Page 321, top'!R37/'[1]Page 321, top'!R36)</f>
        <v>3.5799710257574294E-2</v>
      </c>
      <c r="S42" s="8">
        <f>LN('[1]Page 321, top'!S37/'[1]Page 321, top'!S36)</f>
        <v>-2.0385097273633575E-2</v>
      </c>
      <c r="T42" s="8">
        <f>LN('[1]Page 321, top'!T37/'[1]Page 321, top'!T36)</f>
        <v>1.5169122032914359E-2</v>
      </c>
      <c r="U42" s="8">
        <f>LN('[1]Page 321, top'!U37/'[1]Page 321, top'!U36)</f>
        <v>-3.1010236742560322E-2</v>
      </c>
      <c r="V42" s="8">
        <f>LN('[1]Page 321, top'!V37/'[1]Page 321, top'!V36)</f>
        <v>-1.809340312427337E-2</v>
      </c>
      <c r="W42" s="8">
        <f>LN('[1]Page 321, top'!W37/'[1]Page 321, top'!W36)</f>
        <v>-0.14359534999433954</v>
      </c>
      <c r="X42" s="8">
        <f>LN('[1]Page 321, top'!X37/'[1]Page 321, top'!X36)</f>
        <v>6.3432610203455345E-3</v>
      </c>
      <c r="Y42" s="8">
        <f>LN('[1]Page 321, top'!Y37/'[1]Page 321, top'!Y36)</f>
        <v>3.4828071774614566E-3</v>
      </c>
      <c r="Z42" s="8">
        <f>LN('[1]Page 321, top'!Z37/'[1]Page 321, top'!Z36)</f>
        <v>-7.189965066239163E-3</v>
      </c>
      <c r="AA42" s="8">
        <f>LN('[1]Page 321, top'!AA37/'[1]Page 321, top'!AA36)</f>
        <v>1.889605263939495E-2</v>
      </c>
      <c r="AB42" s="8">
        <f>LN('[1]Page 321, top'!AB37/'[1]Page 321, top'!AB36)</f>
        <v>-4.9444120061991732E-2</v>
      </c>
      <c r="AC42" s="8">
        <f>LN('[1]Page 321, top'!AC37/'[1]Page 321, top'!AC36)</f>
        <v>-1.5019662196040701E-2</v>
      </c>
      <c r="AD42" s="8">
        <f>LN('[1]Page 321, top'!AD37/'[1]Page 321, top'!AD36)</f>
        <v>-8.7385118951854163E-2</v>
      </c>
      <c r="AE42" s="8">
        <f>LN('[1]Page 321, top'!AE37/'[1]Page 321, top'!AE36)</f>
        <v>-2.0202707317519466E-2</v>
      </c>
      <c r="AF42" s="8">
        <f>LN('[1]Page 321, top'!AF37/'[1]Page 321, top'!AF36)</f>
        <v>2.29166537833548E-2</v>
      </c>
    </row>
    <row r="43" spans="1:32" x14ac:dyDescent="0.25">
      <c r="A43" s="20">
        <v>38139</v>
      </c>
      <c r="B43" s="8">
        <f>LN('[1]Page 321, top'!B38/'[1]Page 321, top'!B37)</f>
        <v>1.7829189249312503E-2</v>
      </c>
      <c r="C43" s="8">
        <f>LN('[1]Page 321, top'!C38/'[1]Page 321, top'!C37)</f>
        <v>5.3734608594666534E-2</v>
      </c>
      <c r="D43" s="8">
        <f>LN('[1]Page 321, top'!D38/'[1]Page 321, top'!D37)</f>
        <v>-2.6941435851685513E-2</v>
      </c>
      <c r="E43" s="8">
        <f>LN('[1]Page 321, top'!E38/'[1]Page 321, top'!E37)</f>
        <v>1.5295355827889769E-2</v>
      </c>
      <c r="F43" s="8">
        <f>LN('[1]Page 321, top'!F38/'[1]Page 321, top'!F37)</f>
        <v>0.10943246648162849</v>
      </c>
      <c r="G43" s="8">
        <f>LN('[1]Page 321, top'!G38/'[1]Page 321, top'!G37)</f>
        <v>1.3805800628164918E-3</v>
      </c>
      <c r="H43" s="8">
        <f>LN('[1]Page 321, top'!H38/'[1]Page 321, top'!H37)</f>
        <v>5.3038675412935263E-2</v>
      </c>
      <c r="I43" s="8">
        <f>LN('[1]Page 321, top'!I38/'[1]Page 321, top'!I37)</f>
        <v>2.7793110250319549E-2</v>
      </c>
      <c r="J43" s="8">
        <f>LN('[1]Page 321, top'!J38/'[1]Page 321, top'!J37)</f>
        <v>8.2512421574464201E-2</v>
      </c>
      <c r="K43" s="8">
        <f>LN('[1]Page 321, top'!K38/'[1]Page 321, top'!K37)</f>
        <v>4.6287603427557625E-2</v>
      </c>
      <c r="L43" s="8">
        <f>LN('[1]Page 321, top'!L38/'[1]Page 321, top'!L37)</f>
        <v>2.6176967288443334E-2</v>
      </c>
      <c r="M43" s="8">
        <f>LN('[1]Page 321, top'!M38/'[1]Page 321, top'!M37)</f>
        <v>-1.7842199933558494E-2</v>
      </c>
      <c r="N43" s="8">
        <f>LN('[1]Page 321, top'!N38/'[1]Page 321, top'!N37)</f>
        <v>8.3208058088216297E-2</v>
      </c>
      <c r="O43" s="8">
        <f>LN('[1]Page 321, top'!O38/'[1]Page 321, top'!O37)</f>
        <v>-2.9154539601240195E-3</v>
      </c>
      <c r="P43" s="8">
        <f>LN('[1]Page 321, top'!P38/'[1]Page 321, top'!P37)</f>
        <v>-4.961644056325697E-3</v>
      </c>
      <c r="Q43" s="8">
        <f>LN('[1]Page 321, top'!Q38/'[1]Page 321, top'!Q37)</f>
        <v>-3.3653505041642676E-2</v>
      </c>
      <c r="R43" s="8">
        <f>LN('[1]Page 321, top'!R38/'[1]Page 321, top'!R37)</f>
        <v>-1.8707323971865403E-4</v>
      </c>
      <c r="S43" s="8">
        <f>LN('[1]Page 321, top'!S38/'[1]Page 321, top'!S37)</f>
        <v>5.1043189562901777E-2</v>
      </c>
      <c r="T43" s="8">
        <f>LN('[1]Page 321, top'!T38/'[1]Page 321, top'!T37)</f>
        <v>-1.2242086700391435E-2</v>
      </c>
      <c r="U43" s="8">
        <f>LN('[1]Page 321, top'!U38/'[1]Page 321, top'!U37)</f>
        <v>-1.5473429134963119E-2</v>
      </c>
      <c r="V43" s="8">
        <f>LN('[1]Page 321, top'!V38/'[1]Page 321, top'!V37)</f>
        <v>6.2408200320793056E-2</v>
      </c>
      <c r="W43" s="8">
        <f>LN('[1]Page 321, top'!W38/'[1]Page 321, top'!W37)</f>
        <v>5.656571433412301E-2</v>
      </c>
      <c r="X43" s="8">
        <f>LN('[1]Page 321, top'!X38/'[1]Page 321, top'!X37)</f>
        <v>1.1873029709262878E-2</v>
      </c>
      <c r="Y43" s="8">
        <f>LN('[1]Page 321, top'!Y38/'[1]Page 321, top'!Y37)</f>
        <v>8.5344045420647704E-2</v>
      </c>
      <c r="Z43" s="8">
        <f>LN('[1]Page 321, top'!Z38/'[1]Page 321, top'!Z37)</f>
        <v>-3.0217467700911011E-2</v>
      </c>
      <c r="AA43" s="8">
        <f>LN('[1]Page 321, top'!AA38/'[1]Page 321, top'!AA37)</f>
        <v>9.7936452501524059E-3</v>
      </c>
      <c r="AB43" s="8">
        <f>LN('[1]Page 321, top'!AB38/'[1]Page 321, top'!AB37)</f>
        <v>2.2946452829890128E-2</v>
      </c>
      <c r="AC43" s="8">
        <f>LN('[1]Page 321, top'!AC38/'[1]Page 321, top'!AC37)</f>
        <v>7.7918826376327063E-2</v>
      </c>
      <c r="AD43" s="8">
        <f>LN('[1]Page 321, top'!AD38/'[1]Page 321, top'!AD37)</f>
        <v>4.5718669330290854E-2</v>
      </c>
      <c r="AE43" s="8">
        <f>LN('[1]Page 321, top'!AE38/'[1]Page 321, top'!AE37)</f>
        <v>-5.9659836406335875E-2</v>
      </c>
      <c r="AF43" s="8">
        <f>LN('[1]Page 321, top'!AF38/'[1]Page 321, top'!AF37)</f>
        <v>2.6401818930548101E-2</v>
      </c>
    </row>
    <row r="44" spans="1:32" x14ac:dyDescent="0.25">
      <c r="A44" s="20">
        <v>38169</v>
      </c>
      <c r="B44" s="8">
        <f>LN('[1]Page 321, top'!B39/'[1]Page 321, top'!B38)</f>
        <v>-3.4892238215330364E-2</v>
      </c>
      <c r="C44" s="8">
        <f>LN('[1]Page 321, top'!C39/'[1]Page 321, top'!C38)</f>
        <v>-3.0722416261153792E-2</v>
      </c>
      <c r="D44" s="8">
        <f>LN('[1]Page 321, top'!D39/'[1]Page 321, top'!D38)</f>
        <v>-8.857200760642548E-3</v>
      </c>
      <c r="E44" s="8">
        <f>LN('[1]Page 321, top'!E39/'[1]Page 321, top'!E38)</f>
        <v>-2.2220591261204157E-2</v>
      </c>
      <c r="F44" s="8">
        <f>LN('[1]Page 321, top'!F39/'[1]Page 321, top'!F38)</f>
        <v>-6.6903442659606771E-3</v>
      </c>
      <c r="G44" s="8">
        <f>LN('[1]Page 321, top'!G39/'[1]Page 321, top'!G38)</f>
        <v>-4.3950205644058764E-2</v>
      </c>
      <c r="H44" s="8">
        <f>LN('[1]Page 321, top'!H39/'[1]Page 321, top'!H38)</f>
        <v>-7.2764276789855115E-2</v>
      </c>
      <c r="I44" s="8">
        <f>LN('[1]Page 321, top'!I39/'[1]Page 321, top'!I38)</f>
        <v>-3.548641038662833E-2</v>
      </c>
      <c r="J44" s="8">
        <f>LN('[1]Page 321, top'!J39/'[1]Page 321, top'!J38)</f>
        <v>-9.9157571533218483E-2</v>
      </c>
      <c r="K44" s="8">
        <f>LN('[1]Page 321, top'!K39/'[1]Page 321, top'!K38)</f>
        <v>2.6017205392498965E-2</v>
      </c>
      <c r="L44" s="8">
        <f>LN('[1]Page 321, top'!L39/'[1]Page 321, top'!L38)</f>
        <v>-7.705673949497438E-2</v>
      </c>
      <c r="M44" s="8">
        <f>LN('[1]Page 321, top'!M39/'[1]Page 321, top'!M38)</f>
        <v>-4.3014194319039925E-2</v>
      </c>
      <c r="N44" s="8">
        <f>LN('[1]Page 321, top'!N39/'[1]Page 321, top'!N38)</f>
        <v>2.645061350869702E-2</v>
      </c>
      <c r="O44" s="8">
        <f>LN('[1]Page 321, top'!O39/'[1]Page 321, top'!O38)</f>
        <v>-4.5801932653874042E-2</v>
      </c>
      <c r="P44" s="8">
        <f>LN('[1]Page 321, top'!P39/'[1]Page 321, top'!P38)</f>
        <v>-1.2337214209784713E-2</v>
      </c>
      <c r="Q44" s="8">
        <f>LN('[1]Page 321, top'!Q39/'[1]Page 321, top'!Q38)</f>
        <v>-0.12422112647342679</v>
      </c>
      <c r="R44" s="8">
        <f>LN('[1]Page 321, top'!R39/'[1]Page 321, top'!R38)</f>
        <v>-7.7002915934472173E-3</v>
      </c>
      <c r="S44" s="8">
        <f>LN('[1]Page 321, top'!S39/'[1]Page 321, top'!S38)</f>
        <v>-2.8929981260125266E-2</v>
      </c>
      <c r="T44" s="8">
        <f>LN('[1]Page 321, top'!T39/'[1]Page 321, top'!T38)</f>
        <v>-0.14053468345138126</v>
      </c>
      <c r="U44" s="8">
        <f>LN('[1]Page 321, top'!U39/'[1]Page 321, top'!U38)</f>
        <v>5.6358413797281806E-2</v>
      </c>
      <c r="V44" s="8">
        <f>LN('[1]Page 321, top'!V39/'[1]Page 321, top'!V38)</f>
        <v>-8.8783080819304527E-2</v>
      </c>
      <c r="W44" s="8">
        <f>LN('[1]Page 321, top'!W39/'[1]Page 321, top'!W38)</f>
        <v>-5.0325083887515769E-2</v>
      </c>
      <c r="X44" s="8">
        <f>LN('[1]Page 321, top'!X39/'[1]Page 321, top'!X38)</f>
        <v>-4.6178442300736068E-2</v>
      </c>
      <c r="Y44" s="8">
        <f>LN('[1]Page 321, top'!Y39/'[1]Page 321, top'!Y38)</f>
        <v>-2.3971245997214037E-3</v>
      </c>
      <c r="Z44" s="8">
        <f>LN('[1]Page 321, top'!Z39/'[1]Page 321, top'!Z38)</f>
        <v>-7.0277506982231563E-2</v>
      </c>
      <c r="AA44" s="8">
        <f>LN('[1]Page 321, top'!AA39/'[1]Page 321, top'!AA38)</f>
        <v>-3.8372611207969982E-2</v>
      </c>
      <c r="AB44" s="8">
        <f>LN('[1]Page 321, top'!AB39/'[1]Page 321, top'!AB38)</f>
        <v>5.7132693344570398E-2</v>
      </c>
      <c r="AC44" s="8">
        <f>LN('[1]Page 321, top'!AC39/'[1]Page 321, top'!AC38)</f>
        <v>2.1885643512760396E-2</v>
      </c>
      <c r="AD44" s="8">
        <f>LN('[1]Page 321, top'!AD39/'[1]Page 321, top'!AD38)</f>
        <v>7.3451847203997306E-2</v>
      </c>
      <c r="AE44" s="8">
        <f>LN('[1]Page 321, top'!AE39/'[1]Page 321, top'!AE38)</f>
        <v>9.7106997293494781E-3</v>
      </c>
      <c r="AF44" s="8">
        <f>LN('[1]Page 321, top'!AF39/'[1]Page 321, top'!AF38)</f>
        <v>4.1610416028686148E-2</v>
      </c>
    </row>
    <row r="45" spans="1:32" x14ac:dyDescent="0.25">
      <c r="A45" s="20">
        <v>38201</v>
      </c>
      <c r="B45" s="8">
        <f>LN('[1]Page 321, top'!B40/'[1]Page 321, top'!B39)</f>
        <v>2.284720571713859E-3</v>
      </c>
      <c r="C45" s="8">
        <f>LN('[1]Page 321, top'!C40/'[1]Page 321, top'!C39)</f>
        <v>1.5479186848460032E-2</v>
      </c>
      <c r="D45" s="8">
        <f>LN('[1]Page 321, top'!D40/'[1]Page 321, top'!D39)</f>
        <v>8.2881297536787617E-3</v>
      </c>
      <c r="E45" s="8">
        <f>LN('[1]Page 321, top'!E40/'[1]Page 321, top'!E39)</f>
        <v>-4.6436117804824987E-3</v>
      </c>
      <c r="F45" s="8">
        <f>LN('[1]Page 321, top'!F40/'[1]Page 321, top'!F39)</f>
        <v>3.2619200115319526E-2</v>
      </c>
      <c r="G45" s="8">
        <f>LN('[1]Page 321, top'!G40/'[1]Page 321, top'!G39)</f>
        <v>5.4926762227230426E-2</v>
      </c>
      <c r="H45" s="8">
        <f>LN('[1]Page 321, top'!H40/'[1]Page 321, top'!H39)</f>
        <v>-1.0719425632884512E-2</v>
      </c>
      <c r="I45" s="8">
        <f>LN('[1]Page 321, top'!I40/'[1]Page 321, top'!I39)</f>
        <v>-5.9970194723744019E-3</v>
      </c>
      <c r="J45" s="8">
        <f>LN('[1]Page 321, top'!J40/'[1]Page 321, top'!J39)</f>
        <v>-2.7767122040448365E-2</v>
      </c>
      <c r="K45" s="8">
        <f>LN('[1]Page 321, top'!K40/'[1]Page 321, top'!K39)</f>
        <v>-1.4048762349703836E-2</v>
      </c>
      <c r="L45" s="8">
        <f>LN('[1]Page 321, top'!L40/'[1]Page 321, top'!L39)</f>
        <v>-3.1232035941940295E-2</v>
      </c>
      <c r="M45" s="8">
        <f>LN('[1]Page 321, top'!M40/'[1]Page 321, top'!M39)</f>
        <v>8.3139081805139362E-2</v>
      </c>
      <c r="N45" s="8">
        <f>LN('[1]Page 321, top'!N40/'[1]Page 321, top'!N39)</f>
        <v>-3.8787593966549384E-2</v>
      </c>
      <c r="O45" s="8">
        <f>LN('[1]Page 321, top'!O40/'[1]Page 321, top'!O39)</f>
        <v>-0.11886614875644017</v>
      </c>
      <c r="P45" s="8">
        <f>LN('[1]Page 321, top'!P40/'[1]Page 321, top'!P39)</f>
        <v>-2.5621138161511021E-2</v>
      </c>
      <c r="Q45" s="8">
        <f>LN('[1]Page 321, top'!Q40/'[1]Page 321, top'!Q39)</f>
        <v>-0.13365175129350101</v>
      </c>
      <c r="R45" s="8">
        <f>LN('[1]Page 321, top'!R40/'[1]Page 321, top'!R39)</f>
        <v>5.5019375591199203E-2</v>
      </c>
      <c r="S45" s="8">
        <f>LN('[1]Page 321, top'!S40/'[1]Page 321, top'!S39)</f>
        <v>5.8404639376304954E-2</v>
      </c>
      <c r="T45" s="8">
        <f>LN('[1]Page 321, top'!T40/'[1]Page 321, top'!T39)</f>
        <v>1.9274838248745246E-2</v>
      </c>
      <c r="U45" s="8">
        <f>LN('[1]Page 321, top'!U40/'[1]Page 321, top'!U39)</f>
        <v>-1.7922310033410844E-2</v>
      </c>
      <c r="V45" s="8">
        <f>LN('[1]Page 321, top'!V40/'[1]Page 321, top'!V39)</f>
        <v>4.549483393577248E-3</v>
      </c>
      <c r="W45" s="8">
        <f>LN('[1]Page 321, top'!W40/'[1]Page 321, top'!W39)</f>
        <v>2.7946837534819531E-2</v>
      </c>
      <c r="X45" s="8">
        <f>LN('[1]Page 321, top'!X40/'[1]Page 321, top'!X39)</f>
        <v>-8.5189757017985705E-3</v>
      </c>
      <c r="Y45" s="8">
        <f>LN('[1]Page 321, top'!Y40/'[1]Page 321, top'!Y39)</f>
        <v>-3.9989008216363281E-2</v>
      </c>
      <c r="Z45" s="8">
        <f>LN('[1]Page 321, top'!Z40/'[1]Page 321, top'!Z39)</f>
        <v>2.7542724637582183E-2</v>
      </c>
      <c r="AA45" s="8">
        <f>LN('[1]Page 321, top'!AA40/'[1]Page 321, top'!AA39)</f>
        <v>7.0712334909070834E-2</v>
      </c>
      <c r="AB45" s="8">
        <f>LN('[1]Page 321, top'!AB40/'[1]Page 321, top'!AB39)</f>
        <v>1.7338969279510518E-2</v>
      </c>
      <c r="AC45" s="8">
        <f>LN('[1]Page 321, top'!AC40/'[1]Page 321, top'!AC39)</f>
        <v>8.1399635460075882E-3</v>
      </c>
      <c r="AD45" s="8">
        <f>LN('[1]Page 321, top'!AD40/'[1]Page 321, top'!AD39)</f>
        <v>1.8318111193365155E-2</v>
      </c>
      <c r="AE45" s="8">
        <f>LN('[1]Page 321, top'!AE40/'[1]Page 321, top'!AE39)</f>
        <v>-4.0670144177501911E-3</v>
      </c>
      <c r="AF45" s="8">
        <f>LN('[1]Page 321, top'!AF40/'[1]Page 321, top'!AF39)</f>
        <v>1.7997755139396077E-3</v>
      </c>
    </row>
    <row r="46" spans="1:32" x14ac:dyDescent="0.25">
      <c r="A46" s="20">
        <v>38231</v>
      </c>
      <c r="B46" s="8">
        <f>LN('[1]Page 321, top'!B41/'[1]Page 321, top'!B40)</f>
        <v>9.3203368022064838E-3</v>
      </c>
      <c r="C46" s="8">
        <f>LN('[1]Page 321, top'!C41/'[1]Page 321, top'!C40)</f>
        <v>3.6756140125119671E-2</v>
      </c>
      <c r="D46" s="8">
        <f>LN('[1]Page 321, top'!D41/'[1]Page 321, top'!D40)</f>
        <v>-4.5564973652217386E-2</v>
      </c>
      <c r="E46" s="8">
        <f>LN('[1]Page 321, top'!E41/'[1]Page 321, top'!E40)</f>
        <v>2.8448810051248098E-2</v>
      </c>
      <c r="F46" s="8">
        <f>LN('[1]Page 321, top'!F41/'[1]Page 321, top'!F40)</f>
        <v>-1.1684458115470036E-2</v>
      </c>
      <c r="G46" s="8">
        <f>LN('[1]Page 321, top'!G41/'[1]Page 321, top'!G40)</f>
        <v>-5.4446339445950599E-2</v>
      </c>
      <c r="H46" s="8">
        <f>LN('[1]Page 321, top'!H41/'[1]Page 321, top'!H40)</f>
        <v>0.10132515822524112</v>
      </c>
      <c r="I46" s="8">
        <f>LN('[1]Page 321, top'!I41/'[1]Page 321, top'!I40)</f>
        <v>1.2700955194564387E-2</v>
      </c>
      <c r="J46" s="8">
        <f>LN('[1]Page 321, top'!J41/'[1]Page 321, top'!J40)</f>
        <v>4.5310453596001023E-3</v>
      </c>
      <c r="K46" s="8">
        <f>LN('[1]Page 321, top'!K41/'[1]Page 321, top'!K40)</f>
        <v>2.9777303014969857E-2</v>
      </c>
      <c r="L46" s="8">
        <f>LN('[1]Page 321, top'!L41/'[1]Page 321, top'!L40)</f>
        <v>2.7867208126340609E-2</v>
      </c>
      <c r="M46" s="8">
        <f>LN('[1]Page 321, top'!M41/'[1]Page 321, top'!M40)</f>
        <v>6.9755017056462379E-2</v>
      </c>
      <c r="N46" s="8">
        <f>LN('[1]Page 321, top'!N41/'[1]Page 321, top'!N40)</f>
        <v>-3.4702174790071059E-3</v>
      </c>
      <c r="O46" s="8">
        <f>LN('[1]Page 321, top'!O41/'[1]Page 321, top'!O40)</f>
        <v>5.0891607296389224E-2</v>
      </c>
      <c r="P46" s="8">
        <f>LN('[1]Page 321, top'!P41/'[1]Page 321, top'!P40)</f>
        <v>1.2299396792866651E-2</v>
      </c>
      <c r="Q46" s="8">
        <f>LN('[1]Page 321, top'!Q41/'[1]Page 321, top'!Q40)</f>
        <v>-5.9511856480036096E-2</v>
      </c>
      <c r="R46" s="8">
        <f>LN('[1]Page 321, top'!R41/'[1]Page 321, top'!R40)</f>
        <v>-3.0989160905374558E-2</v>
      </c>
      <c r="S46" s="8">
        <f>LN('[1]Page 321, top'!S41/'[1]Page 321, top'!S40)</f>
        <v>3.7930145718724729E-3</v>
      </c>
      <c r="T46" s="8">
        <f>LN('[1]Page 321, top'!T41/'[1]Page 321, top'!T40)</f>
        <v>-0.10423511150591219</v>
      </c>
      <c r="U46" s="8">
        <f>LN('[1]Page 321, top'!U41/'[1]Page 321, top'!U40)</f>
        <v>3.701328849823983E-2</v>
      </c>
      <c r="V46" s="8">
        <f>LN('[1]Page 321, top'!V41/'[1]Page 321, top'!V40)</f>
        <v>-2.9428940544069474E-2</v>
      </c>
      <c r="W46" s="8">
        <f>LN('[1]Page 321, top'!W41/'[1]Page 321, top'!W40)</f>
        <v>-2.4955923076972433E-2</v>
      </c>
      <c r="X46" s="8">
        <f>LN('[1]Page 321, top'!X41/'[1]Page 321, top'!X40)</f>
        <v>-0.30088710337205904</v>
      </c>
      <c r="Y46" s="8">
        <f>LN('[1]Page 321, top'!Y41/'[1]Page 321, top'!Y40)</f>
        <v>1.2823340143593657E-2</v>
      </c>
      <c r="Z46" s="8">
        <f>LN('[1]Page 321, top'!Z41/'[1]Page 321, top'!Z40)</f>
        <v>-6.5487656201705671E-2</v>
      </c>
      <c r="AA46" s="8">
        <f>LN('[1]Page 321, top'!AA41/'[1]Page 321, top'!AA40)</f>
        <v>-3.3678283992750885E-2</v>
      </c>
      <c r="AB46" s="8">
        <f>LN('[1]Page 321, top'!AB41/'[1]Page 321, top'!AB40)</f>
        <v>6.4253808553710948E-3</v>
      </c>
      <c r="AC46" s="8">
        <f>LN('[1]Page 321, top'!AC41/'[1]Page 321, top'!AC40)</f>
        <v>-5.7130456421792203E-3</v>
      </c>
      <c r="AD46" s="8">
        <f>LN('[1]Page 321, top'!AD41/'[1]Page 321, top'!AD40)</f>
        <v>3.3454171150860247E-3</v>
      </c>
      <c r="AE46" s="8">
        <f>LN('[1]Page 321, top'!AE41/'[1]Page 321, top'!AE40)</f>
        <v>9.8484913041715812E-3</v>
      </c>
      <c r="AF46" s="8">
        <f>LN('[1]Page 321, top'!AF41/'[1]Page 321, top'!AF40)</f>
        <v>4.7194097224286406E-2</v>
      </c>
    </row>
    <row r="47" spans="1:32" x14ac:dyDescent="0.25">
      <c r="A47" s="20">
        <v>38261</v>
      </c>
      <c r="B47" s="8">
        <f>LN('[1]Page 321, top'!B42/'[1]Page 321, top'!B41)</f>
        <v>1.391695587821374E-2</v>
      </c>
      <c r="C47" s="8">
        <f>LN('[1]Page 321, top'!C42/'[1]Page 321, top'!C41)</f>
        <v>-3.2923494104943316E-2</v>
      </c>
      <c r="D47" s="8">
        <f>LN('[1]Page 321, top'!D42/'[1]Page 321, top'!D41)</f>
        <v>-0.11326911007836554</v>
      </c>
      <c r="E47" s="8">
        <f>LN('[1]Page 321, top'!E42/'[1]Page 321, top'!E41)</f>
        <v>3.2928447737028202E-2</v>
      </c>
      <c r="F47" s="8">
        <f>LN('[1]Page 321, top'!F42/'[1]Page 321, top'!F41)</f>
        <v>-3.3832863280558734E-2</v>
      </c>
      <c r="G47" s="8">
        <f>LN('[1]Page 321, top'!G42/'[1]Page 321, top'!G41)</f>
        <v>1.5016370831930394E-2</v>
      </c>
      <c r="H47" s="8">
        <f>LN('[1]Page 321, top'!H42/'[1]Page 321, top'!H41)</f>
        <v>6.1318536533496162E-3</v>
      </c>
      <c r="I47" s="8">
        <f>LN('[1]Page 321, top'!I42/'[1]Page 321, top'!I41)</f>
        <v>1.7307458888278151E-3</v>
      </c>
      <c r="J47" s="8">
        <f>LN('[1]Page 321, top'!J42/'[1]Page 321, top'!J41)</f>
        <v>0.11153490487919067</v>
      </c>
      <c r="K47" s="8">
        <f>LN('[1]Page 321, top'!K42/'[1]Page 321, top'!K41)</f>
        <v>1.5792246454419762E-2</v>
      </c>
      <c r="L47" s="8">
        <f>LN('[1]Page 321, top'!L42/'[1]Page 321, top'!L41)</f>
        <v>-9.7126710730722793E-2</v>
      </c>
      <c r="M47" s="8">
        <f>LN('[1]Page 321, top'!M42/'[1]Page 321, top'!M41)</f>
        <v>4.7004715101164184E-2</v>
      </c>
      <c r="N47" s="8">
        <f>LN('[1]Page 321, top'!N42/'[1]Page 321, top'!N41)</f>
        <v>-6.2763349907697177E-2</v>
      </c>
      <c r="O47" s="8">
        <f>LN('[1]Page 321, top'!O42/'[1]Page 321, top'!O41)</f>
        <v>-4.9193867998182173E-3</v>
      </c>
      <c r="P47" s="8">
        <f>LN('[1]Page 321, top'!P42/'[1]Page 321, top'!P41)</f>
        <v>4.5699706461875163E-2</v>
      </c>
      <c r="Q47" s="8">
        <f>LN('[1]Page 321, top'!Q42/'[1]Page 321, top'!Q41)</f>
        <v>0.10377520248221568</v>
      </c>
      <c r="R47" s="8">
        <f>LN('[1]Page 321, top'!R42/'[1]Page 321, top'!R41)</f>
        <v>3.5795578703095556E-2</v>
      </c>
      <c r="S47" s="8">
        <f>LN('[1]Page 321, top'!S42/'[1]Page 321, top'!S41)</f>
        <v>-2.0213744784200117E-2</v>
      </c>
      <c r="T47" s="8">
        <f>LN('[1]Page 321, top'!T42/'[1]Page 321, top'!T41)</f>
        <v>1.5057397672493665E-2</v>
      </c>
      <c r="U47" s="8">
        <f>LN('[1]Page 321, top'!U42/'[1]Page 321, top'!U41)</f>
        <v>3.8906925014750675E-2</v>
      </c>
      <c r="V47" s="8">
        <f>LN('[1]Page 321, top'!V42/'[1]Page 321, top'!V41)</f>
        <v>-3.0455191412387114E-2</v>
      </c>
      <c r="W47" s="8">
        <f>LN('[1]Page 321, top'!W42/'[1]Page 321, top'!W41)</f>
        <v>2.9650242639753112E-2</v>
      </c>
      <c r="X47" s="8">
        <f>LN('[1]Page 321, top'!X42/'[1]Page 321, top'!X41)</f>
        <v>-5.2545555578049831E-2</v>
      </c>
      <c r="Y47" s="8">
        <f>LN('[1]Page 321, top'!Y42/'[1]Page 321, top'!Y41)</f>
        <v>1.1442707607533258E-2</v>
      </c>
      <c r="Z47" s="8">
        <f>LN('[1]Page 321, top'!Z42/'[1]Page 321, top'!Z41)</f>
        <v>-5.5372554123491194E-2</v>
      </c>
      <c r="AA47" s="8">
        <f>LN('[1]Page 321, top'!AA42/'[1]Page 321, top'!AA41)</f>
        <v>-5.1031480012445875E-2</v>
      </c>
      <c r="AB47" s="8">
        <f>LN('[1]Page 321, top'!AB42/'[1]Page 321, top'!AB41)</f>
        <v>-1.5490843328658405E-2</v>
      </c>
      <c r="AC47" s="8">
        <f>LN('[1]Page 321, top'!AC42/'[1]Page 321, top'!AC41)</f>
        <v>-5.9675279313911363E-3</v>
      </c>
      <c r="AD47" s="8">
        <f>LN('[1]Page 321, top'!AD42/'[1]Page 321, top'!AD41)</f>
        <v>2.2240765353565015E-3</v>
      </c>
      <c r="AE47" s="8">
        <f>LN('[1]Page 321, top'!AE42/'[1]Page 321, top'!AE41)</f>
        <v>1.3551118711871384E-2</v>
      </c>
      <c r="AF47" s="8">
        <f>LN('[1]Page 321, top'!AF42/'[1]Page 321, top'!AF41)</f>
        <v>1.8271168998358657E-2</v>
      </c>
    </row>
    <row r="48" spans="1:32" x14ac:dyDescent="0.25">
      <c r="A48" s="20">
        <v>38292</v>
      </c>
      <c r="B48" s="8">
        <f>LN('[1]Page 321, top'!B43/'[1]Page 321, top'!B42)</f>
        <v>3.7868779461133012E-2</v>
      </c>
      <c r="C48" s="8">
        <f>LN('[1]Page 321, top'!C43/'[1]Page 321, top'!C42)</f>
        <v>4.9139238745929577E-2</v>
      </c>
      <c r="D48" s="8">
        <f>LN('[1]Page 321, top'!D43/'[1]Page 321, top'!D42)</f>
        <v>4.2615214763532409E-2</v>
      </c>
      <c r="E48" s="8">
        <f>LN('[1]Page 321, top'!E43/'[1]Page 321, top'!E42)</f>
        <v>4.8696359938792462E-2</v>
      </c>
      <c r="F48" s="8">
        <f>LN('[1]Page 321, top'!F43/'[1]Page 321, top'!F42)</f>
        <v>7.4814207653752379E-2</v>
      </c>
      <c r="G48" s="8">
        <f>LN('[1]Page 321, top'!G43/'[1]Page 321, top'!G42)</f>
        <v>8.4806161984203529E-3</v>
      </c>
      <c r="H48" s="8">
        <f>LN('[1]Page 321, top'!H43/'[1]Page 321, top'!H42)</f>
        <v>0.12820008979286365</v>
      </c>
      <c r="I48" s="8">
        <f>LN('[1]Page 321, top'!I43/'[1]Page 321, top'!I42)</f>
        <v>6.3410785680541745E-2</v>
      </c>
      <c r="J48" s="8">
        <f>LN('[1]Page 321, top'!J43/'[1]Page 321, top'!J42)</f>
        <v>6.3830628100981515E-2</v>
      </c>
      <c r="K48" s="8">
        <f>LN('[1]Page 321, top'!K43/'[1]Page 321, top'!K42)</f>
        <v>3.590670846324405E-2</v>
      </c>
      <c r="L48" s="8">
        <f>LN('[1]Page 321, top'!L43/'[1]Page 321, top'!L42)</f>
        <v>1.4184634991956381E-2</v>
      </c>
      <c r="M48" s="8">
        <f>LN('[1]Page 321, top'!M43/'[1]Page 321, top'!M42)</f>
        <v>1.820020725083887E-2</v>
      </c>
      <c r="N48" s="8">
        <f>LN('[1]Page 321, top'!N43/'[1]Page 321, top'!N42)</f>
        <v>5.3157687343679837E-2</v>
      </c>
      <c r="O48" s="8">
        <f>LN('[1]Page 321, top'!O43/'[1]Page 321, top'!O42)</f>
        <v>6.9832701379484413E-2</v>
      </c>
      <c r="P48" s="8">
        <f>LN('[1]Page 321, top'!P43/'[1]Page 321, top'!P42)</f>
        <v>5.0731912352342388E-2</v>
      </c>
      <c r="Q48" s="8">
        <f>LN('[1]Page 321, top'!Q43/'[1]Page 321, top'!Q42)</f>
        <v>7.3428507984759864E-3</v>
      </c>
      <c r="R48" s="8">
        <f>LN('[1]Page 321, top'!R43/'[1]Page 321, top'!R42)</f>
        <v>3.7299548651550371E-2</v>
      </c>
      <c r="S48" s="8">
        <f>LN('[1]Page 321, top'!S43/'[1]Page 321, top'!S42)</f>
        <v>-2.4865088832196861E-2</v>
      </c>
      <c r="T48" s="8">
        <f>LN('[1]Page 321, top'!T43/'[1]Page 321, top'!T42)</f>
        <v>-2.7427604103515132E-2</v>
      </c>
      <c r="U48" s="8">
        <f>LN('[1]Page 321, top'!U43/'[1]Page 321, top'!U42)</f>
        <v>7.1557340765303637E-2</v>
      </c>
      <c r="V48" s="8">
        <f>LN('[1]Page 321, top'!V43/'[1]Page 321, top'!V42)</f>
        <v>3.006555571682842E-2</v>
      </c>
      <c r="W48" s="8">
        <f>LN('[1]Page 321, top'!W43/'[1]Page 321, top'!W42)</f>
        <v>0.17095779814363948</v>
      </c>
      <c r="X48" s="8">
        <f>LN('[1]Page 321, top'!X43/'[1]Page 321, top'!X42)</f>
        <v>-0.11106185171340001</v>
      </c>
      <c r="Y48" s="8">
        <f>LN('[1]Page 321, top'!Y43/'[1]Page 321, top'!Y42)</f>
        <v>6.6035774338825293E-2</v>
      </c>
      <c r="Z48" s="8">
        <f>LN('[1]Page 321, top'!Z43/'[1]Page 321, top'!Z42)</f>
        <v>-3.5664998410538912E-2</v>
      </c>
      <c r="AA48" s="8">
        <f>LN('[1]Page 321, top'!AA43/'[1]Page 321, top'!AA42)</f>
        <v>4.3926313299627887E-2</v>
      </c>
      <c r="AB48" s="8">
        <f>LN('[1]Page 321, top'!AB43/'[1]Page 321, top'!AB42)</f>
        <v>-3.4752424203033146E-3</v>
      </c>
      <c r="AC48" s="8">
        <f>LN('[1]Page 321, top'!AC43/'[1]Page 321, top'!AC42)</f>
        <v>5.3728809817069866E-2</v>
      </c>
      <c r="AD48" s="8">
        <f>LN('[1]Page 321, top'!AD43/'[1]Page 321, top'!AD42)</f>
        <v>5.2999696582927081E-2</v>
      </c>
      <c r="AE48" s="8">
        <f>LN('[1]Page 321, top'!AE43/'[1]Page 321, top'!AE42)</f>
        <v>-3.5111631459662673E-2</v>
      </c>
      <c r="AF48" s="8">
        <f>LN('[1]Page 321, top'!AF43/'[1]Page 321, top'!AF42)</f>
        <v>4.5677555601914867E-2</v>
      </c>
    </row>
    <row r="49" spans="1:32" x14ac:dyDescent="0.25">
      <c r="A49" s="20">
        <v>38322</v>
      </c>
      <c r="B49" s="8">
        <f>LN('[1]Page 321, top'!B44/'[1]Page 321, top'!B43)</f>
        <v>3.1942491193192112E-2</v>
      </c>
      <c r="C49" s="8">
        <f>LN('[1]Page 321, top'!C44/'[1]Page 321, top'!C43)</f>
        <v>-7.8576913481500574E-2</v>
      </c>
      <c r="D49" s="8">
        <f>LN('[1]Page 321, top'!D44/'[1]Page 321, top'!D43)</f>
        <v>3.7183670283339881E-2</v>
      </c>
      <c r="E49" s="8">
        <f>LN('[1]Page 321, top'!E44/'[1]Page 321, top'!E43)</f>
        <v>1.1812384784482806E-2</v>
      </c>
      <c r="F49" s="8">
        <f>LN('[1]Page 321, top'!F44/'[1]Page 321, top'!F43)</f>
        <v>-3.4231269110829042E-2</v>
      </c>
      <c r="G49" s="8">
        <f>LN('[1]Page 321, top'!G44/'[1]Page 321, top'!G43)</f>
        <v>7.3688997629623151E-2</v>
      </c>
      <c r="H49" s="8">
        <f>LN('[1]Page 321, top'!H44/'[1]Page 321, top'!H43)</f>
        <v>6.2954811984739401E-2</v>
      </c>
      <c r="I49" s="8">
        <f>LN('[1]Page 321, top'!I44/'[1]Page 321, top'!I43)</f>
        <v>7.9096996758603308E-2</v>
      </c>
      <c r="J49" s="8">
        <f>LN('[1]Page 321, top'!J44/'[1]Page 321, top'!J43)</f>
        <v>4.2701865302176713E-2</v>
      </c>
      <c r="K49" s="8">
        <f>LN('[1]Page 321, top'!K44/'[1]Page 321, top'!K43)</f>
        <v>3.7520760091573076E-2</v>
      </c>
      <c r="L49" s="8">
        <f>LN('[1]Page 321, top'!L44/'[1]Page 321, top'!L43)</f>
        <v>3.7322922153975452E-2</v>
      </c>
      <c r="M49" s="8">
        <f>LN('[1]Page 321, top'!M44/'[1]Page 321, top'!M43)</f>
        <v>2.3366111829273544E-2</v>
      </c>
      <c r="N49" s="8">
        <f>LN('[1]Page 321, top'!N44/'[1]Page 321, top'!N43)</f>
        <v>2.3371322353075985E-3</v>
      </c>
      <c r="O49" s="8">
        <f>LN('[1]Page 321, top'!O44/'[1]Page 321, top'!O43)</f>
        <v>5.0807739631713138E-2</v>
      </c>
      <c r="P49" s="8">
        <f>LN('[1]Page 321, top'!P44/'[1]Page 321, top'!P43)</f>
        <v>4.5093492359046861E-2</v>
      </c>
      <c r="Q49" s="8">
        <f>LN('[1]Page 321, top'!Q44/'[1]Page 321, top'!Q43)</f>
        <v>4.4272823677988037E-2</v>
      </c>
      <c r="R49" s="8">
        <f>LN('[1]Page 321, top'!R44/'[1]Page 321, top'!R43)</f>
        <v>5.0214868784261207E-2</v>
      </c>
      <c r="S49" s="8">
        <f>LN('[1]Page 321, top'!S44/'[1]Page 321, top'!S43)</f>
        <v>3.5296146903782737E-2</v>
      </c>
      <c r="T49" s="8">
        <f>LN('[1]Page 321, top'!T44/'[1]Page 321, top'!T43)</f>
        <v>5.7629112836636423E-2</v>
      </c>
      <c r="U49" s="8">
        <f>LN('[1]Page 321, top'!U44/'[1]Page 321, top'!U43)</f>
        <v>4.2255229895782231E-2</v>
      </c>
      <c r="V49" s="8">
        <f>LN('[1]Page 321, top'!V44/'[1]Page 321, top'!V43)</f>
        <v>3.0700799499319052E-2</v>
      </c>
      <c r="W49" s="8">
        <f>LN('[1]Page 321, top'!W44/'[1]Page 321, top'!W43)</f>
        <v>7.2845091274365475E-2</v>
      </c>
      <c r="X49" s="8">
        <f>LN('[1]Page 321, top'!X44/'[1]Page 321, top'!X43)</f>
        <v>0.15064395501804845</v>
      </c>
      <c r="Y49" s="8">
        <f>LN('[1]Page 321, top'!Y44/'[1]Page 321, top'!Y43)</f>
        <v>-3.0476214064748372E-3</v>
      </c>
      <c r="Z49" s="8">
        <f>LN('[1]Page 321, top'!Z44/'[1]Page 321, top'!Z43)</f>
        <v>-3.2285663497968721E-2</v>
      </c>
      <c r="AA49" s="8">
        <f>LN('[1]Page 321, top'!AA44/'[1]Page 321, top'!AA43)</f>
        <v>2.9433435848742025E-2</v>
      </c>
      <c r="AB49" s="8">
        <f>LN('[1]Page 321, top'!AB44/'[1]Page 321, top'!AB43)</f>
        <v>2.3651930318661592E-2</v>
      </c>
      <c r="AC49" s="8">
        <f>LN('[1]Page 321, top'!AC44/'[1]Page 321, top'!AC43)</f>
        <v>5.7356806857164953E-2</v>
      </c>
      <c r="AD49" s="8">
        <f>LN('[1]Page 321, top'!AD44/'[1]Page 321, top'!AD43)</f>
        <v>-1.7534987010644373E-2</v>
      </c>
      <c r="AE49" s="8">
        <f>LN('[1]Page 321, top'!AE44/'[1]Page 321, top'!AE43)</f>
        <v>1.6938008368924173E-2</v>
      </c>
      <c r="AF49" s="8">
        <f>LN('[1]Page 321, top'!AF44/'[1]Page 321, top'!AF43)</f>
        <v>2.0110608413675824E-4</v>
      </c>
    </row>
    <row r="50" spans="1:32" x14ac:dyDescent="0.25">
      <c r="A50" s="20">
        <v>38355</v>
      </c>
      <c r="B50" s="8">
        <f>LN('[1]Page 321, top'!B45/'[1]Page 321, top'!B44)</f>
        <v>-2.5615747968515911E-2</v>
      </c>
      <c r="C50" s="8">
        <f>LN('[1]Page 321, top'!C45/'[1]Page 321, top'!C44)</f>
        <v>-6.230857333871094E-2</v>
      </c>
      <c r="D50" s="8">
        <f>LN('[1]Page 321, top'!D45/'[1]Page 321, top'!D44)</f>
        <v>9.3508767502730773E-3</v>
      </c>
      <c r="E50" s="8">
        <f>LN('[1]Page 321, top'!E45/'[1]Page 321, top'!E44)</f>
        <v>-5.2877616444773394E-2</v>
      </c>
      <c r="F50" s="8">
        <f>LN('[1]Page 321, top'!F45/'[1]Page 321, top'!F44)</f>
        <v>-2.2814677766171399E-2</v>
      </c>
      <c r="G50" s="8">
        <f>LN('[1]Page 321, top'!G45/'[1]Page 321, top'!G44)</f>
        <v>1.7925110113229552E-2</v>
      </c>
      <c r="H50" s="8">
        <f>LN('[1]Page 321, top'!H45/'[1]Page 321, top'!H44)</f>
        <v>-8.5845329852435093E-2</v>
      </c>
      <c r="I50" s="8">
        <f>LN('[1]Page 321, top'!I45/'[1]Page 321, top'!I44)</f>
        <v>-3.0892167212963981E-2</v>
      </c>
      <c r="J50" s="8">
        <f>LN('[1]Page 321, top'!J45/'[1]Page 321, top'!J44)</f>
        <v>2.9371738905941854E-2</v>
      </c>
      <c r="K50" s="8">
        <f>LN('[1]Page 321, top'!K45/'[1]Page 321, top'!K44)</f>
        <v>-1.0041685297054388E-2</v>
      </c>
      <c r="L50" s="8">
        <f>LN('[1]Page 321, top'!L45/'[1]Page 321, top'!L44)</f>
        <v>-8.4621241930356389E-2</v>
      </c>
      <c r="M50" s="8">
        <f>LN('[1]Page 321, top'!M45/'[1]Page 321, top'!M44)</f>
        <v>-3.5380477259514341E-2</v>
      </c>
      <c r="N50" s="8">
        <f>LN('[1]Page 321, top'!N45/'[1]Page 321, top'!N44)</f>
        <v>1.5921598453525445E-2</v>
      </c>
      <c r="O50" s="8">
        <f>LN('[1]Page 321, top'!O45/'[1]Page 321, top'!O44)</f>
        <v>-6.7814075802137774E-2</v>
      </c>
      <c r="P50" s="8">
        <f>LN('[1]Page 321, top'!P45/'[1]Page 321, top'!P44)</f>
        <v>-5.3752492235068984E-2</v>
      </c>
      <c r="Q50" s="8">
        <f>LN('[1]Page 321, top'!Q45/'[1]Page 321, top'!Q44)</f>
        <v>-4.1077203519580364E-2</v>
      </c>
      <c r="R50" s="8">
        <f>LN('[1]Page 321, top'!R45/'[1]Page 321, top'!R44)</f>
        <v>1.9974890936536489E-2</v>
      </c>
      <c r="S50" s="8">
        <f>LN('[1]Page 321, top'!S45/'[1]Page 321, top'!S44)</f>
        <v>-3.5296146903782771E-2</v>
      </c>
      <c r="T50" s="8">
        <f>LN('[1]Page 321, top'!T45/'[1]Page 321, top'!T44)</f>
        <v>-3.7570488777121766E-3</v>
      </c>
      <c r="U50" s="8">
        <f>LN('[1]Page 321, top'!U45/'[1]Page 321, top'!U44)</f>
        <v>1.0133082270787906E-2</v>
      </c>
      <c r="V50" s="8">
        <f>LN('[1]Page 321, top'!V45/'[1]Page 321, top'!V44)</f>
        <v>2.7582814615142014E-2</v>
      </c>
      <c r="W50" s="8">
        <f>LN('[1]Page 321, top'!W45/'[1]Page 321, top'!W44)</f>
        <v>4.3767669233827577E-2</v>
      </c>
      <c r="X50" s="8">
        <f>LN('[1]Page 321, top'!X45/'[1]Page 321, top'!X44)</f>
        <v>-0.13597187714720946</v>
      </c>
      <c r="Y50" s="8">
        <f>LN('[1]Page 321, top'!Y45/'[1]Page 321, top'!Y44)</f>
        <v>-1.6929992671041276E-2</v>
      </c>
      <c r="Z50" s="8">
        <f>LN('[1]Page 321, top'!Z45/'[1]Page 321, top'!Z44)</f>
        <v>-0.1070981355563671</v>
      </c>
      <c r="AA50" s="8">
        <f>LN('[1]Page 321, top'!AA45/'[1]Page 321, top'!AA44)</f>
        <v>-2.9626169780147062E-2</v>
      </c>
      <c r="AB50" s="8">
        <f>LN('[1]Page 321, top'!AB45/'[1]Page 321, top'!AB44)</f>
        <v>-6.8598316342752333E-2</v>
      </c>
      <c r="AC50" s="8">
        <f>LN('[1]Page 321, top'!AC45/'[1]Page 321, top'!AC44)</f>
        <v>-2.6126888043386216E-2</v>
      </c>
      <c r="AD50" s="8">
        <f>LN('[1]Page 321, top'!AD45/'[1]Page 321, top'!AD44)</f>
        <v>-0.11972810485004924</v>
      </c>
      <c r="AE50" s="8">
        <f>LN('[1]Page 321, top'!AE45/'[1]Page 321, top'!AE44)</f>
        <v>-7.9465482612990947E-3</v>
      </c>
      <c r="AF50" s="8">
        <f>LN('[1]Page 321, top'!AF45/'[1]Page 321, top'!AF44)</f>
        <v>6.6139132769810005E-3</v>
      </c>
    </row>
    <row r="51" spans="1:32" x14ac:dyDescent="0.25">
      <c r="A51" s="20">
        <v>38384</v>
      </c>
      <c r="B51" s="8">
        <f>LN('[1]Page 321, top'!B46/'[1]Page 321, top'!B45)</f>
        <v>1.8726934874337724E-2</v>
      </c>
      <c r="C51" s="8">
        <f>LN('[1]Page 321, top'!C46/'[1]Page 321, top'!C45)</f>
        <v>8.9831761210009339E-2</v>
      </c>
      <c r="D51" s="8">
        <f>LN('[1]Page 321, top'!D46/'[1]Page 321, top'!D45)</f>
        <v>7.5999757812586811E-3</v>
      </c>
      <c r="E51" s="8">
        <f>LN('[1]Page 321, top'!E46/'[1]Page 321, top'!E45)</f>
        <v>1.487577285865291E-2</v>
      </c>
      <c r="F51" s="8">
        <f>LN('[1]Page 321, top'!F46/'[1]Page 321, top'!F45)</f>
        <v>8.755104241017489E-2</v>
      </c>
      <c r="G51" s="8">
        <f>LN('[1]Page 321, top'!G46/'[1]Page 321, top'!G45)</f>
        <v>-1.8579061090213268E-2</v>
      </c>
      <c r="H51" s="8">
        <f>LN('[1]Page 321, top'!H46/'[1]Page 321, top'!H45)</f>
        <v>6.4796397100662775E-2</v>
      </c>
      <c r="I51" s="8">
        <f>LN('[1]Page 321, top'!I46/'[1]Page 321, top'!I45)</f>
        <v>0.12096939095894733</v>
      </c>
      <c r="J51" s="8">
        <f>LN('[1]Page 321, top'!J46/'[1]Page 321, top'!J45)</f>
        <v>-2.4295585874081371E-2</v>
      </c>
      <c r="K51" s="8">
        <f>LN('[1]Page 321, top'!K46/'[1]Page 321, top'!K45)</f>
        <v>-1.9802627296179754E-2</v>
      </c>
      <c r="L51" s="8">
        <f>LN('[1]Page 321, top'!L46/'[1]Page 321, top'!L45)</f>
        <v>-1.8781294338486465E-2</v>
      </c>
      <c r="M51" s="8">
        <f>LN('[1]Page 321, top'!M46/'[1]Page 321, top'!M45)</f>
        <v>-3.0301554580135844E-2</v>
      </c>
      <c r="N51" s="8">
        <f>LN('[1]Page 321, top'!N46/'[1]Page 321, top'!N45)</f>
        <v>5.9103040431050836E-2</v>
      </c>
      <c r="O51" s="8">
        <f>LN('[1]Page 321, top'!O46/'[1]Page 321, top'!O45)</f>
        <v>6.0012963591970378E-2</v>
      </c>
      <c r="P51" s="8">
        <f>LN('[1]Page 321, top'!P46/'[1]Page 321, top'!P45)</f>
        <v>-7.2005547854782619E-3</v>
      </c>
      <c r="Q51" s="8">
        <f>LN('[1]Page 321, top'!Q46/'[1]Page 321, top'!Q45)</f>
        <v>6.9964747892186846E-2</v>
      </c>
      <c r="R51" s="8">
        <f>LN('[1]Page 321, top'!R46/'[1]Page 321, top'!R45)</f>
        <v>1.8175134839673361E-2</v>
      </c>
      <c r="S51" s="8">
        <f>LN('[1]Page 321, top'!S46/'[1]Page 321, top'!S45)</f>
        <v>-2.1155734695328915E-2</v>
      </c>
      <c r="T51" s="8">
        <f>LN('[1]Page 321, top'!T46/'[1]Page 321, top'!T45)</f>
        <v>3.1128995673563007E-2</v>
      </c>
      <c r="U51" s="8">
        <f>LN('[1]Page 321, top'!U46/'[1]Page 321, top'!U45)</f>
        <v>2.1197801209267085E-2</v>
      </c>
      <c r="V51" s="8">
        <f>LN('[1]Page 321, top'!V46/'[1]Page 321, top'!V45)</f>
        <v>0</v>
      </c>
      <c r="W51" s="8">
        <f>LN('[1]Page 321, top'!W46/'[1]Page 321, top'!W45)</f>
        <v>2.8040761814603344E-2</v>
      </c>
      <c r="X51" s="8">
        <f>LN('[1]Page 321, top'!X46/'[1]Page 321, top'!X45)</f>
        <v>0.1224991236785478</v>
      </c>
      <c r="Y51" s="8">
        <f>LN('[1]Page 321, top'!Y46/'[1]Page 321, top'!Y45)</f>
        <v>-4.0385535649574408E-2</v>
      </c>
      <c r="Z51" s="8">
        <f>LN('[1]Page 321, top'!Z46/'[1]Page 321, top'!Z45)</f>
        <v>9.2143114607623741E-2</v>
      </c>
      <c r="AA51" s="8">
        <f>LN('[1]Page 321, top'!AA46/'[1]Page 321, top'!AA45)</f>
        <v>-2.7021826903600847E-3</v>
      </c>
      <c r="AB51" s="8">
        <f>LN('[1]Page 321, top'!AB46/'[1]Page 321, top'!AB45)</f>
        <v>1.2664122215730326E-2</v>
      </c>
      <c r="AC51" s="8">
        <f>LN('[1]Page 321, top'!AC46/'[1]Page 321, top'!AC45)</f>
        <v>-3.6719747501210774E-3</v>
      </c>
      <c r="AD51" s="8">
        <f>LN('[1]Page 321, top'!AD46/'[1]Page 321, top'!AD45)</f>
        <v>1.0518504191220317E-2</v>
      </c>
      <c r="AE51" s="8">
        <f>LN('[1]Page 321, top'!AE46/'[1]Page 321, top'!AE45)</f>
        <v>-1.5294415778151649E-2</v>
      </c>
      <c r="AF51" s="8">
        <f>LN('[1]Page 321, top'!AF46/'[1]Page 321, top'!AF45)</f>
        <v>0.20938574149133185</v>
      </c>
    </row>
    <row r="52" spans="1:32" x14ac:dyDescent="0.25">
      <c r="A52" s="20">
        <v>38412</v>
      </c>
      <c r="B52" s="8">
        <f>LN('[1]Page 321, top'!B47/'[1]Page 321, top'!B46)</f>
        <v>-1.930275225452871E-2</v>
      </c>
      <c r="C52" s="8">
        <f>LN('[1]Page 321, top'!C47/'[1]Page 321, top'!C46)</f>
        <v>-5.5487726498661551E-2</v>
      </c>
      <c r="D52" s="8">
        <f>LN('[1]Page 321, top'!D47/'[1]Page 321, top'!D46)</f>
        <v>-0.18511163563429758</v>
      </c>
      <c r="E52" s="8">
        <f>LN('[1]Page 321, top'!E47/'[1]Page 321, top'!E46)</f>
        <v>-5.0471439764517609E-2</v>
      </c>
      <c r="F52" s="8">
        <f>LN('[1]Page 321, top'!F47/'[1]Page 321, top'!F46)</f>
        <v>6.1496993851172195E-2</v>
      </c>
      <c r="G52" s="8">
        <f>LN('[1]Page 321, top'!G47/'[1]Page 321, top'!G46)</f>
        <v>-5.9984290457148703E-2</v>
      </c>
      <c r="H52" s="8">
        <f>LN('[1]Page 321, top'!H47/'[1]Page 321, top'!H46)</f>
        <v>-3.8773885621271417E-2</v>
      </c>
      <c r="I52" s="8">
        <f>LN('[1]Page 321, top'!I47/'[1]Page 321, top'!I46)</f>
        <v>-3.9533996363863642E-2</v>
      </c>
      <c r="J52" s="8">
        <f>LN('[1]Page 321, top'!J47/'[1]Page 321, top'!J46)</f>
        <v>2.7819197694564632E-2</v>
      </c>
      <c r="K52" s="8">
        <f>LN('[1]Page 321, top'!K47/'[1]Page 321, top'!K46)</f>
        <v>2.4118559761748433E-2</v>
      </c>
      <c r="L52" s="8">
        <f>LN('[1]Page 321, top'!L47/'[1]Page 321, top'!L46)</f>
        <v>-0.19291006897247834</v>
      </c>
      <c r="M52" s="8">
        <f>LN('[1]Page 321, top'!M47/'[1]Page 321, top'!M46)</f>
        <v>-4.3123564739768361E-2</v>
      </c>
      <c r="N52" s="8">
        <f>LN('[1]Page 321, top'!N47/'[1]Page 321, top'!N46)</f>
        <v>-2.0235855939368382E-2</v>
      </c>
      <c r="O52" s="8">
        <f>LN('[1]Page 321, top'!O47/'[1]Page 321, top'!O46)</f>
        <v>5.7076831135436719E-2</v>
      </c>
      <c r="P52" s="8">
        <f>LN('[1]Page 321, top'!P47/'[1]Page 321, top'!P46)</f>
        <v>-1.3004371054261266E-2</v>
      </c>
      <c r="Q52" s="8">
        <f>LN('[1]Page 321, top'!Q47/'[1]Page 321, top'!Q46)</f>
        <v>-3.2393244720235054E-2</v>
      </c>
      <c r="R52" s="8">
        <f>LN('[1]Page 321, top'!R47/'[1]Page 321, top'!R46)</f>
        <v>2.337386807319905E-2</v>
      </c>
      <c r="S52" s="8">
        <f>LN('[1]Page 321, top'!S47/'[1]Page 321, top'!S46)</f>
        <v>-5.4629194936529513E-2</v>
      </c>
      <c r="T52" s="8">
        <f>LN('[1]Page 321, top'!T47/'[1]Page 321, top'!T46)</f>
        <v>-2.014810170653111E-2</v>
      </c>
      <c r="U52" s="8">
        <f>LN('[1]Page 321, top'!U47/'[1]Page 321, top'!U46)</f>
        <v>-6.0721017578951812E-2</v>
      </c>
      <c r="V52" s="8">
        <f>LN('[1]Page 321, top'!V47/'[1]Page 321, top'!V46)</f>
        <v>2.061928720273561E-2</v>
      </c>
      <c r="W52" s="8">
        <f>LN('[1]Page 321, top'!W47/'[1]Page 321, top'!W46)</f>
        <v>7.2927962795744389E-3</v>
      </c>
      <c r="X52" s="8">
        <f>LN('[1]Page 321, top'!X47/'[1]Page 321, top'!X46)</f>
        <v>3.2691370170432756E-2</v>
      </c>
      <c r="Y52" s="8">
        <f>LN('[1]Page 321, top'!Y47/'[1]Page 321, top'!Y46)</f>
        <v>-3.9980597752063453E-2</v>
      </c>
      <c r="Z52" s="8">
        <f>LN('[1]Page 321, top'!Z47/'[1]Page 321, top'!Z46)</f>
        <v>-7.9333601939587397E-4</v>
      </c>
      <c r="AA52" s="8">
        <f>LN('[1]Page 321, top'!AA47/'[1]Page 321, top'!AA46)</f>
        <v>-1.5473890901887063E-3</v>
      </c>
      <c r="AB52" s="8">
        <f>LN('[1]Page 321, top'!AB47/'[1]Page 321, top'!AB46)</f>
        <v>-1.5398855004874062E-2</v>
      </c>
      <c r="AC52" s="8">
        <f>LN('[1]Page 321, top'!AC47/'[1]Page 321, top'!AC46)</f>
        <v>1.7624278729574932E-2</v>
      </c>
      <c r="AD52" s="8">
        <f>LN('[1]Page 321, top'!AD47/'[1]Page 321, top'!AD46)</f>
        <v>-1.324124070913597E-2</v>
      </c>
      <c r="AE52" s="8">
        <f>LN('[1]Page 321, top'!AE47/'[1]Page 321, top'!AE46)</f>
        <v>-2.642796450870024E-2</v>
      </c>
      <c r="AF52" s="8">
        <f>LN('[1]Page 321, top'!AF47/'[1]Page 321, top'!AF46)</f>
        <v>-6.0270261407945912E-2</v>
      </c>
    </row>
    <row r="53" spans="1:32" x14ac:dyDescent="0.25">
      <c r="A53" s="20">
        <v>38443</v>
      </c>
      <c r="B53" s="8">
        <f>LN('[1]Page 321, top'!B48/'[1]Page 321, top'!B47)</f>
        <v>-2.031351934767037E-2</v>
      </c>
      <c r="C53" s="8">
        <f>LN('[1]Page 321, top'!C48/'[1]Page 321, top'!C47)</f>
        <v>-4.594142352617691E-2</v>
      </c>
      <c r="D53" s="8">
        <f>LN('[1]Page 321, top'!D48/'[1]Page 321, top'!D47)</f>
        <v>-8.5753223660070765E-2</v>
      </c>
      <c r="E53" s="8">
        <f>LN('[1]Page 321, top'!E48/'[1]Page 321, top'!E47)</f>
        <v>2.5554106869720993E-2</v>
      </c>
      <c r="F53" s="8">
        <f>LN('[1]Page 321, top'!F48/'[1]Page 321, top'!F47)</f>
        <v>1.7974904970744807E-2</v>
      </c>
      <c r="G53" s="8">
        <f>LN('[1]Page 321, top'!G48/'[1]Page 321, top'!G47)</f>
        <v>5.3421151606371717E-2</v>
      </c>
      <c r="H53" s="8">
        <f>LN('[1]Page 321, top'!H48/'[1]Page 321, top'!H47)</f>
        <v>-3.3154717026338883E-2</v>
      </c>
      <c r="I53" s="8">
        <f>LN('[1]Page 321, top'!I48/'[1]Page 321, top'!I47)</f>
        <v>-8.4090263411085331E-2</v>
      </c>
      <c r="J53" s="8">
        <f>LN('[1]Page 321, top'!J48/'[1]Page 321, top'!J47)</f>
        <v>-8.4743621254678075E-2</v>
      </c>
      <c r="K53" s="8">
        <f>LN('[1]Page 321, top'!K48/'[1]Page 321, top'!K47)</f>
        <v>3.7254664094249785E-3</v>
      </c>
      <c r="L53" s="8">
        <f>LN('[1]Page 321, top'!L48/'[1]Page 321, top'!L47)</f>
        <v>-9.6880755578711189E-2</v>
      </c>
      <c r="M53" s="8">
        <f>LN('[1]Page 321, top'!M48/'[1]Page 321, top'!M47)</f>
        <v>-7.8097869719647564E-2</v>
      </c>
      <c r="N53" s="8">
        <f>LN('[1]Page 321, top'!N48/'[1]Page 321, top'!N47)</f>
        <v>-3.9729129667874785E-2</v>
      </c>
      <c r="O53" s="8">
        <f>LN('[1]Page 321, top'!O48/'[1]Page 321, top'!O47)</f>
        <v>-6.9389225039504426E-2</v>
      </c>
      <c r="P53" s="8">
        <f>LN('[1]Page 321, top'!P48/'[1]Page 321, top'!P47)</f>
        <v>-0.1793310245768219</v>
      </c>
      <c r="Q53" s="8">
        <f>LN('[1]Page 321, top'!Q48/'[1]Page 321, top'!Q47)</f>
        <v>1.2216556821876676E-2</v>
      </c>
      <c r="R53" s="8">
        <f>LN('[1]Page 321, top'!R48/'[1]Page 321, top'!R47)</f>
        <v>2.1792629990852578E-2</v>
      </c>
      <c r="S53" s="8">
        <f>LN('[1]Page 321, top'!S48/'[1]Page 321, top'!S47)</f>
        <v>3.537539129398188E-2</v>
      </c>
      <c r="T53" s="8">
        <f>LN('[1]Page 321, top'!T48/'[1]Page 321, top'!T47)</f>
        <v>4.156631908011249E-2</v>
      </c>
      <c r="U53" s="8">
        <f>LN('[1]Page 321, top'!U48/'[1]Page 321, top'!U47)</f>
        <v>-6.046075454855495E-2</v>
      </c>
      <c r="V53" s="8">
        <f>LN('[1]Page 321, top'!V48/'[1]Page 321, top'!V47)</f>
        <v>-0.11379938430369087</v>
      </c>
      <c r="W53" s="8">
        <f>LN('[1]Page 321, top'!W48/'[1]Page 321, top'!W47)</f>
        <v>-6.1548623195070394E-3</v>
      </c>
      <c r="X53" s="8">
        <f>LN('[1]Page 321, top'!X48/'[1]Page 321, top'!X47)</f>
        <v>4.6176847292534448E-2</v>
      </c>
      <c r="Y53" s="8">
        <f>LN('[1]Page 321, top'!Y48/'[1]Page 321, top'!Y47)</f>
        <v>4.5621225116864943E-2</v>
      </c>
      <c r="Z53" s="8">
        <f>LN('[1]Page 321, top'!Z48/'[1]Page 321, top'!Z47)</f>
        <v>3.355757717932132E-2</v>
      </c>
      <c r="AA53" s="8">
        <f>LN('[1]Page 321, top'!AA48/'[1]Page 321, top'!AA47)</f>
        <v>2.6551077392297673E-2</v>
      </c>
      <c r="AB53" s="8">
        <f>LN('[1]Page 321, top'!AB48/'[1]Page 321, top'!AB47)</f>
        <v>1.7643524858697884E-2</v>
      </c>
      <c r="AC53" s="8">
        <f>LN('[1]Page 321, top'!AC48/'[1]Page 321, top'!AC47)</f>
        <v>6.0222826270591909E-4</v>
      </c>
      <c r="AD53" s="8">
        <f>LN('[1]Page 321, top'!AD48/'[1]Page 321, top'!AD47)</f>
        <v>1.9796687307881516E-2</v>
      </c>
      <c r="AE53" s="8">
        <f>LN('[1]Page 321, top'!AE48/'[1]Page 321, top'!AE47)</f>
        <v>-6.128420224573547E-2</v>
      </c>
      <c r="AF53" s="8">
        <f>LN('[1]Page 321, top'!AF48/'[1]Page 321, top'!AF47)</f>
        <v>-4.415456483047743E-2</v>
      </c>
    </row>
    <row r="54" spans="1:32" x14ac:dyDescent="0.25">
      <c r="A54" s="20">
        <v>38474</v>
      </c>
      <c r="B54" s="8">
        <f>LN('[1]Page 321, top'!B49/'[1]Page 321, top'!B48)</f>
        <v>2.9512223385105795E-2</v>
      </c>
      <c r="C54" s="8">
        <f>LN('[1]Page 321, top'!C49/'[1]Page 321, top'!C48)</f>
        <v>-6.3478637625527953E-2</v>
      </c>
      <c r="D54" s="8">
        <f>LN('[1]Page 321, top'!D49/'[1]Page 321, top'!D48)</f>
        <v>8.8300995738869445E-2</v>
      </c>
      <c r="E54" s="8">
        <f>LN('[1]Page 321, top'!E49/'[1]Page 321, top'!E48)</f>
        <v>2.1702240638656743E-2</v>
      </c>
      <c r="F54" s="8">
        <f>LN('[1]Page 321, top'!F49/'[1]Page 321, top'!F48)</f>
        <v>7.5208526210292018E-2</v>
      </c>
      <c r="G54" s="8">
        <f>LN('[1]Page 321, top'!G49/'[1]Page 321, top'!G48)</f>
        <v>3.0681593211776266E-3</v>
      </c>
      <c r="H54" s="8">
        <f>LN('[1]Page 321, top'!H49/'[1]Page 321, top'!H48)</f>
        <v>6.6542399816643685E-2</v>
      </c>
      <c r="I54" s="8">
        <f>LN('[1]Page 321, top'!I49/'[1]Page 321, top'!I48)</f>
        <v>-4.8856415191471511E-3</v>
      </c>
      <c r="J54" s="8">
        <f>LN('[1]Page 321, top'!J49/'[1]Page 321, top'!J48)</f>
        <v>3.8675741971714132E-2</v>
      </c>
      <c r="K54" s="8">
        <f>LN('[1]Page 321, top'!K49/'[1]Page 321, top'!K48)</f>
        <v>7.6934415658113531E-3</v>
      </c>
      <c r="L54" s="8">
        <f>LN('[1]Page 321, top'!L49/'[1]Page 321, top'!L48)</f>
        <v>0.18352710244930318</v>
      </c>
      <c r="M54" s="8">
        <f>LN('[1]Page 321, top'!M49/'[1]Page 321, top'!M48)</f>
        <v>0.10662263503826326</v>
      </c>
      <c r="N54" s="8">
        <f>LN('[1]Page 321, top'!N49/'[1]Page 321, top'!N48)</f>
        <v>1.8793263814285963E-2</v>
      </c>
      <c r="O54" s="8">
        <f>LN('[1]Page 321, top'!O49/'[1]Page 321, top'!O48)</f>
        <v>9.5400273952770856E-2</v>
      </c>
      <c r="P54" s="8">
        <f>LN('[1]Page 321, top'!P49/'[1]Page 321, top'!P48)</f>
        <v>-8.2623071303056482E-3</v>
      </c>
      <c r="Q54" s="8">
        <f>LN('[1]Page 321, top'!Q49/'[1]Page 321, top'!Q48)</f>
        <v>0.14017665330873544</v>
      </c>
      <c r="R54" s="8">
        <f>LN('[1]Page 321, top'!R49/'[1]Page 321, top'!R48)</f>
        <v>-1.767017205696865E-2</v>
      </c>
      <c r="S54" s="8">
        <f>LN('[1]Page 321, top'!S49/'[1]Page 321, top'!S48)</f>
        <v>7.3367900638543083E-3</v>
      </c>
      <c r="T54" s="8">
        <f>LN('[1]Page 321, top'!T49/'[1]Page 321, top'!T48)</f>
        <v>2.7012799246068551E-2</v>
      </c>
      <c r="U54" s="8">
        <f>LN('[1]Page 321, top'!U49/'[1]Page 321, top'!U48)</f>
        <v>5.4213816594147521E-2</v>
      </c>
      <c r="V54" s="8">
        <f>LN('[1]Page 321, top'!V49/'[1]Page 321, top'!V48)</f>
        <v>7.7717127067817651E-3</v>
      </c>
      <c r="W54" s="8">
        <f>LN('[1]Page 321, top'!W49/'[1]Page 321, top'!W48)</f>
        <v>3.260637264885393E-2</v>
      </c>
      <c r="X54" s="8">
        <f>LN('[1]Page 321, top'!X49/'[1]Page 321, top'!X48)</f>
        <v>-4.4209633543365608E-2</v>
      </c>
      <c r="Y54" s="8">
        <f>LN('[1]Page 321, top'!Y49/'[1]Page 321, top'!Y48)</f>
        <v>2.2642476749759752E-2</v>
      </c>
      <c r="Z54" s="8">
        <f>LN('[1]Page 321, top'!Z49/'[1]Page 321, top'!Z48)</f>
        <v>3.3581725658307145E-2</v>
      </c>
      <c r="AA54" s="8">
        <f>LN('[1]Page 321, top'!AA49/'[1]Page 321, top'!AA48)</f>
        <v>1.8304582795982412E-2</v>
      </c>
      <c r="AB54" s="8">
        <f>LN('[1]Page 321, top'!AB49/'[1]Page 321, top'!AB48)</f>
        <v>-1.7643524858697926E-2</v>
      </c>
      <c r="AC54" s="8">
        <f>LN('[1]Page 321, top'!AC49/'[1]Page 321, top'!AC48)</f>
        <v>5.2005462970895373E-2</v>
      </c>
      <c r="AD54" s="8">
        <f>LN('[1]Page 321, top'!AD49/'[1]Page 321, top'!AD48)</f>
        <v>-1.165061721997525E-2</v>
      </c>
      <c r="AE54" s="8">
        <f>LN('[1]Page 321, top'!AE49/'[1]Page 321, top'!AE48)</f>
        <v>5.1635226600492837E-3</v>
      </c>
      <c r="AF54" s="8">
        <f>LN('[1]Page 321, top'!AF49/'[1]Page 321, top'!AF48)</f>
        <v>-9.5780979821466408E-3</v>
      </c>
    </row>
    <row r="55" spans="1:32" x14ac:dyDescent="0.25">
      <c r="A55" s="20">
        <v>38504</v>
      </c>
      <c r="B55" s="8">
        <f>LN('[1]Page 321, top'!B50/'[1]Page 321, top'!B49)</f>
        <v>-1.4268747689802155E-4</v>
      </c>
      <c r="C55" s="8">
        <f>LN('[1]Page 321, top'!C50/'[1]Page 321, top'!C49)</f>
        <v>-3.6437396202430979E-2</v>
      </c>
      <c r="D55" s="8">
        <f>LN('[1]Page 321, top'!D50/'[1]Page 321, top'!D49)</f>
        <v>4.7213737480265194E-2</v>
      </c>
      <c r="E55" s="8">
        <f>LN('[1]Page 321, top'!E50/'[1]Page 321, top'!E49)</f>
        <v>-9.4910117105872979E-3</v>
      </c>
      <c r="F55" s="8">
        <f>LN('[1]Page 321, top'!F50/'[1]Page 321, top'!F49)</f>
        <v>3.235921258011671E-2</v>
      </c>
      <c r="G55" s="8">
        <f>LN('[1]Page 321, top'!G50/'[1]Page 321, top'!G49)</f>
        <v>-1.8774709395353945E-2</v>
      </c>
      <c r="H55" s="8">
        <f>LN('[1]Page 321, top'!H50/'[1]Page 321, top'!H49)</f>
        <v>1.2665190225578091E-2</v>
      </c>
      <c r="I55" s="8">
        <f>LN('[1]Page 321, top'!I50/'[1]Page 321, top'!I49)</f>
        <v>-7.8226311422276262E-2</v>
      </c>
      <c r="J55" s="8">
        <f>LN('[1]Page 321, top'!J50/'[1]Page 321, top'!J49)</f>
        <v>-8.570635246069197E-2</v>
      </c>
      <c r="K55" s="8">
        <f>LN('[1]Page 321, top'!K50/'[1]Page 321, top'!K49)</f>
        <v>-4.5290759180162989E-2</v>
      </c>
      <c r="L55" s="8">
        <f>LN('[1]Page 321, top'!L50/'[1]Page 321, top'!L49)</f>
        <v>7.5398017484211849E-2</v>
      </c>
      <c r="M55" s="8">
        <f>LN('[1]Page 321, top'!M50/'[1]Page 321, top'!M49)</f>
        <v>-8.810629682154807E-3</v>
      </c>
      <c r="N55" s="8">
        <f>LN('[1]Page 321, top'!N50/'[1]Page 321, top'!N49)</f>
        <v>1.0941335128593244E-2</v>
      </c>
      <c r="O55" s="8">
        <f>LN('[1]Page 321, top'!O50/'[1]Page 321, top'!O49)</f>
        <v>4.6642858212284775E-2</v>
      </c>
      <c r="P55" s="8">
        <f>LN('[1]Page 321, top'!P50/'[1]Page 321, top'!P49)</f>
        <v>-1.8093931385227312E-2</v>
      </c>
      <c r="Q55" s="8">
        <f>LN('[1]Page 321, top'!Q50/'[1]Page 321, top'!Q49)</f>
        <v>-3.5683816664131493E-2</v>
      </c>
      <c r="R55" s="8">
        <f>LN('[1]Page 321, top'!R50/'[1]Page 321, top'!R49)</f>
        <v>-3.1891247537313885E-2</v>
      </c>
      <c r="S55" s="8">
        <f>LN('[1]Page 321, top'!S50/'[1]Page 321, top'!S49)</f>
        <v>-1.2356732688905492E-2</v>
      </c>
      <c r="T55" s="8">
        <f>LN('[1]Page 321, top'!T50/'[1]Page 321, top'!T49)</f>
        <v>-6.0421861377198391E-2</v>
      </c>
      <c r="U55" s="8">
        <f>LN('[1]Page 321, top'!U50/'[1]Page 321, top'!U49)</f>
        <v>-0.1089583021297915</v>
      </c>
      <c r="V55" s="8">
        <f>LN('[1]Page 321, top'!V50/'[1]Page 321, top'!V49)</f>
        <v>-5.839972287312481E-2</v>
      </c>
      <c r="W55" s="8">
        <f>LN('[1]Page 321, top'!W50/'[1]Page 321, top'!W49)</f>
        <v>-2.7097609528046317E-2</v>
      </c>
      <c r="X55" s="8">
        <f>LN('[1]Page 321, top'!X50/'[1]Page 321, top'!X49)</f>
        <v>-4.0098923757426963E-2</v>
      </c>
      <c r="Y55" s="8">
        <f>LN('[1]Page 321, top'!Y50/'[1]Page 321, top'!Y49)</f>
        <v>-3.7619482061249911E-2</v>
      </c>
      <c r="Z55" s="8">
        <f>LN('[1]Page 321, top'!Z50/'[1]Page 321, top'!Z49)</f>
        <v>-1.1569451682817729E-2</v>
      </c>
      <c r="AA55" s="8">
        <f>LN('[1]Page 321, top'!AA50/'[1]Page 321, top'!AA49)</f>
        <v>-4.4468588381628066E-2</v>
      </c>
      <c r="AB55" s="8">
        <f>LN('[1]Page 321, top'!AB50/'[1]Page 321, top'!AB49)</f>
        <v>1.5848192240023713E-2</v>
      </c>
      <c r="AC55" s="8">
        <f>LN('[1]Page 321, top'!AC50/'[1]Page 321, top'!AC49)</f>
        <v>-3.8253377781918056E-2</v>
      </c>
      <c r="AD55" s="8">
        <f>LN('[1]Page 321, top'!AD50/'[1]Page 321, top'!AD49)</f>
        <v>-2.3716526617316044E-2</v>
      </c>
      <c r="AE55" s="8">
        <f>LN('[1]Page 321, top'!AE50/'[1]Page 321, top'!AE49)</f>
        <v>2.0391530690980819E-2</v>
      </c>
      <c r="AF55" s="8">
        <f>LN('[1]Page 321, top'!AF50/'[1]Page 321, top'!AF49)</f>
        <v>2.2444608575396804E-2</v>
      </c>
    </row>
    <row r="56" spans="1:32" x14ac:dyDescent="0.25">
      <c r="A56" s="20">
        <v>38534</v>
      </c>
      <c r="B56" s="8">
        <f>LN('[1]Page 321, top'!B51/'[1]Page 321, top'!B50)</f>
        <v>3.5336451864729147E-2</v>
      </c>
      <c r="C56" s="8">
        <f>LN('[1]Page 321, top'!C51/'[1]Page 321, top'!C50)</f>
        <v>7.086611586863184E-2</v>
      </c>
      <c r="D56" s="8">
        <f>LN('[1]Page 321, top'!D51/'[1]Page 321, top'!D50)</f>
        <v>3.5426047847868215E-2</v>
      </c>
      <c r="E56" s="8">
        <f>LN('[1]Page 321, top'!E51/'[1]Page 321, top'!E50)</f>
        <v>3.2831770011486773E-2</v>
      </c>
      <c r="F56" s="8">
        <f>LN('[1]Page 321, top'!F51/'[1]Page 321, top'!F50)</f>
        <v>1.5381065938180444E-4</v>
      </c>
      <c r="G56" s="8">
        <f>LN('[1]Page 321, top'!G51/'[1]Page 321, top'!G50)</f>
        <v>-5.0999961834334188E-2</v>
      </c>
      <c r="H56" s="8">
        <f>LN('[1]Page 321, top'!H51/'[1]Page 321, top'!H50)</f>
        <v>0.12796988096337655</v>
      </c>
      <c r="I56" s="8">
        <f>LN('[1]Page 321, top'!I51/'[1]Page 321, top'!I50)</f>
        <v>-7.7332429856533293E-3</v>
      </c>
      <c r="J56" s="8">
        <f>LN('[1]Page 321, top'!J51/'[1]Page 321, top'!J50)</f>
        <v>1.7896679691938006E-2</v>
      </c>
      <c r="K56" s="8">
        <f>LN('[1]Page 321, top'!K51/'[1]Page 321, top'!K50)</f>
        <v>-4.1666726948459453E-3</v>
      </c>
      <c r="L56" s="8">
        <f>LN('[1]Page 321, top'!L51/'[1]Page 321, top'!L50)</f>
        <v>7.961287744985443E-2</v>
      </c>
      <c r="M56" s="8">
        <f>LN('[1]Page 321, top'!M51/'[1]Page 321, top'!M50)</f>
        <v>0.111924040446493</v>
      </c>
      <c r="N56" s="8">
        <f>LN('[1]Page 321, top'!N51/'[1]Page 321, top'!N50)</f>
        <v>6.9773816470022842E-2</v>
      </c>
      <c r="O56" s="8">
        <f>LN('[1]Page 321, top'!O51/'[1]Page 321, top'!O50)</f>
        <v>4.6207295751177817E-2</v>
      </c>
      <c r="P56" s="8">
        <f>LN('[1]Page 321, top'!P51/'[1]Page 321, top'!P50)</f>
        <v>0.11761648380916553</v>
      </c>
      <c r="Q56" s="8">
        <f>LN('[1]Page 321, top'!Q51/'[1]Page 321, top'!Q50)</f>
        <v>4.2071213920687058E-2</v>
      </c>
      <c r="R56" s="8">
        <f>LN('[1]Page 321, top'!R51/'[1]Page 321, top'!R50)</f>
        <v>-1.6015564711261688E-2</v>
      </c>
      <c r="S56" s="8">
        <f>LN('[1]Page 321, top'!S51/'[1]Page 321, top'!S50)</f>
        <v>4.725348426426074E-3</v>
      </c>
      <c r="T56" s="8">
        <f>LN('[1]Page 321, top'!T51/'[1]Page 321, top'!T50)</f>
        <v>4.7124103313094759E-2</v>
      </c>
      <c r="U56" s="8">
        <f>LN('[1]Page 321, top'!U51/'[1]Page 321, top'!U50)</f>
        <v>0.11618804114610691</v>
      </c>
      <c r="V56" s="8">
        <f>LN('[1]Page 321, top'!V51/'[1]Page 321, top'!V50)</f>
        <v>3.6675870532732226E-2</v>
      </c>
      <c r="W56" s="8">
        <f>LN('[1]Page 321, top'!W51/'[1]Page 321, top'!W50)</f>
        <v>3.492972976486533E-2</v>
      </c>
      <c r="X56" s="8">
        <f>LN('[1]Page 321, top'!X51/'[1]Page 321, top'!X50)</f>
        <v>8.487574293294043E-3</v>
      </c>
      <c r="Y56" s="8">
        <f>LN('[1]Page 321, top'!Y51/'[1]Page 321, top'!Y50)</f>
        <v>3.0524458210646015E-2</v>
      </c>
      <c r="Z56" s="8">
        <f>LN('[1]Page 321, top'!Z51/'[1]Page 321, top'!Z50)</f>
        <v>-3.9821494186671608E-2</v>
      </c>
      <c r="AA56" s="8">
        <f>LN('[1]Page 321, top'!AA51/'[1]Page 321, top'!AA50)</f>
        <v>5.8254304360585818E-2</v>
      </c>
      <c r="AB56" s="8">
        <f>LN('[1]Page 321, top'!AB51/'[1]Page 321, top'!AB50)</f>
        <v>4.265320093491904E-2</v>
      </c>
      <c r="AC56" s="8">
        <f>LN('[1]Page 321, top'!AC51/'[1]Page 321, top'!AC50)</f>
        <v>-1.2749176670454627E-2</v>
      </c>
      <c r="AD56" s="8">
        <f>LN('[1]Page 321, top'!AD51/'[1]Page 321, top'!AD50)</f>
        <v>2.1515299524503405E-3</v>
      </c>
      <c r="AE56" s="8">
        <f>LN('[1]Page 321, top'!AE51/'[1]Page 321, top'!AE50)</f>
        <v>2.3481598372028376E-2</v>
      </c>
      <c r="AF56" s="8">
        <f>LN('[1]Page 321, top'!AF51/'[1]Page 321, top'!AF50)</f>
        <v>2.1951886837931294E-2</v>
      </c>
    </row>
    <row r="57" spans="1:32" x14ac:dyDescent="0.25">
      <c r="A57" s="20">
        <v>38565</v>
      </c>
      <c r="B57" s="8">
        <f>LN('[1]Page 321, top'!B52/'[1]Page 321, top'!B51)</f>
        <v>-1.1285467972359155E-2</v>
      </c>
      <c r="C57" s="8">
        <f>LN('[1]Page 321, top'!C52/'[1]Page 321, top'!C51)</f>
        <v>-4.0852320064980054E-2</v>
      </c>
      <c r="D57" s="8">
        <f>LN('[1]Page 321, top'!D52/'[1]Page 321, top'!D51)</f>
        <v>-1.4155949230132298E-2</v>
      </c>
      <c r="E57" s="8">
        <f>LN('[1]Page 321, top'!E52/'[1]Page 321, top'!E51)</f>
        <v>4.3946915974237147E-3</v>
      </c>
      <c r="F57" s="8">
        <f>LN('[1]Page 321, top'!F52/'[1]Page 321, top'!F51)</f>
        <v>1.8891481995990719E-2</v>
      </c>
      <c r="G57" s="8">
        <f>LN('[1]Page 321, top'!G52/'[1]Page 321, top'!G51)</f>
        <v>6.3150718583181633E-3</v>
      </c>
      <c r="H57" s="8">
        <f>LN('[1]Page 321, top'!H52/'[1]Page 321, top'!H51)</f>
        <v>2.9041160489105523E-2</v>
      </c>
      <c r="I57" s="8">
        <f>LN('[1]Page 321, top'!I52/'[1]Page 321, top'!I51)</f>
        <v>-6.6967475452974504E-2</v>
      </c>
      <c r="J57" s="8">
        <f>LN('[1]Page 321, top'!J52/'[1]Page 321, top'!J51)</f>
        <v>-1.7495476075724006E-2</v>
      </c>
      <c r="K57" s="8">
        <f>LN('[1]Page 321, top'!K52/'[1]Page 321, top'!K51)</f>
        <v>-2.6289472935818216E-2</v>
      </c>
      <c r="L57" s="8">
        <f>LN('[1]Page 321, top'!L52/'[1]Page 321, top'!L51)</f>
        <v>-5.9944142589560705E-2</v>
      </c>
      <c r="M57" s="8">
        <f>LN('[1]Page 321, top'!M52/'[1]Page 321, top'!M51)</f>
        <v>-7.3624746343640385E-2</v>
      </c>
      <c r="N57" s="8">
        <f>LN('[1]Page 321, top'!N52/'[1]Page 321, top'!N51)</f>
        <v>-2.0239881347746316E-2</v>
      </c>
      <c r="O57" s="8">
        <f>LN('[1]Page 321, top'!O52/'[1]Page 321, top'!O51)</f>
        <v>0.12015205726548621</v>
      </c>
      <c r="P57" s="8">
        <f>LN('[1]Page 321, top'!P52/'[1]Page 321, top'!P51)</f>
        <v>-3.2127817082959545E-2</v>
      </c>
      <c r="Q57" s="8">
        <f>LN('[1]Page 321, top'!Q52/'[1]Page 321, top'!Q51)</f>
        <v>-5.0702103119962205E-2</v>
      </c>
      <c r="R57" s="8">
        <f>LN('[1]Page 321, top'!R52/'[1]Page 321, top'!R51)</f>
        <v>-3.843694674562827E-3</v>
      </c>
      <c r="S57" s="8">
        <f>LN('[1]Page 321, top'!S52/'[1]Page 321, top'!S51)</f>
        <v>-3.6302171292991139E-2</v>
      </c>
      <c r="T57" s="8">
        <f>LN('[1]Page 321, top'!T52/'[1]Page 321, top'!T51)</f>
        <v>5.3870606915213462E-3</v>
      </c>
      <c r="U57" s="8">
        <f>LN('[1]Page 321, top'!U52/'[1]Page 321, top'!U51)</f>
        <v>4.0428989995644933E-2</v>
      </c>
      <c r="V57" s="8">
        <f>LN('[1]Page 321, top'!V52/'[1]Page 321, top'!V51)</f>
        <v>-4.6773375085093986E-2</v>
      </c>
      <c r="W57" s="8">
        <f>LN('[1]Page 321, top'!W52/'[1]Page 321, top'!W51)</f>
        <v>5.4354604727998697E-2</v>
      </c>
      <c r="X57" s="8">
        <f>LN('[1]Page 321, top'!X52/'[1]Page 321, top'!X51)</f>
        <v>-8.2044936173400654E-2</v>
      </c>
      <c r="Y57" s="8">
        <f>LN('[1]Page 321, top'!Y52/'[1]Page 321, top'!Y51)</f>
        <v>6.9520158606998589E-2</v>
      </c>
      <c r="Z57" s="8">
        <f>LN('[1]Page 321, top'!Z52/'[1]Page 321, top'!Z51)</f>
        <v>-3.2152005438417744E-2</v>
      </c>
      <c r="AA57" s="8">
        <f>LN('[1]Page 321, top'!AA52/'[1]Page 321, top'!AA51)</f>
        <v>-2.7419814273057968E-3</v>
      </c>
      <c r="AB57" s="8">
        <f>LN('[1]Page 321, top'!AB52/'[1]Page 321, top'!AB51)</f>
        <v>-1.5618538747627968E-2</v>
      </c>
      <c r="AC57" s="8">
        <f>LN('[1]Page 321, top'!AC52/'[1]Page 321, top'!AC51)</f>
        <v>-9.669696617958936E-3</v>
      </c>
      <c r="AD57" s="8">
        <f>LN('[1]Page 321, top'!AD52/'[1]Page 321, top'!AD51)</f>
        <v>-4.5219634834625322E-2</v>
      </c>
      <c r="AE57" s="8">
        <f>LN('[1]Page 321, top'!AE52/'[1]Page 321, top'!AE51)</f>
        <v>-8.9984481022414978E-2</v>
      </c>
      <c r="AF57" s="8">
        <f>LN('[1]Page 321, top'!AF52/'[1]Page 321, top'!AF51)</f>
        <v>2.4196804699411927E-2</v>
      </c>
    </row>
    <row r="58" spans="1:32" x14ac:dyDescent="0.25">
      <c r="A58" s="20">
        <v>38596</v>
      </c>
      <c r="B58" s="8">
        <f>LN('[1]Page 321, top'!B53/'[1]Page 321, top'!B52)</f>
        <v>6.9249074268589216E-3</v>
      </c>
      <c r="C58" s="8">
        <f>LN('[1]Page 321, top'!C53/'[1]Page 321, top'!C52)</f>
        <v>-9.2471150737398339E-2</v>
      </c>
      <c r="D58" s="8">
        <f>LN('[1]Page 321, top'!D53/'[1]Page 321, top'!D52)</f>
        <v>4.5616997408971932E-2</v>
      </c>
      <c r="E58" s="8">
        <f>LN('[1]Page 321, top'!E53/'[1]Page 321, top'!E52)</f>
        <v>3.8907446299573378E-2</v>
      </c>
      <c r="F58" s="8">
        <f>LN('[1]Page 321, top'!F53/'[1]Page 321, top'!F52)</f>
        <v>1.3789187312396822E-2</v>
      </c>
      <c r="G58" s="8">
        <f>LN('[1]Page 321, top'!G53/'[1]Page 321, top'!G52)</f>
        <v>3.9095160497229303E-2</v>
      </c>
      <c r="H58" s="8">
        <f>LN('[1]Page 321, top'!H53/'[1]Page 321, top'!H52)</f>
        <v>5.7046992662719183E-2</v>
      </c>
      <c r="I58" s="8">
        <f>LN('[1]Page 321, top'!I53/'[1]Page 321, top'!I52)</f>
        <v>-1.0168253429252682E-2</v>
      </c>
      <c r="J58" s="8">
        <f>LN('[1]Page 321, top'!J53/'[1]Page 321, top'!J52)</f>
        <v>-4.3030609011065264E-2</v>
      </c>
      <c r="K58" s="8">
        <f>LN('[1]Page 321, top'!K53/'[1]Page 321, top'!K52)</f>
        <v>8.5366372071751795E-3</v>
      </c>
      <c r="L58" s="8">
        <f>LN('[1]Page 321, top'!L53/'[1]Page 321, top'!L52)</f>
        <v>-0.11058139743583054</v>
      </c>
      <c r="M58" s="8">
        <f>LN('[1]Page 321, top'!M53/'[1]Page 321, top'!M52)</f>
        <v>-5.5627110165963341E-2</v>
      </c>
      <c r="N58" s="8">
        <f>LN('[1]Page 321, top'!N53/'[1]Page 321, top'!N52)</f>
        <v>-2.0658011620421985E-2</v>
      </c>
      <c r="O58" s="8">
        <f>LN('[1]Page 321, top'!O53/'[1]Page 321, top'!O52)</f>
        <v>5.3166311674076518E-2</v>
      </c>
      <c r="P58" s="8">
        <f>LN('[1]Page 321, top'!P53/'[1]Page 321, top'!P52)</f>
        <v>-5.0163135036327879E-3</v>
      </c>
      <c r="Q58" s="8">
        <f>LN('[1]Page 321, top'!Q53/'[1]Page 321, top'!Q52)</f>
        <v>-4.2662405188275292E-2</v>
      </c>
      <c r="R58" s="8">
        <f>LN('[1]Page 321, top'!R53/'[1]Page 321, top'!R52)</f>
        <v>-1.766643035564452E-3</v>
      </c>
      <c r="S58" s="8">
        <f>LN('[1]Page 321, top'!S53/'[1]Page 321, top'!S52)</f>
        <v>1.2213741976343732E-3</v>
      </c>
      <c r="T58" s="8">
        <f>LN('[1]Page 321, top'!T53/'[1]Page 321, top'!T52)</f>
        <v>-1.222106867245757E-2</v>
      </c>
      <c r="U58" s="8">
        <f>LN('[1]Page 321, top'!U53/'[1]Page 321, top'!U52)</f>
        <v>3.1571795875813574E-2</v>
      </c>
      <c r="V58" s="8">
        <f>LN('[1]Page 321, top'!V53/'[1]Page 321, top'!V52)</f>
        <v>3.0546396365180008E-2</v>
      </c>
      <c r="W58" s="8">
        <f>LN('[1]Page 321, top'!W53/'[1]Page 321, top'!W52)</f>
        <v>5.2814229686611279E-2</v>
      </c>
      <c r="X58" s="8">
        <f>LN('[1]Page 321, top'!X53/'[1]Page 321, top'!X52)</f>
        <v>-3.6625917411804654E-2</v>
      </c>
      <c r="Y58" s="8">
        <f>LN('[1]Page 321, top'!Y53/'[1]Page 321, top'!Y52)</f>
        <v>-6.2032438894289652E-2</v>
      </c>
      <c r="Z58" s="8">
        <f>LN('[1]Page 321, top'!Z53/'[1]Page 321, top'!Z52)</f>
        <v>-2.0375603033017994E-2</v>
      </c>
      <c r="AA58" s="8">
        <f>LN('[1]Page 321, top'!AA53/'[1]Page 321, top'!AA52)</f>
        <v>6.9297907636100012E-2</v>
      </c>
      <c r="AB58" s="8">
        <f>LN('[1]Page 321, top'!AB53/'[1]Page 321, top'!AB52)</f>
        <v>-4.3821279590416148E-3</v>
      </c>
      <c r="AC58" s="8">
        <f>LN('[1]Page 321, top'!AC53/'[1]Page 321, top'!AC52)</f>
        <v>3.6179656577502474E-2</v>
      </c>
      <c r="AD58" s="8">
        <f>LN('[1]Page 321, top'!AD53/'[1]Page 321, top'!AD52)</f>
        <v>-6.4267354397108223E-4</v>
      </c>
      <c r="AE58" s="8">
        <f>LN('[1]Page 321, top'!AE53/'[1]Page 321, top'!AE52)</f>
        <v>-2.5721231324919751E-2</v>
      </c>
      <c r="AF58" s="8">
        <f>LN('[1]Page 321, top'!AF53/'[1]Page 321, top'!AF52)</f>
        <v>5.908752662314206E-2</v>
      </c>
    </row>
    <row r="59" spans="1:32" x14ac:dyDescent="0.25">
      <c r="A59" s="20">
        <v>38628</v>
      </c>
      <c r="B59" s="8">
        <f>LN('[1]Page 321, top'!B54/'[1]Page 321, top'!B53)</f>
        <v>-1.7899994313773929E-2</v>
      </c>
      <c r="C59" s="8">
        <f>LN('[1]Page 321, top'!C54/'[1]Page 321, top'!C53)</f>
        <v>-5.4200674693391446E-3</v>
      </c>
      <c r="D59" s="8">
        <f>LN('[1]Page 321, top'!D54/'[1]Page 321, top'!D53)</f>
        <v>4.4712584018884359E-2</v>
      </c>
      <c r="E59" s="8">
        <f>LN('[1]Page 321, top'!E54/'[1]Page 321, top'!E53)</f>
        <v>-7.6613277964327677E-3</v>
      </c>
      <c r="F59" s="8">
        <f>LN('[1]Page 321, top'!F54/'[1]Page 321, top'!F53)</f>
        <v>-4.9899740521956448E-2</v>
      </c>
      <c r="G59" s="8">
        <f>LN('[1]Page 321, top'!G54/'[1]Page 321, top'!G53)</f>
        <v>5.8126700660439141E-3</v>
      </c>
      <c r="H59" s="8">
        <f>LN('[1]Page 321, top'!H54/'[1]Page 321, top'!H53)</f>
        <v>-0.10618361611297575</v>
      </c>
      <c r="I59" s="8">
        <f>LN('[1]Page 321, top'!I54/'[1]Page 321, top'!I53)</f>
        <v>6.2472709572152785E-2</v>
      </c>
      <c r="J59" s="8">
        <f>LN('[1]Page 321, top'!J54/'[1]Page 321, top'!J53)</f>
        <v>9.5854036686783221E-3</v>
      </c>
      <c r="K59" s="8">
        <f>LN('[1]Page 321, top'!K54/'[1]Page 321, top'!K53)</f>
        <v>6.9581282094668068E-3</v>
      </c>
      <c r="L59" s="8">
        <f>LN('[1]Page 321, top'!L54/'[1]Page 321, top'!L53)</f>
        <v>-0.1109657416650736</v>
      </c>
      <c r="M59" s="8">
        <f>LN('[1]Page 321, top'!M54/'[1]Page 321, top'!M53)</f>
        <v>7.3256368722335555E-2</v>
      </c>
      <c r="N59" s="8">
        <f>LN('[1]Page 321, top'!N54/'[1]Page 321, top'!N53)</f>
        <v>-9.1927455517847478E-2</v>
      </c>
      <c r="O59" s="8">
        <f>LN('[1]Page 321, top'!O54/'[1]Page 321, top'!O53)</f>
        <v>-4.0505625285962132E-2</v>
      </c>
      <c r="P59" s="8">
        <f>LN('[1]Page 321, top'!P54/'[1]Page 321, top'!P53)</f>
        <v>2.0532047094810383E-2</v>
      </c>
      <c r="Q59" s="8">
        <f>LN('[1]Page 321, top'!Q54/'[1]Page 321, top'!Q53)</f>
        <v>-4.7577905830525957E-2</v>
      </c>
      <c r="R59" s="8">
        <f>LN('[1]Page 321, top'!R54/'[1]Page 321, top'!R53)</f>
        <v>-1.0503449556249871E-2</v>
      </c>
      <c r="S59" s="8">
        <f>LN('[1]Page 321, top'!S54/'[1]Page 321, top'!S53)</f>
        <v>8.6197293297574903E-2</v>
      </c>
      <c r="T59" s="8">
        <f>LN('[1]Page 321, top'!T54/'[1]Page 321, top'!T53)</f>
        <v>-9.5035165254536737E-3</v>
      </c>
      <c r="U59" s="8">
        <f>LN('[1]Page 321, top'!U54/'[1]Page 321, top'!U53)</f>
        <v>-5.8342036940418444E-2</v>
      </c>
      <c r="V59" s="8">
        <f>LN('[1]Page 321, top'!V54/'[1]Page 321, top'!V53)</f>
        <v>3.5010045623190378E-2</v>
      </c>
      <c r="W59" s="8">
        <f>LN('[1]Page 321, top'!W54/'[1]Page 321, top'!W53)</f>
        <v>1.8058554362292371E-2</v>
      </c>
      <c r="X59" s="8">
        <f>LN('[1]Page 321, top'!X54/'[1]Page 321, top'!X53)</f>
        <v>3.6258877583862995E-2</v>
      </c>
      <c r="Y59" s="8">
        <f>LN('[1]Page 321, top'!Y54/'[1]Page 321, top'!Y53)</f>
        <v>-1.1785505194441416E-3</v>
      </c>
      <c r="Z59" s="8">
        <f>LN('[1]Page 321, top'!Z54/'[1]Page 321, top'!Z53)</f>
        <v>-0.13842483752179424</v>
      </c>
      <c r="AA59" s="8">
        <f>LN('[1]Page 321, top'!AA54/'[1]Page 321, top'!AA53)</f>
        <v>-5.4940550608893871E-2</v>
      </c>
      <c r="AB59" s="8">
        <f>LN('[1]Page 321, top'!AB54/'[1]Page 321, top'!AB53)</f>
        <v>8.7451366253586318E-3</v>
      </c>
      <c r="AC59" s="8">
        <f>LN('[1]Page 321, top'!AC54/'[1]Page 321, top'!AC53)</f>
        <v>-1.0796061283560747E-2</v>
      </c>
      <c r="AD59" s="8">
        <f>LN('[1]Page 321, top'!AD54/'[1]Page 321, top'!AD53)</f>
        <v>-2.4074031851888247E-2</v>
      </c>
      <c r="AE59" s="8">
        <f>LN('[1]Page 321, top'!AE54/'[1]Page 321, top'!AE53)</f>
        <v>7.675606534817557E-2</v>
      </c>
      <c r="AF59" s="8">
        <f>LN('[1]Page 321, top'!AF54/'[1]Page 321, top'!AF53)</f>
        <v>-0.12387475055085766</v>
      </c>
    </row>
    <row r="60" spans="1:32" x14ac:dyDescent="0.25">
      <c r="A60" s="20">
        <v>38657</v>
      </c>
      <c r="B60" s="8">
        <f>LN('[1]Page 321, top'!B55/'[1]Page 321, top'!B54)</f>
        <v>3.4581237676988605E-2</v>
      </c>
      <c r="C60" s="8">
        <f>LN('[1]Page 321, top'!C55/'[1]Page 321, top'!C54)</f>
        <v>0.12703037360806441</v>
      </c>
      <c r="D60" s="8">
        <f>LN('[1]Page 321, top'!D55/'[1]Page 321, top'!D54)</f>
        <v>3.5492263906324352E-2</v>
      </c>
      <c r="E60" s="8">
        <f>LN('[1]Page 321, top'!E55/'[1]Page 321, top'!E54)</f>
        <v>3.2456806178875773E-2</v>
      </c>
      <c r="F60" s="8">
        <f>LN('[1]Page 321, top'!F55/'[1]Page 321, top'!F54)</f>
        <v>5.7167106581943863E-2</v>
      </c>
      <c r="G60" s="8">
        <f>LN('[1]Page 321, top'!G55/'[1]Page 321, top'!G54)</f>
        <v>6.8487468119720521E-2</v>
      </c>
      <c r="H60" s="8">
        <f>LN('[1]Page 321, top'!H55/'[1]Page 321, top'!H54)</f>
        <v>9.4055955342796926E-2</v>
      </c>
      <c r="I60" s="8">
        <f>LN('[1]Page 321, top'!I55/'[1]Page 321, top'!I54)</f>
        <v>3.3885139264615775E-2</v>
      </c>
      <c r="J60" s="8">
        <f>LN('[1]Page 321, top'!J55/'[1]Page 321, top'!J54)</f>
        <v>2.296123834818568E-2</v>
      </c>
      <c r="K60" s="8">
        <f>LN('[1]Page 321, top'!K55/'[1]Page 321, top'!K54)</f>
        <v>5.198645174694938E-2</v>
      </c>
      <c r="L60" s="8">
        <f>LN('[1]Page 321, top'!L55/'[1]Page 321, top'!L54)</f>
        <v>-0.20545063730561666</v>
      </c>
      <c r="M60" s="8">
        <f>LN('[1]Page 321, top'!M55/'[1]Page 321, top'!M54)</f>
        <v>2.0222397007998206E-2</v>
      </c>
      <c r="N60" s="8">
        <f>LN('[1]Page 321, top'!N55/'[1]Page 321, top'!N54)</f>
        <v>7.1663892514036848E-2</v>
      </c>
      <c r="O60" s="8">
        <f>LN('[1]Page 321, top'!O55/'[1]Page 321, top'!O54)</f>
        <v>5.6599107365378584E-2</v>
      </c>
      <c r="P60" s="8">
        <f>LN('[1]Page 321, top'!P55/'[1]Page 321, top'!P54)</f>
        <v>8.4627291677561431E-2</v>
      </c>
      <c r="Q60" s="8">
        <f>LN('[1]Page 321, top'!Q55/'[1]Page 321, top'!Q54)</f>
        <v>0.13040014782673898</v>
      </c>
      <c r="R60" s="8">
        <f>LN('[1]Page 321, top'!R55/'[1]Page 321, top'!R54)</f>
        <v>-8.8106296821549197E-3</v>
      </c>
      <c r="S60" s="8">
        <f>LN('[1]Page 321, top'!S55/'[1]Page 321, top'!S54)</f>
        <v>4.3550631224768349E-2</v>
      </c>
      <c r="T60" s="8">
        <f>LN('[1]Page 321, top'!T55/'[1]Page 321, top'!T54)</f>
        <v>4.5254334705107646E-3</v>
      </c>
      <c r="U60" s="8">
        <f>LN('[1]Page 321, top'!U55/'[1]Page 321, top'!U54)</f>
        <v>8.9242950636757717E-2</v>
      </c>
      <c r="V60" s="8">
        <f>LN('[1]Page 321, top'!V55/'[1]Page 321, top'!V54)</f>
        <v>3.7700662364008368E-2</v>
      </c>
      <c r="W60" s="8">
        <f>LN('[1]Page 321, top'!W55/'[1]Page 321, top'!W54)</f>
        <v>-3.0612495948348563E-2</v>
      </c>
      <c r="X60" s="8">
        <f>LN('[1]Page 321, top'!X55/'[1]Page 321, top'!X54)</f>
        <v>5.3951285962047978E-2</v>
      </c>
      <c r="Y60" s="8">
        <f>LN('[1]Page 321, top'!Y55/'[1]Page 321, top'!Y54)</f>
        <v>7.7135728882227236E-2</v>
      </c>
      <c r="Z60" s="8">
        <f>LN('[1]Page 321, top'!Z55/'[1]Page 321, top'!Z54)</f>
        <v>-1.6686918785014597E-2</v>
      </c>
      <c r="AA60" s="8">
        <f>LN('[1]Page 321, top'!AA55/'[1]Page 321, top'!AA54)</f>
        <v>2.1068445774304875E-2</v>
      </c>
      <c r="AB60" s="8">
        <f>LN('[1]Page 321, top'!AB55/'[1]Page 321, top'!AB54)</f>
        <v>4.3448060150596282E-2</v>
      </c>
      <c r="AC60" s="8">
        <f>LN('[1]Page 321, top'!AC55/'[1]Page 321, top'!AC54)</f>
        <v>5.2851188193996486E-2</v>
      </c>
      <c r="AD60" s="8">
        <f>LN('[1]Page 321, top'!AD55/'[1]Page 321, top'!AD54)</f>
        <v>1.470855083431217E-2</v>
      </c>
      <c r="AE60" s="8">
        <f>LN('[1]Page 321, top'!AE55/'[1]Page 321, top'!AE54)</f>
        <v>2.6134258710418995E-2</v>
      </c>
      <c r="AF60" s="8">
        <f>LN('[1]Page 321, top'!AF55/'[1]Page 321, top'!AF54)</f>
        <v>3.815563541679072E-2</v>
      </c>
    </row>
    <row r="61" spans="1:32" x14ac:dyDescent="0.25">
      <c r="A61" s="20">
        <v>38687</v>
      </c>
      <c r="B61" s="8">
        <f>LN('[1]Page 321, top'!B56/'[1]Page 321, top'!B55)</f>
        <v>-9.528500142413687E-4</v>
      </c>
      <c r="C61" s="8">
        <f>LN('[1]Page 321, top'!C56/'[1]Page 321, top'!C55)</f>
        <v>7.5842213332526193E-2</v>
      </c>
      <c r="D61" s="8">
        <f>LN('[1]Page 321, top'!D56/'[1]Page 321, top'!D55)</f>
        <v>1.6180862197089498E-2</v>
      </c>
      <c r="E61" s="8">
        <f>LN('[1]Page 321, top'!E56/'[1]Page 321, top'!E55)</f>
        <v>7.8339212780407738E-4</v>
      </c>
      <c r="F61" s="8">
        <f>LN('[1]Page 321, top'!F56/'[1]Page 321, top'!F55)</f>
        <v>2.9700829254173194E-2</v>
      </c>
      <c r="G61" s="8">
        <f>LN('[1]Page 321, top'!G56/'[1]Page 321, top'!G55)</f>
        <v>-4.1640641867552982E-4</v>
      </c>
      <c r="H61" s="8">
        <f>LN('[1]Page 321, top'!H56/'[1]Page 321, top'!H55)</f>
        <v>-1.7432232241474714E-4</v>
      </c>
      <c r="I61" s="8">
        <f>LN('[1]Page 321, top'!I56/'[1]Page 321, top'!I55)</f>
        <v>-5.9673169077704346E-3</v>
      </c>
      <c r="J61" s="8">
        <f>LN('[1]Page 321, top'!J56/'[1]Page 321, top'!J55)</f>
        <v>-2.8784882094972462E-2</v>
      </c>
      <c r="K61" s="8">
        <f>LN('[1]Page 321, top'!K56/'[1]Page 321, top'!K55)</f>
        <v>-1.1803793304009404E-2</v>
      </c>
      <c r="L61" s="8">
        <f>LN('[1]Page 321, top'!L56/'[1]Page 321, top'!L55)</f>
        <v>-0.12029317970226346</v>
      </c>
      <c r="M61" s="8">
        <f>LN('[1]Page 321, top'!M56/'[1]Page 321, top'!M55)</f>
        <v>-3.1608658636442653E-2</v>
      </c>
      <c r="N61" s="8">
        <f>LN('[1]Page 321, top'!N56/'[1]Page 321, top'!N55)</f>
        <v>1.9178670030572068E-2</v>
      </c>
      <c r="O61" s="8">
        <f>LN('[1]Page 321, top'!O56/'[1]Page 321, top'!O55)</f>
        <v>-3.3152207316900509E-2</v>
      </c>
      <c r="P61" s="8">
        <f>LN('[1]Page 321, top'!P56/'[1]Page 321, top'!P55)</f>
        <v>-7.8365376685959193E-2</v>
      </c>
      <c r="Q61" s="8">
        <f>LN('[1]Page 321, top'!Q56/'[1]Page 321, top'!Q55)</f>
        <v>-6.6508666504689312E-2</v>
      </c>
      <c r="R61" s="8">
        <f>LN('[1]Page 321, top'!R56/'[1]Page 321, top'!R55)</f>
        <v>-2.7075817260754826E-2</v>
      </c>
      <c r="S61" s="8">
        <f>LN('[1]Page 321, top'!S56/'[1]Page 321, top'!S55)</f>
        <v>3.7094875175309655E-2</v>
      </c>
      <c r="T61" s="8">
        <f>LN('[1]Page 321, top'!T56/'[1]Page 321, top'!T55)</f>
        <v>-5.7465998602946933E-2</v>
      </c>
      <c r="U61" s="8">
        <f>LN('[1]Page 321, top'!U56/'[1]Page 321, top'!U55)</f>
        <v>-3.8478662246293838E-3</v>
      </c>
      <c r="V61" s="8">
        <f>LN('[1]Page 321, top'!V56/'[1]Page 321, top'!V55)</f>
        <v>-1.2583677756234533E-2</v>
      </c>
      <c r="W61" s="8">
        <f>LN('[1]Page 321, top'!W56/'[1]Page 321, top'!W55)</f>
        <v>3.6651493165116622E-2</v>
      </c>
      <c r="X61" s="8">
        <f>LN('[1]Page 321, top'!X56/'[1]Page 321, top'!X55)</f>
        <v>7.8570051941829144E-2</v>
      </c>
      <c r="Y61" s="8">
        <f>LN('[1]Page 321, top'!Y56/'[1]Page 321, top'!Y55)</f>
        <v>-5.6901575518259327E-2</v>
      </c>
      <c r="Z61" s="8">
        <f>LN('[1]Page 321, top'!Z56/'[1]Page 321, top'!Z55)</f>
        <v>9.5310179804324741E-2</v>
      </c>
      <c r="AA61" s="8">
        <f>LN('[1]Page 321, top'!AA56/'[1]Page 321, top'!AA55)</f>
        <v>1.2117103211349229E-2</v>
      </c>
      <c r="AB61" s="8">
        <f>LN('[1]Page 321, top'!AB56/'[1]Page 321, top'!AB55)</f>
        <v>-1.7238181742378345E-2</v>
      </c>
      <c r="AC61" s="8">
        <f>LN('[1]Page 321, top'!AC56/'[1]Page 321, top'!AC55)</f>
        <v>3.7657126385328331E-2</v>
      </c>
      <c r="AD61" s="8">
        <f>LN('[1]Page 321, top'!AD56/'[1]Page 321, top'!AD55)</f>
        <v>-5.9834051855431142E-2</v>
      </c>
      <c r="AE61" s="8">
        <f>LN('[1]Page 321, top'!AE56/'[1]Page 321, top'!AE55)</f>
        <v>-3.4066554563606195E-2</v>
      </c>
      <c r="AF61" s="8">
        <f>LN('[1]Page 321, top'!AF56/'[1]Page 321, top'!AF55)</f>
        <v>-3.2563485910827014E-2</v>
      </c>
    </row>
    <row r="62" spans="1:32" x14ac:dyDescent="0.25">
      <c r="A62" s="20">
        <v>38720</v>
      </c>
      <c r="B62" s="8">
        <f>LN('[1]Page 321, top'!B57/'[1]Page 321, top'!B56)</f>
        <v>2.5147961230518261E-2</v>
      </c>
      <c r="C62" s="8">
        <f>LN('[1]Page 321, top'!C57/'[1]Page 321, top'!C56)</f>
        <v>6.3151040259666502E-2</v>
      </c>
      <c r="D62" s="8">
        <f>LN('[1]Page 321, top'!D57/'[1]Page 321, top'!D56)</f>
        <v>-4.1490995554845825E-2</v>
      </c>
      <c r="E62" s="8">
        <f>LN('[1]Page 321, top'!E57/'[1]Page 321, top'!E56)</f>
        <v>2.1497874490983376E-2</v>
      </c>
      <c r="F62" s="8">
        <f>LN('[1]Page 321, top'!F57/'[1]Page 321, top'!F56)</f>
        <v>-2.7929088055432878E-2</v>
      </c>
      <c r="G62" s="8">
        <f>LN('[1]Page 321, top'!G57/'[1]Page 321, top'!G56)</f>
        <v>-4.1021584060690279E-2</v>
      </c>
      <c r="H62" s="8">
        <f>LN('[1]Page 321, top'!H57/'[1]Page 321, top'!H56)</f>
        <v>0.16559126222915135</v>
      </c>
      <c r="I62" s="8">
        <f>LN('[1]Page 321, top'!I57/'[1]Page 321, top'!I56)</f>
        <v>-8.2039752711578345E-2</v>
      </c>
      <c r="J62" s="8">
        <f>LN('[1]Page 321, top'!J57/'[1]Page 321, top'!J56)</f>
        <v>5.4396526110739675E-2</v>
      </c>
      <c r="K62" s="8">
        <f>LN('[1]Page 321, top'!K57/'[1]Page 321, top'!K56)</f>
        <v>-6.7690505338030463E-2</v>
      </c>
      <c r="L62" s="8">
        <f>LN('[1]Page 321, top'!L57/'[1]Page 321, top'!L56)</f>
        <v>0.21458520228304806</v>
      </c>
      <c r="M62" s="8">
        <f>LN('[1]Page 321, top'!M57/'[1]Page 321, top'!M56)</f>
        <v>1.7410774202929755E-3</v>
      </c>
      <c r="N62" s="8">
        <f>LN('[1]Page 321, top'!N57/'[1]Page 321, top'!N56)</f>
        <v>3.099366436581167E-2</v>
      </c>
      <c r="O62" s="8">
        <f>LN('[1]Page 321, top'!O57/'[1]Page 321, top'!O56)</f>
        <v>8.5430071204617777E-2</v>
      </c>
      <c r="P62" s="8">
        <f>LN('[1]Page 321, top'!P57/'[1]Page 321, top'!P56)</f>
        <v>-1.1077036338907607E-2</v>
      </c>
      <c r="Q62" s="8">
        <f>LN('[1]Page 321, top'!Q57/'[1]Page 321, top'!Q56)</f>
        <v>-0.1607120724610995</v>
      </c>
      <c r="R62" s="8">
        <f>LN('[1]Page 321, top'!R57/'[1]Page 321, top'!R56)</f>
        <v>-4.3533755804915142E-2</v>
      </c>
      <c r="S62" s="8">
        <f>LN('[1]Page 321, top'!S57/'[1]Page 321, top'!S56)</f>
        <v>1.0021926359046567E-2</v>
      </c>
      <c r="T62" s="8">
        <f>LN('[1]Page 321, top'!T57/'[1]Page 321, top'!T56)</f>
        <v>2.6330383502959478E-2</v>
      </c>
      <c r="U62" s="8">
        <f>LN('[1]Page 321, top'!U57/'[1]Page 321, top'!U56)</f>
        <v>3.7542601832919666E-2</v>
      </c>
      <c r="V62" s="8">
        <f>LN('[1]Page 321, top'!V57/'[1]Page 321, top'!V56)</f>
        <v>-6.3181739632142964E-2</v>
      </c>
      <c r="W62" s="8">
        <f>LN('[1]Page 321, top'!W57/'[1]Page 321, top'!W56)</f>
        <v>-3.240219498645891E-2</v>
      </c>
      <c r="X62" s="8">
        <f>LN('[1]Page 321, top'!X57/'[1]Page 321, top'!X56)</f>
        <v>8.1179829888370206E-2</v>
      </c>
      <c r="Y62" s="8">
        <f>LN('[1]Page 321, top'!Y57/'[1]Page 321, top'!Y56)</f>
        <v>7.3860307765218847E-2</v>
      </c>
      <c r="Z62" s="8">
        <f>LN('[1]Page 321, top'!Z57/'[1]Page 321, top'!Z56)</f>
        <v>9.6580828005780536E-2</v>
      </c>
      <c r="AA62" s="8">
        <f>LN('[1]Page 321, top'!AA57/'[1]Page 321, top'!AA56)</f>
        <v>2.7715002237054608E-2</v>
      </c>
      <c r="AB62" s="8">
        <f>LN('[1]Page 321, top'!AB57/'[1]Page 321, top'!AB56)</f>
        <v>7.1590568904359053E-2</v>
      </c>
      <c r="AC62" s="8">
        <f>LN('[1]Page 321, top'!AC57/'[1]Page 321, top'!AC56)</f>
        <v>4.3047747170555171E-2</v>
      </c>
      <c r="AD62" s="8">
        <f>LN('[1]Page 321, top'!AD57/'[1]Page 321, top'!AD56)</f>
        <v>6.2749978107486393E-2</v>
      </c>
      <c r="AE62" s="8">
        <f>LN('[1]Page 321, top'!AE57/'[1]Page 321, top'!AE56)</f>
        <v>-1.47444128178424E-2</v>
      </c>
      <c r="AF62" s="8">
        <f>LN('[1]Page 321, top'!AF57/'[1]Page 321, top'!AF56)</f>
        <v>0.11090367760583343</v>
      </c>
    </row>
    <row r="63" spans="1:32" x14ac:dyDescent="0.25">
      <c r="A63" s="20">
        <v>38749</v>
      </c>
      <c r="B63" s="8">
        <f>LN('[1]Page 321, top'!B58/'[1]Page 321, top'!B57)</f>
        <v>4.529940641520396E-4</v>
      </c>
      <c r="C63" s="8">
        <f>LN('[1]Page 321, top'!C58/'[1]Page 321, top'!C57)</f>
        <v>-6.6912371416664659E-2</v>
      </c>
      <c r="D63" s="8">
        <f>LN('[1]Page 321, top'!D58/'[1]Page 321, top'!D57)</f>
        <v>1.3719727397480003E-2</v>
      </c>
      <c r="E63" s="8">
        <f>LN('[1]Page 321, top'!E58/'[1]Page 321, top'!E57)</f>
        <v>2.6844712184124434E-2</v>
      </c>
      <c r="F63" s="8">
        <f>LN('[1]Page 321, top'!F58/'[1]Page 321, top'!F57)</f>
        <v>6.6343941572338291E-2</v>
      </c>
      <c r="G63" s="8">
        <f>LN('[1]Page 321, top'!G58/'[1]Page 321, top'!G57)</f>
        <v>6.056691670952419E-3</v>
      </c>
      <c r="H63" s="8">
        <f>LN('[1]Page 321, top'!H58/'[1]Page 321, top'!H57)</f>
        <v>7.3464074120697526E-2</v>
      </c>
      <c r="I63" s="8">
        <f>LN('[1]Page 321, top'!I58/'[1]Page 321, top'!I57)</f>
        <v>3.6488293263136684E-2</v>
      </c>
      <c r="J63" s="8">
        <f>LN('[1]Page 321, top'!J58/'[1]Page 321, top'!J57)</f>
        <v>0.10064772897032936</v>
      </c>
      <c r="K63" s="8">
        <f>LN('[1]Page 321, top'!K58/'[1]Page 321, top'!K57)</f>
        <v>1.1094104541358792E-2</v>
      </c>
      <c r="L63" s="8">
        <f>LN('[1]Page 321, top'!L58/'[1]Page 321, top'!L57)</f>
        <v>-0.1583331549988253</v>
      </c>
      <c r="M63" s="8">
        <f>LN('[1]Page 321, top'!M58/'[1]Page 321, top'!M57)</f>
        <v>3.8752259662623204E-2</v>
      </c>
      <c r="N63" s="8">
        <f>LN('[1]Page 321, top'!N58/'[1]Page 321, top'!N57)</f>
        <v>6.9361127797502531E-2</v>
      </c>
      <c r="O63" s="8">
        <f>LN('[1]Page 321, top'!O58/'[1]Page 321, top'!O57)</f>
        <v>5.090637234751344E-2</v>
      </c>
      <c r="P63" s="8">
        <f>LN('[1]Page 321, top'!P58/'[1]Page 321, top'!P57)</f>
        <v>-1.057552624708641E-2</v>
      </c>
      <c r="Q63" s="8">
        <f>LN('[1]Page 321, top'!Q58/'[1]Page 321, top'!Q57)</f>
        <v>-2.6963597877582197E-2</v>
      </c>
      <c r="R63" s="8">
        <f>LN('[1]Page 321, top'!R58/'[1]Page 321, top'!R57)</f>
        <v>7.5339821976327277E-3</v>
      </c>
      <c r="S63" s="8">
        <f>LN('[1]Page 321, top'!S58/'[1]Page 321, top'!S57)</f>
        <v>3.4429836211787378E-2</v>
      </c>
      <c r="T63" s="8">
        <f>LN('[1]Page 321, top'!T58/'[1]Page 321, top'!T57)</f>
        <v>1.4119027143852922E-2</v>
      </c>
      <c r="U63" s="8">
        <f>LN('[1]Page 321, top'!U58/'[1]Page 321, top'!U57)</f>
        <v>-2.8604138496296457E-3</v>
      </c>
      <c r="V63" s="8">
        <f>LN('[1]Page 321, top'!V58/'[1]Page 321, top'!V57)</f>
        <v>1.7780083852863355E-2</v>
      </c>
      <c r="W63" s="8">
        <f>LN('[1]Page 321, top'!W58/'[1]Page 321, top'!W57)</f>
        <v>-6.0962831464255992E-3</v>
      </c>
      <c r="X63" s="8">
        <f>LN('[1]Page 321, top'!X58/'[1]Page 321, top'!X57)</f>
        <v>1.0616437076253071E-2</v>
      </c>
      <c r="Y63" s="8">
        <f>LN('[1]Page 321, top'!Y58/'[1]Page 321, top'!Y57)</f>
        <v>-4.3135342068847039E-2</v>
      </c>
      <c r="Z63" s="8">
        <f>LN('[1]Page 321, top'!Z58/'[1]Page 321, top'!Z57)</f>
        <v>2.8942184370920315E-2</v>
      </c>
      <c r="AA63" s="8">
        <f>LN('[1]Page 321, top'!AA58/'[1]Page 321, top'!AA57)</f>
        <v>1.1814483413763056E-2</v>
      </c>
      <c r="AB63" s="8">
        <f>LN('[1]Page 321, top'!AB58/'[1]Page 321, top'!AB57)</f>
        <v>6.1251442809923673E-2</v>
      </c>
      <c r="AC63" s="8">
        <f>LN('[1]Page 321, top'!AC58/'[1]Page 321, top'!AC57)</f>
        <v>6.025670293590032E-3</v>
      </c>
      <c r="AD63" s="8">
        <f>LN('[1]Page 321, top'!AD58/'[1]Page 321, top'!AD57)</f>
        <v>6.2392901627301156E-2</v>
      </c>
      <c r="AE63" s="8">
        <f>LN('[1]Page 321, top'!AE58/'[1]Page 321, top'!AE57)</f>
        <v>-1.6518380210940327E-2</v>
      </c>
      <c r="AF63" s="8">
        <f>LN('[1]Page 321, top'!AF58/'[1]Page 321, top'!AF57)</f>
        <v>-5.0183825252067778E-2</v>
      </c>
    </row>
    <row r="64" spans="1:32" x14ac:dyDescent="0.25">
      <c r="A64" s="20">
        <v>38777</v>
      </c>
      <c r="B64" s="8">
        <f>LN('[1]Page 321, top'!B59/'[1]Page 321, top'!B58)</f>
        <v>1.1034733969458945E-2</v>
      </c>
      <c r="C64" s="8">
        <f>LN('[1]Page 321, top'!C59/'[1]Page 321, top'!C58)</f>
        <v>4.1602779042856315E-2</v>
      </c>
      <c r="D64" s="8">
        <f>LN('[1]Page 321, top'!D59/'[1]Page 321, top'!D58)</f>
        <v>-1.8184578431258707E-3</v>
      </c>
      <c r="E64" s="8">
        <f>LN('[1]Page 321, top'!E59/'[1]Page 321, top'!E58)</f>
        <v>-2.5121729083425172E-2</v>
      </c>
      <c r="F64" s="8">
        <f>LN('[1]Page 321, top'!F59/'[1]Page 321, top'!F58)</f>
        <v>6.9581691288308697E-2</v>
      </c>
      <c r="G64" s="8">
        <f>LN('[1]Page 321, top'!G59/'[1]Page 321, top'!G58)</f>
        <v>1.8376585504656297E-2</v>
      </c>
      <c r="H64" s="8">
        <f>LN('[1]Page 321, top'!H59/'[1]Page 321, top'!H58)</f>
        <v>-1.7586827303334048E-2</v>
      </c>
      <c r="I64" s="8">
        <f>LN('[1]Page 321, top'!I59/'[1]Page 321, top'!I58)</f>
        <v>4.7942660970409473E-2</v>
      </c>
      <c r="J64" s="8">
        <f>LN('[1]Page 321, top'!J59/'[1]Page 321, top'!J58)</f>
        <v>-3.5791018879645156E-3</v>
      </c>
      <c r="K64" s="8">
        <f>LN('[1]Page 321, top'!K59/'[1]Page 321, top'!K58)</f>
        <v>5.6306755609997976E-2</v>
      </c>
      <c r="L64" s="8">
        <f>LN('[1]Page 321, top'!L59/'[1]Page 321, top'!L58)</f>
        <v>4.6158302921268657E-2</v>
      </c>
      <c r="M64" s="8">
        <f>LN('[1]Page 321, top'!M59/'[1]Page 321, top'!M58)</f>
        <v>7.1462905368182526E-3</v>
      </c>
      <c r="N64" s="8">
        <f>LN('[1]Page 321, top'!N59/'[1]Page 321, top'!N58)</f>
        <v>4.3469444220723227E-2</v>
      </c>
      <c r="O64" s="8">
        <f>LN('[1]Page 321, top'!O59/'[1]Page 321, top'!O58)</f>
        <v>5.1948168771041511E-3</v>
      </c>
      <c r="P64" s="8">
        <f>LN('[1]Page 321, top'!P59/'[1]Page 321, top'!P58)</f>
        <v>2.7388832663133186E-2</v>
      </c>
      <c r="Q64" s="8">
        <f>LN('[1]Page 321, top'!Q59/'[1]Page 321, top'!Q58)</f>
        <v>-5.6727880402377404E-2</v>
      </c>
      <c r="R64" s="8">
        <f>LN('[1]Page 321, top'!R59/'[1]Page 321, top'!R58)</f>
        <v>2.6865745285799249E-2</v>
      </c>
      <c r="S64" s="8">
        <f>LN('[1]Page 321, top'!S59/'[1]Page 321, top'!S58)</f>
        <v>1.2032066579569562E-2</v>
      </c>
      <c r="T64" s="8">
        <f>LN('[1]Page 321, top'!T59/'[1]Page 321, top'!T58)</f>
        <v>4.8227727912260052E-3</v>
      </c>
      <c r="U64" s="8">
        <f>LN('[1]Page 321, top'!U59/'[1]Page 321, top'!U58)</f>
        <v>-1.588022400088996E-2</v>
      </c>
      <c r="V64" s="8">
        <f>LN('[1]Page 321, top'!V59/'[1]Page 321, top'!V58)</f>
        <v>2.815190289476506E-2</v>
      </c>
      <c r="W64" s="8">
        <f>LN('[1]Page 321, top'!W59/'[1]Page 321, top'!W58)</f>
        <v>-3.7042356075807268E-3</v>
      </c>
      <c r="X64" s="8">
        <f>LN('[1]Page 321, top'!X59/'[1]Page 321, top'!X58)</f>
        <v>2.1474998228097959E-2</v>
      </c>
      <c r="Y64" s="8">
        <f>LN('[1]Page 321, top'!Y59/'[1]Page 321, top'!Y58)</f>
        <v>1.225187035339419E-2</v>
      </c>
      <c r="Z64" s="8">
        <f>LN('[1]Page 321, top'!Z59/'[1]Page 321, top'!Z58)</f>
        <v>-4.9387875531209637E-2</v>
      </c>
      <c r="AA64" s="8">
        <f>LN('[1]Page 321, top'!AA59/'[1]Page 321, top'!AA58)</f>
        <v>-3.9180445507657986E-2</v>
      </c>
      <c r="AB64" s="8">
        <f>LN('[1]Page 321, top'!AB59/'[1]Page 321, top'!AB58)</f>
        <v>-2.0255756308274839E-2</v>
      </c>
      <c r="AC64" s="8">
        <f>LN('[1]Page 321, top'!AC59/'[1]Page 321, top'!AC58)</f>
        <v>-9.1387824584463293E-3</v>
      </c>
      <c r="AD64" s="8">
        <f>LN('[1]Page 321, top'!AD59/'[1]Page 321, top'!AD58)</f>
        <v>1.0582109330537008E-2</v>
      </c>
      <c r="AE64" s="8">
        <f>LN('[1]Page 321, top'!AE59/'[1]Page 321, top'!AE58)</f>
        <v>4.4306921099570601E-2</v>
      </c>
      <c r="AF64" s="8">
        <f>LN('[1]Page 321, top'!AF59/'[1]Page 321, top'!AF58)</f>
        <v>2.4911427810049402E-2</v>
      </c>
    </row>
    <row r="65" spans="1:32" x14ac:dyDescent="0.25">
      <c r="A65" s="20">
        <v>38810</v>
      </c>
      <c r="B65" s="8">
        <f>LN('[1]Page 321, top'!B60/'[1]Page 321, top'!B59)</f>
        <v>1.2082373675144375E-2</v>
      </c>
      <c r="C65" s="8">
        <f>LN('[1]Page 321, top'!C60/'[1]Page 321, top'!C59)</f>
        <v>9.9989561843298519E-2</v>
      </c>
      <c r="D65" s="8">
        <f>LN('[1]Page 321, top'!D60/'[1]Page 321, top'!D59)</f>
        <v>-1.2822645540912345E-2</v>
      </c>
      <c r="E65" s="8">
        <f>LN('[1]Page 321, top'!E60/'[1]Page 321, top'!E59)</f>
        <v>2.6053956241456868E-2</v>
      </c>
      <c r="F65" s="8">
        <f>LN('[1]Page 321, top'!F60/'[1]Page 321, top'!F59)</f>
        <v>6.8546381577074961E-2</v>
      </c>
      <c r="G65" s="8">
        <f>LN('[1]Page 321, top'!G60/'[1]Page 321, top'!G59)</f>
        <v>5.5993221186536851E-2</v>
      </c>
      <c r="H65" s="8">
        <f>LN('[1]Page 321, top'!H60/'[1]Page 321, top'!H59)</f>
        <v>5.6490717135769065E-2</v>
      </c>
      <c r="I65" s="8">
        <f>LN('[1]Page 321, top'!I60/'[1]Page 321, top'!I59)</f>
        <v>4.3693435217569923E-2</v>
      </c>
      <c r="J65" s="8">
        <f>LN('[1]Page 321, top'!J60/'[1]Page 321, top'!J59)</f>
        <v>2.5067157262118516E-3</v>
      </c>
      <c r="K65" s="8">
        <f>LN('[1]Page 321, top'!K60/'[1]Page 321, top'!K59)</f>
        <v>-5.5192587456266489E-3</v>
      </c>
      <c r="L65" s="8">
        <f>LN('[1]Page 321, top'!L60/'[1]Page 321, top'!L59)</f>
        <v>7.3225748894030954E-2</v>
      </c>
      <c r="M65" s="8">
        <f>LN('[1]Page 321, top'!M60/'[1]Page 321, top'!M59)</f>
        <v>-5.7647216771325914E-2</v>
      </c>
      <c r="N65" s="8">
        <f>LN('[1]Page 321, top'!N60/'[1]Page 321, top'!N59)</f>
        <v>-6.3656940173461869E-3</v>
      </c>
      <c r="O65" s="8">
        <f>LN('[1]Page 321, top'!O60/'[1]Page 321, top'!O59)</f>
        <v>-1.3192398723521168E-2</v>
      </c>
      <c r="P65" s="8">
        <f>LN('[1]Page 321, top'!P60/'[1]Page 321, top'!P59)</f>
        <v>-1.5833387389166198E-3</v>
      </c>
      <c r="Q65" s="8">
        <f>LN('[1]Page 321, top'!Q60/'[1]Page 321, top'!Q59)</f>
        <v>2.6505119379997093E-2</v>
      </c>
      <c r="R65" s="8">
        <f>LN('[1]Page 321, top'!R60/'[1]Page 321, top'!R59)</f>
        <v>-1.0247741260475809E-2</v>
      </c>
      <c r="S65" s="8">
        <f>LN('[1]Page 321, top'!S60/'[1]Page 321, top'!S59)</f>
        <v>9.4044595746061499E-2</v>
      </c>
      <c r="T65" s="8">
        <f>LN('[1]Page 321, top'!T60/'[1]Page 321, top'!T59)</f>
        <v>2.1626825682798628E-3</v>
      </c>
      <c r="U65" s="8">
        <f>LN('[1]Page 321, top'!U60/'[1]Page 321, top'!U59)</f>
        <v>6.0931568174785091E-3</v>
      </c>
      <c r="V65" s="8">
        <f>LN('[1]Page 321, top'!V60/'[1]Page 321, top'!V59)</f>
        <v>0.12106861082463452</v>
      </c>
      <c r="W65" s="8">
        <f>LN('[1]Page 321, top'!W60/'[1]Page 321, top'!W59)</f>
        <v>3.2025208754611109E-2</v>
      </c>
      <c r="X65" s="8">
        <f>LN('[1]Page 321, top'!X60/'[1]Page 321, top'!X59)</f>
        <v>-2.3236595865095331E-2</v>
      </c>
      <c r="Y65" s="8">
        <f>LN('[1]Page 321, top'!Y60/'[1]Page 321, top'!Y59)</f>
        <v>-0.11898301733912256</v>
      </c>
      <c r="Z65" s="8">
        <f>LN('[1]Page 321, top'!Z60/'[1]Page 321, top'!Z59)</f>
        <v>1.6071057021242771E-2</v>
      </c>
      <c r="AA65" s="8">
        <f>LN('[1]Page 321, top'!AA60/'[1]Page 321, top'!AA59)</f>
        <v>1.5582032719997961E-2</v>
      </c>
      <c r="AB65" s="8">
        <f>LN('[1]Page 321, top'!AB60/'[1]Page 321, top'!AB59)</f>
        <v>-1.874218180974075E-2</v>
      </c>
      <c r="AC65" s="8">
        <f>LN('[1]Page 321, top'!AC60/'[1]Page 321, top'!AC59)</f>
        <v>8.0189267840077974E-2</v>
      </c>
      <c r="AD65" s="8">
        <f>LN('[1]Page 321, top'!AD60/'[1]Page 321, top'!AD59)</f>
        <v>-1.8822656496633863E-2</v>
      </c>
      <c r="AE65" s="8">
        <f>LN('[1]Page 321, top'!AE60/'[1]Page 321, top'!AE59)</f>
        <v>-4.7866435425159011E-2</v>
      </c>
      <c r="AF65" s="8">
        <f>LN('[1]Page 321, top'!AF60/'[1]Page 321, top'!AF59)</f>
        <v>3.5683318735638396E-2</v>
      </c>
    </row>
    <row r="66" spans="1:32" x14ac:dyDescent="0.25">
      <c r="A66" s="20">
        <v>38838</v>
      </c>
      <c r="B66" s="8">
        <f>LN('[1]Page 321, top'!B61/'[1]Page 321, top'!B60)</f>
        <v>-3.1404913585891703E-2</v>
      </c>
      <c r="C66" s="8">
        <f>LN('[1]Page 321, top'!C61/'[1]Page 321, top'!C60)</f>
        <v>-5.8471128985531085E-2</v>
      </c>
      <c r="D66" s="8">
        <f>LN('[1]Page 321, top'!D61/'[1]Page 321, top'!D60)</f>
        <v>-6.8181138612174702E-2</v>
      </c>
      <c r="E66" s="8">
        <f>LN('[1]Page 321, top'!E61/'[1]Page 321, top'!E60)</f>
        <v>1.0197548274768733E-2</v>
      </c>
      <c r="F66" s="8">
        <f>LN('[1]Page 321, top'!F61/'[1]Page 321, top'!F60)</f>
        <v>9.614229799570056E-4</v>
      </c>
      <c r="G66" s="8">
        <f>LN('[1]Page 321, top'!G61/'[1]Page 321, top'!G60)</f>
        <v>-1.3098424045918254E-2</v>
      </c>
      <c r="H66" s="8">
        <f>LN('[1]Page 321, top'!H61/'[1]Page 321, top'!H60)</f>
        <v>-3.7532147504853987E-2</v>
      </c>
      <c r="I66" s="8">
        <f>LN('[1]Page 321, top'!I61/'[1]Page 321, top'!I60)</f>
        <v>-2.8053305983079591E-2</v>
      </c>
      <c r="J66" s="8">
        <f>LN('[1]Page 321, top'!J61/'[1]Page 321, top'!J60)</f>
        <v>8.6951766247756454E-2</v>
      </c>
      <c r="K66" s="8">
        <f>LN('[1]Page 321, top'!K61/'[1]Page 321, top'!K60)</f>
        <v>-9.3650084504965578E-3</v>
      </c>
      <c r="L66" s="8">
        <f>LN('[1]Page 321, top'!L61/'[1]Page 321, top'!L60)</f>
        <v>0.17263965122364733</v>
      </c>
      <c r="M66" s="8">
        <f>LN('[1]Page 321, top'!M61/'[1]Page 321, top'!M60)</f>
        <v>-4.6316484975888444E-2</v>
      </c>
      <c r="N66" s="8">
        <f>LN('[1]Page 321, top'!N61/'[1]Page 321, top'!N60)</f>
        <v>-2.6361459402393532E-2</v>
      </c>
      <c r="O66" s="8">
        <f>LN('[1]Page 321, top'!O61/'[1]Page 321, top'!O60)</f>
        <v>-2.7833634793053221E-3</v>
      </c>
      <c r="P66" s="8">
        <f>LN('[1]Page 321, top'!P61/'[1]Page 321, top'!P60)</f>
        <v>-2.6431080431950901E-2</v>
      </c>
      <c r="Q66" s="8">
        <f>LN('[1]Page 321, top'!Q61/'[1]Page 321, top'!Q60)</f>
        <v>-9.8231949048236122E-2</v>
      </c>
      <c r="R66" s="8">
        <f>LN('[1]Page 321, top'!R61/'[1]Page 321, top'!R60)</f>
        <v>3.3260430607777773E-2</v>
      </c>
      <c r="S66" s="8">
        <f>LN('[1]Page 321, top'!S61/'[1]Page 321, top'!S60)</f>
        <v>-6.2334035820444104E-2</v>
      </c>
      <c r="T66" s="8">
        <f>LN('[1]Page 321, top'!T61/'[1]Page 321, top'!T60)</f>
        <v>4.803547304239731E-2</v>
      </c>
      <c r="U66" s="8">
        <f>LN('[1]Page 321, top'!U61/'[1]Page 321, top'!U60)</f>
        <v>-4.1340400974572103E-2</v>
      </c>
      <c r="V66" s="8">
        <f>LN('[1]Page 321, top'!V61/'[1]Page 321, top'!V60)</f>
        <v>-1.5654968672613196E-2</v>
      </c>
      <c r="W66" s="8">
        <f>LN('[1]Page 321, top'!W61/'[1]Page 321, top'!W60)</f>
        <v>-1.1120492693080124E-2</v>
      </c>
      <c r="X66" s="8">
        <f>LN('[1]Page 321, top'!X61/'[1]Page 321, top'!X60)</f>
        <v>-2.1985436925880866E-2</v>
      </c>
      <c r="Y66" s="8">
        <f>LN('[1]Page 321, top'!Y61/'[1]Page 321, top'!Y60)</f>
        <v>-6.0390858617489745E-2</v>
      </c>
      <c r="Z66" s="8">
        <f>LN('[1]Page 321, top'!Z61/'[1]Page 321, top'!Z60)</f>
        <v>-5.8683501828090179E-2</v>
      </c>
      <c r="AA66" s="8">
        <f>LN('[1]Page 321, top'!AA61/'[1]Page 321, top'!AA60)</f>
        <v>-7.0454168863075234E-2</v>
      </c>
      <c r="AB66" s="8">
        <f>LN('[1]Page 321, top'!AB61/'[1]Page 321, top'!AB60)</f>
        <v>-5.8083415957469022E-3</v>
      </c>
      <c r="AC66" s="8">
        <f>LN('[1]Page 321, top'!AC61/'[1]Page 321, top'!AC60)</f>
        <v>-4.7973135964421665E-4</v>
      </c>
      <c r="AD66" s="8">
        <f>LN('[1]Page 321, top'!AD61/'[1]Page 321, top'!AD60)</f>
        <v>-5.6743868707170436E-2</v>
      </c>
      <c r="AE66" s="8">
        <f>LN('[1]Page 321, top'!AE61/'[1]Page 321, top'!AE60)</f>
        <v>7.6762918348883477E-2</v>
      </c>
      <c r="AF66" s="8">
        <f>LN('[1]Page 321, top'!AF61/'[1]Page 321, top'!AF60)</f>
        <v>-2.992056301643866E-2</v>
      </c>
    </row>
    <row r="67" spans="1:32" x14ac:dyDescent="0.25">
      <c r="A67" s="20">
        <v>38869</v>
      </c>
      <c r="B67" s="8">
        <f>LN('[1]Page 321, top'!B62/'[1]Page 321, top'!B61)</f>
        <v>8.6604285391806066E-5</v>
      </c>
      <c r="C67" s="8">
        <f>LN('[1]Page 321, top'!C62/'[1]Page 321, top'!C61)</f>
        <v>1.9975695423643827E-2</v>
      </c>
      <c r="D67" s="8">
        <f>LN('[1]Page 321, top'!D62/'[1]Page 321, top'!D61)</f>
        <v>-2.9205246328750052E-2</v>
      </c>
      <c r="E67" s="8">
        <f>LN('[1]Page 321, top'!E62/'[1]Page 321, top'!E61)</f>
        <v>-2.1253596432443251E-2</v>
      </c>
      <c r="F67" s="8">
        <f>LN('[1]Page 321, top'!F62/'[1]Page 321, top'!F61)</f>
        <v>-1.6227045333042631E-2</v>
      </c>
      <c r="G67" s="8">
        <f>LN('[1]Page 321, top'!G62/'[1]Page 321, top'!G61)</f>
        <v>-2.152825326364944E-2</v>
      </c>
      <c r="H67" s="8">
        <f>LN('[1]Page 321, top'!H62/'[1]Page 321, top'!H61)</f>
        <v>2.0756358000016913E-2</v>
      </c>
      <c r="I67" s="8">
        <f>LN('[1]Page 321, top'!I62/'[1]Page 321, top'!I61)</f>
        <v>-2.2109541998324524E-2</v>
      </c>
      <c r="J67" s="8">
        <f>LN('[1]Page 321, top'!J62/'[1]Page 321, top'!J61)</f>
        <v>-1.6529301951210582E-2</v>
      </c>
      <c r="K67" s="8">
        <f>LN('[1]Page 321, top'!K62/'[1]Page 321, top'!K61)</f>
        <v>-3.135989397783303E-2</v>
      </c>
      <c r="L67" s="8">
        <f>LN('[1]Page 321, top'!L62/'[1]Page 321, top'!L61)</f>
        <v>0.10093185990168346</v>
      </c>
      <c r="M67" s="8">
        <f>LN('[1]Page 321, top'!M62/'[1]Page 321, top'!M61)</f>
        <v>-5.9127849465776476E-2</v>
      </c>
      <c r="N67" s="8">
        <f>LN('[1]Page 321, top'!N62/'[1]Page 321, top'!N61)</f>
        <v>-2.1601232647006138E-2</v>
      </c>
      <c r="O67" s="8">
        <f>LN('[1]Page 321, top'!O62/'[1]Page 321, top'!O61)</f>
        <v>-1.9072017823958738E-2</v>
      </c>
      <c r="P67" s="8">
        <f>LN('[1]Page 321, top'!P62/'[1]Page 321, top'!P61)</f>
        <v>-3.9310829854470403E-2</v>
      </c>
      <c r="Q67" s="8">
        <f>LN('[1]Page 321, top'!Q62/'[1]Page 321, top'!Q61)</f>
        <v>5.2956726986248565E-2</v>
      </c>
      <c r="R67" s="8">
        <f>LN('[1]Page 321, top'!R62/'[1]Page 321, top'!R61)</f>
        <v>-4.9941838446236455E-3</v>
      </c>
      <c r="S67" s="8">
        <f>LN('[1]Page 321, top'!S62/'[1]Page 321, top'!S61)</f>
        <v>-1.5009215651571376E-2</v>
      </c>
      <c r="T67" s="8">
        <f>LN('[1]Page 321, top'!T62/'[1]Page 321, top'!T61)</f>
        <v>-1.5911785035639055E-2</v>
      </c>
      <c r="U67" s="8">
        <f>LN('[1]Page 321, top'!U62/'[1]Page 321, top'!U61)</f>
        <v>1.2880214010197425E-2</v>
      </c>
      <c r="V67" s="8">
        <f>LN('[1]Page 321, top'!V62/'[1]Page 321, top'!V61)</f>
        <v>-3.5155356559847424E-2</v>
      </c>
      <c r="W67" s="8">
        <f>LN('[1]Page 321, top'!W62/'[1]Page 321, top'!W61)</f>
        <v>2.6075837632647349E-2</v>
      </c>
      <c r="X67" s="8">
        <f>LN('[1]Page 321, top'!X62/'[1]Page 321, top'!X61)</f>
        <v>9.0135559433538959E-2</v>
      </c>
      <c r="Y67" s="8">
        <f>LN('[1]Page 321, top'!Y62/'[1]Page 321, top'!Y61)</f>
        <v>2.8293508642611997E-2</v>
      </c>
      <c r="Z67" s="8">
        <f>LN('[1]Page 321, top'!Z62/'[1]Page 321, top'!Z61)</f>
        <v>-8.0628486873086311E-3</v>
      </c>
      <c r="AA67" s="8">
        <f>LN('[1]Page 321, top'!AA62/'[1]Page 321, top'!AA61)</f>
        <v>2.4580208835967805E-2</v>
      </c>
      <c r="AB67" s="8">
        <f>LN('[1]Page 321, top'!AB62/'[1]Page 321, top'!AB61)</f>
        <v>6.7930819035712534E-2</v>
      </c>
      <c r="AC67" s="8">
        <f>LN('[1]Page 321, top'!AC62/'[1]Page 321, top'!AC61)</f>
        <v>1.4292763556925473E-2</v>
      </c>
      <c r="AD67" s="8">
        <f>LN('[1]Page 321, top'!AD62/'[1]Page 321, top'!AD61)</f>
        <v>7.0440628257431664E-2</v>
      </c>
      <c r="AE67" s="8">
        <f>LN('[1]Page 321, top'!AE62/'[1]Page 321, top'!AE61)</f>
        <v>-5.7959176946458012E-3</v>
      </c>
      <c r="AF67" s="8">
        <f>LN('[1]Page 321, top'!AF62/'[1]Page 321, top'!AF61)</f>
        <v>7.1978063085272413E-3</v>
      </c>
    </row>
    <row r="68" spans="1:32" x14ac:dyDescent="0.25">
      <c r="A68" s="20">
        <v>38901</v>
      </c>
      <c r="B68" s="8">
        <f>LN('[1]Page 321, top'!B63/'[1]Page 321, top'!B62)</f>
        <v>-3.7228715386083515E-3</v>
      </c>
      <c r="C68" s="8">
        <f>LN('[1]Page 321, top'!C63/'[1]Page 321, top'!C62)</f>
        <v>3.61137712273999E-2</v>
      </c>
      <c r="D68" s="8">
        <f>LN('[1]Page 321, top'!D63/'[1]Page 321, top'!D62)</f>
        <v>-1.3557026309584757E-3</v>
      </c>
      <c r="E68" s="8">
        <f>LN('[1]Page 321, top'!E63/'[1]Page 321, top'!E62)</f>
        <v>-2.075276762645941E-2</v>
      </c>
      <c r="F68" s="8">
        <f>LN('[1]Page 321, top'!F63/'[1]Page 321, top'!F62)</f>
        <v>-2.3719456666780159E-2</v>
      </c>
      <c r="G68" s="8">
        <f>LN('[1]Page 321, top'!G63/'[1]Page 321, top'!G62)</f>
        <v>1.7055792057715624E-2</v>
      </c>
      <c r="H68" s="8">
        <f>LN('[1]Page 321, top'!H63/'[1]Page 321, top'!H62)</f>
        <v>-2.5841231183887443E-2</v>
      </c>
      <c r="I68" s="8">
        <f>LN('[1]Page 321, top'!I63/'[1]Page 321, top'!I62)</f>
        <v>-2.5811026243363643E-2</v>
      </c>
      <c r="J68" s="8">
        <f>LN('[1]Page 321, top'!J63/'[1]Page 321, top'!J62)</f>
        <v>-5.6827831354982683E-3</v>
      </c>
      <c r="K68" s="8">
        <f>LN('[1]Page 321, top'!K63/'[1]Page 321, top'!K62)</f>
        <v>1.0262691945127161E-2</v>
      </c>
      <c r="L68" s="8">
        <f>LN('[1]Page 321, top'!L63/'[1]Page 321, top'!L62)</f>
        <v>-1.0460699404055022E-2</v>
      </c>
      <c r="M68" s="8">
        <f>LN('[1]Page 321, top'!M63/'[1]Page 321, top'!M62)</f>
        <v>-1.1804521560545289E-2</v>
      </c>
      <c r="N68" s="8">
        <f>LN('[1]Page 321, top'!N63/'[1]Page 321, top'!N62)</f>
        <v>-3.3815990178302856E-2</v>
      </c>
      <c r="O68" s="8">
        <f>LN('[1]Page 321, top'!O63/'[1]Page 321, top'!O62)</f>
        <v>3.6266177984394569E-2</v>
      </c>
      <c r="P68" s="8">
        <f>LN('[1]Page 321, top'!P63/'[1]Page 321, top'!P62)</f>
        <v>-5.2205808990046848E-3</v>
      </c>
      <c r="Q68" s="8">
        <f>LN('[1]Page 321, top'!Q63/'[1]Page 321, top'!Q62)</f>
        <v>-2.3430251808385996E-2</v>
      </c>
      <c r="R68" s="8">
        <f>LN('[1]Page 321, top'!R63/'[1]Page 321, top'!R62)</f>
        <v>1.1614532420693083E-2</v>
      </c>
      <c r="S68" s="8">
        <f>LN('[1]Page 321, top'!S63/'[1]Page 321, top'!S62)</f>
        <v>1.7842747653673507E-2</v>
      </c>
      <c r="T68" s="8">
        <f>LN('[1]Page 321, top'!T63/'[1]Page 321, top'!T62)</f>
        <v>3.7123012470772396E-3</v>
      </c>
      <c r="U68" s="8">
        <f>LN('[1]Page 321, top'!U63/'[1]Page 321, top'!U62)</f>
        <v>-1.2578782206860185E-2</v>
      </c>
      <c r="V68" s="8">
        <f>LN('[1]Page 321, top'!V63/'[1]Page 321, top'!V62)</f>
        <v>-8.6190077152163702E-2</v>
      </c>
      <c r="W68" s="8">
        <f>LN('[1]Page 321, top'!W63/'[1]Page 321, top'!W62)</f>
        <v>5.7808859720826763E-2</v>
      </c>
      <c r="X68" s="8">
        <f>LN('[1]Page 321, top'!X63/'[1]Page 321, top'!X62)</f>
        <v>1.4714161928068082E-2</v>
      </c>
      <c r="Y68" s="8">
        <f>LN('[1]Page 321, top'!Y63/'[1]Page 321, top'!Y62)</f>
        <v>0</v>
      </c>
      <c r="Z68" s="8">
        <f>LN('[1]Page 321, top'!Z63/'[1]Page 321, top'!Z62)</f>
        <v>8.9078001528727357E-3</v>
      </c>
      <c r="AA68" s="8">
        <f>LN('[1]Page 321, top'!AA63/'[1]Page 321, top'!AA62)</f>
        <v>1.6057436895858469E-2</v>
      </c>
      <c r="AB68" s="8">
        <f>LN('[1]Page 321, top'!AB63/'[1]Page 321, top'!AB62)</f>
        <v>6.5099687412276657E-3</v>
      </c>
      <c r="AC68" s="8">
        <f>LN('[1]Page 321, top'!AC63/'[1]Page 321, top'!AC62)</f>
        <v>-5.058499563033835E-3</v>
      </c>
      <c r="AD68" s="8">
        <f>LN('[1]Page 321, top'!AD63/'[1]Page 321, top'!AD62)</f>
        <v>-1.1248028605197994E-2</v>
      </c>
      <c r="AE68" s="8">
        <f>LN('[1]Page 321, top'!AE63/'[1]Page 321, top'!AE62)</f>
        <v>-4.6095024153034472E-2</v>
      </c>
      <c r="AF68" s="8">
        <f>LN('[1]Page 321, top'!AF63/'[1]Page 321, top'!AF62)</f>
        <v>2.3996642230499975E-2</v>
      </c>
    </row>
    <row r="69" spans="1:32" x14ac:dyDescent="0.25"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</row>
    <row r="71" spans="1:32" x14ac:dyDescent="0.25">
      <c r="B71" s="6"/>
    </row>
    <row r="72" spans="1:32" x14ac:dyDescent="0.25">
      <c r="A72" s="11" t="str">
        <f ca="1">"The cells below compute the variance-covariance matrix for the DJ30 by using the formula "&amp;[2]!ggetformula(B74)</f>
        <v>The cells below compute the variance-covariance matrix for the DJ30 by using the formula  {=MMULT(TRANSPOSE(C9:AF68-C4:AF4),C9:AF68-C4:AF4)/60}</v>
      </c>
      <c r="B72" s="12"/>
    </row>
    <row r="73" spans="1:32" x14ac:dyDescent="0.25">
      <c r="B73" s="2" t="s">
        <v>37</v>
      </c>
      <c r="C73" s="2" t="s">
        <v>38</v>
      </c>
      <c r="D73" s="2" t="s">
        <v>39</v>
      </c>
      <c r="E73" s="2" t="s">
        <v>40</v>
      </c>
      <c r="F73" s="2" t="s">
        <v>41</v>
      </c>
      <c r="G73" s="2" t="s">
        <v>42</v>
      </c>
      <c r="H73" s="2" t="s">
        <v>43</v>
      </c>
      <c r="I73" s="2" t="s">
        <v>44</v>
      </c>
      <c r="J73" s="2" t="s">
        <v>45</v>
      </c>
      <c r="K73" s="2" t="s">
        <v>46</v>
      </c>
      <c r="L73" s="2" t="s">
        <v>47</v>
      </c>
      <c r="M73" s="2" t="s">
        <v>48</v>
      </c>
      <c r="N73" s="2" t="s">
        <v>49</v>
      </c>
      <c r="O73" s="2" t="s">
        <v>16</v>
      </c>
      <c r="P73" s="2" t="s">
        <v>50</v>
      </c>
      <c r="Q73" s="2" t="s">
        <v>51</v>
      </c>
      <c r="R73" s="2" t="s">
        <v>52</v>
      </c>
      <c r="S73" s="2" t="s">
        <v>53</v>
      </c>
      <c r="T73" s="2" t="s">
        <v>54</v>
      </c>
      <c r="U73" s="2" t="s">
        <v>55</v>
      </c>
      <c r="V73" s="2" t="s">
        <v>56</v>
      </c>
      <c r="W73" s="2" t="s">
        <v>57</v>
      </c>
      <c r="X73" s="2" t="s">
        <v>58</v>
      </c>
      <c r="Y73" s="2" t="s">
        <v>59</v>
      </c>
      <c r="Z73" s="2" t="s">
        <v>60</v>
      </c>
      <c r="AA73" s="2" t="s">
        <v>61</v>
      </c>
      <c r="AB73" s="2" t="s">
        <v>62</v>
      </c>
      <c r="AC73" s="2" t="s">
        <v>63</v>
      </c>
      <c r="AD73" s="3" t="s">
        <v>64</v>
      </c>
      <c r="AE73" s="2" t="s">
        <v>65</v>
      </c>
    </row>
    <row r="74" spans="1:32" x14ac:dyDescent="0.25">
      <c r="A74" s="2" t="s">
        <v>37</v>
      </c>
      <c r="B74" s="10">
        <f t="array" ref="B74:AE103">MMULT(TRANSPOSE(C9:AF68-C4:AF4),C9:AF68-C4:AF4)/60</f>
        <v>9.126165690797149E-3</v>
      </c>
      <c r="C74" s="10">
        <v>3.1468542816094785E-3</v>
      </c>
      <c r="D74" s="10">
        <v>3.6969528525440669E-3</v>
      </c>
      <c r="E74" s="10">
        <v>4.4286998102283006E-3</v>
      </c>
      <c r="F74" s="10">
        <v>3.2881132418557126E-3</v>
      </c>
      <c r="G74" s="10">
        <v>4.5121218535078096E-3</v>
      </c>
      <c r="H74" s="10">
        <v>3.9584536648063487E-3</v>
      </c>
      <c r="I74" s="10">
        <v>4.1737322278833254E-3</v>
      </c>
      <c r="J74" s="10">
        <v>2.3845035357410714E-3</v>
      </c>
      <c r="K74" s="10">
        <v>4.5574691356352745E-3</v>
      </c>
      <c r="L74" s="10">
        <v>4.524714215757026E-3</v>
      </c>
      <c r="M74" s="10">
        <v>6.0238521723825055E-3</v>
      </c>
      <c r="N74" s="10">
        <v>5.9243536868770208E-3</v>
      </c>
      <c r="O74" s="10">
        <v>3.8135769034463381E-3</v>
      </c>
      <c r="P74" s="10">
        <v>6.7766658732169296E-3</v>
      </c>
      <c r="Q74" s="10">
        <v>-1.0560752618699642E-4</v>
      </c>
      <c r="R74" s="10">
        <v>5.5843117374227763E-3</v>
      </c>
      <c r="S74" s="10">
        <v>1.2924227266180974E-3</v>
      </c>
      <c r="T74" s="10">
        <v>4.2558182723397833E-3</v>
      </c>
      <c r="U74" s="10">
        <v>2.324646495985648E-3</v>
      </c>
      <c r="V74" s="10">
        <v>1.7825294175795295E-3</v>
      </c>
      <c r="W74" s="10">
        <v>1.7981049915824553E-3</v>
      </c>
      <c r="X74" s="10">
        <v>3.0566575439228481E-3</v>
      </c>
      <c r="Y74" s="10">
        <v>1.8426095197692693E-3</v>
      </c>
      <c r="Z74" s="10">
        <v>2.4895764017982984E-4</v>
      </c>
      <c r="AA74" s="10">
        <v>3.2045797657990482E-3</v>
      </c>
      <c r="AB74" s="10">
        <v>3.7140710818371306E-3</v>
      </c>
      <c r="AC74" s="10">
        <v>2.8020853551916085E-3</v>
      </c>
      <c r="AD74" s="10">
        <v>1.7757000469168667E-3</v>
      </c>
      <c r="AE74" s="10">
        <v>2.3545565697338619E-3</v>
      </c>
    </row>
    <row r="75" spans="1:32" x14ac:dyDescent="0.25">
      <c r="A75" s="2" t="s">
        <v>38</v>
      </c>
      <c r="B75" s="10">
        <v>3.1468542816094785E-3</v>
      </c>
      <c r="C75" s="10">
        <v>4.3032281423460387E-3</v>
      </c>
      <c r="D75" s="10">
        <v>1.9873290291869605E-3</v>
      </c>
      <c r="E75" s="10">
        <v>9.6588543967848837E-4</v>
      </c>
      <c r="F75" s="10">
        <v>2.2507170733905651E-3</v>
      </c>
      <c r="G75" s="10">
        <v>2.1793797880587484E-3</v>
      </c>
      <c r="H75" s="10">
        <v>2.1713911099125027E-3</v>
      </c>
      <c r="I75" s="10">
        <v>1.5225473002451952E-3</v>
      </c>
      <c r="J75" s="10">
        <v>1.45275989863913E-3</v>
      </c>
      <c r="K75" s="10">
        <v>1.8419236758746304E-3</v>
      </c>
      <c r="L75" s="10">
        <v>2.0294079135160822E-3</v>
      </c>
      <c r="M75" s="10">
        <v>2.6077879211164573E-3</v>
      </c>
      <c r="N75" s="10">
        <v>2.3551263820742558E-3</v>
      </c>
      <c r="O75" s="10">
        <v>2.5554652209978405E-3</v>
      </c>
      <c r="P75" s="10">
        <v>2.58683442153299E-3</v>
      </c>
      <c r="Q75" s="10">
        <v>4.3036043078204954E-4</v>
      </c>
      <c r="R75" s="10">
        <v>2.9588806693923967E-3</v>
      </c>
      <c r="S75" s="10">
        <v>4.7431912405617756E-4</v>
      </c>
      <c r="T75" s="10">
        <v>2.150925873986491E-3</v>
      </c>
      <c r="U75" s="10">
        <v>1.477260208303756E-3</v>
      </c>
      <c r="V75" s="10">
        <v>8.1992833781725368E-5</v>
      </c>
      <c r="W75" s="10">
        <v>1.3141815542513737E-3</v>
      </c>
      <c r="X75" s="10">
        <v>1.8917152903474019E-3</v>
      </c>
      <c r="Y75" s="10">
        <v>9.6563342271373416E-4</v>
      </c>
      <c r="Z75" s="10">
        <v>3.8235881445257246E-4</v>
      </c>
      <c r="AA75" s="10">
        <v>2.3651696796288578E-3</v>
      </c>
      <c r="AB75" s="10">
        <v>1.1974956546236229E-3</v>
      </c>
      <c r="AC75" s="10">
        <v>1.8125798943367472E-3</v>
      </c>
      <c r="AD75" s="10">
        <v>1.4079386238866609E-3</v>
      </c>
      <c r="AE75" s="10">
        <v>1.0047039728535434E-3</v>
      </c>
    </row>
    <row r="76" spans="1:32" x14ac:dyDescent="0.25">
      <c r="A76" s="2" t="s">
        <v>39</v>
      </c>
      <c r="B76" s="10">
        <v>3.6969528525440669E-3</v>
      </c>
      <c r="C76" s="10">
        <v>1.9873290291869605E-3</v>
      </c>
      <c r="D76" s="10">
        <v>4.1324480707335357E-3</v>
      </c>
      <c r="E76" s="10">
        <v>2.963188205760729E-3</v>
      </c>
      <c r="F76" s="10">
        <v>3.0329895853516797E-3</v>
      </c>
      <c r="G76" s="10">
        <v>2.880005651235576E-3</v>
      </c>
      <c r="H76" s="10">
        <v>1.9912789754971947E-3</v>
      </c>
      <c r="I76" s="10">
        <v>3.6476199390123682E-3</v>
      </c>
      <c r="J76" s="10">
        <v>1.9060003538579591E-3</v>
      </c>
      <c r="K76" s="10">
        <v>3.2502564705583605E-3</v>
      </c>
      <c r="L76" s="10">
        <v>3.2431012349865562E-3</v>
      </c>
      <c r="M76" s="10">
        <v>4.1416018561304538E-3</v>
      </c>
      <c r="N76" s="10">
        <v>4.9094414245771023E-3</v>
      </c>
      <c r="O76" s="10">
        <v>3.2837751250104812E-3</v>
      </c>
      <c r="P76" s="10">
        <v>5.6385457774019371E-3</v>
      </c>
      <c r="Q76" s="10">
        <v>6.642863120085126E-4</v>
      </c>
      <c r="R76" s="10">
        <v>3.8854370015782751E-3</v>
      </c>
      <c r="S76" s="10">
        <v>6.7642191586690312E-4</v>
      </c>
      <c r="T76" s="10">
        <v>2.7062542455023922E-3</v>
      </c>
      <c r="U76" s="10">
        <v>1.4108744407680218E-3</v>
      </c>
      <c r="V76" s="10">
        <v>1.6209172078536951E-3</v>
      </c>
      <c r="W76" s="10">
        <v>1.0081927852746383E-3</v>
      </c>
      <c r="X76" s="10">
        <v>2.0982338263445146E-3</v>
      </c>
      <c r="Y76" s="10">
        <v>6.3352880882686406E-4</v>
      </c>
      <c r="Z76" s="10">
        <v>4.0143729287146047E-4</v>
      </c>
      <c r="AA76" s="10">
        <v>2.1080894272619412E-3</v>
      </c>
      <c r="AB76" s="10">
        <v>3.07377868688892E-3</v>
      </c>
      <c r="AC76" s="10">
        <v>1.8569073970811543E-3</v>
      </c>
      <c r="AD76" s="10">
        <v>1.0478054804554952E-3</v>
      </c>
      <c r="AE76" s="10">
        <v>1.0163627136864284E-3</v>
      </c>
    </row>
    <row r="77" spans="1:32" x14ac:dyDescent="0.25">
      <c r="A77" s="2" t="s">
        <v>40</v>
      </c>
      <c r="B77" s="10">
        <v>4.4286998102283006E-3</v>
      </c>
      <c r="C77" s="10">
        <v>9.6588543967848837E-4</v>
      </c>
      <c r="D77" s="10">
        <v>2.963188205760729E-3</v>
      </c>
      <c r="E77" s="10">
        <v>8.177324290766879E-3</v>
      </c>
      <c r="F77" s="10">
        <v>1.4097326476185809E-3</v>
      </c>
      <c r="G77" s="10">
        <v>2.8406870415796947E-3</v>
      </c>
      <c r="H77" s="10">
        <v>2.0628099485698629E-3</v>
      </c>
      <c r="I77" s="10">
        <v>3.6742459734257402E-3</v>
      </c>
      <c r="J77" s="10">
        <v>1.9428534432522964E-3</v>
      </c>
      <c r="K77" s="10">
        <v>4.2681861248110159E-3</v>
      </c>
      <c r="L77" s="10">
        <v>2.5185328676123062E-3</v>
      </c>
      <c r="M77" s="10">
        <v>5.2550925316288593E-3</v>
      </c>
      <c r="N77" s="10">
        <v>4.1701156851738945E-3</v>
      </c>
      <c r="O77" s="10">
        <v>6.6137609690754913E-4</v>
      </c>
      <c r="P77" s="10">
        <v>3.7637065308765761E-3</v>
      </c>
      <c r="Q77" s="10">
        <v>-6.1568295176401351E-4</v>
      </c>
      <c r="R77" s="10">
        <v>2.7962591195046659E-3</v>
      </c>
      <c r="S77" s="10">
        <v>1.0048191896772413E-3</v>
      </c>
      <c r="T77" s="10">
        <v>2.11304132532499E-3</v>
      </c>
      <c r="U77" s="10">
        <v>1.1639360743752509E-3</v>
      </c>
      <c r="V77" s="10">
        <v>1.0515677584377668E-3</v>
      </c>
      <c r="W77" s="10">
        <v>6.9009002610203357E-5</v>
      </c>
      <c r="X77" s="10">
        <v>1.4515060638479291E-3</v>
      </c>
      <c r="Y77" s="10">
        <v>3.6715280866266481E-4</v>
      </c>
      <c r="Z77" s="10">
        <v>3.7751417432868811E-4</v>
      </c>
      <c r="AA77" s="10">
        <v>8.771332634576152E-4</v>
      </c>
      <c r="AB77" s="10">
        <v>4.8937220500490253E-3</v>
      </c>
      <c r="AC77" s="10">
        <v>6.8644973768042196E-4</v>
      </c>
      <c r="AD77" s="10">
        <v>3.2381143954018389E-4</v>
      </c>
      <c r="AE77" s="10">
        <v>1.6811806111802084E-3</v>
      </c>
    </row>
    <row r="78" spans="1:32" x14ac:dyDescent="0.25">
      <c r="A78" s="2" t="s">
        <v>41</v>
      </c>
      <c r="B78" s="10">
        <v>3.2881132418557126E-3</v>
      </c>
      <c r="C78" s="10">
        <v>2.2507170733905651E-3</v>
      </c>
      <c r="D78" s="10">
        <v>3.0329895853516797E-3</v>
      </c>
      <c r="E78" s="10">
        <v>1.4097326476185809E-3</v>
      </c>
      <c r="F78" s="10">
        <v>4.3081341680993425E-3</v>
      </c>
      <c r="G78" s="10">
        <v>2.1871854381084518E-3</v>
      </c>
      <c r="H78" s="10">
        <v>1.9020042725031606E-3</v>
      </c>
      <c r="I78" s="10">
        <v>2.5260603872579003E-3</v>
      </c>
      <c r="J78" s="10">
        <v>1.6235150385382842E-3</v>
      </c>
      <c r="K78" s="10">
        <v>1.3110961079639231E-3</v>
      </c>
      <c r="L78" s="10">
        <v>2.8869434337711998E-3</v>
      </c>
      <c r="M78" s="10">
        <v>2.8468032753616803E-3</v>
      </c>
      <c r="N78" s="10">
        <v>3.7302625800363786E-3</v>
      </c>
      <c r="O78" s="10">
        <v>3.7711362991043459E-3</v>
      </c>
      <c r="P78" s="10">
        <v>4.671633273860251E-3</v>
      </c>
      <c r="Q78" s="10">
        <v>9.4075033724215365E-4</v>
      </c>
      <c r="R78" s="10">
        <v>4.3554852730470208E-3</v>
      </c>
      <c r="S78" s="10">
        <v>8.2258605480180691E-4</v>
      </c>
      <c r="T78" s="10">
        <v>2.2872045807923055E-3</v>
      </c>
      <c r="U78" s="10">
        <v>1.3481294340843782E-3</v>
      </c>
      <c r="V78" s="10">
        <v>9.5694718606468578E-4</v>
      </c>
      <c r="W78" s="10">
        <v>1.4822745402640137E-3</v>
      </c>
      <c r="X78" s="10">
        <v>2.7468518533069106E-3</v>
      </c>
      <c r="Y78" s="10">
        <v>1.1473392577863342E-3</v>
      </c>
      <c r="Z78" s="10">
        <v>3.4176018481009608E-4</v>
      </c>
      <c r="AA78" s="10">
        <v>2.2301445476384445E-3</v>
      </c>
      <c r="AB78" s="10">
        <v>2.1945176342568736E-3</v>
      </c>
      <c r="AC78" s="10">
        <v>2.2960007409252993E-3</v>
      </c>
      <c r="AD78" s="10">
        <v>1.5175057808338452E-3</v>
      </c>
      <c r="AE78" s="10">
        <v>8.3600874908882315E-4</v>
      </c>
    </row>
    <row r="79" spans="1:32" x14ac:dyDescent="0.25">
      <c r="A79" s="2" t="s">
        <v>42</v>
      </c>
      <c r="B79" s="10">
        <v>4.5121218535078096E-3</v>
      </c>
      <c r="C79" s="10">
        <v>2.1793797880587484E-3</v>
      </c>
      <c r="D79" s="10">
        <v>2.880005651235576E-3</v>
      </c>
      <c r="E79" s="10">
        <v>2.8406870415796947E-3</v>
      </c>
      <c r="F79" s="10">
        <v>2.1871854381084518E-3</v>
      </c>
      <c r="G79" s="10">
        <v>5.7475062070051685E-3</v>
      </c>
      <c r="H79" s="10">
        <v>2.2359069482478168E-3</v>
      </c>
      <c r="I79" s="10">
        <v>3.2967153205354918E-3</v>
      </c>
      <c r="J79" s="10">
        <v>1.8047097861301623E-3</v>
      </c>
      <c r="K79" s="10">
        <v>4.214010499892955E-3</v>
      </c>
      <c r="L79" s="10">
        <v>2.8317138036066765E-3</v>
      </c>
      <c r="M79" s="10">
        <v>3.9710683807771341E-3</v>
      </c>
      <c r="N79" s="10">
        <v>4.0711168007323524E-3</v>
      </c>
      <c r="O79" s="10">
        <v>2.9166072641038186E-3</v>
      </c>
      <c r="P79" s="10">
        <v>4.5809280116354241E-3</v>
      </c>
      <c r="Q79" s="10">
        <v>1.3346552279940865E-4</v>
      </c>
      <c r="R79" s="10">
        <v>3.118038449496062E-3</v>
      </c>
      <c r="S79" s="10">
        <v>6.8103505363892292E-4</v>
      </c>
      <c r="T79" s="10">
        <v>2.8884682686019431E-3</v>
      </c>
      <c r="U79" s="10">
        <v>2.0525144231448829E-3</v>
      </c>
      <c r="V79" s="10">
        <v>4.0986530162629564E-4</v>
      </c>
      <c r="W79" s="10">
        <v>6.6731593068955714E-4</v>
      </c>
      <c r="X79" s="10">
        <v>2.5166227438856484E-3</v>
      </c>
      <c r="Y79" s="10">
        <v>1.2650101100916981E-3</v>
      </c>
      <c r="Z79" s="10">
        <v>3.6463517483811673E-4</v>
      </c>
      <c r="AA79" s="10">
        <v>2.3459376309490202E-3</v>
      </c>
      <c r="AB79" s="10">
        <v>2.5089835218219812E-3</v>
      </c>
      <c r="AC79" s="10">
        <v>2.1164111056665548E-3</v>
      </c>
      <c r="AD79" s="10">
        <v>1.1233246472579814E-3</v>
      </c>
      <c r="AE79" s="10">
        <v>2.0947805263449746E-3</v>
      </c>
    </row>
    <row r="80" spans="1:32" x14ac:dyDescent="0.25">
      <c r="A80" s="2" t="s">
        <v>43</v>
      </c>
      <c r="B80" s="10">
        <v>3.9584536648063487E-3</v>
      </c>
      <c r="C80" s="10">
        <v>2.1713911099125027E-3</v>
      </c>
      <c r="D80" s="10">
        <v>1.9912789754971947E-3</v>
      </c>
      <c r="E80" s="10">
        <v>2.0628099485698629E-3</v>
      </c>
      <c r="F80" s="10">
        <v>1.9020042725031606E-3</v>
      </c>
      <c r="G80" s="10">
        <v>2.2359069482478168E-3</v>
      </c>
      <c r="H80" s="10">
        <v>3.5224297051503223E-3</v>
      </c>
      <c r="I80" s="10">
        <v>2.283833446177773E-3</v>
      </c>
      <c r="J80" s="10">
        <v>1.7302986228154094E-3</v>
      </c>
      <c r="K80" s="10">
        <v>1.8026692409063244E-3</v>
      </c>
      <c r="L80" s="10">
        <v>2.1450188585089252E-3</v>
      </c>
      <c r="M80" s="10">
        <v>3.0085282857168333E-3</v>
      </c>
      <c r="N80" s="10">
        <v>2.9390011873719501E-3</v>
      </c>
      <c r="O80" s="10">
        <v>2.4698287905316574E-3</v>
      </c>
      <c r="P80" s="10">
        <v>3.8449932100282709E-3</v>
      </c>
      <c r="Q80" s="10">
        <v>6.992082023392674E-4</v>
      </c>
      <c r="R80" s="10">
        <v>2.4512409929449788E-3</v>
      </c>
      <c r="S80" s="10">
        <v>5.8986645086857119E-4</v>
      </c>
      <c r="T80" s="10">
        <v>1.8345502838935973E-3</v>
      </c>
      <c r="U80" s="10">
        <v>1.8887630177002732E-3</v>
      </c>
      <c r="V80" s="10">
        <v>6.6541898721847231E-4</v>
      </c>
      <c r="W80" s="10">
        <v>1.7497477570616808E-3</v>
      </c>
      <c r="X80" s="10">
        <v>1.6641992370049396E-3</v>
      </c>
      <c r="Y80" s="10">
        <v>7.245016076897708E-4</v>
      </c>
      <c r="Z80" s="10">
        <v>9.6907864268859644E-5</v>
      </c>
      <c r="AA80" s="10">
        <v>1.6468793450830793E-3</v>
      </c>
      <c r="AB80" s="10">
        <v>2.1034481217385896E-3</v>
      </c>
      <c r="AC80" s="10">
        <v>1.7981426027968215E-3</v>
      </c>
      <c r="AD80" s="10">
        <v>1.3620280752663768E-3</v>
      </c>
      <c r="AE80" s="10">
        <v>1.2139886843270371E-3</v>
      </c>
    </row>
    <row r="81" spans="1:31" x14ac:dyDescent="0.25">
      <c r="A81" s="2" t="s">
        <v>44</v>
      </c>
      <c r="B81" s="10">
        <v>4.1737322278833254E-3</v>
      </c>
      <c r="C81" s="10">
        <v>1.5225473002451952E-3</v>
      </c>
      <c r="D81" s="10">
        <v>3.6476199390123682E-3</v>
      </c>
      <c r="E81" s="10">
        <v>3.6742459734257402E-3</v>
      </c>
      <c r="F81" s="10">
        <v>2.5260603872579003E-3</v>
      </c>
      <c r="G81" s="10">
        <v>3.2967153205354918E-3</v>
      </c>
      <c r="H81" s="10">
        <v>2.283833446177773E-3</v>
      </c>
      <c r="I81" s="10">
        <v>6.5400808035091873E-3</v>
      </c>
      <c r="J81" s="10">
        <v>1.8363181598185262E-3</v>
      </c>
      <c r="K81" s="10">
        <v>3.4241479151036207E-3</v>
      </c>
      <c r="L81" s="10">
        <v>2.967738089895827E-3</v>
      </c>
      <c r="M81" s="10">
        <v>4.4920081543540769E-3</v>
      </c>
      <c r="N81" s="10">
        <v>5.7685072992231428E-3</v>
      </c>
      <c r="O81" s="10">
        <v>2.6898878080425289E-3</v>
      </c>
      <c r="P81" s="10">
        <v>6.4593575374537731E-3</v>
      </c>
      <c r="Q81" s="10">
        <v>7.4401567090299743E-4</v>
      </c>
      <c r="R81" s="10">
        <v>2.9350149166958005E-3</v>
      </c>
      <c r="S81" s="10">
        <v>9.3105397964698034E-4</v>
      </c>
      <c r="T81" s="10">
        <v>2.6031406410784276E-3</v>
      </c>
      <c r="U81" s="10">
        <v>1.8506126523833357E-3</v>
      </c>
      <c r="V81" s="10">
        <v>8.2083399638545101E-4</v>
      </c>
      <c r="W81" s="10">
        <v>6.953492394840365E-4</v>
      </c>
      <c r="X81" s="10">
        <v>1.5313378057621994E-3</v>
      </c>
      <c r="Y81" s="10">
        <v>1.6138461645631447E-4</v>
      </c>
      <c r="Z81" s="10">
        <v>7.8808197838476526E-5</v>
      </c>
      <c r="AA81" s="10">
        <v>1.2201848758019362E-3</v>
      </c>
      <c r="AB81" s="10">
        <v>3.6969508817745762E-3</v>
      </c>
      <c r="AC81" s="10">
        <v>1.3948556935769667E-3</v>
      </c>
      <c r="AD81" s="10">
        <v>8.4591877219881777E-4</v>
      </c>
      <c r="AE81" s="10">
        <v>4.0051520604270015E-4</v>
      </c>
    </row>
    <row r="82" spans="1:31" x14ac:dyDescent="0.25">
      <c r="A82" s="2" t="s">
        <v>45</v>
      </c>
      <c r="B82" s="10">
        <v>2.3845035357410714E-3</v>
      </c>
      <c r="C82" s="10">
        <v>1.45275989863913E-3</v>
      </c>
      <c r="D82" s="10">
        <v>1.9060003538579591E-3</v>
      </c>
      <c r="E82" s="10">
        <v>1.9428534432522964E-3</v>
      </c>
      <c r="F82" s="10">
        <v>1.6235150385382842E-3</v>
      </c>
      <c r="G82" s="10">
        <v>1.8047097861301623E-3</v>
      </c>
      <c r="H82" s="10">
        <v>1.7302986228154094E-3</v>
      </c>
      <c r="I82" s="10">
        <v>1.8363181598185262E-3</v>
      </c>
      <c r="J82" s="10">
        <v>3.3760172497323058E-3</v>
      </c>
      <c r="K82" s="10">
        <v>1.0868208396771525E-3</v>
      </c>
      <c r="L82" s="10">
        <v>1.9691680508383928E-3</v>
      </c>
      <c r="M82" s="10">
        <v>2.6071089735966906E-3</v>
      </c>
      <c r="N82" s="10">
        <v>2.0827610051157705E-3</v>
      </c>
      <c r="O82" s="10">
        <v>2.7757416308518941E-3</v>
      </c>
      <c r="P82" s="10">
        <v>3.0956067020342193E-3</v>
      </c>
      <c r="Q82" s="10">
        <v>6.1635563493802931E-4</v>
      </c>
      <c r="R82" s="10">
        <v>1.8597978894487883E-3</v>
      </c>
      <c r="S82" s="10">
        <v>-1.7561141222642788E-4</v>
      </c>
      <c r="T82" s="10">
        <v>1.673105547328603E-3</v>
      </c>
      <c r="U82" s="10">
        <v>8.3820771363798973E-4</v>
      </c>
      <c r="V82" s="10">
        <v>6.007013638541671E-4</v>
      </c>
      <c r="W82" s="10">
        <v>1.1666948242040191E-3</v>
      </c>
      <c r="X82" s="10">
        <v>1.7410095914725473E-3</v>
      </c>
      <c r="Y82" s="10">
        <v>2.3332659802159837E-4</v>
      </c>
      <c r="Z82" s="10">
        <v>-2.6035384362950949E-5</v>
      </c>
      <c r="AA82" s="10">
        <v>1.8976321032410301E-3</v>
      </c>
      <c r="AB82" s="10">
        <v>1.7442277519671156E-3</v>
      </c>
      <c r="AC82" s="10">
        <v>1.2300398442288043E-3</v>
      </c>
      <c r="AD82" s="10">
        <v>8.5190990244885716E-4</v>
      </c>
      <c r="AE82" s="10">
        <v>7.1740029109185947E-4</v>
      </c>
    </row>
    <row r="83" spans="1:31" x14ac:dyDescent="0.25">
      <c r="A83" s="2" t="s">
        <v>46</v>
      </c>
      <c r="B83" s="10">
        <v>4.5574691356352745E-3</v>
      </c>
      <c r="C83" s="10">
        <v>1.8419236758746304E-3</v>
      </c>
      <c r="D83" s="10">
        <v>3.2502564705583605E-3</v>
      </c>
      <c r="E83" s="10">
        <v>4.2681861248110159E-3</v>
      </c>
      <c r="F83" s="10">
        <v>1.3110961079639231E-3</v>
      </c>
      <c r="G83" s="10">
        <v>4.214010499892955E-3</v>
      </c>
      <c r="H83" s="10">
        <v>1.8026692409063244E-3</v>
      </c>
      <c r="I83" s="10">
        <v>3.4241479151036207E-3</v>
      </c>
      <c r="J83" s="10">
        <v>1.0868208396771525E-3</v>
      </c>
      <c r="K83" s="10">
        <v>1.1630648699375209E-2</v>
      </c>
      <c r="L83" s="10">
        <v>3.0143995029093982E-3</v>
      </c>
      <c r="M83" s="10">
        <v>4.3221469717613986E-3</v>
      </c>
      <c r="N83" s="10">
        <v>4.1088097861616954E-3</v>
      </c>
      <c r="O83" s="10">
        <v>1.5789686596012654E-3</v>
      </c>
      <c r="P83" s="10">
        <v>4.3718053051343651E-3</v>
      </c>
      <c r="Q83" s="10">
        <v>-7.0229193379872663E-6</v>
      </c>
      <c r="R83" s="10">
        <v>3.8623942218209977E-3</v>
      </c>
      <c r="S83" s="10">
        <v>1.5365275895873483E-3</v>
      </c>
      <c r="T83" s="10">
        <v>2.6118142783519444E-3</v>
      </c>
      <c r="U83" s="10">
        <v>1.3609910848021544E-3</v>
      </c>
      <c r="V83" s="10">
        <v>1.3348532833757079E-3</v>
      </c>
      <c r="W83" s="10">
        <v>9.6717938316169744E-4</v>
      </c>
      <c r="X83" s="10">
        <v>1.7831878058710041E-3</v>
      </c>
      <c r="Y83" s="10">
        <v>8.2736859224633833E-4</v>
      </c>
      <c r="Z83" s="10">
        <v>3.2021930552045009E-4</v>
      </c>
      <c r="AA83" s="10">
        <v>1.2048072914624419E-3</v>
      </c>
      <c r="AB83" s="10">
        <v>2.9283162737209997E-3</v>
      </c>
      <c r="AC83" s="10">
        <v>6.050755774704862E-4</v>
      </c>
      <c r="AD83" s="10">
        <v>1.2140563254796775E-3</v>
      </c>
      <c r="AE83" s="10">
        <v>1.934294151849412E-3</v>
      </c>
    </row>
    <row r="84" spans="1:31" x14ac:dyDescent="0.25">
      <c r="A84" s="2" t="s">
        <v>47</v>
      </c>
      <c r="B84" s="10">
        <v>4.524714215757026E-3</v>
      </c>
      <c r="C84" s="10">
        <v>2.0294079135160822E-3</v>
      </c>
      <c r="D84" s="10">
        <v>3.2431012349865562E-3</v>
      </c>
      <c r="E84" s="10">
        <v>2.5185328676123062E-3</v>
      </c>
      <c r="F84" s="10">
        <v>2.8869434337711998E-3</v>
      </c>
      <c r="G84" s="10">
        <v>2.8317138036066765E-3</v>
      </c>
      <c r="H84" s="10">
        <v>2.1450188585089252E-3</v>
      </c>
      <c r="I84" s="10">
        <v>2.967738089895827E-3</v>
      </c>
      <c r="J84" s="10">
        <v>1.9691680508383928E-3</v>
      </c>
      <c r="K84" s="10">
        <v>3.0143995029093982E-3</v>
      </c>
      <c r="L84" s="10">
        <v>6.9938535786412707E-3</v>
      </c>
      <c r="M84" s="10">
        <v>3.8136462057850504E-3</v>
      </c>
      <c r="N84" s="10">
        <v>4.3668125019674176E-3</v>
      </c>
      <c r="O84" s="10">
        <v>3.7652635586805021E-3</v>
      </c>
      <c r="P84" s="10">
        <v>5.3709667412564005E-3</v>
      </c>
      <c r="Q84" s="10">
        <v>4.2720377238433891E-4</v>
      </c>
      <c r="R84" s="10">
        <v>4.250760008651956E-3</v>
      </c>
      <c r="S84" s="10">
        <v>1.233798130695802E-3</v>
      </c>
      <c r="T84" s="10">
        <v>3.532827690851649E-3</v>
      </c>
      <c r="U84" s="10">
        <v>1.8106104040091049E-3</v>
      </c>
      <c r="V84" s="10">
        <v>2.3104128796542622E-3</v>
      </c>
      <c r="W84" s="10">
        <v>9.6357112522873031E-5</v>
      </c>
      <c r="X84" s="10">
        <v>2.3235497067453348E-3</v>
      </c>
      <c r="Y84" s="10">
        <v>8.3921398406627758E-4</v>
      </c>
      <c r="Z84" s="10">
        <v>4.648036368966537E-4</v>
      </c>
      <c r="AA84" s="10">
        <v>2.0006055366453427E-3</v>
      </c>
      <c r="AB84" s="10">
        <v>2.2261204600593494E-3</v>
      </c>
      <c r="AC84" s="10">
        <v>1.5514509492753925E-3</v>
      </c>
      <c r="AD84" s="10">
        <v>2.371073098788222E-3</v>
      </c>
      <c r="AE84" s="10">
        <v>7.2958600102188056E-4</v>
      </c>
    </row>
    <row r="85" spans="1:31" x14ac:dyDescent="0.25">
      <c r="A85" s="2" t="s">
        <v>48</v>
      </c>
      <c r="B85" s="10">
        <v>6.0238521723825055E-3</v>
      </c>
      <c r="C85" s="10">
        <v>2.6077879211164573E-3</v>
      </c>
      <c r="D85" s="10">
        <v>4.1416018561304538E-3</v>
      </c>
      <c r="E85" s="10">
        <v>5.2550925316288593E-3</v>
      </c>
      <c r="F85" s="10">
        <v>2.8468032753616803E-3</v>
      </c>
      <c r="G85" s="10">
        <v>3.9710683807771341E-3</v>
      </c>
      <c r="H85" s="10">
        <v>3.0085282857168333E-3</v>
      </c>
      <c r="I85" s="10">
        <v>4.4920081543540769E-3</v>
      </c>
      <c r="J85" s="10">
        <v>2.6071089735966906E-3</v>
      </c>
      <c r="K85" s="10">
        <v>4.3221469717613986E-3</v>
      </c>
      <c r="L85" s="10">
        <v>3.8136462057850504E-3</v>
      </c>
      <c r="M85" s="10">
        <v>7.7586154210610601E-3</v>
      </c>
      <c r="N85" s="10">
        <v>6.323555910289976E-3</v>
      </c>
      <c r="O85" s="10">
        <v>3.7670072334581692E-3</v>
      </c>
      <c r="P85" s="10">
        <v>6.2746460723826286E-3</v>
      </c>
      <c r="Q85" s="10">
        <v>2.4762674073038326E-4</v>
      </c>
      <c r="R85" s="10">
        <v>4.2758152396330526E-3</v>
      </c>
      <c r="S85" s="10">
        <v>1.2372263773207566E-3</v>
      </c>
      <c r="T85" s="10">
        <v>3.669544405924971E-3</v>
      </c>
      <c r="U85" s="10">
        <v>2.4467371651642313E-3</v>
      </c>
      <c r="V85" s="10">
        <v>2.4433723742840118E-3</v>
      </c>
      <c r="W85" s="10">
        <v>1.3520218610181835E-3</v>
      </c>
      <c r="X85" s="10">
        <v>2.4531999929716642E-3</v>
      </c>
      <c r="Y85" s="10">
        <v>1.2028019635460013E-3</v>
      </c>
      <c r="Z85" s="10">
        <v>4.5705889103835582E-4</v>
      </c>
      <c r="AA85" s="10">
        <v>2.5059183207434251E-3</v>
      </c>
      <c r="AB85" s="10">
        <v>4.7817613898481345E-3</v>
      </c>
      <c r="AC85" s="10">
        <v>2.3294317111175458E-3</v>
      </c>
      <c r="AD85" s="10">
        <v>7.9325960427541903E-4</v>
      </c>
      <c r="AE85" s="10">
        <v>1.9650740455118164E-3</v>
      </c>
    </row>
    <row r="86" spans="1:31" x14ac:dyDescent="0.25">
      <c r="A86" s="2" t="s">
        <v>49</v>
      </c>
      <c r="B86" s="10">
        <v>5.9243536868770208E-3</v>
      </c>
      <c r="C86" s="10">
        <v>2.3551263820742558E-3</v>
      </c>
      <c r="D86" s="10">
        <v>4.9094414245771023E-3</v>
      </c>
      <c r="E86" s="10">
        <v>4.1701156851738945E-3</v>
      </c>
      <c r="F86" s="10">
        <v>3.7302625800363786E-3</v>
      </c>
      <c r="G86" s="10">
        <v>4.0711168007323524E-3</v>
      </c>
      <c r="H86" s="10">
        <v>2.9390011873719501E-3</v>
      </c>
      <c r="I86" s="10">
        <v>5.7685072992231428E-3</v>
      </c>
      <c r="J86" s="10">
        <v>2.0827610051157705E-3</v>
      </c>
      <c r="K86" s="10">
        <v>4.1088097861616954E-3</v>
      </c>
      <c r="L86" s="10">
        <v>4.3668125019674176E-3</v>
      </c>
      <c r="M86" s="10">
        <v>6.323555910289976E-3</v>
      </c>
      <c r="N86" s="10">
        <v>1.130367443837055E-2</v>
      </c>
      <c r="O86" s="10">
        <v>4.7713986064091196E-3</v>
      </c>
      <c r="P86" s="10">
        <v>9.3473062392085624E-3</v>
      </c>
      <c r="Q86" s="10">
        <v>1.208112273692341E-4</v>
      </c>
      <c r="R86" s="10">
        <v>4.4594779626579506E-3</v>
      </c>
      <c r="S86" s="10">
        <v>4.8157136135092599E-4</v>
      </c>
      <c r="T86" s="10">
        <v>3.7094226117242992E-3</v>
      </c>
      <c r="U86" s="10">
        <v>2.0756645843320047E-3</v>
      </c>
      <c r="V86" s="10">
        <v>2.3038300130520709E-3</v>
      </c>
      <c r="W86" s="10">
        <v>2.1273703433160127E-3</v>
      </c>
      <c r="X86" s="10">
        <v>3.2244335768415694E-3</v>
      </c>
      <c r="Y86" s="10">
        <v>1.6112220321140673E-3</v>
      </c>
      <c r="Z86" s="10">
        <v>1.9888066481154449E-4</v>
      </c>
      <c r="AA86" s="10">
        <v>3.2248217368588284E-3</v>
      </c>
      <c r="AB86" s="10">
        <v>4.6938945616967608E-3</v>
      </c>
      <c r="AC86" s="10">
        <v>2.9549310180443491E-3</v>
      </c>
      <c r="AD86" s="10">
        <v>8.1976402609839477E-4</v>
      </c>
      <c r="AE86" s="10">
        <v>1.1321265336872274E-3</v>
      </c>
    </row>
    <row r="87" spans="1:31" x14ac:dyDescent="0.25">
      <c r="A87" s="2" t="s">
        <v>16</v>
      </c>
      <c r="B87" s="10">
        <v>3.8135769034463381E-3</v>
      </c>
      <c r="C87" s="10">
        <v>2.5554652209978405E-3</v>
      </c>
      <c r="D87" s="10">
        <v>3.2837751250104812E-3</v>
      </c>
      <c r="E87" s="10">
        <v>6.6137609690754913E-4</v>
      </c>
      <c r="F87" s="10">
        <v>3.7711362991043459E-3</v>
      </c>
      <c r="G87" s="10">
        <v>2.9166072641038186E-3</v>
      </c>
      <c r="H87" s="10">
        <v>2.4698287905316574E-3</v>
      </c>
      <c r="I87" s="10">
        <v>2.6898878080425289E-3</v>
      </c>
      <c r="J87" s="10">
        <v>2.7757416308518941E-3</v>
      </c>
      <c r="K87" s="10">
        <v>1.5789686596012654E-3</v>
      </c>
      <c r="L87" s="10">
        <v>3.7652635586805021E-3</v>
      </c>
      <c r="M87" s="10">
        <v>3.7670072334581692E-3</v>
      </c>
      <c r="N87" s="10">
        <v>4.7713986064091196E-3</v>
      </c>
      <c r="O87" s="10">
        <v>6.9614079650655893E-3</v>
      </c>
      <c r="P87" s="10">
        <v>5.8837396481614826E-3</v>
      </c>
      <c r="Q87" s="10">
        <v>1.1006895103432383E-3</v>
      </c>
      <c r="R87" s="10">
        <v>4.0361569884302942E-3</v>
      </c>
      <c r="S87" s="10">
        <v>2.2711451236806634E-4</v>
      </c>
      <c r="T87" s="10">
        <v>2.6485486801076184E-3</v>
      </c>
      <c r="U87" s="10">
        <v>1.9536322864451756E-3</v>
      </c>
      <c r="V87" s="10">
        <v>1.4658457616531532E-3</v>
      </c>
      <c r="W87" s="10">
        <v>1.5440324142828078E-3</v>
      </c>
      <c r="X87" s="10">
        <v>3.6105999579797445E-3</v>
      </c>
      <c r="Y87" s="10">
        <v>1.0336074708434259E-3</v>
      </c>
      <c r="Z87" s="10">
        <v>8.8053879047450166E-5</v>
      </c>
      <c r="AA87" s="10">
        <v>2.8897983290007306E-3</v>
      </c>
      <c r="AB87" s="10">
        <v>2.0725059667799171E-3</v>
      </c>
      <c r="AC87" s="10">
        <v>2.9336480470495388E-3</v>
      </c>
      <c r="AD87" s="10">
        <v>1.8538817873756095E-3</v>
      </c>
      <c r="AE87" s="10">
        <v>1.4037936268102118E-3</v>
      </c>
    </row>
    <row r="88" spans="1:31" x14ac:dyDescent="0.25">
      <c r="A88" s="2" t="s">
        <v>50</v>
      </c>
      <c r="B88" s="10">
        <v>6.7766658732169296E-3</v>
      </c>
      <c r="C88" s="10">
        <v>2.58683442153299E-3</v>
      </c>
      <c r="D88" s="10">
        <v>5.6385457774019371E-3</v>
      </c>
      <c r="E88" s="10">
        <v>3.7637065308765761E-3</v>
      </c>
      <c r="F88" s="10">
        <v>4.671633273860251E-3</v>
      </c>
      <c r="G88" s="10">
        <v>4.5809280116354241E-3</v>
      </c>
      <c r="H88" s="10">
        <v>3.8449932100282709E-3</v>
      </c>
      <c r="I88" s="10">
        <v>6.4593575374537731E-3</v>
      </c>
      <c r="J88" s="10">
        <v>3.0956067020342193E-3</v>
      </c>
      <c r="K88" s="10">
        <v>4.3718053051343651E-3</v>
      </c>
      <c r="L88" s="10">
        <v>5.3709667412564005E-3</v>
      </c>
      <c r="M88" s="10">
        <v>6.2746460723826286E-3</v>
      </c>
      <c r="N88" s="10">
        <v>9.3473062392085624E-3</v>
      </c>
      <c r="O88" s="10">
        <v>5.8837396481614826E-3</v>
      </c>
      <c r="P88" s="10">
        <v>1.6267462908481866E-2</v>
      </c>
      <c r="Q88" s="10">
        <v>1.1250864057468497E-3</v>
      </c>
      <c r="R88" s="10">
        <v>4.9826107138407046E-3</v>
      </c>
      <c r="S88" s="10">
        <v>5.42392529890017E-4</v>
      </c>
      <c r="T88" s="10">
        <v>3.9762345467493979E-3</v>
      </c>
      <c r="U88" s="10">
        <v>2.9876950673813204E-3</v>
      </c>
      <c r="V88" s="10">
        <v>2.3961859418482642E-3</v>
      </c>
      <c r="W88" s="10">
        <v>1.6524619866138447E-3</v>
      </c>
      <c r="X88" s="10">
        <v>3.3844937263291463E-3</v>
      </c>
      <c r="Y88" s="10">
        <v>9.1289447957797773E-4</v>
      </c>
      <c r="Z88" s="10">
        <v>2.0643454388455951E-4</v>
      </c>
      <c r="AA88" s="10">
        <v>1.6578616615278029E-3</v>
      </c>
      <c r="AB88" s="10">
        <v>5.0295120528794281E-3</v>
      </c>
      <c r="AC88" s="10">
        <v>1.5005018929497595E-3</v>
      </c>
      <c r="AD88" s="10">
        <v>1.3985410162455267E-3</v>
      </c>
      <c r="AE88" s="10">
        <v>5.1006909153990482E-4</v>
      </c>
    </row>
    <row r="89" spans="1:31" x14ac:dyDescent="0.25">
      <c r="A89" s="2" t="s">
        <v>51</v>
      </c>
      <c r="B89" s="10">
        <v>-1.0560752618699642E-4</v>
      </c>
      <c r="C89" s="10">
        <v>4.3036043078204954E-4</v>
      </c>
      <c r="D89" s="10">
        <v>6.642863120085126E-4</v>
      </c>
      <c r="E89" s="10">
        <v>-6.1568295176401351E-4</v>
      </c>
      <c r="F89" s="10">
        <v>9.4075033724215365E-4</v>
      </c>
      <c r="G89" s="10">
        <v>1.3346552279940865E-4</v>
      </c>
      <c r="H89" s="10">
        <v>6.992082023392674E-4</v>
      </c>
      <c r="I89" s="10">
        <v>7.4401567090299743E-4</v>
      </c>
      <c r="J89" s="10">
        <v>6.1635563493802931E-4</v>
      </c>
      <c r="K89" s="10">
        <v>-7.0229193379872663E-6</v>
      </c>
      <c r="L89" s="10">
        <v>4.2720377238433891E-4</v>
      </c>
      <c r="M89" s="10">
        <v>2.4762674073038326E-4</v>
      </c>
      <c r="N89" s="10">
        <v>1.208112273692341E-4</v>
      </c>
      <c r="O89" s="10">
        <v>1.1006895103432383E-3</v>
      </c>
      <c r="P89" s="10">
        <v>1.1250864057468497E-3</v>
      </c>
      <c r="Q89" s="10">
        <v>1.6534506528001613E-3</v>
      </c>
      <c r="R89" s="10">
        <v>9.3044680852696852E-5</v>
      </c>
      <c r="S89" s="10">
        <v>3.6339095521353804E-4</v>
      </c>
      <c r="T89" s="10">
        <v>-9.6205386113396713E-5</v>
      </c>
      <c r="U89" s="10">
        <v>5.1441733782315029E-4</v>
      </c>
      <c r="V89" s="10">
        <v>2.8627456380257168E-4</v>
      </c>
      <c r="W89" s="10">
        <v>9.3210691304669872E-4</v>
      </c>
      <c r="X89" s="10">
        <v>3.6169908164381307E-4</v>
      </c>
      <c r="Y89" s="10">
        <v>2.7719364819777086E-4</v>
      </c>
      <c r="Z89" s="10">
        <v>2.9020392243892077E-4</v>
      </c>
      <c r="AA89" s="10">
        <v>5.3174258637364688E-4</v>
      </c>
      <c r="AB89" s="10">
        <v>-2.0040943579415704E-5</v>
      </c>
      <c r="AC89" s="10">
        <v>7.7795148279748334E-4</v>
      </c>
      <c r="AD89" s="10">
        <v>4.1143990318909479E-4</v>
      </c>
      <c r="AE89" s="10">
        <v>1.9169858296386074E-4</v>
      </c>
    </row>
    <row r="90" spans="1:31" x14ac:dyDescent="0.25">
      <c r="A90" s="2" t="s">
        <v>52</v>
      </c>
      <c r="B90" s="10">
        <v>5.5843117374227763E-3</v>
      </c>
      <c r="C90" s="10">
        <v>2.9588806693923967E-3</v>
      </c>
      <c r="D90" s="10">
        <v>3.8854370015782751E-3</v>
      </c>
      <c r="E90" s="10">
        <v>2.7962591195046659E-3</v>
      </c>
      <c r="F90" s="10">
        <v>4.3554852730470208E-3</v>
      </c>
      <c r="G90" s="10">
        <v>3.118038449496062E-3</v>
      </c>
      <c r="H90" s="10">
        <v>2.4512409929449788E-3</v>
      </c>
      <c r="I90" s="10">
        <v>2.9350149166958005E-3</v>
      </c>
      <c r="J90" s="10">
        <v>1.8597978894487883E-3</v>
      </c>
      <c r="K90" s="10">
        <v>3.8623942218209977E-3</v>
      </c>
      <c r="L90" s="10">
        <v>4.250760008651956E-3</v>
      </c>
      <c r="M90" s="10">
        <v>4.2758152396330526E-3</v>
      </c>
      <c r="N90" s="10">
        <v>4.4594779626579506E-3</v>
      </c>
      <c r="O90" s="10">
        <v>4.0361569884302942E-3</v>
      </c>
      <c r="P90" s="10">
        <v>4.9826107138407046E-3</v>
      </c>
      <c r="Q90" s="10">
        <v>9.3044680852696852E-5</v>
      </c>
      <c r="R90" s="10">
        <v>8.2728233725598028E-3</v>
      </c>
      <c r="S90" s="10">
        <v>1.4511360460920518E-3</v>
      </c>
      <c r="T90" s="10">
        <v>4.4149224285151252E-3</v>
      </c>
      <c r="U90" s="10">
        <v>1.3815632726271248E-3</v>
      </c>
      <c r="V90" s="10">
        <v>1.5157652298626342E-3</v>
      </c>
      <c r="W90" s="10">
        <v>1.7066898589619829E-3</v>
      </c>
      <c r="X90" s="10">
        <v>2.9804112690920647E-3</v>
      </c>
      <c r="Y90" s="10">
        <v>1.5390133705555978E-3</v>
      </c>
      <c r="Z90" s="10">
        <v>2.9892657817650529E-4</v>
      </c>
      <c r="AA90" s="10">
        <v>3.1525351337357466E-3</v>
      </c>
      <c r="AB90" s="10">
        <v>2.1007449684956035E-3</v>
      </c>
      <c r="AC90" s="10">
        <v>2.8837566103436479E-3</v>
      </c>
      <c r="AD90" s="10">
        <v>1.8070628204798741E-3</v>
      </c>
      <c r="AE90" s="10">
        <v>1.327726125997732E-3</v>
      </c>
    </row>
    <row r="91" spans="1:31" x14ac:dyDescent="0.25">
      <c r="A91" s="2" t="s">
        <v>53</v>
      </c>
      <c r="B91" s="10">
        <v>1.2924227266180974E-3</v>
      </c>
      <c r="C91" s="10">
        <v>4.7431912405617756E-4</v>
      </c>
      <c r="D91" s="10">
        <v>6.7642191586690312E-4</v>
      </c>
      <c r="E91" s="10">
        <v>1.0048191896772413E-3</v>
      </c>
      <c r="F91" s="10">
        <v>8.2258605480180691E-4</v>
      </c>
      <c r="G91" s="10">
        <v>6.8103505363892292E-4</v>
      </c>
      <c r="H91" s="10">
        <v>5.8986645086857119E-4</v>
      </c>
      <c r="I91" s="10">
        <v>9.3105397964698034E-4</v>
      </c>
      <c r="J91" s="10">
        <v>-1.7561141222642788E-4</v>
      </c>
      <c r="K91" s="10">
        <v>1.5365275895873483E-3</v>
      </c>
      <c r="L91" s="10">
        <v>1.233798130695802E-3</v>
      </c>
      <c r="M91" s="10">
        <v>1.2372263773207566E-3</v>
      </c>
      <c r="N91" s="10">
        <v>4.8157136135092599E-4</v>
      </c>
      <c r="O91" s="10">
        <v>2.2711451236806634E-4</v>
      </c>
      <c r="P91" s="10">
        <v>5.42392529890017E-4</v>
      </c>
      <c r="Q91" s="10">
        <v>3.6339095521353804E-4</v>
      </c>
      <c r="R91" s="10">
        <v>1.4511360460920518E-3</v>
      </c>
      <c r="S91" s="10">
        <v>2.4461646869660012E-3</v>
      </c>
      <c r="T91" s="10">
        <v>1.1804265820612809E-3</v>
      </c>
      <c r="U91" s="10">
        <v>6.9330551514660101E-4</v>
      </c>
      <c r="V91" s="10">
        <v>1.0691687071225588E-3</v>
      </c>
      <c r="W91" s="10">
        <v>7.1143912231279717E-4</v>
      </c>
      <c r="X91" s="10">
        <v>1.4582451110719844E-4</v>
      </c>
      <c r="Y91" s="10">
        <v>4.4303341397260697E-4</v>
      </c>
      <c r="Z91" s="10">
        <v>5.7102458090036302E-4</v>
      </c>
      <c r="AA91" s="10">
        <v>3.3917321351542806E-4</v>
      </c>
      <c r="AB91" s="10">
        <v>4.1114530405254174E-4</v>
      </c>
      <c r="AC91" s="10">
        <v>8.7590374686034295E-5</v>
      </c>
      <c r="AD91" s="10">
        <v>-7.9185155207210455E-5</v>
      </c>
      <c r="AE91" s="10">
        <v>5.6223969269058238E-4</v>
      </c>
    </row>
    <row r="92" spans="1:31" x14ac:dyDescent="0.25">
      <c r="A92" s="2" t="s">
        <v>54</v>
      </c>
      <c r="B92" s="10">
        <v>4.2558182723397833E-3</v>
      </c>
      <c r="C92" s="10">
        <v>2.150925873986491E-3</v>
      </c>
      <c r="D92" s="10">
        <v>2.7062542455023922E-3</v>
      </c>
      <c r="E92" s="10">
        <v>2.11304132532499E-3</v>
      </c>
      <c r="F92" s="10">
        <v>2.2872045807923055E-3</v>
      </c>
      <c r="G92" s="10">
        <v>2.8884682686019431E-3</v>
      </c>
      <c r="H92" s="10">
        <v>1.8345502838935973E-3</v>
      </c>
      <c r="I92" s="10">
        <v>2.6031406410784276E-3</v>
      </c>
      <c r="J92" s="10">
        <v>1.673105547328603E-3</v>
      </c>
      <c r="K92" s="10">
        <v>2.6118142783519444E-3</v>
      </c>
      <c r="L92" s="10">
        <v>3.532827690851649E-3</v>
      </c>
      <c r="M92" s="10">
        <v>3.669544405924971E-3</v>
      </c>
      <c r="N92" s="10">
        <v>3.7094226117242992E-3</v>
      </c>
      <c r="O92" s="10">
        <v>2.6485486801076184E-3</v>
      </c>
      <c r="P92" s="10">
        <v>3.9762345467493979E-3</v>
      </c>
      <c r="Q92" s="10">
        <v>-9.6205386113396713E-5</v>
      </c>
      <c r="R92" s="10">
        <v>4.4149224285151252E-3</v>
      </c>
      <c r="S92" s="10">
        <v>1.1804265820612809E-3</v>
      </c>
      <c r="T92" s="10">
        <v>5.540730031191988E-3</v>
      </c>
      <c r="U92" s="10">
        <v>1.0094939705213434E-3</v>
      </c>
      <c r="V92" s="10">
        <v>2.2711789299564599E-3</v>
      </c>
      <c r="W92" s="10">
        <v>7.00107812292537E-4</v>
      </c>
      <c r="X92" s="10">
        <v>1.9410876430292154E-3</v>
      </c>
      <c r="Y92" s="10">
        <v>1.1053930946735659E-3</v>
      </c>
      <c r="Z92" s="10">
        <v>5.0290853657492917E-4</v>
      </c>
      <c r="AA92" s="10">
        <v>2.4631024417154711E-3</v>
      </c>
      <c r="AB92" s="10">
        <v>1.6110721157217623E-3</v>
      </c>
      <c r="AC92" s="10">
        <v>1.9509887857963523E-3</v>
      </c>
      <c r="AD92" s="10">
        <v>1.0984334204041089E-3</v>
      </c>
      <c r="AE92" s="10">
        <v>1.3612006544655611E-3</v>
      </c>
    </row>
    <row r="93" spans="1:31" x14ac:dyDescent="0.25">
      <c r="A93" s="2" t="s">
        <v>55</v>
      </c>
      <c r="B93" s="10">
        <v>2.324646495985648E-3</v>
      </c>
      <c r="C93" s="10">
        <v>1.477260208303756E-3</v>
      </c>
      <c r="D93" s="10">
        <v>1.4108744407680218E-3</v>
      </c>
      <c r="E93" s="10">
        <v>1.1639360743752509E-3</v>
      </c>
      <c r="F93" s="10">
        <v>1.3481294340843782E-3</v>
      </c>
      <c r="G93" s="10">
        <v>2.0525144231448829E-3</v>
      </c>
      <c r="H93" s="10">
        <v>1.8887630177002732E-3</v>
      </c>
      <c r="I93" s="10">
        <v>1.8506126523833357E-3</v>
      </c>
      <c r="J93" s="10">
        <v>8.3820771363798973E-4</v>
      </c>
      <c r="K93" s="10">
        <v>1.3609910848021544E-3</v>
      </c>
      <c r="L93" s="10">
        <v>1.8106104040091049E-3</v>
      </c>
      <c r="M93" s="10">
        <v>2.4467371651642313E-3</v>
      </c>
      <c r="N93" s="10">
        <v>2.0756645843320047E-3</v>
      </c>
      <c r="O93" s="10">
        <v>1.9536322864451756E-3</v>
      </c>
      <c r="P93" s="10">
        <v>2.9876950673813204E-3</v>
      </c>
      <c r="Q93" s="10">
        <v>5.1441733782315029E-4</v>
      </c>
      <c r="R93" s="10">
        <v>1.3815632726271248E-3</v>
      </c>
      <c r="S93" s="10">
        <v>6.9330551514660101E-4</v>
      </c>
      <c r="T93" s="10">
        <v>1.0094939705213434E-3</v>
      </c>
      <c r="U93" s="10">
        <v>3.1970510152926949E-3</v>
      </c>
      <c r="V93" s="10">
        <v>6.7887587047019756E-4</v>
      </c>
      <c r="W93" s="10">
        <v>4.7960109841568583E-4</v>
      </c>
      <c r="X93" s="10">
        <v>7.2913403469715009E-4</v>
      </c>
      <c r="Y93" s="10">
        <v>3.319798120416481E-4</v>
      </c>
      <c r="Z93" s="10">
        <v>2.5508418486448541E-4</v>
      </c>
      <c r="AA93" s="10">
        <v>6.8385965922404068E-4</v>
      </c>
      <c r="AB93" s="10">
        <v>1.6769775498620932E-3</v>
      </c>
      <c r="AC93" s="10">
        <v>6.7099111741986172E-4</v>
      </c>
      <c r="AD93" s="10">
        <v>7.7675169060253957E-4</v>
      </c>
      <c r="AE93" s="10">
        <v>2.795599977921933E-4</v>
      </c>
    </row>
    <row r="94" spans="1:31" x14ac:dyDescent="0.25">
      <c r="A94" s="2" t="s">
        <v>56</v>
      </c>
      <c r="B94" s="10">
        <v>1.7825294175795295E-3</v>
      </c>
      <c r="C94" s="10">
        <v>8.1992833781725368E-5</v>
      </c>
      <c r="D94" s="10">
        <v>1.6209172078536951E-3</v>
      </c>
      <c r="E94" s="10">
        <v>1.0515677584377668E-3</v>
      </c>
      <c r="F94" s="10">
        <v>9.5694718606468578E-4</v>
      </c>
      <c r="G94" s="10">
        <v>4.0986530162629564E-4</v>
      </c>
      <c r="H94" s="10">
        <v>6.6541898721847231E-4</v>
      </c>
      <c r="I94" s="10">
        <v>8.2083399638545101E-4</v>
      </c>
      <c r="J94" s="10">
        <v>6.007013638541671E-4</v>
      </c>
      <c r="K94" s="10">
        <v>1.3348532833757079E-3</v>
      </c>
      <c r="L94" s="10">
        <v>2.3104128796542622E-3</v>
      </c>
      <c r="M94" s="10">
        <v>2.4433723742840118E-3</v>
      </c>
      <c r="N94" s="10">
        <v>2.3038300130520709E-3</v>
      </c>
      <c r="O94" s="10">
        <v>1.4658457616531532E-3</v>
      </c>
      <c r="P94" s="10">
        <v>2.3961859418482642E-3</v>
      </c>
      <c r="Q94" s="10">
        <v>2.8627456380257168E-4</v>
      </c>
      <c r="R94" s="10">
        <v>1.5157652298626342E-3</v>
      </c>
      <c r="S94" s="10">
        <v>1.0691687071225588E-3</v>
      </c>
      <c r="T94" s="10">
        <v>2.2711789299564599E-3</v>
      </c>
      <c r="U94" s="10">
        <v>6.7887587047019756E-4</v>
      </c>
      <c r="V94" s="10">
        <v>7.464417203607133E-3</v>
      </c>
      <c r="W94" s="10">
        <v>7.9512744109038543E-4</v>
      </c>
      <c r="X94" s="10">
        <v>-3.6058296430223086E-4</v>
      </c>
      <c r="Y94" s="10">
        <v>6.7381281282631697E-4</v>
      </c>
      <c r="Z94" s="10">
        <v>1.6195037538877069E-4</v>
      </c>
      <c r="AA94" s="10">
        <v>2.0913306056822233E-3</v>
      </c>
      <c r="AB94" s="10">
        <v>9.1746525253452542E-4</v>
      </c>
      <c r="AC94" s="10">
        <v>1.058193490345426E-3</v>
      </c>
      <c r="AD94" s="10">
        <v>-8.3427025439242403E-4</v>
      </c>
      <c r="AE94" s="10">
        <v>4.2911458960318379E-4</v>
      </c>
    </row>
    <row r="95" spans="1:31" x14ac:dyDescent="0.25">
      <c r="A95" s="2" t="s">
        <v>57</v>
      </c>
      <c r="B95" s="10">
        <v>1.7981049915824553E-3</v>
      </c>
      <c r="C95" s="10">
        <v>1.3141815542513737E-3</v>
      </c>
      <c r="D95" s="10">
        <v>1.0081927852746383E-3</v>
      </c>
      <c r="E95" s="10">
        <v>6.9009002610203357E-5</v>
      </c>
      <c r="F95" s="10">
        <v>1.4822745402640137E-3</v>
      </c>
      <c r="G95" s="10">
        <v>6.6731593068955714E-4</v>
      </c>
      <c r="H95" s="10">
        <v>1.7497477570616808E-3</v>
      </c>
      <c r="I95" s="10">
        <v>6.953492394840365E-4</v>
      </c>
      <c r="J95" s="10">
        <v>1.1666948242040191E-3</v>
      </c>
      <c r="K95" s="10">
        <v>9.6717938316169744E-4</v>
      </c>
      <c r="L95" s="10">
        <v>9.6357112522873031E-5</v>
      </c>
      <c r="M95" s="10">
        <v>1.3520218610181835E-3</v>
      </c>
      <c r="N95" s="10">
        <v>2.1273703433160127E-3</v>
      </c>
      <c r="O95" s="10">
        <v>1.5440324142828078E-3</v>
      </c>
      <c r="P95" s="10">
        <v>1.6524619866138447E-3</v>
      </c>
      <c r="Q95" s="10">
        <v>9.3210691304669872E-4</v>
      </c>
      <c r="R95" s="10">
        <v>1.7066898589619829E-3</v>
      </c>
      <c r="S95" s="10">
        <v>7.1143912231279717E-4</v>
      </c>
      <c r="T95" s="10">
        <v>7.00107812292537E-4</v>
      </c>
      <c r="U95" s="10">
        <v>4.7960109841568583E-4</v>
      </c>
      <c r="V95" s="10">
        <v>7.9512744109038543E-4</v>
      </c>
      <c r="W95" s="10">
        <v>6.4307632326824158E-3</v>
      </c>
      <c r="X95" s="10">
        <v>1.3736809833471563E-3</v>
      </c>
      <c r="Y95" s="10">
        <v>2.1271653541961007E-3</v>
      </c>
      <c r="Z95" s="10">
        <v>2.8620143606006754E-4</v>
      </c>
      <c r="AA95" s="10">
        <v>2.7627829641515495E-3</v>
      </c>
      <c r="AB95" s="10">
        <v>4.894967563287986E-4</v>
      </c>
      <c r="AC95" s="10">
        <v>2.6480112661336299E-3</v>
      </c>
      <c r="AD95" s="10">
        <v>5.9902224019307544E-4</v>
      </c>
      <c r="AE95" s="10">
        <v>6.0389040267753058E-4</v>
      </c>
    </row>
    <row r="96" spans="1:31" x14ac:dyDescent="0.25">
      <c r="A96" s="2" t="s">
        <v>58</v>
      </c>
      <c r="B96" s="10">
        <v>3.0566575439228481E-3</v>
      </c>
      <c r="C96" s="10">
        <v>1.8917152903474019E-3</v>
      </c>
      <c r="D96" s="10">
        <v>2.0982338263445146E-3</v>
      </c>
      <c r="E96" s="10">
        <v>1.4515060638479291E-3</v>
      </c>
      <c r="F96" s="10">
        <v>2.7468518533069106E-3</v>
      </c>
      <c r="G96" s="10">
        <v>2.5166227438856484E-3</v>
      </c>
      <c r="H96" s="10">
        <v>1.6641992370049396E-3</v>
      </c>
      <c r="I96" s="10">
        <v>1.5313378057621994E-3</v>
      </c>
      <c r="J96" s="10">
        <v>1.7410095914725473E-3</v>
      </c>
      <c r="K96" s="10">
        <v>1.7831878058710041E-3</v>
      </c>
      <c r="L96" s="10">
        <v>2.3235497067453348E-3</v>
      </c>
      <c r="M96" s="10">
        <v>2.4531999929716642E-3</v>
      </c>
      <c r="N96" s="10">
        <v>3.2244335768415694E-3</v>
      </c>
      <c r="O96" s="10">
        <v>3.6105999579797445E-3</v>
      </c>
      <c r="P96" s="10">
        <v>3.3844937263291463E-3</v>
      </c>
      <c r="Q96" s="10">
        <v>3.6169908164381307E-4</v>
      </c>
      <c r="R96" s="10">
        <v>2.9804112690920647E-3</v>
      </c>
      <c r="S96" s="10">
        <v>1.4582451110719844E-4</v>
      </c>
      <c r="T96" s="10">
        <v>1.9410876430292154E-3</v>
      </c>
      <c r="U96" s="10">
        <v>7.2913403469715009E-4</v>
      </c>
      <c r="V96" s="10">
        <v>-3.6058296430223086E-4</v>
      </c>
      <c r="W96" s="10">
        <v>1.3736809833471563E-3</v>
      </c>
      <c r="X96" s="10">
        <v>4.7397073540358364E-3</v>
      </c>
      <c r="Y96" s="10">
        <v>1.1607806723335169E-3</v>
      </c>
      <c r="Z96" s="10">
        <v>3.518088007225357E-5</v>
      </c>
      <c r="AA96" s="10">
        <v>1.871844366290516E-3</v>
      </c>
      <c r="AB96" s="10">
        <v>1.9225179142603739E-3</v>
      </c>
      <c r="AC96" s="10">
        <v>2.3910613359225587E-3</v>
      </c>
      <c r="AD96" s="10">
        <v>1.4379305666541763E-3</v>
      </c>
      <c r="AE96" s="10">
        <v>1.2035844058572909E-3</v>
      </c>
    </row>
    <row r="97" spans="1:31" x14ac:dyDescent="0.25">
      <c r="A97" s="2" t="s">
        <v>59</v>
      </c>
      <c r="B97" s="10">
        <v>1.8426095197692693E-3</v>
      </c>
      <c r="C97" s="10">
        <v>9.6563342271373416E-4</v>
      </c>
      <c r="D97" s="10">
        <v>6.3352880882686406E-4</v>
      </c>
      <c r="E97" s="10">
        <v>3.6715280866266481E-4</v>
      </c>
      <c r="F97" s="10">
        <v>1.1473392577863342E-3</v>
      </c>
      <c r="G97" s="10">
        <v>1.2650101100916981E-3</v>
      </c>
      <c r="H97" s="10">
        <v>7.245016076897708E-4</v>
      </c>
      <c r="I97" s="10">
        <v>1.6138461645631447E-4</v>
      </c>
      <c r="J97" s="10">
        <v>2.3332659802159837E-4</v>
      </c>
      <c r="K97" s="10">
        <v>8.2736859224633833E-4</v>
      </c>
      <c r="L97" s="10">
        <v>8.3921398406627758E-4</v>
      </c>
      <c r="M97" s="10">
        <v>1.2028019635460013E-3</v>
      </c>
      <c r="N97" s="10">
        <v>1.6112220321140673E-3</v>
      </c>
      <c r="O97" s="10">
        <v>1.0336074708434259E-3</v>
      </c>
      <c r="P97" s="10">
        <v>9.1289447957797773E-4</v>
      </c>
      <c r="Q97" s="10">
        <v>2.7719364819777086E-4</v>
      </c>
      <c r="R97" s="10">
        <v>1.5390133705555978E-3</v>
      </c>
      <c r="S97" s="10">
        <v>4.4303341397260697E-4</v>
      </c>
      <c r="T97" s="10">
        <v>1.1053930946735659E-3</v>
      </c>
      <c r="U97" s="10">
        <v>3.319798120416481E-4</v>
      </c>
      <c r="V97" s="10">
        <v>6.7381281282631697E-4</v>
      </c>
      <c r="W97" s="10">
        <v>2.1271653541961007E-3</v>
      </c>
      <c r="X97" s="10">
        <v>1.1607806723335169E-3</v>
      </c>
      <c r="Y97" s="10">
        <v>3.0428932635788242E-3</v>
      </c>
      <c r="Z97" s="10">
        <v>5.0467490016105928E-4</v>
      </c>
      <c r="AA97" s="10">
        <v>1.3927044370301105E-3</v>
      </c>
      <c r="AB97" s="10">
        <v>4.8131409995923571E-4</v>
      </c>
      <c r="AC97" s="10">
        <v>1.6696362133513305E-3</v>
      </c>
      <c r="AD97" s="10">
        <v>3.7519852688237387E-4</v>
      </c>
      <c r="AE97" s="10">
        <v>9.9032511207679296E-4</v>
      </c>
    </row>
    <row r="98" spans="1:31" x14ac:dyDescent="0.25">
      <c r="A98" s="2" t="s">
        <v>60</v>
      </c>
      <c r="B98" s="10">
        <v>2.4895764017982984E-4</v>
      </c>
      <c r="C98" s="10">
        <v>3.8235881445257246E-4</v>
      </c>
      <c r="D98" s="10">
        <v>4.0143729287146047E-4</v>
      </c>
      <c r="E98" s="10">
        <v>3.7751417432868811E-4</v>
      </c>
      <c r="F98" s="10">
        <v>3.4176018481009608E-4</v>
      </c>
      <c r="G98" s="10">
        <v>3.6463517483811673E-4</v>
      </c>
      <c r="H98" s="10">
        <v>9.6907864268859644E-5</v>
      </c>
      <c r="I98" s="10">
        <v>7.8808197838476526E-5</v>
      </c>
      <c r="J98" s="10">
        <v>-2.6035384362950949E-5</v>
      </c>
      <c r="K98" s="10">
        <v>3.2021930552045009E-4</v>
      </c>
      <c r="L98" s="10">
        <v>4.648036368966537E-4</v>
      </c>
      <c r="M98" s="10">
        <v>4.5705889103835582E-4</v>
      </c>
      <c r="N98" s="10">
        <v>1.9888066481154449E-4</v>
      </c>
      <c r="O98" s="10">
        <v>8.8053879047450166E-5</v>
      </c>
      <c r="P98" s="10">
        <v>2.0643454388455951E-4</v>
      </c>
      <c r="Q98" s="10">
        <v>2.9020392243892077E-4</v>
      </c>
      <c r="R98" s="10">
        <v>2.9892657817650529E-4</v>
      </c>
      <c r="S98" s="10">
        <v>5.7102458090036302E-4</v>
      </c>
      <c r="T98" s="10">
        <v>5.0290853657492917E-4</v>
      </c>
      <c r="U98" s="10">
        <v>2.5508418486448541E-4</v>
      </c>
      <c r="V98" s="10">
        <v>1.6195037538877069E-4</v>
      </c>
      <c r="W98" s="10">
        <v>2.8620143606006754E-4</v>
      </c>
      <c r="X98" s="10">
        <v>3.518088007225357E-5</v>
      </c>
      <c r="Y98" s="10">
        <v>5.0467490016105928E-4</v>
      </c>
      <c r="Z98" s="10">
        <v>1.1332602553458667E-3</v>
      </c>
      <c r="AA98" s="10">
        <v>1.1237918553309929E-4</v>
      </c>
      <c r="AB98" s="10">
        <v>5.999986171027268E-4</v>
      </c>
      <c r="AC98" s="10">
        <v>5.1954126546105854E-5</v>
      </c>
      <c r="AD98" s="10">
        <v>-2.6396670934532833E-4</v>
      </c>
      <c r="AE98" s="10">
        <v>2.4123565797804145E-4</v>
      </c>
    </row>
    <row r="99" spans="1:31" x14ac:dyDescent="0.25">
      <c r="A99" s="2" t="s">
        <v>61</v>
      </c>
      <c r="B99" s="10">
        <v>3.2045797657990482E-3</v>
      </c>
      <c r="C99" s="10">
        <v>2.3651696796288578E-3</v>
      </c>
      <c r="D99" s="10">
        <v>2.1080894272619412E-3</v>
      </c>
      <c r="E99" s="10">
        <v>8.771332634576152E-4</v>
      </c>
      <c r="F99" s="10">
        <v>2.2301445476384445E-3</v>
      </c>
      <c r="G99" s="10">
        <v>2.3459376309490202E-3</v>
      </c>
      <c r="H99" s="10">
        <v>1.6468793450830793E-3</v>
      </c>
      <c r="I99" s="10">
        <v>1.2201848758019362E-3</v>
      </c>
      <c r="J99" s="10">
        <v>1.8976321032410301E-3</v>
      </c>
      <c r="K99" s="10">
        <v>1.2048072914624419E-3</v>
      </c>
      <c r="L99" s="10">
        <v>2.0006055366453427E-3</v>
      </c>
      <c r="M99" s="10">
        <v>2.5059183207434251E-3</v>
      </c>
      <c r="N99" s="10">
        <v>3.2248217368588284E-3</v>
      </c>
      <c r="O99" s="10">
        <v>2.8897983290007306E-3</v>
      </c>
      <c r="P99" s="10">
        <v>1.6578616615278029E-3</v>
      </c>
      <c r="Q99" s="10">
        <v>5.3174258637364688E-4</v>
      </c>
      <c r="R99" s="10">
        <v>3.1525351337357466E-3</v>
      </c>
      <c r="S99" s="10">
        <v>3.3917321351542806E-4</v>
      </c>
      <c r="T99" s="10">
        <v>2.4631024417154711E-3</v>
      </c>
      <c r="U99" s="10">
        <v>6.8385965922404068E-4</v>
      </c>
      <c r="V99" s="10">
        <v>2.0913306056822233E-3</v>
      </c>
      <c r="W99" s="10">
        <v>2.7627829641515495E-3</v>
      </c>
      <c r="X99" s="10">
        <v>1.871844366290516E-3</v>
      </c>
      <c r="Y99" s="10">
        <v>1.3927044370301105E-3</v>
      </c>
      <c r="Z99" s="10">
        <v>1.1237918553309929E-4</v>
      </c>
      <c r="AA99" s="10">
        <v>6.8651312498901771E-3</v>
      </c>
      <c r="AB99" s="10">
        <v>6.1322288642494383E-4</v>
      </c>
      <c r="AC99" s="10">
        <v>5.0513706465485364E-3</v>
      </c>
      <c r="AD99" s="10">
        <v>1.0794516798223667E-3</v>
      </c>
      <c r="AE99" s="10">
        <v>1.629440796760196E-3</v>
      </c>
    </row>
    <row r="100" spans="1:31" x14ac:dyDescent="0.25">
      <c r="A100" s="2" t="s">
        <v>62</v>
      </c>
      <c r="B100" s="10">
        <v>3.7140710818371306E-3</v>
      </c>
      <c r="C100" s="10">
        <v>1.1974956546236229E-3</v>
      </c>
      <c r="D100" s="10">
        <v>3.07377868688892E-3</v>
      </c>
      <c r="E100" s="10">
        <v>4.8937220500490253E-3</v>
      </c>
      <c r="F100" s="10">
        <v>2.1945176342568736E-3</v>
      </c>
      <c r="G100" s="10">
        <v>2.5089835218219812E-3</v>
      </c>
      <c r="H100" s="10">
        <v>2.1034481217385896E-3</v>
      </c>
      <c r="I100" s="10">
        <v>3.6969508817745762E-3</v>
      </c>
      <c r="J100" s="10">
        <v>1.7442277519671156E-3</v>
      </c>
      <c r="K100" s="10">
        <v>2.9283162737209997E-3</v>
      </c>
      <c r="L100" s="10">
        <v>2.2261204600593494E-3</v>
      </c>
      <c r="M100" s="10">
        <v>4.7817613898481345E-3</v>
      </c>
      <c r="N100" s="10">
        <v>4.6938945616967608E-3</v>
      </c>
      <c r="O100" s="10">
        <v>2.0725059667799171E-3</v>
      </c>
      <c r="P100" s="10">
        <v>5.0295120528794281E-3</v>
      </c>
      <c r="Q100" s="10">
        <v>-2.0040943579415704E-5</v>
      </c>
      <c r="R100" s="10">
        <v>2.1007449684956035E-3</v>
      </c>
      <c r="S100" s="10">
        <v>4.1114530405254174E-4</v>
      </c>
      <c r="T100" s="10">
        <v>1.6110721157217623E-3</v>
      </c>
      <c r="U100" s="10">
        <v>1.6769775498620932E-3</v>
      </c>
      <c r="V100" s="10">
        <v>9.1746525253452542E-4</v>
      </c>
      <c r="W100" s="10">
        <v>4.894967563287986E-4</v>
      </c>
      <c r="X100" s="10">
        <v>1.9225179142603739E-3</v>
      </c>
      <c r="Y100" s="10">
        <v>4.8131409995923571E-4</v>
      </c>
      <c r="Z100" s="10">
        <v>5.999986171027268E-4</v>
      </c>
      <c r="AA100" s="10">
        <v>6.1322288642494383E-4</v>
      </c>
      <c r="AB100" s="10">
        <v>5.3927457384791311E-3</v>
      </c>
      <c r="AC100" s="10">
        <v>8.0835311057141676E-4</v>
      </c>
      <c r="AD100" s="10">
        <v>1.965709209153014E-4</v>
      </c>
      <c r="AE100" s="10">
        <v>9.3705674714088878E-4</v>
      </c>
    </row>
    <row r="101" spans="1:31" x14ac:dyDescent="0.25">
      <c r="A101" s="2" t="s">
        <v>63</v>
      </c>
      <c r="B101" s="10">
        <v>2.8020853551916085E-3</v>
      </c>
      <c r="C101" s="10">
        <v>1.8125798943367472E-3</v>
      </c>
      <c r="D101" s="10">
        <v>1.8569073970811543E-3</v>
      </c>
      <c r="E101" s="10">
        <v>6.8644973768042196E-4</v>
      </c>
      <c r="F101" s="10">
        <v>2.2960007409252993E-3</v>
      </c>
      <c r="G101" s="10">
        <v>2.1164111056665548E-3</v>
      </c>
      <c r="H101" s="10">
        <v>1.7981426027968215E-3</v>
      </c>
      <c r="I101" s="10">
        <v>1.3948556935769667E-3</v>
      </c>
      <c r="J101" s="10">
        <v>1.2300398442288043E-3</v>
      </c>
      <c r="K101" s="10">
        <v>6.050755774704862E-4</v>
      </c>
      <c r="L101" s="10">
        <v>1.5514509492753925E-3</v>
      </c>
      <c r="M101" s="10">
        <v>2.3294317111175458E-3</v>
      </c>
      <c r="N101" s="10">
        <v>2.9549310180443491E-3</v>
      </c>
      <c r="O101" s="10">
        <v>2.9336480470495388E-3</v>
      </c>
      <c r="P101" s="10">
        <v>1.5005018929497595E-3</v>
      </c>
      <c r="Q101" s="10">
        <v>7.7795148279748334E-4</v>
      </c>
      <c r="R101" s="10">
        <v>2.8837566103436479E-3</v>
      </c>
      <c r="S101" s="10">
        <v>8.7590374686034295E-5</v>
      </c>
      <c r="T101" s="10">
        <v>1.9509887857963523E-3</v>
      </c>
      <c r="U101" s="10">
        <v>6.7099111741986172E-4</v>
      </c>
      <c r="V101" s="10">
        <v>1.058193490345426E-3</v>
      </c>
      <c r="W101" s="10">
        <v>2.6480112661336299E-3</v>
      </c>
      <c r="X101" s="10">
        <v>2.3910613359225587E-3</v>
      </c>
      <c r="Y101" s="10">
        <v>1.6696362133513305E-3</v>
      </c>
      <c r="Z101" s="10">
        <v>5.1954126546105854E-5</v>
      </c>
      <c r="AA101" s="10">
        <v>5.0513706465485364E-3</v>
      </c>
      <c r="AB101" s="10">
        <v>8.0835311057141676E-4</v>
      </c>
      <c r="AC101" s="10">
        <v>5.6252615163266441E-3</v>
      </c>
      <c r="AD101" s="10">
        <v>1.3785457651378193E-3</v>
      </c>
      <c r="AE101" s="10">
        <v>1.7376466436449163E-3</v>
      </c>
    </row>
    <row r="102" spans="1:31" x14ac:dyDescent="0.25">
      <c r="A102" s="3" t="s">
        <v>64</v>
      </c>
      <c r="B102" s="10">
        <v>1.7757000469168667E-3</v>
      </c>
      <c r="C102" s="10">
        <v>1.4079386238866609E-3</v>
      </c>
      <c r="D102" s="10">
        <v>1.0478054804554952E-3</v>
      </c>
      <c r="E102" s="10">
        <v>3.2381143954018389E-4</v>
      </c>
      <c r="F102" s="10">
        <v>1.5175057808338452E-3</v>
      </c>
      <c r="G102" s="10">
        <v>1.1233246472579814E-3</v>
      </c>
      <c r="H102" s="10">
        <v>1.3620280752663768E-3</v>
      </c>
      <c r="I102" s="10">
        <v>8.4591877219881777E-4</v>
      </c>
      <c r="J102" s="10">
        <v>8.5190990244885716E-4</v>
      </c>
      <c r="K102" s="10">
        <v>1.2140563254796775E-3</v>
      </c>
      <c r="L102" s="10">
        <v>2.371073098788222E-3</v>
      </c>
      <c r="M102" s="10">
        <v>7.9325960427541903E-4</v>
      </c>
      <c r="N102" s="10">
        <v>8.1976402609839477E-4</v>
      </c>
      <c r="O102" s="10">
        <v>1.8538817873756095E-3</v>
      </c>
      <c r="P102" s="10">
        <v>1.3985410162455267E-3</v>
      </c>
      <c r="Q102" s="10">
        <v>4.1143990318909479E-4</v>
      </c>
      <c r="R102" s="10">
        <v>1.8070628204798741E-3</v>
      </c>
      <c r="S102" s="10">
        <v>-7.9185155207210455E-5</v>
      </c>
      <c r="T102" s="10">
        <v>1.0984334204041089E-3</v>
      </c>
      <c r="U102" s="10">
        <v>7.7675169060253957E-4</v>
      </c>
      <c r="V102" s="10">
        <v>-8.3427025439242403E-4</v>
      </c>
      <c r="W102" s="10">
        <v>5.9902224019307544E-4</v>
      </c>
      <c r="X102" s="10">
        <v>1.4379305666541763E-3</v>
      </c>
      <c r="Y102" s="10">
        <v>3.7519852688237387E-4</v>
      </c>
      <c r="Z102" s="10">
        <v>-2.6396670934532833E-4</v>
      </c>
      <c r="AA102" s="10">
        <v>1.0794516798223667E-3</v>
      </c>
      <c r="AB102" s="10">
        <v>1.965709209153014E-4</v>
      </c>
      <c r="AC102" s="10">
        <v>1.3785457651378193E-3</v>
      </c>
      <c r="AD102" s="10">
        <v>2.8866728807099159E-3</v>
      </c>
      <c r="AE102" s="10">
        <v>3.9601487071315808E-4</v>
      </c>
    </row>
    <row r="103" spans="1:31" x14ac:dyDescent="0.25">
      <c r="A103" s="2" t="s">
        <v>65</v>
      </c>
      <c r="B103" s="10">
        <v>2.3545565697338619E-3</v>
      </c>
      <c r="C103" s="10">
        <v>1.0047039728535434E-3</v>
      </c>
      <c r="D103" s="10">
        <v>1.0163627136864284E-3</v>
      </c>
      <c r="E103" s="10">
        <v>1.6811806111802084E-3</v>
      </c>
      <c r="F103" s="10">
        <v>8.3600874908882315E-4</v>
      </c>
      <c r="G103" s="10">
        <v>2.0947805263449746E-3</v>
      </c>
      <c r="H103" s="10">
        <v>1.2139886843270371E-3</v>
      </c>
      <c r="I103" s="10">
        <v>4.0051520604270015E-4</v>
      </c>
      <c r="J103" s="10">
        <v>7.1740029109185947E-4</v>
      </c>
      <c r="K103" s="10">
        <v>1.934294151849412E-3</v>
      </c>
      <c r="L103" s="10">
        <v>7.2958600102188056E-4</v>
      </c>
      <c r="M103" s="10">
        <v>1.9650740455118164E-3</v>
      </c>
      <c r="N103" s="10">
        <v>1.1321265336872274E-3</v>
      </c>
      <c r="O103" s="10">
        <v>1.4037936268102118E-3</v>
      </c>
      <c r="P103" s="10">
        <v>5.1006909153990482E-4</v>
      </c>
      <c r="Q103" s="10">
        <v>1.9169858296386074E-4</v>
      </c>
      <c r="R103" s="10">
        <v>1.327726125997732E-3</v>
      </c>
      <c r="S103" s="10">
        <v>5.6223969269058238E-4</v>
      </c>
      <c r="T103" s="10">
        <v>1.3612006544655611E-3</v>
      </c>
      <c r="U103" s="10">
        <v>2.795599977921933E-4</v>
      </c>
      <c r="V103" s="10">
        <v>4.2911458960318379E-4</v>
      </c>
      <c r="W103" s="10">
        <v>6.0389040267753058E-4</v>
      </c>
      <c r="X103" s="10">
        <v>1.2035844058572909E-3</v>
      </c>
      <c r="Y103" s="10">
        <v>9.9032511207679296E-4</v>
      </c>
      <c r="Z103" s="10">
        <v>2.4123565797804145E-4</v>
      </c>
      <c r="AA103" s="10">
        <v>1.629440796760196E-3</v>
      </c>
      <c r="AB103" s="10">
        <v>9.3705674714088878E-4</v>
      </c>
      <c r="AC103" s="10">
        <v>1.7376466436449163E-3</v>
      </c>
      <c r="AD103" s="10">
        <v>3.9601487071315808E-4</v>
      </c>
      <c r="AE103" s="10">
        <v>2.8247588833997944E-3</v>
      </c>
    </row>
    <row r="105" spans="1:31" ht="15.6" x14ac:dyDescent="0.3">
      <c r="A105" s="13" t="s">
        <v>66</v>
      </c>
    </row>
    <row r="106" spans="1:31" x14ac:dyDescent="0.25">
      <c r="A106" s="4" t="s">
        <v>67</v>
      </c>
      <c r="B106" s="6">
        <v>3.0000000000000001E-3</v>
      </c>
    </row>
    <row r="107" spans="1:31" x14ac:dyDescent="0.25">
      <c r="Q107" s="1" t="s">
        <v>72</v>
      </c>
      <c r="R107" s="1" t="s">
        <v>73</v>
      </c>
    </row>
    <row r="108" spans="1:31" x14ac:dyDescent="0.25">
      <c r="A108" s="14" t="s">
        <v>37</v>
      </c>
      <c r="B108" s="15">
        <f t="array" ref="B108:B137">MMULT(MINVERSE(varcov),TRANSPOSE($C$4:$AF$4)-$B$106)/SUM(MMULT(MINVERSE(varcov),TRANSPOSE($C$4:$AF$4)-$B$106))</f>
        <v>5.4533000036017194E-2</v>
      </c>
      <c r="C108" s="1" t="str">
        <f ca="1">[2]!getformula(B108)</f>
        <v>&lt;--  {=MMULT(MINVERSE(varcov),TRANSPOSE($C$4:$AF$4)-$B$106)/SUM(MMULT(MINVERSE(varcov),TRANSPOSE($C$4:$AF$4)-$B$106))}</v>
      </c>
      <c r="P108" s="23" t="s">
        <v>71</v>
      </c>
      <c r="Q108" s="23">
        <f>MIN($B$108:$B$137)</f>
        <v>-0.61185819181274681</v>
      </c>
      <c r="R108" s="23">
        <f>MAX($B$108:$B$137)</f>
        <v>0.7625838633020352</v>
      </c>
    </row>
    <row r="109" spans="1:31" x14ac:dyDescent="0.25">
      <c r="A109" s="14" t="s">
        <v>38</v>
      </c>
      <c r="B109" s="15">
        <v>-0.11770777757910096</v>
      </c>
      <c r="P109" s="23">
        <v>0</v>
      </c>
      <c r="Q109" s="23">
        <f t="dataTable" ref="Q109:R125" dt2D="0" dtr="0" r1="B106"/>
        <v>-0.32642744021894238</v>
      </c>
      <c r="R109" s="23">
        <v>0.52331728517820064</v>
      </c>
      <c r="W109" s="1" t="s">
        <v>74</v>
      </c>
      <c r="X109" s="6">
        <v>5.0000000000000001E-4</v>
      </c>
    </row>
    <row r="110" spans="1:31" x14ac:dyDescent="0.25">
      <c r="A110" s="14" t="s">
        <v>39</v>
      </c>
      <c r="B110" s="15">
        <v>-5.7774149925197769E-2</v>
      </c>
      <c r="P110" s="23">
        <f>P109+$X$109</f>
        <v>5.0000000000000001E-4</v>
      </c>
      <c r="Q110" s="23">
        <v>-0.35507683089822273</v>
      </c>
      <c r="R110" s="23">
        <v>0.53581525279628861</v>
      </c>
    </row>
    <row r="111" spans="1:31" x14ac:dyDescent="0.25">
      <c r="A111" s="14" t="s">
        <v>40</v>
      </c>
      <c r="B111" s="15">
        <v>-0.13940218261842297</v>
      </c>
      <c r="P111" s="23">
        <f t="shared" ref="P111:P129" si="4">P110+$X$109</f>
        <v>1E-3</v>
      </c>
      <c r="Q111" s="23">
        <v>-0.3886784805335104</v>
      </c>
      <c r="R111" s="23">
        <v>0.55047358650248779</v>
      </c>
    </row>
    <row r="112" spans="1:31" x14ac:dyDescent="0.25">
      <c r="A112" s="14" t="s">
        <v>41</v>
      </c>
      <c r="B112" s="15">
        <v>-0.36597846015453417</v>
      </c>
      <c r="P112" s="23">
        <f t="shared" si="4"/>
        <v>1.5E-3</v>
      </c>
      <c r="Q112" s="23">
        <v>-0.42863791909938936</v>
      </c>
      <c r="R112" s="23">
        <v>0.56790543260434956</v>
      </c>
    </row>
    <row r="113" spans="1:18" x14ac:dyDescent="0.25">
      <c r="A113" s="14" t="s">
        <v>42</v>
      </c>
      <c r="B113" s="15">
        <v>0.7625838633020352</v>
      </c>
      <c r="P113" s="23">
        <f t="shared" si="4"/>
        <v>2E-3</v>
      </c>
      <c r="Q113" s="23">
        <v>-0.47694813571831607</v>
      </c>
      <c r="R113" s="23">
        <v>0.59696876508433694</v>
      </c>
    </row>
    <row r="114" spans="1:18" x14ac:dyDescent="0.25">
      <c r="A114" s="14" t="s">
        <v>43</v>
      </c>
      <c r="B114" s="15">
        <v>-0.22553923050213234</v>
      </c>
      <c r="P114" s="23">
        <f t="shared" si="4"/>
        <v>2.5000000000000001E-3</v>
      </c>
      <c r="Q114" s="23">
        <v>-0.53653231103874788</v>
      </c>
      <c r="R114" s="23">
        <v>0.67011408377730908</v>
      </c>
    </row>
    <row r="115" spans="1:18" x14ac:dyDescent="0.25">
      <c r="A115" s="14" t="s">
        <v>44</v>
      </c>
      <c r="B115" s="15">
        <v>-0.17046385902067435</v>
      </c>
      <c r="P115" s="23">
        <f t="shared" si="4"/>
        <v>3.0000000000000001E-3</v>
      </c>
      <c r="Q115" s="23">
        <v>-0.61185819181274681</v>
      </c>
      <c r="R115" s="23">
        <v>0.7625838633020352</v>
      </c>
    </row>
    <row r="116" spans="1:18" x14ac:dyDescent="0.25">
      <c r="A116" s="14" t="s">
        <v>45</v>
      </c>
      <c r="B116" s="15">
        <v>-8.7990021245647754E-2</v>
      </c>
      <c r="P116" s="23">
        <f t="shared" si="4"/>
        <v>3.5000000000000001E-3</v>
      </c>
      <c r="Q116" s="23">
        <v>-0.71011351839884795</v>
      </c>
      <c r="R116" s="23">
        <v>0.88320174779523508</v>
      </c>
    </row>
    <row r="117" spans="1:18" x14ac:dyDescent="0.25">
      <c r="A117" s="14" t="s">
        <v>46</v>
      </c>
      <c r="B117" s="15">
        <v>-0.3773460493521214</v>
      </c>
      <c r="P117" s="23">
        <f t="shared" si="4"/>
        <v>4.0000000000000001E-3</v>
      </c>
      <c r="Q117" s="23">
        <v>-0.84364756936017904</v>
      </c>
      <c r="R117" s="23">
        <v>1.0471276670750285</v>
      </c>
    </row>
    <row r="118" spans="1:18" x14ac:dyDescent="0.25">
      <c r="A118" s="14" t="s">
        <v>47</v>
      </c>
      <c r="B118" s="15">
        <v>-0.37209624226323285</v>
      </c>
      <c r="P118" s="23">
        <f t="shared" si="4"/>
        <v>4.5000000000000005E-3</v>
      </c>
      <c r="Q118" s="23">
        <v>-1.03561807287434</v>
      </c>
      <c r="R118" s="23">
        <v>1.2827899647183194</v>
      </c>
    </row>
    <row r="119" spans="1:18" x14ac:dyDescent="0.25">
      <c r="A119" s="14" t="s">
        <v>48</v>
      </c>
      <c r="B119" s="15">
        <v>-0.17396667430530921</v>
      </c>
      <c r="P119" s="23">
        <f t="shared" si="4"/>
        <v>5.000000000000001E-3</v>
      </c>
      <c r="Q119" s="23">
        <v>-1.3351281108170727</v>
      </c>
      <c r="R119" s="23">
        <v>1.6504674069124885</v>
      </c>
    </row>
    <row r="120" spans="1:18" x14ac:dyDescent="0.25">
      <c r="A120" s="14" t="s">
        <v>49</v>
      </c>
      <c r="B120" s="15">
        <v>0.39790129139010455</v>
      </c>
      <c r="P120" s="23">
        <f t="shared" si="4"/>
        <v>5.5000000000000014E-3</v>
      </c>
      <c r="Q120" s="23">
        <v>-1.8676989189076214</v>
      </c>
      <c r="R120" s="23">
        <v>2.3042494098497497</v>
      </c>
    </row>
    <row r="121" spans="1:18" x14ac:dyDescent="0.25">
      <c r="A121" s="14" t="s">
        <v>16</v>
      </c>
      <c r="B121" s="15">
        <v>-0.26380245101358468</v>
      </c>
      <c r="P121" s="23">
        <f t="shared" si="4"/>
        <v>6.0000000000000019E-3</v>
      </c>
      <c r="Q121" s="23">
        <v>-3.0786039611373721</v>
      </c>
      <c r="R121" s="23">
        <v>3.7907520717477992</v>
      </c>
    </row>
    <row r="122" spans="1:18" x14ac:dyDescent="0.25">
      <c r="A122" s="14" t="s">
        <v>50</v>
      </c>
      <c r="B122" s="15">
        <v>-0.18624146665615979</v>
      </c>
      <c r="P122" s="23">
        <f t="shared" si="4"/>
        <v>6.5000000000000023E-3</v>
      </c>
      <c r="Q122" s="23">
        <v>-8.5365755412400848</v>
      </c>
      <c r="R122" s="23">
        <v>10.49093829563769</v>
      </c>
    </row>
    <row r="123" spans="1:18" x14ac:dyDescent="0.25">
      <c r="A123" s="14" t="s">
        <v>51</v>
      </c>
      <c r="B123" s="15">
        <v>0.65075625478313237</v>
      </c>
      <c r="P123" s="23">
        <f t="shared" si="4"/>
        <v>7.0000000000000027E-3</v>
      </c>
      <c r="Q123" s="23">
        <v>-13.989301283962449</v>
      </c>
      <c r="R123" s="23">
        <v>11.40502718961543</v>
      </c>
    </row>
    <row r="124" spans="1:18" x14ac:dyDescent="0.25">
      <c r="A124" s="14" t="s">
        <v>52</v>
      </c>
      <c r="B124" s="15">
        <v>0.53610175541269933</v>
      </c>
      <c r="P124" s="23">
        <f t="shared" si="4"/>
        <v>7.5000000000000032E-3</v>
      </c>
      <c r="Q124" s="23">
        <v>-4.2259057648285507</v>
      </c>
      <c r="R124" s="23">
        <v>3.4517653714987282</v>
      </c>
    </row>
    <row r="125" spans="1:18" x14ac:dyDescent="0.25">
      <c r="A125" s="14" t="s">
        <v>53</v>
      </c>
      <c r="B125" s="15">
        <v>-0.12953197639645483</v>
      </c>
      <c r="P125" s="23">
        <f t="shared" si="4"/>
        <v>8.0000000000000036E-3</v>
      </c>
      <c r="Q125" s="23">
        <v>-2.4989915294300764</v>
      </c>
      <c r="R125" s="23">
        <v>2.0450210657251491</v>
      </c>
    </row>
    <row r="126" spans="1:18" x14ac:dyDescent="0.25">
      <c r="A126" s="14" t="s">
        <v>54</v>
      </c>
      <c r="B126" s="15">
        <v>-0.12181615422602314</v>
      </c>
      <c r="P126" s="6"/>
    </row>
    <row r="127" spans="1:18" x14ac:dyDescent="0.25">
      <c r="A127" s="14" t="s">
        <v>55</v>
      </c>
      <c r="B127" s="15">
        <v>-2.0663033453262959E-2</v>
      </c>
      <c r="P127" s="6"/>
    </row>
    <row r="128" spans="1:18" x14ac:dyDescent="0.25">
      <c r="A128" s="14" t="s">
        <v>56</v>
      </c>
      <c r="B128" s="15">
        <v>0.42145999648915244</v>
      </c>
      <c r="P128" s="6"/>
    </row>
    <row r="129" spans="1:16" x14ac:dyDescent="0.25">
      <c r="A129" s="14" t="s">
        <v>57</v>
      </c>
      <c r="B129" s="15">
        <v>8.2935974489205061E-2</v>
      </c>
      <c r="P129" s="6"/>
    </row>
    <row r="130" spans="1:16" x14ac:dyDescent="0.25">
      <c r="A130" s="14" t="s">
        <v>58</v>
      </c>
      <c r="B130" s="15">
        <v>3.6121172922358481E-2</v>
      </c>
    </row>
    <row r="131" spans="1:16" x14ac:dyDescent="0.25">
      <c r="A131" s="14" t="s">
        <v>59</v>
      </c>
      <c r="B131" s="15">
        <v>-0.61185819181274681</v>
      </c>
    </row>
    <row r="132" spans="1:16" x14ac:dyDescent="0.25">
      <c r="A132" s="14" t="s">
        <v>60</v>
      </c>
      <c r="B132" s="15">
        <v>0.5467329510690101</v>
      </c>
    </row>
    <row r="133" spans="1:16" x14ac:dyDescent="0.25">
      <c r="A133" s="14" t="s">
        <v>61</v>
      </c>
      <c r="B133" s="15">
        <v>-8.3769531407361791E-2</v>
      </c>
    </row>
    <row r="134" spans="1:16" x14ac:dyDescent="0.25">
      <c r="A134" s="14" t="s">
        <v>62</v>
      </c>
      <c r="B134" s="15">
        <v>0.44052369366611194</v>
      </c>
    </row>
    <row r="135" spans="1:16" x14ac:dyDescent="0.25">
      <c r="A135" s="14" t="s">
        <v>63</v>
      </c>
      <c r="B135" s="15">
        <v>-0.36550999938582845</v>
      </c>
    </row>
    <row r="136" spans="1:16" x14ac:dyDescent="0.25">
      <c r="A136" s="16" t="s">
        <v>64</v>
      </c>
      <c r="B136" s="15">
        <v>0.64783317211487501</v>
      </c>
    </row>
    <row r="137" spans="1:16" x14ac:dyDescent="0.25">
      <c r="A137" s="14" t="s">
        <v>65</v>
      </c>
      <c r="B137" s="15">
        <v>0.29397432564309467</v>
      </c>
    </row>
    <row r="138" spans="1:16" x14ac:dyDescent="0.25">
      <c r="A138" s="14" t="s">
        <v>68</v>
      </c>
      <c r="B138" s="17">
        <f>SUM(B108:B137)</f>
        <v>1</v>
      </c>
    </row>
    <row r="140" spans="1:16" ht="27.6" x14ac:dyDescent="0.25">
      <c r="A140" s="18" t="s">
        <v>69</v>
      </c>
      <c r="B140" s="19">
        <f>MIN(B108:B137)</f>
        <v>-0.61185819181274681</v>
      </c>
    </row>
    <row r="141" spans="1:16" x14ac:dyDescent="0.25">
      <c r="A141" s="18" t="s">
        <v>70</v>
      </c>
      <c r="B141" s="19">
        <f>MAX(B108:B137)</f>
        <v>0.7625838633020352</v>
      </c>
    </row>
  </sheetData>
  <mergeCells count="1">
    <mergeCell ref="A1:N1"/>
  </mergeCells>
  <phoneticPr fontId="1" type="noConversion"/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varcov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2024-11-04T09:50:13Z</dcterms:modified>
</cp:coreProperties>
</file>