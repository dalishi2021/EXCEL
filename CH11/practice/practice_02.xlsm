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1\practice\"/>
    </mc:Choice>
  </mc:AlternateContent>
  <xr:revisionPtr revIDLastSave="0" documentId="13_ncr:1_{EE577171-5891-48DC-9816-9CD04CE01F4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4" i="1" l="1"/>
  <c r="T15" i="1" s="1"/>
  <c r="R20" i="1" s="1"/>
  <c r="T13" i="1"/>
  <c r="S20" i="1" s="1"/>
  <c r="S7" i="1"/>
  <c r="S6" i="1" a="1"/>
  <c r="S6" i="1" s="1"/>
  <c r="U5" i="1" a="1"/>
  <c r="U5" i="1" s="1"/>
  <c r="S5" i="1" a="1"/>
  <c r="S5" i="1" s="1"/>
  <c r="U4" i="1"/>
  <c r="S4" i="1"/>
  <c r="V5" i="1"/>
  <c r="V4" i="1"/>
  <c r="O23" i="1" l="1"/>
  <c r="O24" i="1"/>
  <c r="O25" i="1"/>
  <c r="O26" i="1"/>
  <c r="O27" i="1"/>
  <c r="O28" i="1"/>
  <c r="O29" i="1"/>
  <c r="O30" i="1"/>
  <c r="O31" i="1"/>
  <c r="O32" i="1"/>
  <c r="O33" i="1"/>
  <c r="O22" i="1"/>
  <c r="O21" i="1"/>
  <c r="O20" i="1"/>
  <c r="O19" i="1"/>
  <c r="D11" i="1" a="1"/>
  <c r="D14" i="1" s="1"/>
  <c r="B11" i="1" a="1"/>
  <c r="B11" i="1" s="1"/>
  <c r="B95" i="1" a="1"/>
  <c r="B95" i="1" s="1"/>
  <c r="B94" i="1"/>
  <c r="B94" i="1" a="1"/>
  <c r="B93" i="1"/>
  <c r="B93" i="1" a="1"/>
  <c r="B92" i="1" a="1"/>
  <c r="B92" i="1" s="1"/>
  <c r="B91" i="1" a="1"/>
  <c r="B91" i="1" s="1"/>
  <c r="B90" i="1"/>
  <c r="B90" i="1" a="1"/>
  <c r="B89" i="1"/>
  <c r="B89" i="1" a="1"/>
  <c r="B88" i="1" a="1"/>
  <c r="B88" i="1" s="1"/>
  <c r="B87" i="1" a="1"/>
  <c r="B87" i="1" s="1"/>
  <c r="B86" i="1"/>
  <c r="B86" i="1" a="1"/>
  <c r="B85" i="1"/>
  <c r="B85" i="1" a="1"/>
  <c r="B84" i="1" a="1"/>
  <c r="B84" i="1" s="1"/>
  <c r="B83" i="1" a="1"/>
  <c r="B83" i="1" s="1"/>
  <c r="B82" i="1"/>
  <c r="B82" i="1" a="1"/>
  <c r="B81" i="1"/>
  <c r="B81" i="1" a="1"/>
  <c r="B74" i="1" a="1"/>
  <c r="B77" i="1" s="1"/>
  <c r="C64" i="1" a="1"/>
  <c r="C64" i="1" s="1"/>
  <c r="B64" i="1"/>
  <c r="B64" i="1" a="1"/>
  <c r="B63" i="1" a="1"/>
  <c r="B63" i="1" s="1"/>
  <c r="C62" i="1" a="1"/>
  <c r="C62" i="1" s="1"/>
  <c r="B62" i="1" a="1"/>
  <c r="B62" i="1" s="1"/>
  <c r="B61" i="1"/>
  <c r="B61" i="1" a="1"/>
  <c r="C60" i="1" a="1"/>
  <c r="C60" i="1" s="1"/>
  <c r="B60" i="1"/>
  <c r="B60" i="1" a="1"/>
  <c r="B59" i="1" a="1"/>
  <c r="B59" i="1" s="1"/>
  <c r="C58" i="1" a="1"/>
  <c r="C58" i="1" s="1"/>
  <c r="B58" i="1" a="1"/>
  <c r="B58" i="1" s="1"/>
  <c r="B57" i="1"/>
  <c r="B57" i="1" a="1"/>
  <c r="C56" i="1" a="1"/>
  <c r="C56" i="1" s="1"/>
  <c r="B56" i="1"/>
  <c r="B56" i="1" a="1"/>
  <c r="B55" i="1" a="1"/>
  <c r="B55" i="1" s="1"/>
  <c r="C54" i="1" a="1"/>
  <c r="C54" i="1" s="1"/>
  <c r="B54" i="1" a="1"/>
  <c r="B54" i="1" s="1"/>
  <c r="B53" i="1"/>
  <c r="B53" i="1" a="1"/>
  <c r="C52" i="1" a="1"/>
  <c r="C52" i="1" s="1"/>
  <c r="B52" i="1"/>
  <c r="B52" i="1" a="1"/>
  <c r="B51" i="1" a="1"/>
  <c r="B51" i="1" s="1"/>
  <c r="B50" i="1" a="1"/>
  <c r="B50" i="1" s="1"/>
  <c r="B46" i="1"/>
  <c r="C63" i="1" s="1" a="1"/>
  <c r="C63" i="1" s="1"/>
  <c r="E22" i="1"/>
  <c r="D22" i="1"/>
  <c r="C22" i="1"/>
  <c r="B22" i="1"/>
  <c r="C100" i="1"/>
  <c r="C99" i="1"/>
  <c r="C98" i="1"/>
  <c r="D81" i="1"/>
  <c r="C69" i="1"/>
  <c r="C68" i="1"/>
  <c r="C67" i="1"/>
  <c r="D50" i="1"/>
  <c r="D29" i="1"/>
  <c r="E11" i="1"/>
  <c r="D11" i="1" l="1"/>
  <c r="C29" i="1" s="1"/>
  <c r="D12" i="1"/>
  <c r="D13" i="1"/>
  <c r="B14" i="1"/>
  <c r="B13" i="1"/>
  <c r="B12" i="1"/>
  <c r="C53" i="1" a="1"/>
  <c r="C53" i="1" s="1"/>
  <c r="C61" i="1" a="1"/>
  <c r="C61" i="1" s="1"/>
  <c r="C57" i="1" a="1"/>
  <c r="C57" i="1" s="1"/>
  <c r="C50" i="1" a="1"/>
  <c r="C50" i="1" s="1"/>
  <c r="B68" i="1" s="1"/>
  <c r="B75" i="1"/>
  <c r="B76" i="1"/>
  <c r="B74" i="1"/>
  <c r="C51" i="1" a="1"/>
  <c r="C51" i="1" s="1"/>
  <c r="C55" i="1" a="1"/>
  <c r="C55" i="1" s="1"/>
  <c r="C59" i="1" a="1"/>
  <c r="C59" i="1" s="1"/>
  <c r="C81" i="1" l="1" a="1"/>
  <c r="C81" i="1" s="1"/>
  <c r="C95" i="1" a="1"/>
  <c r="C95" i="1" s="1"/>
  <c r="C92" i="1" a="1"/>
  <c r="C92" i="1" s="1"/>
  <c r="C88" i="1" a="1"/>
  <c r="C88" i="1" s="1"/>
  <c r="C84" i="1" a="1"/>
  <c r="C84" i="1" s="1"/>
  <c r="C91" i="1" a="1"/>
  <c r="C91" i="1" s="1"/>
  <c r="C87" i="1" a="1"/>
  <c r="C87" i="1" s="1"/>
  <c r="C83" i="1" a="1"/>
  <c r="C83" i="1" s="1"/>
  <c r="C86" i="1" a="1"/>
  <c r="C86" i="1" s="1"/>
  <c r="C90" i="1" a="1"/>
  <c r="C90" i="1" s="1"/>
  <c r="C94" i="1" a="1"/>
  <c r="C94" i="1" s="1"/>
  <c r="C82" i="1" a="1"/>
  <c r="C82" i="1" s="1"/>
  <c r="C93" i="1" a="1"/>
  <c r="C93" i="1" s="1"/>
  <c r="C85" i="1" a="1"/>
  <c r="C85" i="1" s="1"/>
  <c r="C89" i="1" a="1"/>
  <c r="C89" i="1" s="1"/>
  <c r="D35" i="1"/>
  <c r="D34" i="1"/>
  <c r="D33" i="1"/>
  <c r="B67" i="1"/>
  <c r="B69" i="1"/>
  <c r="B100" i="1" l="1"/>
  <c r="B99" i="1"/>
  <c r="B98" i="1"/>
</calcChain>
</file>

<file path=xl/sharedStrings.xml><?xml version="1.0" encoding="utf-8"?>
<sst xmlns="http://schemas.openxmlformats.org/spreadsheetml/2006/main" count="77" uniqueCount="56">
  <si>
    <t>Finding two efficient portfolios:  Roll (1978)</t>
  </si>
  <si>
    <t>Variance-covariance matrix</t>
  </si>
  <si>
    <t>Returns</t>
  </si>
  <si>
    <t>Constant</t>
  </si>
  <si>
    <t>Efficient
portfolio</t>
  </si>
  <si>
    <t>x</t>
  </si>
  <si>
    <t>y</t>
  </si>
  <si>
    <t>Roll's 15 portfolios</t>
  </si>
  <si>
    <t>A given portfolio is efficient if and only if it is a linear combination of the</t>
  </si>
  <si>
    <t>Port. #</t>
  </si>
  <si>
    <t>Portfolio proportions</t>
  </si>
  <si>
    <r>
      <t xml:space="preserve">two above efficient portfolios </t>
    </r>
    <r>
      <rPr>
        <b/>
        <sz val="10"/>
        <rFont val="Arial"/>
        <family val="2"/>
      </rPr>
      <t>x</t>
    </r>
    <r>
      <rPr>
        <sz val="10"/>
        <rFont val="Arial"/>
        <family val="2"/>
      </rPr>
      <t xml:space="preserve"> and </t>
    </r>
    <r>
      <rPr>
        <b/>
        <sz val="10"/>
        <rFont val="Arial"/>
        <family val="2"/>
      </rPr>
      <t>y</t>
    </r>
    <r>
      <rPr>
        <sz val="10"/>
        <rFont val="Arial"/>
        <family val="2"/>
      </rPr>
      <t xml:space="preserve">.  </t>
    </r>
  </si>
  <si>
    <t>Asset 1</t>
  </si>
  <si>
    <t>Asset 2</t>
  </si>
  <si>
    <t>Asset 3</t>
  </si>
  <si>
    <t>Asset 4</t>
  </si>
  <si>
    <t>Consider portfolio 12 of Roll (in table to right):</t>
  </si>
  <si>
    <r>
      <t xml:space="preserve">If this portfolio is a combination of </t>
    </r>
    <r>
      <rPr>
        <b/>
        <sz val="10"/>
        <rFont val="Arial"/>
        <family val="2"/>
      </rPr>
      <t>x</t>
    </r>
    <r>
      <rPr>
        <sz val="10"/>
        <rFont val="Arial"/>
        <family val="2"/>
      </rPr>
      <t xml:space="preserve"> and </t>
    </r>
    <r>
      <rPr>
        <b/>
        <sz val="10"/>
        <rFont val="Arial"/>
        <family val="2"/>
      </rPr>
      <t>y</t>
    </r>
    <r>
      <rPr>
        <sz val="10"/>
        <rFont val="Arial"/>
        <family val="2"/>
      </rPr>
      <t xml:space="preserve">, then the proportion of </t>
    </r>
    <r>
      <rPr>
        <b/>
        <sz val="10"/>
        <rFont val="Arial"/>
        <family val="2"/>
      </rPr>
      <t>x</t>
    </r>
  </si>
  <si>
    <t>can be determined by solving for the first component, the proportion of</t>
  </si>
  <si>
    <r>
      <t xml:space="preserve">Asset 1.  Denote the proportion of </t>
    </r>
    <r>
      <rPr>
        <b/>
        <sz val="10"/>
        <rFont val="Arial"/>
        <family val="2"/>
      </rPr>
      <t>x</t>
    </r>
    <r>
      <rPr>
        <sz val="10"/>
        <rFont val="Arial"/>
        <family val="2"/>
      </rPr>
      <t xml:space="preserve"> by </t>
    </r>
    <r>
      <rPr>
        <sz val="10"/>
        <rFont val="Symbol"/>
        <family val="1"/>
        <charset val="2"/>
      </rPr>
      <t>l</t>
    </r>
    <r>
      <rPr>
        <sz val="10"/>
        <rFont val="Arial"/>
        <family val="2"/>
      </rPr>
      <t xml:space="preserve">.  Then </t>
    </r>
    <r>
      <rPr>
        <sz val="10"/>
        <rFont val="Symbol"/>
        <family val="1"/>
        <charset val="2"/>
      </rPr>
      <t>l</t>
    </r>
    <r>
      <rPr>
        <sz val="10"/>
        <rFont val="Arial"/>
        <family val="2"/>
      </rPr>
      <t>*0.4919+(1-</t>
    </r>
    <r>
      <rPr>
        <sz val="10"/>
        <rFont val="Symbol"/>
        <family val="1"/>
        <charset val="2"/>
      </rPr>
      <t>l</t>
    </r>
    <r>
      <rPr>
        <sz val="10"/>
        <rFont val="Arial"/>
        <family val="2"/>
      </rPr>
      <t>)*-0.5804=0.5960.</t>
    </r>
  </si>
  <si>
    <t>This solves to give l:</t>
  </si>
  <si>
    <t>l</t>
  </si>
  <si>
    <r>
      <t xml:space="preserve">Now solve for the rest of the portfolio, using the same </t>
    </r>
    <r>
      <rPr>
        <sz val="10"/>
        <rFont val="Symbol"/>
        <family val="1"/>
        <charset val="2"/>
      </rPr>
      <t>l</t>
    </r>
    <r>
      <rPr>
        <sz val="11"/>
        <color theme="1"/>
        <rFont val="等线"/>
        <family val="2"/>
        <charset val="134"/>
        <scheme val="minor"/>
      </rPr>
      <t xml:space="preserve"> but the proportions</t>
    </r>
  </si>
  <si>
    <r>
      <t xml:space="preserve">of assets 2, 3, and 4 in portfolios </t>
    </r>
    <r>
      <rPr>
        <b/>
        <sz val="10"/>
        <rFont val="Arial"/>
        <family val="2"/>
      </rPr>
      <t>x</t>
    </r>
    <r>
      <rPr>
        <sz val="10"/>
        <rFont val="Arial"/>
        <family val="2"/>
      </rPr>
      <t xml:space="preserve"> and </t>
    </r>
    <r>
      <rPr>
        <b/>
        <sz val="10"/>
        <rFont val="Arial"/>
        <family val="2"/>
      </rPr>
      <t>y</t>
    </r>
    <r>
      <rPr>
        <sz val="10"/>
        <rFont val="Arial"/>
        <family val="2"/>
      </rPr>
      <t>:</t>
    </r>
  </si>
  <si>
    <r>
      <t xml:space="preserve"> </t>
    </r>
    <r>
      <rPr>
        <sz val="10"/>
        <rFont val="Symbol"/>
        <family val="1"/>
        <charset val="2"/>
      </rPr>
      <t>l</t>
    </r>
    <r>
      <rPr>
        <sz val="11"/>
        <color theme="1"/>
        <rFont val="等线"/>
        <family val="2"/>
        <charset val="134"/>
        <scheme val="minor"/>
      </rPr>
      <t>*0.2998+(1-</t>
    </r>
    <r>
      <rPr>
        <sz val="10"/>
        <rFont val="Symbol"/>
        <family val="1"/>
        <charset val="2"/>
      </rPr>
      <t>l</t>
    </r>
    <r>
      <rPr>
        <sz val="11"/>
        <color theme="1"/>
        <rFont val="等线"/>
        <family val="2"/>
        <charset val="134"/>
        <scheme val="minor"/>
      </rPr>
      <t>)*0.5431</t>
    </r>
  </si>
  <si>
    <r>
      <t xml:space="preserve"> </t>
    </r>
    <r>
      <rPr>
        <sz val="10"/>
        <rFont val="Symbol"/>
        <family val="1"/>
        <charset val="2"/>
      </rPr>
      <t>l</t>
    </r>
    <r>
      <rPr>
        <sz val="11"/>
        <color theme="1"/>
        <rFont val="等线"/>
        <family val="2"/>
        <charset val="134"/>
        <scheme val="minor"/>
      </rPr>
      <t>*0.1116+(1-</t>
    </r>
    <r>
      <rPr>
        <sz val="10"/>
        <rFont val="Symbol"/>
        <family val="1"/>
        <charset val="2"/>
      </rPr>
      <t>l</t>
    </r>
    <r>
      <rPr>
        <sz val="11"/>
        <color theme="1"/>
        <rFont val="等线"/>
        <family val="2"/>
        <charset val="134"/>
        <scheme val="minor"/>
      </rPr>
      <t>)*0.4689</t>
    </r>
  </si>
  <si>
    <r>
      <t xml:space="preserve"> </t>
    </r>
    <r>
      <rPr>
        <sz val="10"/>
        <rFont val="Symbol"/>
        <family val="1"/>
        <charset val="2"/>
      </rPr>
      <t>l</t>
    </r>
    <r>
      <rPr>
        <sz val="11"/>
        <color theme="1"/>
        <rFont val="等线"/>
        <family val="2"/>
        <charset val="134"/>
        <scheme val="minor"/>
      </rPr>
      <t>*0.0966+(1-</t>
    </r>
    <r>
      <rPr>
        <sz val="10"/>
        <rFont val="Symbol"/>
        <family val="1"/>
        <charset val="2"/>
      </rPr>
      <t>l</t>
    </r>
    <r>
      <rPr>
        <sz val="11"/>
        <color theme="1"/>
        <rFont val="等线"/>
        <family val="2"/>
        <charset val="134"/>
        <scheme val="minor"/>
      </rPr>
      <t>)*0.5684</t>
    </r>
  </si>
  <si>
    <t>Since this is the same as portfolio 12, it shows that this portfolio is efficient!</t>
  </si>
  <si>
    <t>Similarly, it can be shown that portfolios 13, 14, 15 are efficient. (part b of problem)</t>
  </si>
  <si>
    <t>Part c</t>
  </si>
  <si>
    <t>"Market portfolio"</t>
  </si>
  <si>
    <r>
      <t xml:space="preserve">First pass regression:  Average return and beta of each of the 15 portfolios.  We use the formula </t>
    </r>
    <r>
      <rPr>
        <b/>
        <sz val="10"/>
        <rFont val="Symbol"/>
        <family val="1"/>
        <charset val="2"/>
      </rPr>
      <t>b</t>
    </r>
    <r>
      <rPr>
        <b/>
        <sz val="10"/>
        <rFont val="Arial"/>
        <family val="2"/>
      </rPr>
      <t xml:space="preserve"> = Cov(r</t>
    </r>
    <r>
      <rPr>
        <b/>
        <vertAlign val="subscript"/>
        <sz val="10"/>
        <rFont val="Arial"/>
        <family val="2"/>
      </rPr>
      <t>i</t>
    </r>
    <r>
      <rPr>
        <b/>
        <sz val="10"/>
        <rFont val="Arial"/>
        <family val="2"/>
      </rPr>
      <t>,r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)/Var(r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).</t>
    </r>
  </si>
  <si>
    <t>Portfolio</t>
  </si>
  <si>
    <t>Average return</t>
  </si>
  <si>
    <t>Beta</t>
  </si>
  <si>
    <t>Second-pass regression:  Regressing average return on beta</t>
  </si>
  <si>
    <t>Slope</t>
  </si>
  <si>
    <t>Intercept</t>
  </si>
  <si>
    <t>R-squared</t>
  </si>
  <si>
    <t>If for the "Market portfolio" we substitute one of portfolios 12 -15,
we will get R2 = 100%.  Here's an example.</t>
    <phoneticPr fontId="1" type="noConversion"/>
  </si>
  <si>
    <t>Calculating returns of combinations of Portfolio x and Portfolio y</t>
  </si>
  <si>
    <t>Proportion of Portfolio x</t>
  </si>
  <si>
    <r>
      <t>Mean return, E(r</t>
    </r>
    <r>
      <rPr>
        <vertAlign val="subscript"/>
        <sz val="10"/>
        <rFont val="Arial"/>
        <family val="2"/>
      </rPr>
      <t>p</t>
    </r>
    <r>
      <rPr>
        <sz val="10"/>
        <rFont val="Arial"/>
        <family val="2"/>
      </rPr>
      <t>)</t>
    </r>
  </si>
  <si>
    <r>
      <t xml:space="preserve">Variance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  <r>
      <rPr>
        <vertAlign val="superscript"/>
        <sz val="10"/>
        <rFont val="Arial"/>
        <family val="2"/>
      </rPr>
      <t>2</t>
    </r>
  </si>
  <si>
    <r>
      <t xml:space="preserve">Stand. dev. of return,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p</t>
    </r>
  </si>
  <si>
    <t>Portfolio x and y statistics:  Mean, variance, covariance, correlation</t>
  </si>
  <si>
    <r>
      <t>Mean, E(r</t>
    </r>
    <r>
      <rPr>
        <vertAlign val="subscript"/>
        <sz val="10"/>
        <rFont val="Arial"/>
        <family val="2"/>
      </rPr>
      <t>x</t>
    </r>
    <r>
      <rPr>
        <sz val="10"/>
        <rFont val="Arial"/>
        <family val="2"/>
      </rPr>
      <t>)</t>
    </r>
  </si>
  <si>
    <r>
      <t>Mean, E(r</t>
    </r>
    <r>
      <rPr>
        <vertAlign val="subscript"/>
        <sz val="10"/>
        <rFont val="Arial"/>
        <family val="2"/>
      </rPr>
      <t>y</t>
    </r>
    <r>
      <rPr>
        <sz val="10"/>
        <rFont val="Arial"/>
        <family val="2"/>
      </rPr>
      <t>)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</si>
  <si>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x</t>
    </r>
    <r>
      <rPr>
        <vertAlign val="superscript"/>
        <sz val="10"/>
        <rFont val="Arial"/>
        <family val="2"/>
      </rPr>
      <t>2</t>
    </r>
  </si>
  <si>
    <r>
      <t xml:space="preserve">Variance, </t>
    </r>
    <r>
      <rPr>
        <sz val="10"/>
        <rFont val="Symbol"/>
        <family val="1"/>
        <charset val="2"/>
      </rPr>
      <t>s</t>
    </r>
    <r>
      <rPr>
        <vertAlign val="subscript"/>
        <sz val="10"/>
        <rFont val="Arial"/>
        <family val="2"/>
      </rPr>
      <t>y</t>
    </r>
    <r>
      <rPr>
        <vertAlign val="superscript"/>
        <sz val="10"/>
        <rFont val="Arial"/>
        <family val="2"/>
      </rPr>
      <t>2</t>
    </r>
  </si>
  <si>
    <t>Covariance(x,y)</t>
  </si>
  <si>
    <r>
      <t xml:space="preserve">Correlation, </t>
    </r>
    <r>
      <rPr>
        <sz val="10"/>
        <rFont val="Symbol"/>
        <family val="1"/>
        <charset val="2"/>
      </rPr>
      <t>r</t>
    </r>
    <r>
      <rPr>
        <vertAlign val="subscript"/>
        <sz val="10"/>
        <rFont val="Arial"/>
        <family val="2"/>
      </rPr>
      <t>xy</t>
    </r>
  </si>
  <si>
    <t>Table of returns (uses this example and Data|Table)</t>
  </si>
  <si>
    <t>Proportion
of x</t>
  </si>
  <si>
    <t>Standard
deviation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</si>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</sst>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8" formatCode="0.0"/>
  </numFmts>
  <fonts count="1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sz val="12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12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4" fillId="0" borderId="0" xfId="0" applyFont="1" applyAlignment="1"/>
    <xf numFmtId="2" fontId="0" fillId="0" borderId="0" xfId="0" applyNumberFormat="1" applyAlignment="1"/>
    <xf numFmtId="0" fontId="0" fillId="0" borderId="0" xfId="0" applyAlignment="1">
      <alignment wrapText="1"/>
    </xf>
    <xf numFmtId="0" fontId="4" fillId="0" borderId="0" xfId="0" applyFont="1" applyAlignment="1">
      <alignment horizontal="center" vertical="center"/>
    </xf>
    <xf numFmtId="176" fontId="0" fillId="0" borderId="0" xfId="0" applyNumberFormat="1" applyAlignme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6" fillId="0" borderId="0" xfId="0" applyFont="1" applyAlignment="1"/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0" fontId="0" fillId="0" borderId="0" xfId="1" applyNumberFormat="1" applyFont="1" applyBorder="1" applyAlignment="1"/>
    <xf numFmtId="0" fontId="5" fillId="2" borderId="0" xfId="0" applyFont="1" applyFill="1" applyAlignment="1">
      <alignment vertical="center" wrapText="1"/>
    </xf>
    <xf numFmtId="0" fontId="0" fillId="3" borderId="0" xfId="0" applyFill="1" applyAlignment="1">
      <alignment horizontal="center"/>
    </xf>
    <xf numFmtId="176" fontId="0" fillId="3" borderId="0" xfId="0" applyNumberFormat="1" applyFill="1" applyAlignment="1"/>
    <xf numFmtId="0" fontId="0" fillId="0" borderId="0" xfId="0" applyAlignment="1">
      <alignment horizontal="center" vertical="center"/>
    </xf>
    <xf numFmtId="0" fontId="9" fillId="0" borderId="0" xfId="0" applyFont="1" applyAlignment="1"/>
    <xf numFmtId="0" fontId="12" fillId="0" borderId="0" xfId="0" applyFont="1" applyAlignment="1"/>
    <xf numFmtId="10" fontId="2" fillId="0" borderId="0" xfId="1" applyNumberFormat="1" applyAlignment="1">
      <alignment horizontal="center"/>
    </xf>
    <xf numFmtId="176" fontId="2" fillId="0" borderId="0" xfId="1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0" fillId="4" borderId="0" xfId="0" applyFill="1" applyAlignment="1"/>
    <xf numFmtId="0" fontId="0" fillId="4" borderId="0" xfId="0" applyFill="1" applyAlignment="1">
      <alignment horizontal="center"/>
    </xf>
    <xf numFmtId="10" fontId="0" fillId="0" borderId="0" xfId="0" applyNumberFormat="1" applyAlignment="1"/>
    <xf numFmtId="178" fontId="0" fillId="0" borderId="0" xfId="0" applyNumberFormat="1" applyAlignment="1">
      <alignment horizontal="center"/>
    </xf>
    <xf numFmtId="10" fontId="2" fillId="0" borderId="0" xfId="1" applyNumberFormat="1" applyAlignment="1"/>
    <xf numFmtId="10" fontId="0" fillId="0" borderId="0" xfId="0" applyNumberFormat="1">
      <alignment vertical="center"/>
    </xf>
    <xf numFmtId="176" fontId="13" fillId="3" borderId="0" xfId="0" applyNumberFormat="1" applyFon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en-US" b="1">
                <a:solidFill>
                  <a:schemeClr val="tx1"/>
                </a:solidFill>
              </a:rPr>
              <a:t>Returns of Combinations of 
Portfolios x and 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Sheet1!$R$21:$R$33</c:f>
              <c:numCache>
                <c:formatCode>0.00%</c:formatCode>
                <c:ptCount val="13"/>
                <c:pt idx="0">
                  <c:v>0.62204959259694659</c:v>
                </c:pt>
                <c:pt idx="1">
                  <c:v>0.57613319455872958</c:v>
                </c:pt>
                <c:pt idx="2">
                  <c:v>0.5311943507368091</c:v>
                </c:pt>
                <c:pt idx="3">
                  <c:v>0.4875034736253544</c:v>
                </c:pt>
                <c:pt idx="4">
                  <c:v>0.44542794422746601</c:v>
                </c:pt>
                <c:pt idx="5">
                  <c:v>0.40547094638267228</c:v>
                </c:pt>
                <c:pt idx="6">
                  <c:v>0.36832260503809255</c:v>
                </c:pt>
                <c:pt idx="7">
                  <c:v>0.33491881488424463</c:v>
                </c:pt>
                <c:pt idx="8">
                  <c:v>0.30648638127120842</c:v>
                </c:pt>
                <c:pt idx="9">
                  <c:v>0.28451961163654016</c:v>
                </c:pt>
                <c:pt idx="10">
                  <c:v>0.27059773662528686</c:v>
                </c:pt>
                <c:pt idx="11">
                  <c:v>0.26598699007184917</c:v>
                </c:pt>
                <c:pt idx="12">
                  <c:v>0.27116275715530946</c:v>
                </c:pt>
              </c:numCache>
            </c:numRef>
          </c:xVal>
          <c:yVal>
            <c:numRef>
              <c:f>Sheet1!$S$21:$S$33</c:f>
              <c:numCache>
                <c:formatCode>0.00%</c:formatCode>
                <c:ptCount val="13"/>
                <c:pt idx="0">
                  <c:v>9.1860710517059421E-2</c:v>
                </c:pt>
                <c:pt idx="1">
                  <c:v>8.9487563576665194E-2</c:v>
                </c:pt>
                <c:pt idx="2">
                  <c:v>8.7114416636270953E-2</c:v>
                </c:pt>
                <c:pt idx="3">
                  <c:v>8.4741269695876725E-2</c:v>
                </c:pt>
                <c:pt idx="4">
                  <c:v>8.2368122755482498E-2</c:v>
                </c:pt>
                <c:pt idx="5">
                  <c:v>7.9994975815088271E-2</c:v>
                </c:pt>
                <c:pt idx="6">
                  <c:v>7.7621828874694029E-2</c:v>
                </c:pt>
                <c:pt idx="7">
                  <c:v>7.5248681934299802E-2</c:v>
                </c:pt>
                <c:pt idx="8">
                  <c:v>7.2875534993905575E-2</c:v>
                </c:pt>
                <c:pt idx="9">
                  <c:v>7.0502388053511333E-2</c:v>
                </c:pt>
                <c:pt idx="10">
                  <c:v>6.8129241113117106E-2</c:v>
                </c:pt>
                <c:pt idx="11">
                  <c:v>6.5756094172722879E-2</c:v>
                </c:pt>
                <c:pt idx="12">
                  <c:v>6.3382947232328637E-2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4A-4358-919A-0E2E1AC62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231736"/>
        <c:axId val="952237136"/>
      </c:scatterChart>
      <c:valAx>
        <c:axId val="952231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en-US" b="1">
                    <a:solidFill>
                      <a:schemeClr val="tx1"/>
                    </a:solidFill>
                  </a:rPr>
                  <a:t>Standard deviation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2237136"/>
        <c:crosses val="autoZero"/>
        <c:crossBetween val="midCat"/>
      </c:valAx>
      <c:valAx>
        <c:axId val="952237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en-US" b="1">
                    <a:solidFill>
                      <a:schemeClr val="tx1"/>
                    </a:solidFill>
                  </a:rPr>
                  <a:t>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52231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 alignWithMargins="0">
      <c:oddHeader>&amp;A</c:oddHeader>
      <c:oddFooter>Page &amp;P</c:oddFooter>
    </c:headerFooter>
    <c:pageMargins b="1" l="0.75000000000000111" r="0.75000000000000111" t="1" header="0.5" footer="0.5"/>
    <c:pageSetup orientation="landscape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499256</xdr:colOff>
      <xdr:row>7</xdr:row>
      <xdr:rowOff>59496</xdr:rowOff>
    </xdr:from>
    <xdr:to>
      <xdr:col>41</xdr:col>
      <xdr:colOff>98767</xdr:colOff>
      <xdr:row>112</xdr:row>
      <xdr:rowOff>16121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0805C72-46B8-4E3F-FB63-83CA34C580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713487" y="1290419"/>
          <a:ext cx="10555459" cy="1869156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15</xdr:col>
      <xdr:colOff>148297</xdr:colOff>
      <xdr:row>33</xdr:row>
      <xdr:rowOff>132324</xdr:rowOff>
    </xdr:from>
    <xdr:to>
      <xdr:col>22</xdr:col>
      <xdr:colOff>472880</xdr:colOff>
      <xdr:row>48</xdr:row>
      <xdr:rowOff>340116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3DC0745-10E1-ABBE-C97B-320933D76F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1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1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8\chapter_06.xlsm" TargetMode="External"/><Relationship Id="rId1" Type="http://schemas.openxmlformats.org/officeDocument/2006/relationships/externalLinkPath" Target="/lizhengdong/&#20132;&#26131;&#26694;&#26550;/5_&#24037;&#20855;&#31665;/_&#20070;&#24211;/&#32534;&#31243;/Excel/CH08/chapter_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J30 prices, Jul97-Jul07"/>
      <sheetName val="DJ30 prices, Jul97-Jul07 (中文）"/>
      <sheetName val="DJ30 Returns"/>
      <sheetName val="DJ30 Returns (中文）"/>
      <sheetName val="Exercise 1"/>
      <sheetName val="Exercise 1 (中文）"/>
      <sheetName val="Exercise 2"/>
      <sheetName val="Exercise 2 (中文）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">
          <cell r="B26">
            <v>0.45099889135118731</v>
          </cell>
          <cell r="C26">
            <v>0.12000000000000001</v>
          </cell>
        </row>
        <row r="27">
          <cell r="B27">
            <v>0.42287350354449976</v>
          </cell>
          <cell r="C27">
            <v>0.11710000000000001</v>
          </cell>
        </row>
        <row r="28">
          <cell r="B28">
            <v>0.39735123002200468</v>
          </cell>
          <cell r="C28">
            <v>0.11420000000000002</v>
          </cell>
        </row>
        <row r="29">
          <cell r="B29">
            <v>0.37496399827183408</v>
          </cell>
          <cell r="C29">
            <v>0.11130000000000001</v>
          </cell>
        </row>
        <row r="30">
          <cell r="B30">
            <v>0.35630324163554844</v>
          </cell>
          <cell r="C30">
            <v>0.10840000000000002</v>
          </cell>
        </row>
        <row r="31">
          <cell r="B31">
            <v>0.3419795315512319</v>
          </cell>
          <cell r="C31">
            <v>0.10550000000000001</v>
          </cell>
        </row>
        <row r="32">
          <cell r="B32">
            <v>0.33255375505322443</v>
          </cell>
          <cell r="C32">
            <v>0.10260000000000001</v>
          </cell>
        </row>
        <row r="33">
          <cell r="B33">
            <v>0.3284478649648982</v>
          </cell>
          <cell r="C33">
            <v>9.9700000000000011E-2</v>
          </cell>
        </row>
        <row r="34">
          <cell r="B34">
            <v>0.32986057660775409</v>
          </cell>
          <cell r="C34">
            <v>9.6800000000000011E-2</v>
          </cell>
        </row>
        <row r="35">
          <cell r="B35">
            <v>0.33672243762481879</v>
          </cell>
          <cell r="C35">
            <v>9.3900000000000011E-2</v>
          </cell>
        </row>
        <row r="36">
          <cell r="B36">
            <v>0.34871191548325386</v>
          </cell>
          <cell r="C36">
            <v>9.1000000000000011E-2</v>
          </cell>
        </row>
        <row r="37">
          <cell r="B37">
            <v>0.36532451327552606</v>
          </cell>
          <cell r="C37">
            <v>8.8100000000000012E-2</v>
          </cell>
        </row>
        <row r="38">
          <cell r="B38">
            <v>0.38596372886580932</v>
          </cell>
          <cell r="C38">
            <v>8.5200000000000012E-2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V100"/>
  <sheetViews>
    <sheetView tabSelected="1" topLeftCell="A73" zoomScale="130" zoomScaleNormal="130" workbookViewId="0">
      <selection activeCell="H98" sqref="H98"/>
    </sheetView>
  </sheetViews>
  <sheetFormatPr defaultRowHeight="13.8" x14ac:dyDescent="0.25"/>
  <cols>
    <col min="1" max="1" width="10.109375" style="2" customWidth="1"/>
    <col min="2" max="2" width="8.88671875" style="2"/>
    <col min="3" max="3" width="9.5546875" style="2" bestFit="1" customWidth="1"/>
    <col min="4" max="7" width="8.88671875" style="2"/>
    <col min="8" max="8" width="10.109375" style="2" customWidth="1"/>
    <col min="9" max="17" width="8.88671875" style="2"/>
  </cols>
  <sheetData>
    <row r="1" spans="1:22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22" x14ac:dyDescent="0.25">
      <c r="A2" s="3" t="s">
        <v>1</v>
      </c>
      <c r="F2" s="3" t="s">
        <v>2</v>
      </c>
    </row>
    <row r="3" spans="1:22" ht="15.6" x14ac:dyDescent="0.3">
      <c r="A3" s="4">
        <v>0.1</v>
      </c>
      <c r="B3" s="4">
        <v>0.02</v>
      </c>
      <c r="C3" s="4">
        <v>0.04</v>
      </c>
      <c r="D3" s="4">
        <v>0.05</v>
      </c>
      <c r="F3" s="2">
        <v>0.06</v>
      </c>
      <c r="Q3" s="21" t="s">
        <v>45</v>
      </c>
      <c r="R3" s="22"/>
      <c r="S3" s="22"/>
      <c r="T3" s="21"/>
      <c r="U3" s="22"/>
      <c r="V3" s="22"/>
    </row>
    <row r="4" spans="1:22" ht="15.6" x14ac:dyDescent="0.35">
      <c r="A4" s="4">
        <v>0.02</v>
      </c>
      <c r="B4" s="4">
        <v>0.2</v>
      </c>
      <c r="C4" s="4">
        <v>0.04</v>
      </c>
      <c r="D4" s="4">
        <v>0.01</v>
      </c>
      <c r="F4" s="2">
        <v>7.0000000000000007E-2</v>
      </c>
      <c r="Q4" s="2" t="s">
        <v>46</v>
      </c>
      <c r="R4" s="23"/>
      <c r="S4" s="28">
        <f>SUMPRODUCT(B11:B14,$F$3:$F$6)</f>
        <v>6.8129241113117106E-2</v>
      </c>
      <c r="T4" s="2" t="s">
        <v>47</v>
      </c>
      <c r="U4" s="23">
        <f>SUMPRODUCT(D11:D14,F3:F6)</f>
        <v>9.1860710517059421E-2</v>
      </c>
      <c r="V4" s="2" t="str">
        <f ca="1">[2]!getformula(U4)</f>
        <v>&lt;--  =SUMPRODUCT(D11:D14,F3:F6)</v>
      </c>
    </row>
    <row r="5" spans="1:22" ht="16.8" x14ac:dyDescent="0.35">
      <c r="A5" s="4">
        <v>0.04</v>
      </c>
      <c r="B5" s="4">
        <v>0.04</v>
      </c>
      <c r="C5" s="4">
        <v>0.4</v>
      </c>
      <c r="D5" s="4">
        <v>0.1</v>
      </c>
      <c r="F5" s="2">
        <v>0.08</v>
      </c>
      <c r="Q5" s="2" t="s">
        <v>48</v>
      </c>
      <c r="R5" s="24"/>
      <c r="S5" s="2">
        <f t="array" ref="S5">MMULT(MMULT(TRANSPOSE(B11:B14),A3:D6),B11:B14)</f>
        <v>7.3223135066728104E-2</v>
      </c>
      <c r="T5" s="2" t="s">
        <v>49</v>
      </c>
      <c r="U5" s="2">
        <f t="array" ref="U5">MMULT(MMULT(TRANSPOSE(D11:D14),A3:D6),D11:D14)</f>
        <v>0.38694569565002729</v>
      </c>
      <c r="V5" s="2" t="str">
        <f ca="1">[2]!getformula(U5)</f>
        <v>&lt;--  {=MMULT(MMULT(TRANSPOSE(D11:D14),A3:D6),D11:D14)}</v>
      </c>
    </row>
    <row r="6" spans="1:22" x14ac:dyDescent="0.25">
      <c r="A6" s="4">
        <v>0.05</v>
      </c>
      <c r="B6" s="4">
        <v>0.01</v>
      </c>
      <c r="C6" s="4">
        <v>0.1</v>
      </c>
      <c r="D6" s="4">
        <v>0.6</v>
      </c>
      <c r="F6" s="2">
        <v>0.09</v>
      </c>
      <c r="Q6" s="26" t="s">
        <v>50</v>
      </c>
      <c r="R6" s="27"/>
      <c r="S6" s="2">
        <f t="array" ref="S6">MMULT(MMULT(TRANSPOSE(B11:B14),A3:D6),D11:D14)</f>
        <v>9.8728961362542125E-2</v>
      </c>
      <c r="T6" s="2"/>
      <c r="U6" s="2"/>
      <c r="V6" s="2"/>
    </row>
    <row r="7" spans="1:22" ht="15.6" x14ac:dyDescent="0.35">
      <c r="Q7" s="2" t="s">
        <v>51</v>
      </c>
      <c r="R7" s="25"/>
      <c r="S7" s="2">
        <f>S6/SQRT(S5*U5)</f>
        <v>0.58653697976594477</v>
      </c>
      <c r="T7" s="2"/>
      <c r="U7" s="2"/>
      <c r="V7" s="2"/>
    </row>
    <row r="8" spans="1:22" x14ac:dyDescent="0.25">
      <c r="A8" s="2" t="s">
        <v>3</v>
      </c>
      <c r="B8" s="4">
        <v>0</v>
      </c>
      <c r="D8" s="4">
        <v>0.06</v>
      </c>
    </row>
    <row r="9" spans="1:22" x14ac:dyDescent="0.25">
      <c r="Q9" s="11"/>
      <c r="R9" s="20"/>
    </row>
    <row r="10" spans="1:22" ht="27.6" x14ac:dyDescent="0.25">
      <c r="A10" s="5" t="s">
        <v>4</v>
      </c>
      <c r="B10" s="6" t="s">
        <v>5</v>
      </c>
      <c r="C10" s="6"/>
      <c r="D10" s="6" t="s">
        <v>6</v>
      </c>
    </row>
    <row r="11" spans="1:22" ht="15.6" x14ac:dyDescent="0.3">
      <c r="B11" s="7">
        <f t="array" ref="B11:B14">MMULT(MINVERSE($A$3:$D$6),$F$3:$F$6-B8)/SUM(MMULT(MINVERSE($A$3:$D$6),$F$3:$F$6-B8))</f>
        <v>0.49193799414804196</v>
      </c>
      <c r="D11" s="7">
        <f t="array" ref="D11:D14">MMULT(MINVERSE($A$3:$D$6),$F$3:$F$6-D8)/SUM(MMULT(MINVERSE($A$3:$D$6),$F$3:$F$6-D8))</f>
        <v>-0.58037284558564872</v>
      </c>
      <c r="E11" s="2" t="str">
        <f ca="1">[2]!getformula(D11)</f>
        <v>&lt;--  {=MMULT(MINVERSE($A$3:$D$6),$F$3:$F$6-D8)/SUM(MMULT(MINVERSE($A$3:$D$6),$F$3:$F$6-D8))}</v>
      </c>
      <c r="Q11" s="21" t="s">
        <v>40</v>
      </c>
    </row>
    <row r="12" spans="1:22" x14ac:dyDescent="0.25">
      <c r="B12" s="7">
        <v>0.29981946087281336</v>
      </c>
      <c r="D12" s="7">
        <v>0.54308828702075285</v>
      </c>
      <c r="Q12" s="2" t="s">
        <v>41</v>
      </c>
      <c r="T12">
        <v>0.3</v>
      </c>
    </row>
    <row r="13" spans="1:22" ht="15.6" x14ac:dyDescent="0.35">
      <c r="B13" s="7">
        <v>0.11162298449853705</v>
      </c>
      <c r="D13" s="7">
        <v>0.4688709110094969</v>
      </c>
      <c r="Q13" s="2" t="s">
        <v>42</v>
      </c>
      <c r="T13" s="31">
        <f>T12*S4+(1-T12)*U4</f>
        <v>8.4741269695876725E-2</v>
      </c>
    </row>
    <row r="14" spans="1:22" ht="16.8" x14ac:dyDescent="0.35">
      <c r="B14" s="7">
        <v>9.6619560480607602E-2</v>
      </c>
      <c r="D14" s="7">
        <v>0.5684136475553988</v>
      </c>
      <c r="Q14" s="2" t="s">
        <v>43</v>
      </c>
      <c r="T14">
        <f>T12^2*S5+(1-T12)^2*U5+2*T12*(1-T12)*S6</f>
        <v>0.23765963679678659</v>
      </c>
    </row>
    <row r="15" spans="1:22" ht="15.6" x14ac:dyDescent="0.35">
      <c r="Q15" s="2" t="s">
        <v>44</v>
      </c>
      <c r="T15">
        <f>SQRT(T14)</f>
        <v>0.4875034736253544</v>
      </c>
    </row>
    <row r="16" spans="1:22" x14ac:dyDescent="0.25">
      <c r="J16" s="8" t="s">
        <v>7</v>
      </c>
      <c r="K16" s="8"/>
      <c r="L16" s="8"/>
      <c r="M16" s="8"/>
      <c r="N16" s="8"/>
    </row>
    <row r="17" spans="1:19" x14ac:dyDescent="0.25">
      <c r="A17" s="2" t="s">
        <v>8</v>
      </c>
      <c r="J17" s="9" t="s">
        <v>9</v>
      </c>
      <c r="K17" s="10" t="s">
        <v>10</v>
      </c>
      <c r="L17" s="10"/>
      <c r="M17" s="10"/>
      <c r="N17" s="10"/>
    </row>
    <row r="18" spans="1:19" x14ac:dyDescent="0.25">
      <c r="A18" s="2" t="s">
        <v>11</v>
      </c>
      <c r="K18" s="9" t="s">
        <v>12</v>
      </c>
      <c r="L18" s="9" t="s">
        <v>13</v>
      </c>
      <c r="M18" s="9" t="s">
        <v>14</v>
      </c>
      <c r="N18" s="9" t="s">
        <v>15</v>
      </c>
      <c r="Q18" s="3" t="s">
        <v>52</v>
      </c>
      <c r="R18" s="2"/>
      <c r="S18" s="2"/>
    </row>
    <row r="19" spans="1:19" ht="41.4" x14ac:dyDescent="0.25">
      <c r="A19" s="2" t="s">
        <v>16</v>
      </c>
      <c r="J19" s="11">
        <v>1</v>
      </c>
      <c r="K19" s="19">
        <v>1</v>
      </c>
      <c r="L19" s="7">
        <v>0</v>
      </c>
      <c r="M19" s="7">
        <v>0</v>
      </c>
      <c r="N19" s="7">
        <v>0</v>
      </c>
      <c r="O19" s="2">
        <f>COUNTIF(K19:N19,"="&amp;0)</f>
        <v>3</v>
      </c>
      <c r="Q19" s="15" t="s">
        <v>53</v>
      </c>
      <c r="R19" s="15" t="s">
        <v>54</v>
      </c>
      <c r="S19" s="15" t="s">
        <v>55</v>
      </c>
    </row>
    <row r="20" spans="1:19" x14ac:dyDescent="0.25">
      <c r="J20" s="11">
        <v>2</v>
      </c>
      <c r="K20" s="7">
        <v>0</v>
      </c>
      <c r="L20" s="19">
        <v>1</v>
      </c>
      <c r="M20" s="7">
        <v>0</v>
      </c>
      <c r="N20" s="7">
        <v>0</v>
      </c>
      <c r="O20" s="2">
        <f>COUNTIF(K20:N20,"="&amp;0)</f>
        <v>3</v>
      </c>
      <c r="R20" s="28">
        <f>T15</f>
        <v>0.4875034736253544</v>
      </c>
      <c r="S20" s="28">
        <f>T13</f>
        <v>8.4741269695876725E-2</v>
      </c>
    </row>
    <row r="21" spans="1:19" x14ac:dyDescent="0.25">
      <c r="B21" s="11" t="s">
        <v>12</v>
      </c>
      <c r="C21" s="11" t="s">
        <v>13</v>
      </c>
      <c r="D21" s="11" t="s">
        <v>14</v>
      </c>
      <c r="E21" s="11" t="s">
        <v>15</v>
      </c>
      <c r="J21" s="11">
        <v>3</v>
      </c>
      <c r="K21" s="7">
        <v>0</v>
      </c>
      <c r="L21" s="7">
        <v>0</v>
      </c>
      <c r="M21" s="19">
        <v>1</v>
      </c>
      <c r="N21" s="7">
        <v>0</v>
      </c>
      <c r="O21" s="2">
        <f>COUNTIF(K21:N21,"="&amp;0)</f>
        <v>3</v>
      </c>
      <c r="Q21" s="29">
        <v>0</v>
      </c>
      <c r="R21" s="30">
        <f t="dataTable" ref="R21:S33" dt2D="0" dtr="0" r1="T12"/>
        <v>0.62204959259694659</v>
      </c>
      <c r="S21" s="30">
        <v>9.1860710517059421E-2</v>
      </c>
    </row>
    <row r="22" spans="1:19" x14ac:dyDescent="0.25">
      <c r="B22" s="7">
        <f>K30</f>
        <v>0.59599999999999997</v>
      </c>
      <c r="C22" s="7">
        <f>L30</f>
        <v>0.27621152829190904</v>
      </c>
      <c r="D22" s="7">
        <f>M30</f>
        <v>7.6953992596509799E-2</v>
      </c>
      <c r="E22" s="7">
        <f>N30</f>
        <v>5.0834479111581149E-2</v>
      </c>
      <c r="J22" s="11">
        <v>4</v>
      </c>
      <c r="K22" s="7">
        <v>0</v>
      </c>
      <c r="L22" s="7">
        <v>0</v>
      </c>
      <c r="M22" s="7">
        <v>0</v>
      </c>
      <c r="N22" s="19">
        <v>1</v>
      </c>
      <c r="O22" s="2">
        <f>COUNTIF(K22:N22,"="&amp;0)</f>
        <v>3</v>
      </c>
      <c r="Q22" s="29">
        <v>0.1</v>
      </c>
      <c r="R22" s="30">
        <v>0.57613319455872958</v>
      </c>
      <c r="S22" s="30">
        <v>8.9487563576665194E-2</v>
      </c>
    </row>
    <row r="23" spans="1:19" x14ac:dyDescent="0.25">
      <c r="J23" s="11">
        <v>5</v>
      </c>
      <c r="K23" s="19">
        <v>0.5</v>
      </c>
      <c r="L23" s="19">
        <v>0.5</v>
      </c>
      <c r="M23" s="7">
        <v>0</v>
      </c>
      <c r="N23" s="7">
        <v>0</v>
      </c>
      <c r="O23" s="2">
        <f t="shared" ref="O23:O33" si="0">COUNTIF(K23:N23,"="&amp;0)</f>
        <v>2</v>
      </c>
      <c r="Q23" s="29">
        <v>0.2</v>
      </c>
      <c r="R23" s="30">
        <v>0.5311943507368091</v>
      </c>
      <c r="S23" s="30">
        <v>8.7114416636270953E-2</v>
      </c>
    </row>
    <row r="24" spans="1:19" x14ac:dyDescent="0.25">
      <c r="A24" s="2" t="s">
        <v>17</v>
      </c>
      <c r="J24" s="11">
        <v>6</v>
      </c>
      <c r="K24" s="19">
        <v>0.33333333333333331</v>
      </c>
      <c r="L24" s="19">
        <v>0.33333333333333331</v>
      </c>
      <c r="M24" s="19">
        <v>0.33333333333333331</v>
      </c>
      <c r="N24" s="7">
        <v>0</v>
      </c>
      <c r="O24" s="2">
        <f t="shared" si="0"/>
        <v>1</v>
      </c>
      <c r="Q24" s="29">
        <v>0.3</v>
      </c>
      <c r="R24" s="30">
        <v>0.4875034736253544</v>
      </c>
      <c r="S24" s="30">
        <v>8.4741269695876725E-2</v>
      </c>
    </row>
    <row r="25" spans="1:19" x14ac:dyDescent="0.25">
      <c r="A25" s="2" t="s">
        <v>18</v>
      </c>
      <c r="J25" s="11">
        <v>7</v>
      </c>
      <c r="K25" s="7">
        <v>0.4</v>
      </c>
      <c r="L25" s="7">
        <v>0.3</v>
      </c>
      <c r="M25" s="7">
        <v>0.2</v>
      </c>
      <c r="N25" s="7">
        <v>0.1</v>
      </c>
      <c r="O25" s="2">
        <f t="shared" si="0"/>
        <v>0</v>
      </c>
      <c r="Q25" s="29">
        <v>0.4</v>
      </c>
      <c r="R25" s="30">
        <v>0.44542794422746601</v>
      </c>
      <c r="S25" s="30">
        <v>8.2368122755482498E-2</v>
      </c>
    </row>
    <row r="26" spans="1:19" x14ac:dyDescent="0.25">
      <c r="A26" s="2" t="s">
        <v>19</v>
      </c>
      <c r="J26" s="11">
        <v>8</v>
      </c>
      <c r="K26" s="32">
        <v>0.25</v>
      </c>
      <c r="L26" s="32">
        <v>0.25</v>
      </c>
      <c r="M26" s="32">
        <v>0.25</v>
      </c>
      <c r="N26" s="32">
        <v>0.25</v>
      </c>
      <c r="O26" s="2">
        <f t="shared" si="0"/>
        <v>0</v>
      </c>
      <c r="Q26" s="29">
        <v>0.5</v>
      </c>
      <c r="R26" s="30">
        <v>0.40547094638267228</v>
      </c>
      <c r="S26" s="30">
        <v>7.9994975815088271E-2</v>
      </c>
    </row>
    <row r="27" spans="1:19" x14ac:dyDescent="0.25">
      <c r="A27" s="2" t="s">
        <v>20</v>
      </c>
      <c r="J27" s="11">
        <v>9</v>
      </c>
      <c r="K27" s="7">
        <v>0.1</v>
      </c>
      <c r="L27" s="7">
        <v>0.2</v>
      </c>
      <c r="M27" s="7">
        <v>0.3</v>
      </c>
      <c r="N27" s="7">
        <v>0.4</v>
      </c>
      <c r="O27" s="2">
        <f t="shared" si="0"/>
        <v>0</v>
      </c>
      <c r="Q27" s="29">
        <v>0.6</v>
      </c>
      <c r="R27" s="30">
        <v>0.36832260503809255</v>
      </c>
      <c r="S27" s="30">
        <v>7.7621828874694029E-2</v>
      </c>
    </row>
    <row r="28" spans="1:19" x14ac:dyDescent="0.25">
      <c r="J28" s="11">
        <v>10</v>
      </c>
      <c r="K28" s="7">
        <v>0</v>
      </c>
      <c r="L28" s="19">
        <v>0.33333333333333331</v>
      </c>
      <c r="M28" s="19">
        <v>0.33333333333333331</v>
      </c>
      <c r="N28" s="19">
        <v>0.33333333333333331</v>
      </c>
      <c r="O28" s="2">
        <f t="shared" si="0"/>
        <v>1</v>
      </c>
      <c r="Q28" s="29">
        <v>0.7</v>
      </c>
      <c r="R28" s="30">
        <v>0.33491881488424463</v>
      </c>
      <c r="S28" s="30">
        <v>7.5248681934299802E-2</v>
      </c>
    </row>
    <row r="29" spans="1:19" x14ac:dyDescent="0.25">
      <c r="B29" s="12" t="s">
        <v>21</v>
      </c>
      <c r="C29" s="7">
        <f>(B22-D11)/(B11-D11)</f>
        <v>1.0970446273561889</v>
      </c>
      <c r="D29" s="2" t="str">
        <f ca="1">[2]!getformula(C29)</f>
        <v>&lt;--  =(B22-D11)/(B11-D11)</v>
      </c>
      <c r="J29" s="11">
        <v>11</v>
      </c>
      <c r="K29" s="7">
        <v>0</v>
      </c>
      <c r="L29" s="7">
        <v>0</v>
      </c>
      <c r="M29" s="7">
        <v>0.5</v>
      </c>
      <c r="N29" s="7">
        <v>0.5</v>
      </c>
      <c r="O29" s="2">
        <f t="shared" si="0"/>
        <v>2</v>
      </c>
      <c r="Q29" s="29">
        <v>0.8</v>
      </c>
      <c r="R29" s="30">
        <v>0.30648638127120842</v>
      </c>
      <c r="S29" s="30">
        <v>7.2875534993905575E-2</v>
      </c>
    </row>
    <row r="30" spans="1:19" x14ac:dyDescent="0.25">
      <c r="J30" s="18">
        <v>12</v>
      </c>
      <c r="K30" s="19">
        <v>0.59599999999999997</v>
      </c>
      <c r="L30" s="19">
        <v>0.27621152829190904</v>
      </c>
      <c r="M30" s="19">
        <v>7.6953992596509799E-2</v>
      </c>
      <c r="N30" s="19">
        <v>5.0834479111581149E-2</v>
      </c>
      <c r="O30" s="2">
        <f t="shared" si="0"/>
        <v>0</v>
      </c>
      <c r="Q30" s="29">
        <v>0.9</v>
      </c>
      <c r="R30" s="30">
        <v>0.28451961163654016</v>
      </c>
      <c r="S30" s="30">
        <v>7.0502388053511333E-2</v>
      </c>
    </row>
    <row r="31" spans="1:19" x14ac:dyDescent="0.25">
      <c r="A31" s="2" t="s">
        <v>22</v>
      </c>
      <c r="J31" s="11">
        <v>13</v>
      </c>
      <c r="K31" s="7">
        <v>0.40699999999999997</v>
      </c>
      <c r="L31" s="7">
        <v>0.31908884188260178</v>
      </c>
      <c r="M31" s="7">
        <v>0.13992067689053408</v>
      </c>
      <c r="N31" s="7">
        <v>0.13399048122686397</v>
      </c>
      <c r="O31" s="2">
        <f t="shared" si="0"/>
        <v>0</v>
      </c>
      <c r="Q31" s="29">
        <v>1</v>
      </c>
      <c r="R31" s="30">
        <v>0.27059773662528686</v>
      </c>
      <c r="S31" s="30">
        <v>6.8129241113117106E-2</v>
      </c>
    </row>
    <row r="32" spans="1:19" x14ac:dyDescent="0.25">
      <c r="A32" s="2" t="s">
        <v>23</v>
      </c>
      <c r="J32" s="11">
        <v>14</v>
      </c>
      <c r="K32" s="7">
        <v>-4.3999999999999997E-2</v>
      </c>
      <c r="L32" s="7">
        <v>0.42140454785827614</v>
      </c>
      <c r="M32" s="7">
        <v>0.29017451084082496</v>
      </c>
      <c r="N32" s="7">
        <v>0.33242094130089883</v>
      </c>
      <c r="O32" s="2">
        <f t="shared" si="0"/>
        <v>0</v>
      </c>
      <c r="Q32" s="29">
        <v>1.1000000000000001</v>
      </c>
      <c r="R32" s="30">
        <v>0.26598699007184917</v>
      </c>
      <c r="S32" s="30">
        <v>6.5756094172722879E-2</v>
      </c>
    </row>
    <row r="33" spans="1:19" x14ac:dyDescent="0.25">
      <c r="A33" s="2" t="s">
        <v>24</v>
      </c>
      <c r="D33" s="7">
        <f>$C$29*B12+(1-$C$29)*D12</f>
        <v>0.27621152829190904</v>
      </c>
      <c r="J33" s="11">
        <v>15</v>
      </c>
      <c r="K33" s="7">
        <v>-0.496</v>
      </c>
      <c r="L33" s="7">
        <v>0.52394711792702298</v>
      </c>
      <c r="M33" s="7">
        <v>0.44076150185087254</v>
      </c>
      <c r="N33" s="7">
        <v>0.53129138022210443</v>
      </c>
      <c r="O33" s="2">
        <f t="shared" si="0"/>
        <v>0</v>
      </c>
      <c r="Q33" s="29">
        <v>1.2</v>
      </c>
      <c r="R33" s="30">
        <v>0.27116275715530946</v>
      </c>
      <c r="S33" s="30">
        <v>6.3382947232328637E-2</v>
      </c>
    </row>
    <row r="34" spans="1:19" x14ac:dyDescent="0.25">
      <c r="A34" s="2" t="s">
        <v>25</v>
      </c>
      <c r="D34" s="7">
        <f>$C$29*B13+(1-$C$29)*D13</f>
        <v>7.6953992596509799E-2</v>
      </c>
    </row>
    <row r="35" spans="1:19" x14ac:dyDescent="0.25">
      <c r="A35" s="2" t="s">
        <v>26</v>
      </c>
      <c r="D35" s="7">
        <f>$C$29*B14+(1-$C$29)*D14</f>
        <v>5.0834479111581149E-2</v>
      </c>
    </row>
    <row r="37" spans="1:19" x14ac:dyDescent="0.25">
      <c r="A37" s="2" t="s">
        <v>27</v>
      </c>
    </row>
    <row r="38" spans="1:19" x14ac:dyDescent="0.25">
      <c r="A38" s="2" t="s">
        <v>28</v>
      </c>
    </row>
    <row r="41" spans="1:19" x14ac:dyDescent="0.25">
      <c r="A41" s="3" t="s">
        <v>29</v>
      </c>
    </row>
    <row r="42" spans="1:19" x14ac:dyDescent="0.25">
      <c r="A42" s="3" t="s">
        <v>30</v>
      </c>
    </row>
    <row r="43" spans="1:19" x14ac:dyDescent="0.25">
      <c r="A43" s="2" t="s">
        <v>12</v>
      </c>
      <c r="B43" s="7">
        <v>0.25</v>
      </c>
    </row>
    <row r="44" spans="1:19" x14ac:dyDescent="0.25">
      <c r="A44" s="2" t="s">
        <v>13</v>
      </c>
      <c r="B44" s="7">
        <v>0.25</v>
      </c>
    </row>
    <row r="45" spans="1:19" x14ac:dyDescent="0.25">
      <c r="A45" s="2" t="s">
        <v>14</v>
      </c>
      <c r="B45" s="7">
        <v>0.25</v>
      </c>
    </row>
    <row r="46" spans="1:19" x14ac:dyDescent="0.25">
      <c r="A46" s="2" t="s">
        <v>15</v>
      </c>
      <c r="B46" s="7">
        <f>1-SUM(B43:B45)</f>
        <v>0.25</v>
      </c>
    </row>
    <row r="48" spans="1:19" x14ac:dyDescent="0.25">
      <c r="A48" s="13" t="s">
        <v>31</v>
      </c>
      <c r="B48" s="14"/>
      <c r="C48" s="14"/>
      <c r="D48" s="14"/>
    </row>
    <row r="49" spans="1:17" ht="27.6" x14ac:dyDescent="0.25">
      <c r="A49" s="15" t="s">
        <v>32</v>
      </c>
      <c r="B49" s="15" t="s">
        <v>33</v>
      </c>
      <c r="C49" s="15" t="s">
        <v>34</v>
      </c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</row>
    <row r="50" spans="1:17" x14ac:dyDescent="0.25">
      <c r="A50" s="11">
        <v>1</v>
      </c>
      <c r="B50" s="16">
        <f t="array" ref="B50">MMULT(K19:N19,$F$3:$F$6)</f>
        <v>0.06</v>
      </c>
      <c r="C50" s="7">
        <f t="array" ref="C50">MMULT(MMULT(K19:N19,$A$3:$D$6),$B$43:$B$46)/MMULT(MMULT(TRANSPOSE($B$43:$B$46),$A$3:$D$6),$B$43:$B$46)</f>
        <v>0.46153846153846156</v>
      </c>
      <c r="D50" s="2" t="str">
        <f ca="1">[2]!getformula(C50)</f>
        <v>&lt;--  {=MMULT(MMULT(K19:N19,$A$3:$D$6),$B$43:$B$46)/MMULT(MMULT(TRANSPOSE($B$43:$B$46),$A$3:$D$6),$B$43:$B$46)}</v>
      </c>
    </row>
    <row r="51" spans="1:17" x14ac:dyDescent="0.25">
      <c r="A51" s="11">
        <v>2</v>
      </c>
      <c r="B51" s="16">
        <f t="array" ref="B51">MMULT(K20:N20,$F$3:$F$6)</f>
        <v>7.0000000000000007E-2</v>
      </c>
      <c r="C51" s="7">
        <f t="array" ref="C51">MMULT(MMULT(K20:N20,$A$3:$D$6),$B$43:$B$46)/MMULT(MMULT(TRANSPOSE($B$43:$B$46),$A$3:$D$6),$B$43:$B$46)</f>
        <v>0.59340659340659341</v>
      </c>
    </row>
    <row r="52" spans="1:17" x14ac:dyDescent="0.25">
      <c r="A52" s="11">
        <v>3</v>
      </c>
      <c r="B52" s="16">
        <f t="array" ref="B52">MMULT(K21:N21,$F$3:$F$6)</f>
        <v>0.08</v>
      </c>
      <c r="C52" s="7">
        <f t="array" ref="C52">MMULT(MMULT(K21:N21,$A$3:$D$6),$B$43:$B$46)/MMULT(MMULT(TRANSPOSE($B$43:$B$46),$A$3:$D$6),$B$43:$B$46)</f>
        <v>1.2747252747252749</v>
      </c>
    </row>
    <row r="53" spans="1:17" x14ac:dyDescent="0.25">
      <c r="A53" s="11">
        <v>4</v>
      </c>
      <c r="B53" s="16">
        <f t="array" ref="B53">MMULT(K22:N22,$F$3:$F$6)</f>
        <v>0.09</v>
      </c>
      <c r="C53" s="7">
        <f t="array" ref="C53">MMULT(MMULT(K22:N22,$A$3:$D$6),$B$43:$B$46)/MMULT(MMULT(TRANSPOSE($B$43:$B$46),$A$3:$D$6),$B$43:$B$46)</f>
        <v>1.6703296703296704</v>
      </c>
    </row>
    <row r="54" spans="1:17" x14ac:dyDescent="0.25">
      <c r="A54" s="11">
        <v>5</v>
      </c>
      <c r="B54" s="16">
        <f t="array" ref="B54">MMULT(K23:N23,$F$3:$F$6)</f>
        <v>6.5000000000000002E-2</v>
      </c>
      <c r="C54" s="7">
        <f t="array" ref="C54">MMULT(MMULT(K23:N23,$A$3:$D$6),$B$43:$B$46)/MMULT(MMULT(TRANSPOSE($B$43:$B$46),$A$3:$D$6),$B$43:$B$46)</f>
        <v>0.52747252747252749</v>
      </c>
    </row>
    <row r="55" spans="1:17" x14ac:dyDescent="0.25">
      <c r="A55" s="11">
        <v>6</v>
      </c>
      <c r="B55" s="16">
        <f t="array" ref="B55">MMULT(K24:N24,$F$3:$F$6)</f>
        <v>7.0000000000000007E-2</v>
      </c>
      <c r="C55" s="7">
        <f t="array" ref="C55">MMULT(MMULT(K24:N24,$A$3:$D$6),$B$43:$B$46)/MMULT(MMULT(TRANSPOSE($B$43:$B$46),$A$3:$D$6),$B$43:$B$46)</f>
        <v>0.77655677655677668</v>
      </c>
    </row>
    <row r="56" spans="1:17" x14ac:dyDescent="0.25">
      <c r="A56" s="11">
        <v>7</v>
      </c>
      <c r="B56" s="16">
        <f t="array" ref="B56">MMULT(K25:N25,$F$3:$F$6)</f>
        <v>6.9999999999999993E-2</v>
      </c>
      <c r="C56" s="7">
        <f t="array" ref="C56">MMULT(MMULT(K25:N25,$A$3:$D$6),$B$43:$B$46)/MMULT(MMULT(TRANSPOSE($B$43:$B$46),$A$3:$D$6),$B$43:$B$46)</f>
        <v>0.7846153846153846</v>
      </c>
    </row>
    <row r="57" spans="1:17" x14ac:dyDescent="0.25">
      <c r="A57" s="11">
        <v>8</v>
      </c>
      <c r="B57" s="16">
        <f t="array" ref="B57">MMULT(K26:N26,$F$3:$F$6)</f>
        <v>7.5000000000000011E-2</v>
      </c>
      <c r="C57" s="7">
        <f t="array" ref="C57">MMULT(MMULT(K26:N26,$A$3:$D$6),$B$43:$B$46)/MMULT(MMULT(TRANSPOSE($B$43:$B$46),$A$3:$D$6),$B$43:$B$46)</f>
        <v>1</v>
      </c>
    </row>
    <row r="58" spans="1:17" x14ac:dyDescent="0.25">
      <c r="A58" s="11">
        <v>9</v>
      </c>
      <c r="B58" s="16">
        <f t="array" ref="B58">MMULT(K27:N27,$F$3:$F$6)</f>
        <v>0.08</v>
      </c>
      <c r="C58" s="7">
        <f t="array" ref="C58">MMULT(MMULT(K27:N27,$A$3:$D$6),$B$43:$B$46)/MMULT(MMULT(TRANSPOSE($B$43:$B$46),$A$3:$D$6),$B$43:$B$46)</f>
        <v>1.2153846153846153</v>
      </c>
    </row>
    <row r="59" spans="1:17" x14ac:dyDescent="0.25">
      <c r="A59" s="11">
        <v>10</v>
      </c>
      <c r="B59" s="16">
        <f t="array" ref="B59">MMULT(K28:N28,$F$3:$F$6)</f>
        <v>0.08</v>
      </c>
      <c r="C59" s="7">
        <f t="array" ref="C59">MMULT(MMULT(K28:N28,$A$3:$D$6),$B$43:$B$46)/MMULT(MMULT(TRANSPOSE($B$43:$B$46),$A$3:$D$6),$B$43:$B$46)</f>
        <v>1.1794871794871793</v>
      </c>
    </row>
    <row r="60" spans="1:17" x14ac:dyDescent="0.25">
      <c r="A60" s="11">
        <v>11</v>
      </c>
      <c r="B60" s="16">
        <f t="array" ref="B60">MMULT(K29:N29,$F$3:$F$6)</f>
        <v>8.4999999999999992E-2</v>
      </c>
      <c r="C60" s="7">
        <f t="array" ref="C60">MMULT(MMULT(K29:N29,$A$3:$D$6),$B$43:$B$46)/MMULT(MMULT(TRANSPOSE($B$43:$B$46),$A$3:$D$6),$B$43:$B$46)</f>
        <v>1.4725274725274724</v>
      </c>
    </row>
    <row r="61" spans="1:17" x14ac:dyDescent="0.25">
      <c r="A61" s="11">
        <v>12</v>
      </c>
      <c r="B61" s="16">
        <f t="array" ref="B61">MMULT(K30:N30,$F$3:$F$6)</f>
        <v>6.5826229508196721E-2</v>
      </c>
      <c r="C61" s="7">
        <f t="array" ref="C61">MMULT(MMULT(K30:N30,$A$3:$D$6),$B$43:$B$46)/MMULT(MMULT(TRANSPOSE($B$43:$B$46),$A$3:$D$6),$B$43:$B$46)</f>
        <v>0.62198820322987425</v>
      </c>
    </row>
    <row r="62" spans="1:17" x14ac:dyDescent="0.25">
      <c r="A62" s="11">
        <v>13</v>
      </c>
      <c r="B62" s="16">
        <f t="array" ref="B62">MMULT(K31:N31,$F$3:$F$6)</f>
        <v>7.0009016393442605E-2</v>
      </c>
      <c r="C62" s="7">
        <f t="array" ref="C62">MMULT(MMULT(K31:N31,$A$3:$D$6),$B$43:$B$46)/MMULT(MMULT(TRANSPOSE($B$43:$B$46),$A$3:$D$6),$B$43:$B$46)</f>
        <v>0.77936427612577774</v>
      </c>
    </row>
    <row r="63" spans="1:17" x14ac:dyDescent="0.25">
      <c r="A63" s="11">
        <v>14</v>
      </c>
      <c r="B63" s="16">
        <f t="array" ref="B63">MMULT(K32:N32,$F$3:$F$6)</f>
        <v>7.9990163934426234E-2</v>
      </c>
      <c r="C63" s="7">
        <f t="array" ref="C63">MMULT(MMULT(K32:N32,$A$3:$D$6),$B$43:$B$46)/MMULT(MMULT(TRANSPOSE($B$43:$B$46),$A$3:$D$6),$B$43:$B$46)</f>
        <v>1.1549018892265848</v>
      </c>
    </row>
    <row r="64" spans="1:17" x14ac:dyDescent="0.25">
      <c r="A64" s="11">
        <v>15</v>
      </c>
      <c r="B64" s="16">
        <f t="array" ref="B64">MMULT(K33:N33,$F$3:$F$6)</f>
        <v>8.9993442622950809E-2</v>
      </c>
      <c r="C64" s="7">
        <f t="array" ref="C64">MMULT(MMULT(K33:N33,$A$3:$D$6),$B$43:$B$46)/MMULT(MMULT(TRANSPOSE($B$43:$B$46),$A$3:$D$6),$B$43:$B$46)</f>
        <v>1.5312721799617619</v>
      </c>
    </row>
    <row r="66" spans="1:7" x14ac:dyDescent="0.25">
      <c r="A66" s="3" t="s">
        <v>35</v>
      </c>
    </row>
    <row r="67" spans="1:7" x14ac:dyDescent="0.25">
      <c r="A67" s="2" t="s">
        <v>36</v>
      </c>
      <c r="B67" s="7">
        <f>SLOPE(B50:B64,C50:C64)</f>
        <v>2.3078756844825795E-2</v>
      </c>
      <c r="C67" s="2" t="str">
        <f ca="1">[2]!getformula(B67)</f>
        <v>&lt;--  =SLOPE(B50:B64,C50:C64)</v>
      </c>
    </row>
    <row r="68" spans="1:7" x14ac:dyDescent="0.25">
      <c r="A68" s="2" t="s">
        <v>37</v>
      </c>
      <c r="B68" s="7">
        <f>INTERCEPT(B50:B64,C50:C64)</f>
        <v>5.2242129780375825E-2</v>
      </c>
      <c r="C68" s="2" t="str">
        <f ca="1">[2]!getformula(B68)</f>
        <v>&lt;--  =INTERCEPT(B50:B64,C50:C64)</v>
      </c>
    </row>
    <row r="69" spans="1:7" x14ac:dyDescent="0.25">
      <c r="A69" s="2" t="s">
        <v>38</v>
      </c>
      <c r="B69" s="7">
        <f>RSQ(B50:B64,C50:C64)</f>
        <v>0.96680362757629557</v>
      </c>
      <c r="C69" s="2" t="str">
        <f ca="1">[2]!getformula(B69)</f>
        <v>&lt;--  =RSQ(B50:B64,C50:C64)</v>
      </c>
    </row>
    <row r="72" spans="1:7" x14ac:dyDescent="0.25">
      <c r="A72" s="17" t="s">
        <v>39</v>
      </c>
      <c r="B72" s="17"/>
      <c r="C72" s="17"/>
      <c r="D72" s="17"/>
      <c r="E72" s="17"/>
      <c r="F72" s="17"/>
    </row>
    <row r="73" spans="1:7" x14ac:dyDescent="0.25">
      <c r="A73" s="3" t="s">
        <v>30</v>
      </c>
    </row>
    <row r="74" spans="1:7" x14ac:dyDescent="0.25">
      <c r="A74" s="2" t="s">
        <v>12</v>
      </c>
      <c r="B74" s="7">
        <f t="array" ref="B74:B77">TRANSPOSE(K33:N33)</f>
        <v>-0.496</v>
      </c>
    </row>
    <row r="75" spans="1:7" x14ac:dyDescent="0.25">
      <c r="A75" s="2" t="s">
        <v>13</v>
      </c>
      <c r="B75" s="7">
        <v>0.52394711792702298</v>
      </c>
    </row>
    <row r="76" spans="1:7" x14ac:dyDescent="0.25">
      <c r="A76" s="2" t="s">
        <v>14</v>
      </c>
      <c r="B76" s="7">
        <v>0.44076150185087254</v>
      </c>
    </row>
    <row r="77" spans="1:7" x14ac:dyDescent="0.25">
      <c r="A77" s="2" t="s">
        <v>15</v>
      </c>
      <c r="B77" s="7">
        <v>0.53129138022210443</v>
      </c>
    </row>
    <row r="79" spans="1:7" x14ac:dyDescent="0.25">
      <c r="A79" s="13" t="s">
        <v>31</v>
      </c>
      <c r="B79" s="14"/>
      <c r="C79" s="14"/>
      <c r="D79" s="14"/>
    </row>
    <row r="80" spans="1:7" ht="27.6" x14ac:dyDescent="0.25">
      <c r="A80" s="15" t="s">
        <v>32</v>
      </c>
      <c r="B80" s="15" t="s">
        <v>33</v>
      </c>
      <c r="C80" s="15" t="s">
        <v>34</v>
      </c>
      <c r="D80" s="15"/>
      <c r="E80" s="15"/>
      <c r="F80" s="15"/>
      <c r="G80" s="15"/>
    </row>
    <row r="81" spans="1:4" x14ac:dyDescent="0.25">
      <c r="A81" s="11">
        <v>1</v>
      </c>
      <c r="B81" s="16">
        <f t="array" ref="B81">MMULT(K19:N19,$F$3:$F$6)</f>
        <v>0.06</v>
      </c>
      <c r="C81" s="7">
        <f t="array" ref="C81">MMULT(MMULT(K19:N19,$A$3:$D$6),$B$74:$B$77)/MMULT(MMULT(TRANSPOSE($B$74:$B$77),$A$3:$D$6),$B$74:$B$77)</f>
        <v>1.4783587364095364E-2</v>
      </c>
      <c r="D81" s="2" t="str">
        <f ca="1">[2]!getformula(C81)</f>
        <v>&lt;--  {=MMULT(MMULT(K19:N19,$A$3:$D$6),$B$74:$B$77)/MMULT(MMULT(TRANSPOSE($B$74:$B$77),$A$3:$D$6),$B$74:$B$77)}</v>
      </c>
    </row>
    <row r="82" spans="1:4" x14ac:dyDescent="0.25">
      <c r="A82" s="11">
        <v>2</v>
      </c>
      <c r="B82" s="16">
        <f t="array" ref="B82">MMULT(K20:N20,$F$3:$F$6)</f>
        <v>7.0000000000000007E-2</v>
      </c>
      <c r="C82" s="7">
        <f t="array" ref="C82">MMULT(MMULT(K20:N20,$A$3:$D$6),$B$74:$B$77)/MMULT(MMULT(TRANSPOSE($B$74:$B$77),$A$3:$D$6),$B$74:$B$77)</f>
        <v>0.34326085655293576</v>
      </c>
    </row>
    <row r="83" spans="1:4" x14ac:dyDescent="0.25">
      <c r="A83" s="11">
        <v>3</v>
      </c>
      <c r="B83" s="16">
        <f t="array" ref="B83">MMULT(K21:N21,$F$3:$F$6)</f>
        <v>0.08</v>
      </c>
      <c r="C83" s="7">
        <f t="array" ref="C83">MMULT(MMULT(K21:N21,$A$3:$D$6),$B$74:$B$77)/MMULT(MMULT(TRANSPOSE($B$74:$B$77),$A$3:$D$6),$B$74:$B$77)</f>
        <v>0.67173812574177572</v>
      </c>
    </row>
    <row r="84" spans="1:4" x14ac:dyDescent="0.25">
      <c r="A84" s="11">
        <v>4</v>
      </c>
      <c r="B84" s="16">
        <f t="array" ref="B84">MMULT(K22:N22,$F$3:$F$6)</f>
        <v>0.09</v>
      </c>
      <c r="C84" s="7">
        <f t="array" ref="C84">MMULT(MMULT(K22:N22,$A$3:$D$6),$B$74:$B$77)/MMULT(MMULT(TRANSPOSE($B$74:$B$77),$A$3:$D$6),$B$74:$B$77)</f>
        <v>1.0002153949306154</v>
      </c>
    </row>
    <row r="85" spans="1:4" x14ac:dyDescent="0.25">
      <c r="A85" s="11">
        <v>5</v>
      </c>
      <c r="B85" s="16">
        <f t="array" ref="B85">MMULT(K23:N23,$F$3:$F$6)</f>
        <v>6.5000000000000002E-2</v>
      </c>
      <c r="C85" s="7">
        <f t="array" ref="C85">MMULT(MMULT(K23:N23,$A$3:$D$6),$B$74:$B$77)/MMULT(MMULT(TRANSPOSE($B$74:$B$77),$A$3:$D$6),$B$74:$B$77)</f>
        <v>0.17902222195851555</v>
      </c>
    </row>
    <row r="86" spans="1:4" x14ac:dyDescent="0.25">
      <c r="A86" s="11">
        <v>6</v>
      </c>
      <c r="B86" s="16">
        <f t="array" ref="B86">MMULT(K24:N24,$F$3:$F$6)</f>
        <v>7.0000000000000007E-2</v>
      </c>
      <c r="C86" s="7">
        <f t="array" ref="C86">MMULT(MMULT(K24:N24,$A$3:$D$6),$B$74:$B$77)/MMULT(MMULT(TRANSPOSE($B$74:$B$77),$A$3:$D$6),$B$74:$B$77)</f>
        <v>0.34326085655293559</v>
      </c>
    </row>
    <row r="87" spans="1:4" x14ac:dyDescent="0.25">
      <c r="A87" s="11">
        <v>7</v>
      </c>
      <c r="B87" s="16">
        <f t="array" ref="B87">MMULT(K25:N25,$F$3:$F$6)</f>
        <v>6.9999999999999993E-2</v>
      </c>
      <c r="C87" s="7">
        <f t="array" ref="C87">MMULT(MMULT(K25:N25,$A$3:$D$6),$B$74:$B$77)/MMULT(MMULT(TRANSPOSE($B$74:$B$77),$A$3:$D$6),$B$74:$B$77)</f>
        <v>0.34326085655293553</v>
      </c>
    </row>
    <row r="88" spans="1:4" x14ac:dyDescent="0.25">
      <c r="A88" s="11">
        <v>8</v>
      </c>
      <c r="B88" s="16">
        <f t="array" ref="B88">MMULT(K26:N26,$F$3:$F$6)</f>
        <v>7.5000000000000011E-2</v>
      </c>
      <c r="C88" s="7">
        <f t="array" ref="C88">MMULT(MMULT(K26:N26,$A$3:$D$6),$B$74:$B$77)/MMULT(MMULT(TRANSPOSE($B$74:$B$77),$A$3:$D$6),$B$74:$B$77)</f>
        <v>0.5074994911473556</v>
      </c>
    </row>
    <row r="89" spans="1:4" x14ac:dyDescent="0.25">
      <c r="A89" s="11">
        <v>9</v>
      </c>
      <c r="B89" s="16">
        <f t="array" ref="B89">MMULT(K27:N27,$F$3:$F$6)</f>
        <v>0.08</v>
      </c>
      <c r="C89" s="7">
        <f t="array" ref="C89">MMULT(MMULT(K27:N27,$A$3:$D$6),$B$74:$B$77)/MMULT(MMULT(TRANSPOSE($B$74:$B$77),$A$3:$D$6),$B$74:$B$77)</f>
        <v>0.67173812574177549</v>
      </c>
    </row>
    <row r="90" spans="1:4" x14ac:dyDescent="0.25">
      <c r="A90" s="11">
        <v>10</v>
      </c>
      <c r="B90" s="16">
        <f t="array" ref="B90">MMULT(K28:N28,$F$3:$F$6)</f>
        <v>0.08</v>
      </c>
      <c r="C90" s="7">
        <f t="array" ref="C90">MMULT(MMULT(K28:N28,$A$3:$D$6),$B$74:$B$77)/MMULT(MMULT(TRANSPOSE($B$74:$B$77),$A$3:$D$6),$B$74:$B$77)</f>
        <v>0.6717381257417756</v>
      </c>
    </row>
    <row r="91" spans="1:4" x14ac:dyDescent="0.25">
      <c r="A91" s="11">
        <v>11</v>
      </c>
      <c r="B91" s="16">
        <f t="array" ref="B91">MMULT(K29:N29,$F$3:$F$6)</f>
        <v>8.4999999999999992E-2</v>
      </c>
      <c r="C91" s="7">
        <f t="array" ref="C91">MMULT(MMULT(K29:N29,$A$3:$D$6),$B$74:$B$77)/MMULT(MMULT(TRANSPOSE($B$74:$B$77),$A$3:$D$6),$B$74:$B$77)</f>
        <v>0.83597676033619539</v>
      </c>
    </row>
    <row r="92" spans="1:4" x14ac:dyDescent="0.25">
      <c r="A92" s="11">
        <v>12</v>
      </c>
      <c r="B92" s="16">
        <f t="array" ref="B92">MMULT(K30:N30,$F$3:$F$6)</f>
        <v>6.5826229508196721E-2</v>
      </c>
      <c r="C92" s="7">
        <f t="array" ref="C92">MMULT(MMULT(K30:N30,$A$3:$D$6),$B$74:$B$77)/MMULT(MMULT(TRANSPOSE($B$74:$B$77),$A$3:$D$6),$B$74:$B$77)</f>
        <v>0.20616198321608525</v>
      </c>
    </row>
    <row r="93" spans="1:4" x14ac:dyDescent="0.25">
      <c r="A93" s="11">
        <v>13</v>
      </c>
      <c r="B93" s="16">
        <f t="array" ref="B93">MMULT(K31:N31,$F$3:$F$6)</f>
        <v>7.0009016393442605E-2</v>
      </c>
      <c r="C93" s="7">
        <f t="array" ref="C93">MMULT(MMULT(K31:N31,$A$3:$D$6),$B$74:$B$77)/MMULT(MMULT(TRANSPOSE($B$74:$B$77),$A$3:$D$6),$B$74:$B$77)</f>
        <v>0.3435570245825319</v>
      </c>
    </row>
    <row r="94" spans="1:4" x14ac:dyDescent="0.25">
      <c r="A94" s="11">
        <v>14</v>
      </c>
      <c r="B94" s="16">
        <f t="array" ref="B94">MMULT(K32:N32,$F$3:$F$6)</f>
        <v>7.9990163934426234E-2</v>
      </c>
      <c r="C94" s="7">
        <f t="array" ref="C94">MMULT(MMULT(K32:N32,$A$3:$D$6),$B$74:$B$77)/MMULT(MMULT(TRANSPOSE($B$74:$B$77),$A$3:$D$6),$B$74:$B$77)</f>
        <v>0.67141503334585217</v>
      </c>
    </row>
    <row r="95" spans="1:4" x14ac:dyDescent="0.25">
      <c r="A95" s="11">
        <v>15</v>
      </c>
      <c r="B95" s="16">
        <f t="array" ref="B95">MMULT(K33:N33,$F$3:$F$6)</f>
        <v>8.9993442622950809E-2</v>
      </c>
      <c r="C95" s="7">
        <f t="array" ref="C95">MMULT(MMULT(K33:N33,$A$3:$D$6),$B$74:$B$77)/MMULT(MMULT(TRANSPOSE($B$74:$B$77),$A$3:$D$6),$B$74:$B$77)</f>
        <v>1</v>
      </c>
    </row>
    <row r="97" spans="1:3" x14ac:dyDescent="0.25">
      <c r="A97" s="3" t="s">
        <v>35</v>
      </c>
    </row>
    <row r="98" spans="1:3" x14ac:dyDescent="0.25">
      <c r="A98" s="2" t="s">
        <v>36</v>
      </c>
      <c r="B98" s="7">
        <f>SLOPE(B81:B95,C81:C95)</f>
        <v>3.0443506866379387E-2</v>
      </c>
      <c r="C98" s="2" t="str">
        <f ca="1">[2]!getformula(B98)</f>
        <v>&lt;--  =SLOPE(B81:B95,C81:C95)</v>
      </c>
    </row>
    <row r="99" spans="1:3" x14ac:dyDescent="0.25">
      <c r="A99" s="2" t="s">
        <v>37</v>
      </c>
      <c r="B99" s="7">
        <f>INTERCEPT(B81:B95,C81:C95)</f>
        <v>5.9549935756571415E-2</v>
      </c>
      <c r="C99" s="2" t="str">
        <f ca="1">[2]!getformula(B99)</f>
        <v>&lt;--  =INTERCEPT(B81:B95,C81:C95)</v>
      </c>
    </row>
    <row r="100" spans="1:3" x14ac:dyDescent="0.25">
      <c r="A100" s="2" t="s">
        <v>38</v>
      </c>
      <c r="B100" s="7">
        <f>RSQ(B81:B95,C81:C95)</f>
        <v>1</v>
      </c>
      <c r="C100" s="2" t="str">
        <f ca="1">[2]!getformula(B100)</f>
        <v>&lt;--  =RSQ(B81:B95,C81:C95)</v>
      </c>
    </row>
  </sheetData>
  <mergeCells count="5">
    <mergeCell ref="A1:G1"/>
    <mergeCell ref="J16:N16"/>
    <mergeCell ref="A48:D48"/>
    <mergeCell ref="A72:F72"/>
    <mergeCell ref="A79:D79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2024-11-05T03:09:35Z</dcterms:modified>
</cp:coreProperties>
</file>