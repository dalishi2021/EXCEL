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practice\"/>
    </mc:Choice>
  </mc:AlternateContent>
  <xr:revisionPtr revIDLastSave="0" documentId="13_ncr:1_{1B6777B1-96F7-4B74-86C4-1CAC06E7BCB3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3" sheetId="3" r:id="rId1"/>
    <sheet name="Sheet2" sheetId="2" r:id="rId2"/>
    <sheet name="Sheet1" sheetId="1" r:id="rId3"/>
  </sheets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 a="1"/>
  <c r="B3" i="3" s="1"/>
  <c r="C7" i="3"/>
  <c r="D7" i="3"/>
  <c r="B8" i="3"/>
  <c r="D12" i="3"/>
  <c r="B13" i="3"/>
  <c r="C13" i="3"/>
  <c r="B18" i="3"/>
  <c r="C18" i="3"/>
  <c r="D18" i="3"/>
  <c r="C23" i="3"/>
  <c r="D23" i="3"/>
  <c r="B24" i="3"/>
  <c r="D28" i="3"/>
  <c r="B29" i="3"/>
  <c r="C29" i="3"/>
  <c r="C8" i="2"/>
  <c r="C7" i="2"/>
  <c r="C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D8" i="2"/>
  <c r="D6" i="2"/>
  <c r="D7" i="2"/>
  <c r="C16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B5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H9" i="3"/>
  <c r="H8" i="3"/>
  <c r="H6" i="3"/>
  <c r="H5" i="3"/>
  <c r="H4" i="3"/>
  <c r="C10" i="2"/>
  <c r="C9" i="2"/>
  <c r="N9" i="2"/>
  <c r="AD9" i="2"/>
  <c r="Q10" i="2"/>
  <c r="AG10" i="2"/>
  <c r="O9" i="2"/>
  <c r="R10" i="2"/>
  <c r="P9" i="2"/>
  <c r="AF9" i="2"/>
  <c r="S10" i="2"/>
  <c r="F9" i="2"/>
  <c r="Y10" i="2"/>
  <c r="AE10" i="2"/>
  <c r="Q9" i="2"/>
  <c r="AG9" i="2"/>
  <c r="T10" i="2"/>
  <c r="R9" i="2"/>
  <c r="E10" i="2"/>
  <c r="U10" i="2"/>
  <c r="O10" i="2"/>
  <c r="S9" i="2"/>
  <c r="F10" i="2"/>
  <c r="V10" i="2"/>
  <c r="I10" i="2"/>
  <c r="T9" i="2"/>
  <c r="G10" i="2"/>
  <c r="W10" i="2"/>
  <c r="V9" i="2"/>
  <c r="E9" i="2"/>
  <c r="U9" i="2"/>
  <c r="H10" i="2"/>
  <c r="X10" i="2"/>
  <c r="G9" i="2"/>
  <c r="W9" i="2"/>
  <c r="J10" i="2"/>
  <c r="Z10" i="2"/>
  <c r="K9" i="2"/>
  <c r="H9" i="2"/>
  <c r="X9" i="2"/>
  <c r="K10" i="2"/>
  <c r="AA10" i="2"/>
  <c r="I9" i="2"/>
  <c r="Y9" i="2"/>
  <c r="L10" i="2"/>
  <c r="AB10" i="2"/>
  <c r="L9" i="2"/>
  <c r="J9" i="2"/>
  <c r="Z9" i="2"/>
  <c r="M10" i="2"/>
  <c r="AC10" i="2"/>
  <c r="AB9" i="2"/>
  <c r="AA9" i="2"/>
  <c r="N10" i="2"/>
  <c r="AD10" i="2"/>
  <c r="M9" i="2"/>
  <c r="AC9" i="2"/>
  <c r="P10" i="2"/>
  <c r="AF10" i="2"/>
  <c r="AE9" i="2"/>
  <c r="D10" i="2"/>
  <c r="D9" i="2"/>
  <c r="C28" i="3" l="1"/>
  <c r="B23" i="3"/>
  <c r="D17" i="3"/>
  <c r="C12" i="3"/>
  <c r="B7" i="3"/>
  <c r="B28" i="3"/>
  <c r="D22" i="3"/>
  <c r="C17" i="3"/>
  <c r="B12" i="3"/>
  <c r="D6" i="3"/>
  <c r="D27" i="3"/>
  <c r="C22" i="3"/>
  <c r="B17" i="3"/>
  <c r="D11" i="3"/>
  <c r="C6" i="3"/>
  <c r="D32" i="3"/>
  <c r="C27" i="3"/>
  <c r="B22" i="3"/>
  <c r="D16" i="3"/>
  <c r="C11" i="3"/>
  <c r="B6" i="3"/>
  <c r="C32" i="3"/>
  <c r="B27" i="3"/>
  <c r="D21" i="3"/>
  <c r="C16" i="3"/>
  <c r="B11" i="3"/>
  <c r="D5" i="3"/>
  <c r="B32" i="3"/>
  <c r="D26" i="3"/>
  <c r="C21" i="3"/>
  <c r="B16" i="3"/>
  <c r="D10" i="3"/>
  <c r="C5" i="3"/>
  <c r="D31" i="3"/>
  <c r="C26" i="3"/>
  <c r="B21" i="3"/>
  <c r="D15" i="3"/>
  <c r="C10" i="3"/>
  <c r="B5" i="3"/>
  <c r="C31" i="3"/>
  <c r="B26" i="3"/>
  <c r="D20" i="3"/>
  <c r="C15" i="3"/>
  <c r="B10" i="3"/>
  <c r="D4" i="3"/>
  <c r="B31" i="3"/>
  <c r="D25" i="3"/>
  <c r="C20" i="3"/>
  <c r="B15" i="3"/>
  <c r="D9" i="3"/>
  <c r="C4" i="3"/>
  <c r="D30" i="3"/>
  <c r="C25" i="3"/>
  <c r="B20" i="3"/>
  <c r="D14" i="3"/>
  <c r="C9" i="3"/>
  <c r="B4" i="3"/>
  <c r="C30" i="3"/>
  <c r="B25" i="3"/>
  <c r="D19" i="3"/>
  <c r="C14" i="3"/>
  <c r="B9" i="3"/>
  <c r="D3" i="3"/>
  <c r="B30" i="3"/>
  <c r="D24" i="3"/>
  <c r="C19" i="3"/>
  <c r="B14" i="3"/>
  <c r="D8" i="3"/>
  <c r="C3" i="3"/>
  <c r="D29" i="3"/>
  <c r="C24" i="3"/>
  <c r="B19" i="3"/>
  <c r="D13" i="3"/>
  <c r="C8" i="3"/>
  <c r="G8" i="3"/>
  <c r="G9" i="3"/>
  <c r="G4" i="3" l="1"/>
  <c r="G5" i="3"/>
  <c r="G6" i="3"/>
</calcChain>
</file>

<file path=xl/sharedStrings.xml><?xml version="1.0" encoding="utf-8"?>
<sst xmlns="http://schemas.openxmlformats.org/spreadsheetml/2006/main" count="114" uniqueCount="77">
  <si>
    <t>PRICES FOR DOW-JONES 30 STOCKS, JULY 1997 - JULY 2007</t>
  </si>
  <si>
    <t>Date</t>
  </si>
  <si>
    <t>S&amp;P 500</t>
  </si>
  <si>
    <t>DJ30</t>
  </si>
  <si>
    <t>Alcoa
AA</t>
  </si>
  <si>
    <t>American International Group
AIG</t>
  </si>
  <si>
    <t>American Express
AXP</t>
  </si>
  <si>
    <t>Boeing
BA</t>
  </si>
  <si>
    <t>Citigroup
C</t>
  </si>
  <si>
    <t>Caterpillar
CAT</t>
  </si>
  <si>
    <t>Dupont
DD</t>
  </si>
  <si>
    <t>Disney
DIS</t>
  </si>
  <si>
    <t>General Electric
GE</t>
  </si>
  <si>
    <t>General Motors
GM</t>
  </si>
  <si>
    <t>Home Depot
HD</t>
  </si>
  <si>
    <t>Honeywell
HON</t>
  </si>
  <si>
    <t>Hewlett-Packard
HPQ</t>
  </si>
  <si>
    <t>IBM</t>
  </si>
  <si>
    <t>Intel
INTC</t>
  </si>
  <si>
    <t>Johnson &amp; Johnson
JNJ</t>
  </si>
  <si>
    <t>JP Morgan Chase
JPM</t>
  </si>
  <si>
    <t>Coca Cola
KO</t>
  </si>
  <si>
    <t>McDonalds
MCD</t>
  </si>
  <si>
    <t>3M
MMM</t>
  </si>
  <si>
    <t>Altria
MO</t>
  </si>
  <si>
    <t>Merck
MRK</t>
  </si>
  <si>
    <t>Microsoft
MSFT</t>
  </si>
  <si>
    <t>Pfizer
PFE</t>
  </si>
  <si>
    <t>Procter &amp; Gamble
PG</t>
  </si>
  <si>
    <t>ATT
T</t>
  </si>
  <si>
    <t>United Technologies
UTX</t>
  </si>
  <si>
    <t>Verizon
VZ</t>
  </si>
  <si>
    <t>Wal-mart
WMT</t>
  </si>
  <si>
    <t>Exxon-Mobil
XOM</t>
  </si>
  <si>
    <t>Average return</t>
  </si>
  <si>
    <t>Beta</t>
  </si>
  <si>
    <t>Alpha</t>
  </si>
  <si>
    <t>R-squared</t>
  </si>
  <si>
    <t>t-intercept</t>
  </si>
  <si>
    <t>t-slope</t>
  </si>
  <si>
    <t>Average
monthly return</t>
  </si>
  <si>
    <t>Alcoa</t>
  </si>
  <si>
    <t>Second-pass regression:  regressing monthly returns on Beta</t>
  </si>
  <si>
    <t>American International Group</t>
  </si>
  <si>
    <t>Intercept</t>
  </si>
  <si>
    <t>American Express</t>
  </si>
  <si>
    <t>Slope</t>
  </si>
  <si>
    <t>Boeing</t>
  </si>
  <si>
    <t>Citigroup</t>
  </si>
  <si>
    <t>Caterpillar</t>
  </si>
  <si>
    <t>t-statistic, intercept</t>
  </si>
  <si>
    <t>Dupont</t>
  </si>
  <si>
    <t>t-statistic, slope</t>
  </si>
  <si>
    <t>Disney</t>
  </si>
  <si>
    <t>General Electric</t>
  </si>
  <si>
    <t>General Motors</t>
  </si>
  <si>
    <t>DEPRESSING!!!!!</t>
  </si>
  <si>
    <t>Home Depot</t>
  </si>
  <si>
    <t>Honeywell</t>
  </si>
  <si>
    <t>Hewlett-Packard</t>
  </si>
  <si>
    <t>Intel</t>
  </si>
  <si>
    <t>Johnson &amp; Johnson</t>
  </si>
  <si>
    <t>JP Morgan Chase</t>
  </si>
  <si>
    <t>Coca Cola</t>
  </si>
  <si>
    <t>McDonalds</t>
  </si>
  <si>
    <t>3M</t>
  </si>
  <si>
    <t>Altria</t>
  </si>
  <si>
    <t>Merck</t>
  </si>
  <si>
    <t>Microsoft</t>
  </si>
  <si>
    <t>Pfizer</t>
  </si>
  <si>
    <t>Procter &amp; Gamble</t>
  </si>
  <si>
    <t>ATT</t>
  </si>
  <si>
    <t>United Technologies</t>
  </si>
  <si>
    <t>Verizon</t>
  </si>
  <si>
    <t>Wal-mart</t>
  </si>
  <si>
    <t>Exxon-Mobil</t>
  </si>
  <si>
    <t>First-pass regreesion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</si>
</sst>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8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0"/>
      <name val="Arial"/>
      <family val="2"/>
    </font>
    <font>
      <b/>
      <sz val="20"/>
      <color rgb="FF00B050"/>
      <name val="等线"/>
      <family val="3"/>
      <charset val="134"/>
      <scheme val="minor"/>
    </font>
    <font>
      <b/>
      <sz val="16"/>
      <color rgb="FF00B05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 vertical="center" wrapText="1"/>
    </xf>
    <xf numFmtId="176" fontId="0" fillId="0" borderId="0" xfId="0" applyNumberFormat="1" applyAlignment="1">
      <alignment horizontal="center"/>
    </xf>
    <xf numFmtId="2" fontId="0" fillId="0" borderId="0" xfId="0" applyNumberFormat="1" applyAlignment="1"/>
    <xf numFmtId="0" fontId="4" fillId="0" borderId="0" xfId="0" applyFont="1" applyAlignment="1"/>
    <xf numFmtId="14" fontId="0" fillId="0" borderId="0" xfId="0" applyNumberFormat="1" applyAlignment="1">
      <alignment horizontal="center"/>
    </xf>
    <xf numFmtId="10" fontId="0" fillId="0" borderId="0" xfId="1" applyNumberFormat="1" applyFont="1" applyAlignment="1"/>
    <xf numFmtId="1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Alignment="1">
      <alignment wrapText="1"/>
    </xf>
    <xf numFmtId="178" fontId="0" fillId="0" borderId="0" xfId="0" applyNumberFormat="1" applyAlignment="1"/>
    <xf numFmtId="0" fontId="0" fillId="3" borderId="0" xfId="0" applyFill="1" applyAlignment="1"/>
    <xf numFmtId="0" fontId="0" fillId="0" borderId="0" xfId="0" applyAlignment="1">
      <alignment vertical="center" wrapText="1"/>
    </xf>
    <xf numFmtId="10" fontId="0" fillId="0" borderId="0" xfId="0" applyNumberFormat="1" applyAlignment="1"/>
    <xf numFmtId="0" fontId="5" fillId="0" borderId="0" xfId="0" applyFont="1">
      <alignment vertical="center"/>
    </xf>
    <xf numFmtId="0" fontId="6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tintercept"/>
      <definedName name="tslop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DBA44-8D03-4C5F-AF8C-0D17D282BFA7}">
  <dimension ref="A2:K32"/>
  <sheetViews>
    <sheetView tabSelected="1" workbookViewId="0">
      <selection activeCell="G16" sqref="G16"/>
    </sheetView>
  </sheetViews>
  <sheetFormatPr defaultRowHeight="13.8" x14ac:dyDescent="0.25"/>
  <cols>
    <col min="1" max="1" width="30.44140625" bestFit="1" customWidth="1"/>
  </cols>
  <sheetData>
    <row r="2" spans="1:11" ht="41.4" x14ac:dyDescent="0.25">
      <c r="A2" s="2"/>
      <c r="B2" s="12" t="s">
        <v>40</v>
      </c>
      <c r="C2" s="2" t="s">
        <v>35</v>
      </c>
      <c r="D2" s="2" t="s">
        <v>36</v>
      </c>
      <c r="E2" s="2"/>
      <c r="F2" s="2"/>
      <c r="G2" s="2"/>
      <c r="H2" s="2"/>
      <c r="I2" s="2"/>
      <c r="J2" s="2"/>
      <c r="K2" s="2"/>
    </row>
    <row r="3" spans="1:11" ht="21" x14ac:dyDescent="0.4">
      <c r="A3" t="s">
        <v>41</v>
      </c>
      <c r="B3" s="16">
        <f t="array" ref="B3:D32">TRANSPOSE(Sheet2!D5:AG7)</f>
        <v>6.7567442045179922E-3</v>
      </c>
      <c r="C3" s="13">
        <v>1.4401528845822065</v>
      </c>
      <c r="D3" s="13">
        <v>1.0882785864036008E-3</v>
      </c>
      <c r="E3" s="2"/>
      <c r="F3" s="18" t="s">
        <v>42</v>
      </c>
      <c r="G3" s="2"/>
      <c r="H3" s="2"/>
      <c r="I3" s="2"/>
      <c r="J3" s="2"/>
      <c r="K3" s="2"/>
    </row>
    <row r="4" spans="1:11" x14ac:dyDescent="0.25">
      <c r="A4" t="s">
        <v>43</v>
      </c>
      <c r="B4" s="16">
        <v>5.5020981648155227E-3</v>
      </c>
      <c r="C4" s="13">
        <v>0.97891810253370393</v>
      </c>
      <c r="D4" s="13">
        <v>1.6490602918456305E-3</v>
      </c>
      <c r="E4" s="2"/>
      <c r="F4" s="2" t="s">
        <v>44</v>
      </c>
      <c r="G4" s="13">
        <f>INTERCEPT(B3:B32,$C$3:$C$32)</f>
        <v>6.2397064903468814E-3</v>
      </c>
      <c r="H4" s="2" t="str">
        <f ca="1">[1]!getformula(G4)</f>
        <v>&lt;--  =INTERCEPT(B3:B32,$C$3:$C$32)</v>
      </c>
      <c r="I4" s="2"/>
      <c r="J4" s="2"/>
      <c r="K4" s="2"/>
    </row>
    <row r="5" spans="1:11" x14ac:dyDescent="0.25">
      <c r="A5" t="s">
        <v>45</v>
      </c>
      <c r="B5" s="16">
        <v>8.4076362192317487E-3</v>
      </c>
      <c r="C5" s="13">
        <v>1.2533989295179273</v>
      </c>
      <c r="D5" s="13">
        <v>3.4742372629015692E-3</v>
      </c>
      <c r="E5" s="2"/>
      <c r="F5" s="2" t="s">
        <v>46</v>
      </c>
      <c r="G5" s="13">
        <f>SLOPE(B3:B32,$C$3:$C$32)</f>
        <v>-4.9311042146570896E-4</v>
      </c>
      <c r="H5" s="2" t="str">
        <f ca="1">[1]!getformula(G5)</f>
        <v>&lt;--  =SLOPE(B3:B32,$C$3:$C$32)</v>
      </c>
      <c r="I5" s="2"/>
      <c r="J5" s="2"/>
      <c r="K5" s="2"/>
    </row>
    <row r="6" spans="1:11" x14ac:dyDescent="0.25">
      <c r="A6" t="s">
        <v>47</v>
      </c>
      <c r="B6" s="16">
        <v>5.5654142187606037E-3</v>
      </c>
      <c r="C6" s="13">
        <v>0.82664899440892825</v>
      </c>
      <c r="D6" s="13">
        <v>2.3117100785816098E-3</v>
      </c>
      <c r="E6" s="2"/>
      <c r="F6" s="2" t="s">
        <v>37</v>
      </c>
      <c r="G6" s="13">
        <f>RSQ(B3:B32,$C$3:$C$32)</f>
        <v>4.6840486184515813E-3</v>
      </c>
      <c r="H6" s="2" t="str">
        <f ca="1">[1]!getformula(G6)</f>
        <v>&lt;--  =RSQ(B3:B32,$C$3:$C$32)</v>
      </c>
      <c r="I6" s="2"/>
      <c r="J6" s="2"/>
      <c r="K6" s="2"/>
    </row>
    <row r="7" spans="1:11" x14ac:dyDescent="0.25">
      <c r="A7" t="s">
        <v>48</v>
      </c>
      <c r="B7" s="16">
        <v>8.820487320819614E-3</v>
      </c>
      <c r="C7" s="13">
        <v>1.4041685048938732</v>
      </c>
      <c r="D7" s="13">
        <v>3.2936568174462971E-3</v>
      </c>
      <c r="E7" s="2"/>
      <c r="F7" s="2"/>
      <c r="G7" s="13"/>
      <c r="H7" s="2"/>
      <c r="I7" s="2"/>
      <c r="J7" s="2"/>
      <c r="K7" s="2"/>
    </row>
    <row r="8" spans="1:11" x14ac:dyDescent="0.25">
      <c r="A8" t="s">
        <v>49</v>
      </c>
      <c r="B8" s="16">
        <v>1.0409634263036458E-2</v>
      </c>
      <c r="C8" s="13">
        <v>0.93366973485191018</v>
      </c>
      <c r="D8" s="13">
        <v>6.7346947150610367E-3</v>
      </c>
      <c r="E8" s="2"/>
      <c r="F8" s="2" t="s">
        <v>50</v>
      </c>
      <c r="G8" s="13">
        <f>[1]!tintercept(B3:B32,$C$3:$C$32)</f>
        <v>4.272476308593836</v>
      </c>
      <c r="H8" s="2" t="str">
        <f ca="1">[1]!getformula(G8)</f>
        <v>&lt;--  =tintercept(B3:B32,$C$3:$C$32)</v>
      </c>
      <c r="I8" s="2"/>
      <c r="J8" s="2"/>
      <c r="K8" s="2"/>
    </row>
    <row r="9" spans="1:11" x14ac:dyDescent="0.25">
      <c r="A9" t="s">
        <v>51</v>
      </c>
      <c r="B9" s="16">
        <v>3.4979312921039807E-4</v>
      </c>
      <c r="C9" s="13">
        <v>0.80180281587150581</v>
      </c>
      <c r="D9" s="13">
        <v>-2.8061160405257394E-3</v>
      </c>
      <c r="E9" s="2"/>
      <c r="F9" s="2" t="s">
        <v>52</v>
      </c>
      <c r="G9" s="13">
        <f>[1]!tslope(B3:B32,$C$3:$C$32)</f>
        <v>-0.36300217785175337</v>
      </c>
      <c r="H9" s="2" t="str">
        <f ca="1">[1]!getformula(G9)</f>
        <v>&lt;--  =tslope(B3:B32,$C$3:$C$32)</v>
      </c>
      <c r="I9" s="2"/>
      <c r="J9" s="2"/>
      <c r="K9" s="2"/>
    </row>
    <row r="10" spans="1:11" x14ac:dyDescent="0.25">
      <c r="A10" t="s">
        <v>53</v>
      </c>
      <c r="B10" s="16">
        <v>2.8126028201150869E-3</v>
      </c>
      <c r="C10" s="13">
        <v>1.0285883334000898</v>
      </c>
      <c r="D10" s="13">
        <v>-1.2359379046173753E-3</v>
      </c>
      <c r="E10" s="2"/>
      <c r="F10" s="2"/>
      <c r="G10" s="2"/>
      <c r="H10" s="2"/>
      <c r="I10" s="2"/>
      <c r="J10" s="2"/>
      <c r="K10" s="2"/>
    </row>
    <row r="11" spans="1:11" x14ac:dyDescent="0.25">
      <c r="A11" t="s">
        <v>54</v>
      </c>
      <c r="B11" s="16">
        <v>5.9069823253274723E-3</v>
      </c>
      <c r="C11" s="13">
        <v>1.0096588752647795</v>
      </c>
      <c r="D11" s="13">
        <v>1.9329482614907183E-3</v>
      </c>
      <c r="E11" s="2"/>
      <c r="F11" s="2"/>
      <c r="G11" s="2"/>
      <c r="H11" s="2"/>
      <c r="I11" s="2"/>
      <c r="J11" s="2"/>
      <c r="K11" s="2"/>
    </row>
    <row r="12" spans="1:11" x14ac:dyDescent="0.25">
      <c r="A12" t="s">
        <v>55</v>
      </c>
      <c r="B12" s="16">
        <v>1.0238546930972741E-3</v>
      </c>
      <c r="C12" s="13">
        <v>1.1107384733850889</v>
      </c>
      <c r="D12" s="13">
        <v>-3.3480303439047442E-3</v>
      </c>
      <c r="E12" s="2"/>
      <c r="F12" s="14" t="s">
        <v>56</v>
      </c>
      <c r="G12" s="2"/>
      <c r="H12" s="2"/>
      <c r="I12" s="2"/>
      <c r="J12" s="2"/>
      <c r="K12" s="2"/>
    </row>
    <row r="13" spans="1:11" x14ac:dyDescent="0.25">
      <c r="A13" t="s">
        <v>57</v>
      </c>
      <c r="B13" s="16">
        <v>7.9350236636920556E-3</v>
      </c>
      <c r="C13" s="13">
        <v>1.2392740848951191</v>
      </c>
      <c r="D13" s="13">
        <v>3.0572203298563751E-3</v>
      </c>
      <c r="E13" s="2"/>
      <c r="F13" s="2"/>
      <c r="G13" s="2"/>
      <c r="H13" s="2"/>
      <c r="I13" s="2"/>
      <c r="J13" s="2"/>
      <c r="K13" s="2"/>
    </row>
    <row r="14" spans="1:11" x14ac:dyDescent="0.25">
      <c r="A14" t="s">
        <v>58</v>
      </c>
      <c r="B14" s="16">
        <v>3.6127357084137285E-3</v>
      </c>
      <c r="C14" s="13">
        <v>1.3569717591823245</v>
      </c>
      <c r="D14" s="13">
        <v>-1.7283276217539365E-3</v>
      </c>
      <c r="E14" s="2"/>
      <c r="F14" s="2"/>
      <c r="G14" s="2"/>
      <c r="H14" s="2"/>
      <c r="I14" s="2"/>
      <c r="J14" s="2"/>
      <c r="K14" s="2"/>
    </row>
    <row r="15" spans="1:11" x14ac:dyDescent="0.25">
      <c r="A15" t="s">
        <v>59</v>
      </c>
      <c r="B15" s="16">
        <v>5.3205079655448701E-3</v>
      </c>
      <c r="C15" s="13">
        <v>1.623003709151815</v>
      </c>
      <c r="D15" s="13">
        <v>-1.0676615280489502E-3</v>
      </c>
      <c r="E15" s="2"/>
      <c r="F15" s="2"/>
      <c r="G15" s="2"/>
      <c r="H15" s="2"/>
      <c r="I15" s="2"/>
      <c r="J15" s="2"/>
      <c r="K15" s="2"/>
    </row>
    <row r="16" spans="1:11" x14ac:dyDescent="0.25">
      <c r="A16" t="s">
        <v>17</v>
      </c>
      <c r="B16" s="16">
        <v>6.5999918744864159E-3</v>
      </c>
      <c r="C16" s="13">
        <v>1.3654704851926205</v>
      </c>
      <c r="D16" s="13">
        <v>1.2254774179120478E-3</v>
      </c>
      <c r="E16" s="2"/>
      <c r="F16" s="2"/>
      <c r="G16" s="2"/>
      <c r="H16" s="2"/>
      <c r="I16" s="2"/>
      <c r="J16" s="2"/>
      <c r="K16" s="2"/>
    </row>
    <row r="17" spans="1:11" x14ac:dyDescent="0.25">
      <c r="A17" t="s">
        <v>60</v>
      </c>
      <c r="B17" s="16">
        <v>1.1224458983724972E-3</v>
      </c>
      <c r="C17" s="13">
        <v>1.8464928101529952</v>
      </c>
      <c r="D17" s="13">
        <v>-6.1453804001417259E-3</v>
      </c>
      <c r="E17" s="2"/>
      <c r="F17" s="2"/>
      <c r="G17" s="2"/>
      <c r="H17" s="2"/>
      <c r="I17" s="2"/>
      <c r="J17" s="2"/>
      <c r="K17" s="2"/>
    </row>
    <row r="18" spans="1:11" x14ac:dyDescent="0.25">
      <c r="A18" t="s">
        <v>61</v>
      </c>
      <c r="B18" s="16">
        <v>7.171263755422182E-3</v>
      </c>
      <c r="C18" s="13">
        <v>0.40860699080068258</v>
      </c>
      <c r="D18" s="13">
        <v>5.562979868710541E-3</v>
      </c>
      <c r="E18" s="2"/>
      <c r="F18" s="2"/>
      <c r="G18" s="2"/>
      <c r="H18" s="2"/>
      <c r="I18" s="2"/>
      <c r="J18" s="2"/>
      <c r="K18" s="2"/>
    </row>
    <row r="19" spans="1:11" x14ac:dyDescent="0.25">
      <c r="A19" t="s">
        <v>62</v>
      </c>
      <c r="B19" s="16">
        <v>4.8631114717035536E-3</v>
      </c>
      <c r="C19" s="13">
        <v>1.6957314033041837</v>
      </c>
      <c r="D19" s="13">
        <v>-1.8113154312256914E-3</v>
      </c>
      <c r="E19" s="2"/>
      <c r="F19" s="2"/>
      <c r="G19" s="2"/>
      <c r="H19" s="2"/>
      <c r="I19" s="2"/>
      <c r="J19" s="2"/>
      <c r="K19" s="2"/>
    </row>
    <row r="20" spans="1:11" x14ac:dyDescent="0.25">
      <c r="A20" t="s">
        <v>63</v>
      </c>
      <c r="B20" s="16">
        <v>-8.1622915424286384E-4</v>
      </c>
      <c r="C20" s="13">
        <v>0.57764800819688666</v>
      </c>
      <c r="D20" s="13">
        <v>-3.0898612865606911E-3</v>
      </c>
      <c r="E20" s="2"/>
      <c r="F20" s="2"/>
      <c r="G20" s="2"/>
      <c r="H20" s="2"/>
      <c r="I20" s="2"/>
      <c r="J20" s="2"/>
      <c r="K20" s="2"/>
    </row>
    <row r="21" spans="1:11" ht="27.6" x14ac:dyDescent="0.25">
      <c r="A21" s="15" t="s">
        <v>64</v>
      </c>
      <c r="B21" s="16">
        <v>6.3889125096632709E-3</v>
      </c>
      <c r="C21" s="13">
        <v>0.9716135593094064</v>
      </c>
      <c r="D21" s="13">
        <v>2.5646254398658994E-3</v>
      </c>
      <c r="E21" s="2"/>
      <c r="F21" s="2"/>
      <c r="G21" s="2"/>
      <c r="H21" s="2"/>
      <c r="I21" s="2"/>
      <c r="J21" s="2"/>
      <c r="K21" s="2"/>
    </row>
    <row r="22" spans="1:11" x14ac:dyDescent="0.25">
      <c r="A22" t="s">
        <v>65</v>
      </c>
      <c r="B22" s="16">
        <v>6.9971225323216257E-3</v>
      </c>
      <c r="C22" s="13">
        <v>0.52443898285611723</v>
      </c>
      <c r="D22" s="13">
        <v>4.9329220054579841E-3</v>
      </c>
      <c r="E22" s="2"/>
      <c r="F22" s="2"/>
      <c r="G22" s="2"/>
      <c r="H22" s="2"/>
      <c r="I22" s="2"/>
      <c r="J22" s="2"/>
      <c r="K22" s="2"/>
    </row>
    <row r="23" spans="1:11" x14ac:dyDescent="0.25">
      <c r="A23" t="s">
        <v>66</v>
      </c>
      <c r="B23" s="16">
        <v>1.0269871801007727E-2</v>
      </c>
      <c r="C23" s="13">
        <v>0.38658575507720444</v>
      </c>
      <c r="D23" s="13">
        <v>8.7482638630118643E-3</v>
      </c>
      <c r="E23" s="2"/>
      <c r="F23" s="2"/>
      <c r="G23" s="2"/>
      <c r="H23" s="2"/>
      <c r="I23" s="2"/>
      <c r="J23" s="2"/>
      <c r="K23" s="2"/>
    </row>
    <row r="24" spans="1:11" x14ac:dyDescent="0.25">
      <c r="A24" t="s">
        <v>67</v>
      </c>
      <c r="B24" s="16">
        <v>2.4096260216747382E-3</v>
      </c>
      <c r="C24" s="13">
        <v>0.54157456252427938</v>
      </c>
      <c r="D24" s="13">
        <v>2.7797956928797725E-4</v>
      </c>
      <c r="E24" s="2"/>
      <c r="F24" s="2"/>
      <c r="G24" s="2"/>
      <c r="H24" s="2"/>
      <c r="I24" s="2"/>
      <c r="J24" s="2"/>
      <c r="K24" s="2"/>
    </row>
    <row r="25" spans="1:11" x14ac:dyDescent="0.25">
      <c r="A25" t="s">
        <v>68</v>
      </c>
      <c r="B25" s="16">
        <v>5.6850301045557753E-3</v>
      </c>
      <c r="C25" s="13">
        <v>1.4938354129419276</v>
      </c>
      <c r="D25" s="13">
        <v>-1.9473083474169216E-4</v>
      </c>
      <c r="E25" s="2"/>
      <c r="F25" s="2"/>
      <c r="G25" s="2"/>
      <c r="H25" s="2"/>
      <c r="I25" s="2"/>
      <c r="J25" s="2"/>
      <c r="K25" s="2"/>
    </row>
    <row r="26" spans="1:11" x14ac:dyDescent="0.25">
      <c r="A26" t="s">
        <v>69</v>
      </c>
      <c r="B26" s="16">
        <v>3.7070022778582859E-3</v>
      </c>
      <c r="C26" s="13">
        <v>0.59158796835500393</v>
      </c>
      <c r="D26" s="13">
        <v>1.3785022313626549E-3</v>
      </c>
      <c r="E26" s="2"/>
      <c r="F26" s="2"/>
      <c r="G26" s="2"/>
      <c r="H26" s="2"/>
      <c r="I26" s="2"/>
      <c r="J26" s="2"/>
      <c r="K26" s="2"/>
    </row>
    <row r="27" spans="1:11" x14ac:dyDescent="0.25">
      <c r="A27" t="s">
        <v>70</v>
      </c>
      <c r="B27" s="16">
        <v>5.5667313101839524E-3</v>
      </c>
      <c r="C27" s="13">
        <v>0.13536504363218452</v>
      </c>
      <c r="D27" s="13">
        <v>5.0339322553487487E-3</v>
      </c>
      <c r="E27" s="2"/>
      <c r="F27" s="2"/>
      <c r="G27" s="2"/>
      <c r="H27" s="2"/>
      <c r="I27" s="2"/>
      <c r="J27" s="2"/>
      <c r="K27" s="2"/>
    </row>
    <row r="28" spans="1:11" x14ac:dyDescent="0.25">
      <c r="A28" t="s">
        <v>71</v>
      </c>
      <c r="B28" s="16">
        <v>5.6470249501998342E-3</v>
      </c>
      <c r="C28" s="13">
        <v>0.83204260075117076</v>
      </c>
      <c r="D28" s="13">
        <v>2.3720914860817263E-3</v>
      </c>
      <c r="E28" s="2"/>
      <c r="F28" s="2"/>
      <c r="G28" s="2"/>
      <c r="H28" s="2"/>
      <c r="I28" s="2"/>
      <c r="J28" s="2"/>
      <c r="K28" s="2"/>
    </row>
    <row r="29" spans="1:11" x14ac:dyDescent="0.25">
      <c r="A29" t="s">
        <v>72</v>
      </c>
      <c r="B29" s="16">
        <v>1.1455953447407765E-2</v>
      </c>
      <c r="C29" s="13">
        <v>1.1822677487702653</v>
      </c>
      <c r="D29" s="13">
        <v>6.802527997196676E-3</v>
      </c>
      <c r="E29" s="2"/>
      <c r="F29" s="2"/>
      <c r="G29" s="2"/>
      <c r="H29" s="2"/>
      <c r="I29" s="2"/>
      <c r="J29" s="2"/>
      <c r="K29" s="2"/>
    </row>
    <row r="30" spans="1:11" x14ac:dyDescent="0.25">
      <c r="A30" t="s">
        <v>73</v>
      </c>
      <c r="B30" s="16">
        <v>4.5251675180388142E-3</v>
      </c>
      <c r="C30" s="13">
        <v>0.84368154879297885</v>
      </c>
      <c r="D30" s="13">
        <v>1.204422961562169E-3</v>
      </c>
      <c r="E30" s="2"/>
      <c r="F30" s="2"/>
      <c r="G30" s="2"/>
      <c r="H30" s="2"/>
      <c r="I30" s="2"/>
      <c r="J30" s="2"/>
      <c r="K30" s="2"/>
    </row>
    <row r="31" spans="1:11" x14ac:dyDescent="0.25">
      <c r="A31" t="s">
        <v>74</v>
      </c>
      <c r="B31" s="16">
        <v>8.5245496299530994E-3</v>
      </c>
      <c r="C31" s="13">
        <v>0.78298467061698618</v>
      </c>
      <c r="D31" s="13">
        <v>5.4427089917693412E-3</v>
      </c>
      <c r="E31" s="2"/>
      <c r="F31" s="2"/>
      <c r="G31" s="2"/>
      <c r="H31" s="2"/>
      <c r="I31" s="2"/>
      <c r="J31" s="2"/>
      <c r="K31" s="2"/>
    </row>
    <row r="32" spans="1:11" x14ac:dyDescent="0.25">
      <c r="A32" t="s">
        <v>75</v>
      </c>
      <c r="B32" s="16">
        <v>1.0009654529639093E-2</v>
      </c>
      <c r="C32" s="13">
        <v>0.50307952266749079</v>
      </c>
      <c r="D32" s="13">
        <v>8.0295251920199442E-3</v>
      </c>
      <c r="E32" s="2"/>
      <c r="F32" s="2"/>
      <c r="G32" s="2"/>
      <c r="H32" s="2"/>
      <c r="I32" s="2"/>
      <c r="J32" s="2"/>
      <c r="K32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42A07-CB07-4A95-AF67-F01CF4386D7D}">
  <dimension ref="A3:AG138"/>
  <sheetViews>
    <sheetView workbookViewId="0">
      <selection activeCell="D15" sqref="D15"/>
    </sheetView>
  </sheetViews>
  <sheetFormatPr defaultRowHeight="13.8" x14ac:dyDescent="0.25"/>
  <cols>
    <col min="1" max="1" width="11.109375" bestFit="1" customWidth="1"/>
  </cols>
  <sheetData>
    <row r="3" spans="1:33" ht="25.2" x14ac:dyDescent="0.25">
      <c r="A3" s="17" t="s">
        <v>76</v>
      </c>
    </row>
    <row r="5" spans="1:33" x14ac:dyDescent="0.25">
      <c r="A5" s="6" t="s">
        <v>34</v>
      </c>
      <c r="B5" s="9">
        <f>AVERAGE(B19:B138)</f>
        <v>3.9360165707398725E-3</v>
      </c>
      <c r="C5" s="9">
        <f t="shared" ref="C5:AG5" si="0">AVERAGE(C19:C138)</f>
        <v>4.17222659454136E-3</v>
      </c>
      <c r="D5" s="9">
        <f t="shared" si="0"/>
        <v>6.7567442045179922E-3</v>
      </c>
      <c r="E5" s="9">
        <f t="shared" si="0"/>
        <v>5.5020981648155227E-3</v>
      </c>
      <c r="F5" s="9">
        <f t="shared" si="0"/>
        <v>8.4076362192317487E-3</v>
      </c>
      <c r="G5" s="9">
        <f t="shared" si="0"/>
        <v>5.5654142187606037E-3</v>
      </c>
      <c r="H5" s="9">
        <f t="shared" si="0"/>
        <v>8.820487320819614E-3</v>
      </c>
      <c r="I5" s="9">
        <f t="shared" si="0"/>
        <v>1.0409634263036458E-2</v>
      </c>
      <c r="J5" s="9">
        <f t="shared" si="0"/>
        <v>3.4979312921039807E-4</v>
      </c>
      <c r="K5" s="9">
        <f t="shared" si="0"/>
        <v>2.8126028201150869E-3</v>
      </c>
      <c r="L5" s="9">
        <f t="shared" si="0"/>
        <v>5.9069823253274723E-3</v>
      </c>
      <c r="M5" s="9">
        <f t="shared" si="0"/>
        <v>1.0238546930972741E-3</v>
      </c>
      <c r="N5" s="9">
        <f t="shared" si="0"/>
        <v>7.9350236636920556E-3</v>
      </c>
      <c r="O5" s="9">
        <f t="shared" si="0"/>
        <v>3.6127357084137285E-3</v>
      </c>
      <c r="P5" s="9">
        <f t="shared" si="0"/>
        <v>5.3205079655448701E-3</v>
      </c>
      <c r="Q5" s="9">
        <f t="shared" si="0"/>
        <v>6.5999918744864159E-3</v>
      </c>
      <c r="R5" s="9">
        <f t="shared" si="0"/>
        <v>1.1224458983724972E-3</v>
      </c>
      <c r="S5" s="9">
        <f t="shared" si="0"/>
        <v>7.171263755422182E-3</v>
      </c>
      <c r="T5" s="9">
        <f t="shared" si="0"/>
        <v>4.8631114717035536E-3</v>
      </c>
      <c r="U5" s="9">
        <f t="shared" si="0"/>
        <v>-8.1622915424286384E-4</v>
      </c>
      <c r="V5" s="9">
        <f t="shared" si="0"/>
        <v>6.3889125096632709E-3</v>
      </c>
      <c r="W5" s="9">
        <f t="shared" si="0"/>
        <v>6.9971225323216257E-3</v>
      </c>
      <c r="X5" s="9">
        <f t="shared" si="0"/>
        <v>1.0269871801007727E-2</v>
      </c>
      <c r="Y5" s="9">
        <f t="shared" si="0"/>
        <v>2.4096260216747382E-3</v>
      </c>
      <c r="Z5" s="9">
        <f t="shared" si="0"/>
        <v>5.6850301045557753E-3</v>
      </c>
      <c r="AA5" s="9">
        <f t="shared" si="0"/>
        <v>3.7070022778582859E-3</v>
      </c>
      <c r="AB5" s="9">
        <f t="shared" si="0"/>
        <v>5.5667313101839524E-3</v>
      </c>
      <c r="AC5" s="9">
        <f t="shared" si="0"/>
        <v>5.6470249501998342E-3</v>
      </c>
      <c r="AD5" s="9">
        <f t="shared" si="0"/>
        <v>1.1455953447407765E-2</v>
      </c>
      <c r="AE5" s="9">
        <f t="shared" si="0"/>
        <v>4.5251675180388142E-3</v>
      </c>
      <c r="AF5" s="9">
        <f t="shared" si="0"/>
        <v>8.5245496299530994E-3</v>
      </c>
      <c r="AG5" s="9">
        <f t="shared" si="0"/>
        <v>1.0009654529639093E-2</v>
      </c>
    </row>
    <row r="6" spans="1:33" x14ac:dyDescent="0.25">
      <c r="A6" s="6" t="s">
        <v>35</v>
      </c>
      <c r="C6" s="11">
        <f>SLOPE(C19:C138,$B$19:$B$138)</f>
        <v>0.94323510819760703</v>
      </c>
      <c r="D6" s="11">
        <f>SLOPE(D19:D138,$B$19:$B$138)</f>
        <v>1.4401528845822065</v>
      </c>
      <c r="E6" s="11">
        <f t="shared" ref="E6:AG6" si="1">SLOPE(E19:E138,$B$19:$B$138)</f>
        <v>0.97891810253370393</v>
      </c>
      <c r="F6" s="11">
        <f t="shared" si="1"/>
        <v>1.2533989295179273</v>
      </c>
      <c r="G6" s="11">
        <f t="shared" si="1"/>
        <v>0.82664899440892825</v>
      </c>
      <c r="H6" s="11">
        <f t="shared" si="1"/>
        <v>1.4041685048938732</v>
      </c>
      <c r="I6" s="11">
        <f t="shared" si="1"/>
        <v>0.93366973485191018</v>
      </c>
      <c r="J6" s="11">
        <f t="shared" si="1"/>
        <v>0.80180281587150581</v>
      </c>
      <c r="K6" s="11">
        <f t="shared" si="1"/>
        <v>1.0285883334000898</v>
      </c>
      <c r="L6" s="11">
        <f t="shared" si="1"/>
        <v>1.0096588752647795</v>
      </c>
      <c r="M6" s="11">
        <f t="shared" si="1"/>
        <v>1.1107384733850889</v>
      </c>
      <c r="N6" s="11">
        <f t="shared" si="1"/>
        <v>1.2392740848951191</v>
      </c>
      <c r="O6" s="11">
        <f t="shared" si="1"/>
        <v>1.3569717591823245</v>
      </c>
      <c r="P6" s="11">
        <f t="shared" si="1"/>
        <v>1.623003709151815</v>
      </c>
      <c r="Q6" s="11">
        <f t="shared" si="1"/>
        <v>1.3654704851926205</v>
      </c>
      <c r="R6" s="11">
        <f t="shared" si="1"/>
        <v>1.8464928101529952</v>
      </c>
      <c r="S6" s="11">
        <f t="shared" si="1"/>
        <v>0.40860699080068258</v>
      </c>
      <c r="T6" s="11">
        <f t="shared" si="1"/>
        <v>1.6957314033041837</v>
      </c>
      <c r="U6" s="11">
        <f t="shared" si="1"/>
        <v>0.57764800819688666</v>
      </c>
      <c r="V6" s="11">
        <f t="shared" si="1"/>
        <v>0.9716135593094064</v>
      </c>
      <c r="W6" s="11">
        <f t="shared" si="1"/>
        <v>0.52443898285611723</v>
      </c>
      <c r="X6" s="11">
        <f t="shared" si="1"/>
        <v>0.38658575507720444</v>
      </c>
      <c r="Y6" s="11">
        <f t="shared" si="1"/>
        <v>0.54157456252427938</v>
      </c>
      <c r="Z6" s="11">
        <f t="shared" si="1"/>
        <v>1.4938354129419276</v>
      </c>
      <c r="AA6" s="11">
        <f t="shared" si="1"/>
        <v>0.59158796835500393</v>
      </c>
      <c r="AB6" s="11">
        <f t="shared" si="1"/>
        <v>0.13536504363218452</v>
      </c>
      <c r="AC6" s="11">
        <f t="shared" si="1"/>
        <v>0.83204260075117076</v>
      </c>
      <c r="AD6" s="11">
        <f t="shared" si="1"/>
        <v>1.1822677487702653</v>
      </c>
      <c r="AE6" s="11">
        <f t="shared" si="1"/>
        <v>0.84368154879297885</v>
      </c>
      <c r="AF6" s="11">
        <f t="shared" si="1"/>
        <v>0.78298467061698618</v>
      </c>
      <c r="AG6" s="11">
        <f t="shared" si="1"/>
        <v>0.50307952266749079</v>
      </c>
    </row>
    <row r="7" spans="1:33" x14ac:dyDescent="0.25">
      <c r="A7" s="6" t="s">
        <v>36</v>
      </c>
      <c r="C7">
        <f>INTERCEPT(C19:C138,$B$19:$B$138)</f>
        <v>4.5963757857196219E-4</v>
      </c>
      <c r="D7">
        <f>INTERCEPT(D19:D138,$B$19:$B$138)</f>
        <v>1.0882785864036008E-3</v>
      </c>
      <c r="E7">
        <f t="shared" ref="E7:AG7" si="2">INTERCEPT(E19:E138,$B$19:$B$138)</f>
        <v>1.6490602918456305E-3</v>
      </c>
      <c r="F7">
        <f t="shared" si="2"/>
        <v>3.4742372629015692E-3</v>
      </c>
      <c r="G7">
        <f t="shared" si="2"/>
        <v>2.3117100785816098E-3</v>
      </c>
      <c r="H7">
        <f t="shared" si="2"/>
        <v>3.2936568174462971E-3</v>
      </c>
      <c r="I7">
        <f t="shared" si="2"/>
        <v>6.7346947150610367E-3</v>
      </c>
      <c r="J7">
        <f t="shared" si="2"/>
        <v>-2.8061160405257394E-3</v>
      </c>
      <c r="K7">
        <f t="shared" si="2"/>
        <v>-1.2359379046173753E-3</v>
      </c>
      <c r="L7">
        <f t="shared" si="2"/>
        <v>1.9329482614907183E-3</v>
      </c>
      <c r="M7">
        <f t="shared" si="2"/>
        <v>-3.3480303439047442E-3</v>
      </c>
      <c r="N7">
        <f t="shared" si="2"/>
        <v>3.0572203298563751E-3</v>
      </c>
      <c r="O7">
        <f t="shared" si="2"/>
        <v>-1.7283276217539365E-3</v>
      </c>
      <c r="P7">
        <f t="shared" si="2"/>
        <v>-1.0676615280489502E-3</v>
      </c>
      <c r="Q7">
        <f t="shared" si="2"/>
        <v>1.2254774179120478E-3</v>
      </c>
      <c r="R7">
        <f t="shared" si="2"/>
        <v>-6.1453804001417259E-3</v>
      </c>
      <c r="S7">
        <f t="shared" si="2"/>
        <v>5.562979868710541E-3</v>
      </c>
      <c r="T7">
        <f t="shared" si="2"/>
        <v>-1.8113154312256914E-3</v>
      </c>
      <c r="U7">
        <f t="shared" si="2"/>
        <v>-3.0898612865606911E-3</v>
      </c>
      <c r="V7">
        <f t="shared" si="2"/>
        <v>2.5646254398658994E-3</v>
      </c>
      <c r="W7">
        <f t="shared" si="2"/>
        <v>4.9329220054579841E-3</v>
      </c>
      <c r="X7">
        <f t="shared" si="2"/>
        <v>8.7482638630118643E-3</v>
      </c>
      <c r="Y7">
        <f t="shared" si="2"/>
        <v>2.7797956928797725E-4</v>
      </c>
      <c r="Z7">
        <f t="shared" si="2"/>
        <v>-1.9473083474169216E-4</v>
      </c>
      <c r="AA7">
        <f t="shared" si="2"/>
        <v>1.3785022313626549E-3</v>
      </c>
      <c r="AB7">
        <f t="shared" si="2"/>
        <v>5.0339322553487487E-3</v>
      </c>
      <c r="AC7">
        <f t="shared" si="2"/>
        <v>2.3720914860817263E-3</v>
      </c>
      <c r="AD7">
        <f t="shared" si="2"/>
        <v>6.802527997196676E-3</v>
      </c>
      <c r="AE7">
        <f t="shared" si="2"/>
        <v>1.204422961562169E-3</v>
      </c>
      <c r="AF7">
        <f t="shared" si="2"/>
        <v>5.4427089917693412E-3</v>
      </c>
      <c r="AG7">
        <f t="shared" si="2"/>
        <v>8.0295251920199442E-3</v>
      </c>
    </row>
    <row r="8" spans="1:33" x14ac:dyDescent="0.25">
      <c r="A8" s="6" t="s">
        <v>37</v>
      </c>
      <c r="C8">
        <f>RSQ(C19:C138,$B$19:$B$138)</f>
        <v>0.85261157120227615</v>
      </c>
      <c r="D8">
        <f>RSQ(D19:D138,$B$19:$B$138)</f>
        <v>0.3763077422894579</v>
      </c>
      <c r="E8">
        <f t="shared" ref="E8:AG8" si="3">RSQ(E19:E138,$B$19:$B$138)</f>
        <v>0.352498740953677</v>
      </c>
      <c r="F8">
        <f t="shared" si="3"/>
        <v>0.53062087392518187</v>
      </c>
      <c r="G8">
        <f t="shared" si="3"/>
        <v>0.15639986071980294</v>
      </c>
      <c r="H8">
        <f t="shared" si="3"/>
        <v>0.51508620146084727</v>
      </c>
      <c r="I8">
        <f t="shared" si="3"/>
        <v>0.22172895191063416</v>
      </c>
      <c r="J8">
        <f t="shared" si="3"/>
        <v>0.24608787949412822</v>
      </c>
      <c r="K8">
        <f t="shared" si="3"/>
        <v>0.2877758100780794</v>
      </c>
      <c r="L8">
        <f t="shared" si="3"/>
        <v>0.43589817105040507</v>
      </c>
      <c r="M8">
        <f t="shared" si="3"/>
        <v>0.20414211141956368</v>
      </c>
      <c r="N8">
        <f t="shared" si="3"/>
        <v>0.38477384542702542</v>
      </c>
      <c r="O8">
        <f t="shared" si="3"/>
        <v>0.29519223893143665</v>
      </c>
      <c r="P8">
        <f t="shared" si="3"/>
        <v>0.35213844887056023</v>
      </c>
      <c r="Q8">
        <f t="shared" si="3"/>
        <v>0.43724513864240139</v>
      </c>
      <c r="R8">
        <f t="shared" si="3"/>
        <v>0.36065794852863203</v>
      </c>
      <c r="S8">
        <f t="shared" si="3"/>
        <v>9.0992276811713957E-2</v>
      </c>
      <c r="T8">
        <f t="shared" si="3"/>
        <v>0.51331663837802888</v>
      </c>
      <c r="U8">
        <f t="shared" si="3"/>
        <v>0.12082132740793994</v>
      </c>
      <c r="V8">
        <f t="shared" si="3"/>
        <v>0.31089088006952059</v>
      </c>
      <c r="W8">
        <f t="shared" si="3"/>
        <v>0.12627019599584338</v>
      </c>
      <c r="X8">
        <f t="shared" si="3"/>
        <v>3.7193516717952908E-2</v>
      </c>
      <c r="Y8">
        <f t="shared" si="3"/>
        <v>7.4592781607059316E-2</v>
      </c>
      <c r="Z8">
        <f t="shared" si="3"/>
        <v>0.3602472551608944</v>
      </c>
      <c r="AA8">
        <f t="shared" si="3"/>
        <v>0.13601765353935263</v>
      </c>
      <c r="AB8">
        <f t="shared" si="3"/>
        <v>7.199572269212225E-3</v>
      </c>
      <c r="AC8">
        <f t="shared" si="3"/>
        <v>0.18849303960658476</v>
      </c>
      <c r="AD8">
        <f t="shared" si="3"/>
        <v>0.39104387750381797</v>
      </c>
      <c r="AE8">
        <f t="shared" si="3"/>
        <v>0.20969569899276796</v>
      </c>
      <c r="AF8">
        <f t="shared" si="3"/>
        <v>0.21428403465282525</v>
      </c>
      <c r="AG8">
        <f t="shared" si="3"/>
        <v>0.17965950614884113</v>
      </c>
    </row>
    <row r="9" spans="1:33" x14ac:dyDescent="0.25">
      <c r="A9" s="6" t="s">
        <v>38</v>
      </c>
      <c r="C9">
        <f>[1]!tintercept(C19:C138,$B$19:$B$138)</f>
        <v>0.29400061567419356</v>
      </c>
      <c r="D9">
        <f>[1]!tintercept(D19:D138,$B$19:$B$138)</f>
        <v>0.14724028117449672</v>
      </c>
      <c r="E9">
        <f>[1]!tintercept(E19:E138,$B$19:$B$138)</f>
        <v>0.31178656945459338</v>
      </c>
      <c r="F9">
        <f>[1]!tintercept(F19:F138,$B$19:$B$138)</f>
        <v>0.73928038994913481</v>
      </c>
      <c r="G9">
        <f>[1]!tintercept(G19:G138,$B$19:$B$138)</f>
        <v>0.30204443378859874</v>
      </c>
      <c r="H9">
        <f>[1]!tintercept(H19:H138,$B$19:$B$138)</f>
        <v>0.6064228503218595</v>
      </c>
      <c r="I9">
        <f>[1]!tintercept(I19:I138,$B$19:$B$138)</f>
        <v>0.96578209530910186</v>
      </c>
      <c r="J9">
        <f>[1]!tintercept(J19:J138,$B$19:$B$138)</f>
        <v>-0.50156999826149018</v>
      </c>
      <c r="K9">
        <f>[1]!tintercept(K19:K138,$B$19:$B$138)</f>
        <v>-0.19159430360538385</v>
      </c>
      <c r="L9">
        <f>[1]!tintercept(L19:L138,$B$19:$B$138)</f>
        <v>0.42215125464552022</v>
      </c>
      <c r="M9">
        <f>[1]!tintercept(M19:M138,$B$19:$B$138)</f>
        <v>-0.38294364023079613</v>
      </c>
      <c r="N9">
        <f>[1]!tintercept(N19:N138,$B$19:$B$138)</f>
        <v>0.48938820751237372</v>
      </c>
      <c r="O9">
        <f>[1]!tintercept(O19:O138,$B$19:$B$138)</f>
        <v>-0.2067669600091708</v>
      </c>
      <c r="P9">
        <f>[1]!tintercept(P19:P138,$B$19:$B$138)</f>
        <v>-0.12165737852964659</v>
      </c>
      <c r="Q9">
        <f>[1]!tintercept(Q19:Q138,$B$19:$B$138)</f>
        <v>0.19844246598015511</v>
      </c>
      <c r="R9">
        <f>[1]!tintercept(R19:R138,$B$19:$B$138)</f>
        <v>-0.62703390032766826</v>
      </c>
      <c r="S9">
        <f>[1]!tintercept(S19:S138,$B$19:$B$138)</f>
        <v>1.0805103410437191</v>
      </c>
      <c r="T9">
        <f>[1]!tintercept(T19:T138,$B$19:$B$138)</f>
        <v>-0.27517894275672411</v>
      </c>
      <c r="U9">
        <f>[1]!tintercept(U19:U138,$B$19:$B$138)</f>
        <v>-0.4974136335537736</v>
      </c>
      <c r="V9">
        <f>[1]!tintercept(V19:V138,$B$19:$B$138)</f>
        <v>0.44473276218023755</v>
      </c>
      <c r="W9">
        <f>[1]!tintercept(W19:W138,$B$19:$B$138)</f>
        <v>0.89697406712192196</v>
      </c>
      <c r="X9">
        <f>[1]!tintercept(X19:X138,$B$19:$B$138)</f>
        <v>1.1157037630602424</v>
      </c>
      <c r="Y9">
        <f>[1]!tintercept(Y19:Y138,$B$19:$B$138)</f>
        <v>3.6554877468157408E-2</v>
      </c>
      <c r="Z9">
        <f>[1]!tintercept(Z19:Z138,$B$19:$B$138)</f>
        <v>-2.4537764197933343E-2</v>
      </c>
      <c r="AA9">
        <f>[1]!tintercept(AA19:AA138,$B$19:$B$138)</f>
        <v>0.23192208036154432</v>
      </c>
      <c r="AB9">
        <f>[1]!tintercept(AB19:AB138,$B$19:$B$138)</f>
        <v>0.79438669483555135</v>
      </c>
      <c r="AC9">
        <f>[1]!tintercept(AC19:AC138,$B$19:$B$138)</f>
        <v>0.34466418638035351</v>
      </c>
      <c r="AD9">
        <f>[1]!tintercept(AD19:AD138,$B$19:$B$138)</f>
        <v>1.1565994794028343</v>
      </c>
      <c r="AE9">
        <f>[1]!tintercept(AE19:AE138,$B$19:$B$138)</f>
        <v>0.18446195893927353</v>
      </c>
      <c r="AF9">
        <f>[1]!tintercept(AF19:AF138,$B$19:$B$138)</f>
        <v>0.91061065118132734</v>
      </c>
      <c r="AG9">
        <f>[1]!tintercept(AG19:AG138,$B$19:$B$138)</f>
        <v>1.8736566257189569</v>
      </c>
    </row>
    <row r="10" spans="1:33" x14ac:dyDescent="0.25">
      <c r="A10" s="6" t="s">
        <v>39</v>
      </c>
      <c r="C10">
        <f>[1]!tslope(C19:C138,$B$19:$B$138)</f>
        <v>26.126721761864502</v>
      </c>
      <c r="D10">
        <f>[1]!tslope(D19:D138,$B$19:$B$138)</f>
        <v>8.4377645799476468</v>
      </c>
      <c r="E10">
        <f>[1]!tslope(E19:E138,$B$19:$B$138)</f>
        <v>8.0149253197080643</v>
      </c>
      <c r="F10">
        <f>[1]!tslope(F19:F138,$B$19:$B$138)</f>
        <v>11.549715403631183</v>
      </c>
      <c r="G10">
        <f>[1]!tslope(G19:G138,$B$19:$B$138)</f>
        <v>4.6772530111316621</v>
      </c>
      <c r="H10">
        <f>[1]!tslope(H19:H138,$B$19:$B$138)</f>
        <v>11.195633947858671</v>
      </c>
      <c r="I10">
        <f>[1]!tslope(I19:I138,$B$19:$B$138)</f>
        <v>5.7981142440001205</v>
      </c>
      <c r="J10">
        <f>[1]!tslope(J19:J138,$B$19:$B$138)</f>
        <v>6.2061997995112987</v>
      </c>
      <c r="K10">
        <f>[1]!tslope(K19:K138,$B$19:$B$138)</f>
        <v>6.9049380457698053</v>
      </c>
      <c r="L10">
        <f>[1]!tslope(L19:L138,$B$19:$B$138)</f>
        <v>9.5489313953603574</v>
      </c>
      <c r="M10">
        <f>[1]!tslope(M19:M138,$B$19:$B$138)</f>
        <v>5.5016067239682398</v>
      </c>
      <c r="N10">
        <f>[1]!tslope(N19:N138,$B$19:$B$138)</f>
        <v>8.5906570246930976</v>
      </c>
      <c r="O10">
        <f>[1]!tslope(O19:O138,$B$19:$B$138)</f>
        <v>7.0300454421562488</v>
      </c>
      <c r="P10">
        <f>[1]!tslope(P19:P138,$B$19:$B$138)</f>
        <v>8.008600388281204</v>
      </c>
      <c r="Q10">
        <f>[1]!tslope(Q19:Q138,$B$19:$B$138)</f>
        <v>9.575112180484906</v>
      </c>
      <c r="R10">
        <f>[1]!tslope(R19:R138,$B$19:$B$138)</f>
        <v>8.158721761445122</v>
      </c>
      <c r="S10">
        <f>[1]!tslope(S19:S138,$B$19:$B$138)</f>
        <v>3.4368413361836723</v>
      </c>
      <c r="T10">
        <f>[1]!tslope(T19:T138,$B$19:$B$138)</f>
        <v>11.156049300464908</v>
      </c>
      <c r="U10">
        <f>[1]!tslope(U19:U138,$B$19:$B$138)</f>
        <v>4.0269314146988497</v>
      </c>
      <c r="V10">
        <f>[1]!tslope(V19:V138,$B$19:$B$138)</f>
        <v>7.2962716670941994</v>
      </c>
      <c r="W10">
        <f>[1]!tslope(W19:W138,$B$19:$B$138)</f>
        <v>4.1295512070500564</v>
      </c>
      <c r="X10">
        <f>[1]!tslope(X19:X138,$B$19:$B$138)</f>
        <v>2.1350356075647925</v>
      </c>
      <c r="Y10">
        <f>[1]!tslope(Y19:Y138,$B$19:$B$138)</f>
        <v>3.0840610291931054</v>
      </c>
      <c r="Z10">
        <f>[1]!tslope(Z19:Z138,$B$19:$B$138)</f>
        <v>8.1514574319243209</v>
      </c>
      <c r="AA10">
        <f>[1]!tslope(AA19:AA138,$B$19:$B$138)</f>
        <v>4.3100887065846232</v>
      </c>
      <c r="AB10">
        <f>[1]!tslope(AB19:AB138,$B$19:$B$138)</f>
        <v>0.92504609384545367</v>
      </c>
      <c r="AC10">
        <f>[1]!tslope(AC19:AC138,$B$19:$B$138)</f>
        <v>5.2353116298494751</v>
      </c>
      <c r="AD10">
        <f>[1]!tslope(AD19:AD138,$B$19:$B$138)</f>
        <v>8.7048391057818222</v>
      </c>
      <c r="AE10">
        <f>[1]!tslope(AE19:AE138,$B$19:$B$138)</f>
        <v>5.595496035258634</v>
      </c>
      <c r="AF10">
        <f>[1]!tslope(AF19:AF138,$B$19:$B$138)</f>
        <v>5.6728737987585456</v>
      </c>
      <c r="AG10">
        <f>[1]!tslope(AG19:AG138,$B$19:$B$138)</f>
        <v>5.0835725916570862</v>
      </c>
    </row>
    <row r="16" spans="1:33" x14ac:dyDescent="0.25">
      <c r="C16" s="10">
        <f>COUNTA(D17:AG17)</f>
        <v>30</v>
      </c>
    </row>
    <row r="17" spans="1:33" ht="69" x14ac:dyDescent="0.25">
      <c r="A17" s="3" t="s">
        <v>1</v>
      </c>
      <c r="B17" s="3" t="s">
        <v>2</v>
      </c>
      <c r="C17" s="3" t="s">
        <v>3</v>
      </c>
      <c r="D17" s="3" t="s">
        <v>4</v>
      </c>
      <c r="E17" s="3" t="s">
        <v>5</v>
      </c>
      <c r="F17" s="3" t="s">
        <v>6</v>
      </c>
      <c r="G17" s="3" t="s">
        <v>7</v>
      </c>
      <c r="H17" s="3" t="s">
        <v>8</v>
      </c>
      <c r="I17" s="3" t="s">
        <v>9</v>
      </c>
      <c r="J17" s="3" t="s">
        <v>10</v>
      </c>
      <c r="K17" s="3" t="s">
        <v>11</v>
      </c>
      <c r="L17" s="3" t="s">
        <v>12</v>
      </c>
      <c r="M17" s="3" t="s">
        <v>13</v>
      </c>
      <c r="N17" s="3" t="s">
        <v>14</v>
      </c>
      <c r="O17" s="3" t="s">
        <v>15</v>
      </c>
      <c r="P17" s="3" t="s">
        <v>16</v>
      </c>
      <c r="Q17" s="3" t="s">
        <v>17</v>
      </c>
      <c r="R17" s="3" t="s">
        <v>18</v>
      </c>
      <c r="S17" s="3" t="s">
        <v>19</v>
      </c>
      <c r="T17" s="3" t="s">
        <v>20</v>
      </c>
      <c r="U17" s="3" t="s">
        <v>21</v>
      </c>
      <c r="V17" s="3" t="s">
        <v>22</v>
      </c>
      <c r="W17" s="3" t="s">
        <v>23</v>
      </c>
      <c r="X17" s="3" t="s">
        <v>24</v>
      </c>
      <c r="Y17" s="3" t="s">
        <v>25</v>
      </c>
      <c r="Z17" s="3" t="s">
        <v>26</v>
      </c>
      <c r="AA17" s="3" t="s">
        <v>27</v>
      </c>
      <c r="AB17" s="3" t="s">
        <v>28</v>
      </c>
      <c r="AC17" s="3" t="s">
        <v>29</v>
      </c>
      <c r="AD17" s="3" t="s">
        <v>30</v>
      </c>
      <c r="AE17" s="3" t="s">
        <v>31</v>
      </c>
      <c r="AF17" s="3" t="s">
        <v>32</v>
      </c>
      <c r="AG17" s="3" t="s">
        <v>33</v>
      </c>
    </row>
    <row r="18" spans="1:33" x14ac:dyDescent="0.25">
      <c r="A18" s="7">
        <v>35612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</row>
    <row r="19" spans="1:33" x14ac:dyDescent="0.25">
      <c r="A19" s="7">
        <v>35643</v>
      </c>
      <c r="B19" s="8">
        <f>LN(Sheet1!B4/Sheet1!B3)</f>
        <v>-5.9182865281095121E-2</v>
      </c>
      <c r="C19" s="8">
        <f>LN(Sheet1!C4/Sheet1!C3)</f>
        <v>-7.5793772337157839E-2</v>
      </c>
      <c r="D19" s="8">
        <f>LN(Sheet1!D4/Sheet1!D3)</f>
        <v>-7.0431804591512437E-2</v>
      </c>
      <c r="E19" s="8">
        <f>LN(Sheet1!E4/Sheet1!E3)</f>
        <v>-0.12074804386200733</v>
      </c>
      <c r="F19" s="8">
        <f>LN(Sheet1!F4/Sheet1!F3)</f>
        <v>-7.4176717212697738E-2</v>
      </c>
      <c r="G19" s="8">
        <f>LN(Sheet1!G4/Sheet1!G3)</f>
        <v>-7.1488335576877782E-2</v>
      </c>
      <c r="H19" s="8">
        <f>LN(Sheet1!H4/Sheet1!H3)</f>
        <v>-0.1243800137536086</v>
      </c>
      <c r="I19" s="8">
        <f>LN(Sheet1!I4/Sheet1!I3)</f>
        <v>3.6239051616206608E-2</v>
      </c>
      <c r="J19" s="8">
        <f>LN(Sheet1!J4/Sheet1!J3)</f>
        <v>-6.8606613676522668E-2</v>
      </c>
      <c r="K19" s="8">
        <f>LN(Sheet1!K4/Sheet1!K3)</f>
        <v>-5.0633221329697345E-2</v>
      </c>
      <c r="L19" s="8">
        <f>LN(Sheet1!L4/Sheet1!L3)</f>
        <v>-0.11377158780187882</v>
      </c>
      <c r="M19" s="8">
        <f>LN(Sheet1!M4/Sheet1!M3)</f>
        <v>2.2206235671433608E-2</v>
      </c>
      <c r="N19" s="8">
        <f>LN(Sheet1!N4/Sheet1!N3)</f>
        <v>-5.4139514781964548E-2</v>
      </c>
      <c r="O19" s="8">
        <f>LN(Sheet1!O4/Sheet1!O3)</f>
        <v>-0.10791907720179128</v>
      </c>
      <c r="P19" s="8">
        <f>LN(Sheet1!P4/Sheet1!P3)</f>
        <v>-0.12976668229572555</v>
      </c>
      <c r="Q19" s="8">
        <f>LN(Sheet1!Q4/Sheet1!Q3)</f>
        <v>-4.0447456304466924E-2</v>
      </c>
      <c r="R19" s="8">
        <f>LN(Sheet1!R4/Sheet1!R3)</f>
        <v>3.7140246963713874E-3</v>
      </c>
      <c r="S19" s="8">
        <f>LN(Sheet1!S4/Sheet1!S3)</f>
        <v>-8.8047324456150197E-2</v>
      </c>
      <c r="T19" s="8">
        <f>LN(Sheet1!T4/Sheet1!T3)</f>
        <v>-2.1162846611466512E-2</v>
      </c>
      <c r="U19" s="8">
        <f>LN(Sheet1!U4/Sheet1!U3)</f>
        <v>-0.1872571113623118</v>
      </c>
      <c r="V19" s="8">
        <f>LN(Sheet1!V4/Sheet1!V3)</f>
        <v>-0.12569572134671511</v>
      </c>
      <c r="W19" s="8">
        <f>LN(Sheet1!W4/Sheet1!W3)</f>
        <v>-4.727416348360701E-2</v>
      </c>
      <c r="X19" s="8">
        <f>LN(Sheet1!X4/Sheet1!X3)</f>
        <v>-3.2324067849864288E-2</v>
      </c>
      <c r="Y19" s="8">
        <f>LN(Sheet1!Y4/Sheet1!Y3)</f>
        <v>-0.1233600701016138</v>
      </c>
      <c r="Z19" s="8">
        <f>LN(Sheet1!Z4/Sheet1!Z3)</f>
        <v>-6.7533326511636599E-2</v>
      </c>
      <c r="AA19" s="8">
        <f>LN(Sheet1!AA4/Sheet1!AA3)</f>
        <v>-7.2441150765867601E-2</v>
      </c>
      <c r="AB19" s="8">
        <f>LN(Sheet1!AB4/Sheet1!AB3)</f>
        <v>-0.13344103798249138</v>
      </c>
      <c r="AC19" s="8">
        <f>LN(Sheet1!AC4/Sheet1!AC3)</f>
        <v>-8.4741228455090675E-2</v>
      </c>
      <c r="AD19" s="8">
        <f>LN(Sheet1!AD4/Sheet1!AD3)</f>
        <v>-7.6303362717157514E-2</v>
      </c>
      <c r="AE19" s="8">
        <f>LN(Sheet1!AE4/Sheet1!AE3)</f>
        <v>-2.8741551298626178E-3</v>
      </c>
      <c r="AF19" s="8">
        <f>LN(Sheet1!AF4/Sheet1!AF3)</f>
        <v>-5.4677908312155445E-2</v>
      </c>
      <c r="AG19" s="8">
        <f>LN(Sheet1!AG4/Sheet1!AG3)</f>
        <v>-4.2254193189646523E-2</v>
      </c>
    </row>
    <row r="20" spans="1:33" x14ac:dyDescent="0.25">
      <c r="A20" s="7">
        <v>35675</v>
      </c>
      <c r="B20" s="8">
        <f>LN(Sheet1!B5/Sheet1!B4)</f>
        <v>5.1789019050444966E-2</v>
      </c>
      <c r="C20" s="8">
        <f>LN(Sheet1!C5/Sheet1!C4)</f>
        <v>4.148161985664061E-2</v>
      </c>
      <c r="D20" s="8">
        <f>LN(Sheet1!D5/Sheet1!D4)</f>
        <v>-2.9231239756048119E-3</v>
      </c>
      <c r="E20" s="8">
        <f>LN(Sheet1!E5/Sheet1!E4)</f>
        <v>8.9984991602724038E-2</v>
      </c>
      <c r="F20" s="8">
        <f>LN(Sheet1!F5/Sheet1!F4)</f>
        <v>5.1581991882699046E-2</v>
      </c>
      <c r="G20" s="8">
        <f>LN(Sheet1!G5/Sheet1!G4)</f>
        <v>-1.0653031794744458E-3</v>
      </c>
      <c r="H20" s="8">
        <f>LN(Sheet1!H5/Sheet1!H4)</f>
        <v>7.2703763828406723E-2</v>
      </c>
      <c r="I20" s="8">
        <f>LN(Sheet1!I5/Sheet1!I4)</f>
        <v>-7.337373322609908E-2</v>
      </c>
      <c r="J20" s="8">
        <f>LN(Sheet1!J5/Sheet1!J4)</f>
        <v>-1.2087347683333789E-2</v>
      </c>
      <c r="K20" s="8">
        <f>LN(Sheet1!K5/Sheet1!K4)</f>
        <v>4.8202101817877686E-2</v>
      </c>
      <c r="L20" s="8">
        <f>LN(Sheet1!L5/Sheet1!L4)</f>
        <v>8.8142849253989505E-2</v>
      </c>
      <c r="M20" s="8">
        <f>LN(Sheet1!M5/Sheet1!M4)</f>
        <v>6.465133065881444E-2</v>
      </c>
      <c r="N20" s="8">
        <f>LN(Sheet1!N5/Sheet1!N4)</f>
        <v>0.10054122922187746</v>
      </c>
      <c r="O20" s="8">
        <f>LN(Sheet1!O5/Sheet1!O4)</f>
        <v>2.9021189344188132E-2</v>
      </c>
      <c r="P20" s="8">
        <f>LN(Sheet1!P5/Sheet1!P4)</f>
        <v>0.12521840073155222</v>
      </c>
      <c r="Q20" s="8">
        <f>LN(Sheet1!Q5/Sheet1!Q4)</f>
        <v>4.4525765382974522E-2</v>
      </c>
      <c r="R20" s="8">
        <f>LN(Sheet1!R5/Sheet1!R4)</f>
        <v>1.8518523810737264E-3</v>
      </c>
      <c r="S20" s="8">
        <f>LN(Sheet1!S5/Sheet1!S4)</f>
        <v>1.7670482381544839E-2</v>
      </c>
      <c r="T20" s="8">
        <f>LN(Sheet1!T5/Sheet1!T4)</f>
        <v>5.9365690416518492E-2</v>
      </c>
      <c r="U20" s="8">
        <f>LN(Sheet1!U5/Sheet1!U4)</f>
        <v>6.4707180362008843E-2</v>
      </c>
      <c r="V20" s="8">
        <f>LN(Sheet1!V5/Sheet1!V4)</f>
        <v>6.6508558699095895E-3</v>
      </c>
      <c r="W20" s="8">
        <f>LN(Sheet1!W5/Sheet1!W4)</f>
        <v>2.8362959332204882E-2</v>
      </c>
      <c r="X20" s="8">
        <f>LN(Sheet1!X5/Sheet1!X4)</f>
        <v>-4.0635351909205322E-2</v>
      </c>
      <c r="Y20" s="8">
        <f>LN(Sheet1!Y5/Sheet1!Y4)</f>
        <v>8.9560177783994888E-2</v>
      </c>
      <c r="Z20" s="8">
        <f>LN(Sheet1!Z5/Sheet1!Z4)</f>
        <v>1.4104374693621117E-3</v>
      </c>
      <c r="AA20" s="8">
        <f>LN(Sheet1!AA5/Sheet1!AA4)</f>
        <v>8.0839520464699013E-2</v>
      </c>
      <c r="AB20" s="8">
        <f>LN(Sheet1!AB5/Sheet1!AB4)</f>
        <v>3.6896700334138034E-2</v>
      </c>
      <c r="AC20" s="8">
        <f>LN(Sheet1!AC5/Sheet1!AC4)</f>
        <v>0.12201848627453442</v>
      </c>
      <c r="AD20" s="8">
        <f>LN(Sheet1!AD5/Sheet1!AD4)</f>
        <v>3.7170365015009296E-2</v>
      </c>
      <c r="AE20" s="8">
        <f>LN(Sheet1!AE5/Sheet1!AE4)</f>
        <v>0.10564830319039004</v>
      </c>
      <c r="AF20" s="8">
        <f>LN(Sheet1!AF5/Sheet1!AF4)</f>
        <v>3.3045962795033759E-2</v>
      </c>
      <c r="AG20" s="8">
        <f>LN(Sheet1!AG5/Sheet1!AG4)</f>
        <v>4.5760917998856579E-2</v>
      </c>
    </row>
    <row r="21" spans="1:33" x14ac:dyDescent="0.25">
      <c r="A21" s="7">
        <v>35704</v>
      </c>
      <c r="B21" s="8">
        <f>LN(Sheet1!B6/Sheet1!B5)</f>
        <v>-3.508604155478369E-2</v>
      </c>
      <c r="C21" s="8">
        <f>LN(Sheet1!C6/Sheet1!C5)</f>
        <v>-6.5425144772402202E-2</v>
      </c>
      <c r="D21" s="8">
        <f>LN(Sheet1!D6/Sheet1!D5)</f>
        <v>-0.11661276050819298</v>
      </c>
      <c r="E21" s="8">
        <f>LN(Sheet1!E6/Sheet1!E5)</f>
        <v>-1.0851048789051349E-2</v>
      </c>
      <c r="F21" s="8">
        <f>LN(Sheet1!F6/Sheet1!F5)</f>
        <v>-4.5823818583015194E-2</v>
      </c>
      <c r="G21" s="8">
        <f>LN(Sheet1!G6/Sheet1!G5)</f>
        <v>-0.12591664214019296</v>
      </c>
      <c r="H21" s="8">
        <f>LN(Sheet1!H6/Sheet1!H5)</f>
        <v>2.6745780285794718E-2</v>
      </c>
      <c r="I21" s="8">
        <f>LN(Sheet1!I6/Sheet1!I5)</f>
        <v>-4.73432898650719E-2</v>
      </c>
      <c r="J21" s="8">
        <f>LN(Sheet1!J6/Sheet1!J5)</f>
        <v>-7.9047907681932747E-2</v>
      </c>
      <c r="K21" s="8">
        <f>LN(Sheet1!K6/Sheet1!K5)</f>
        <v>2.3256862164267398E-2</v>
      </c>
      <c r="L21" s="8">
        <f>LN(Sheet1!L6/Sheet1!L5)</f>
        <v>-5.2176095487158583E-2</v>
      </c>
      <c r="M21" s="8">
        <f>LN(Sheet1!M6/Sheet1!M5)</f>
        <v>-4.2044776029900519E-2</v>
      </c>
      <c r="N21" s="8">
        <f>LN(Sheet1!N6/Sheet1!N5)</f>
        <v>6.7252227009167262E-2</v>
      </c>
      <c r="O21" s="8">
        <f>LN(Sheet1!O6/Sheet1!O5)</f>
        <v>-0.16575474194768203</v>
      </c>
      <c r="P21" s="8">
        <f>LN(Sheet1!P6/Sheet1!P5)</f>
        <v>-0.12099997404004116</v>
      </c>
      <c r="Q21" s="8">
        <f>LN(Sheet1!Q6/Sheet1!Q5)</f>
        <v>-7.3231739896125386E-2</v>
      </c>
      <c r="R21" s="8">
        <f>LN(Sheet1!R6/Sheet1!R5)</f>
        <v>-0.18102729757658464</v>
      </c>
      <c r="S21" s="8">
        <f>LN(Sheet1!S6/Sheet1!S5)</f>
        <v>-5.7189698356608634E-3</v>
      </c>
      <c r="T21" s="8">
        <f>LN(Sheet1!T6/Sheet1!T5)</f>
        <v>-1.6759172782498576E-2</v>
      </c>
      <c r="U21" s="8">
        <f>LN(Sheet1!U6/Sheet1!U5)</f>
        <v>-7.4302581476122592E-2</v>
      </c>
      <c r="V21" s="8">
        <f>LN(Sheet1!V6/Sheet1!V5)</f>
        <v>-6.100940227433526E-2</v>
      </c>
      <c r="W21" s="8">
        <f>LN(Sheet1!W6/Sheet1!W5)</f>
        <v>-1.0270360546048844E-2</v>
      </c>
      <c r="X21" s="8">
        <f>LN(Sheet1!X6/Sheet1!X5)</f>
        <v>-4.7779788301407895E-2</v>
      </c>
      <c r="Y21" s="8">
        <f>LN(Sheet1!Y6/Sheet1!Y5)</f>
        <v>-0.11318453157234012</v>
      </c>
      <c r="Z21" s="8">
        <f>LN(Sheet1!Z6/Sheet1!Z5)</f>
        <v>-1.7775085839573518E-2</v>
      </c>
      <c r="AA21" s="8">
        <f>LN(Sheet1!AA6/Sheet1!AA5)</f>
        <v>0.16636457212119626</v>
      </c>
      <c r="AB21" s="8">
        <f>LN(Sheet1!AB6/Sheet1!AB5)</f>
        <v>-1.2265792469045838E-2</v>
      </c>
      <c r="AC21" s="8">
        <f>LN(Sheet1!AC6/Sheet1!AC5)</f>
        <v>4.2173558744773687E-2</v>
      </c>
      <c r="AD21" s="8">
        <f>LN(Sheet1!AD6/Sheet1!AD5)</f>
        <v>-0.14582360672981134</v>
      </c>
      <c r="AE21" s="8">
        <f>LN(Sheet1!AE6/Sheet1!AE5)</f>
        <v>3.6927663824840337E-3</v>
      </c>
      <c r="AF21" s="8">
        <f>LN(Sheet1!AF6/Sheet1!AF5)</f>
        <v>-4.5338680589061778E-2</v>
      </c>
      <c r="AG21" s="8">
        <f>LN(Sheet1!AG6/Sheet1!AG5)</f>
        <v>-4.1697523541599897E-2</v>
      </c>
    </row>
    <row r="22" spans="1:33" x14ac:dyDescent="0.25">
      <c r="A22" s="7">
        <v>35737</v>
      </c>
      <c r="B22" s="8">
        <f>LN(Sheet1!B7/Sheet1!B6)</f>
        <v>4.3621422487943796E-2</v>
      </c>
      <c r="C22" s="8">
        <f>LN(Sheet1!C7/Sheet1!C6)</f>
        <v>4.993435056563536E-2</v>
      </c>
      <c r="D22" s="8">
        <f>LN(Sheet1!D7/Sheet1!D6)</f>
        <v>-7.8673032072475862E-2</v>
      </c>
      <c r="E22" s="8">
        <f>LN(Sheet1!E7/Sheet1!E6)</f>
        <v>-1.2422519998557096E-2</v>
      </c>
      <c r="F22" s="8">
        <f>LN(Sheet1!F7/Sheet1!F6)</f>
        <v>1.1417821471326271E-2</v>
      </c>
      <c r="G22" s="8">
        <f>LN(Sheet1!G7/Sheet1!G6)</f>
        <v>0.10458652181113741</v>
      </c>
      <c r="H22" s="8">
        <f>LN(Sheet1!H7/Sheet1!H6)</f>
        <v>8.6246119634510982E-2</v>
      </c>
      <c r="I22" s="8">
        <f>LN(Sheet1!I7/Sheet1!I6)</f>
        <v>-6.6826477683935348E-2</v>
      </c>
      <c r="J22" s="8">
        <f>LN(Sheet1!J7/Sheet1!J6)</f>
        <v>6.7911205616210363E-2</v>
      </c>
      <c r="K22" s="8">
        <f>LN(Sheet1!K7/Sheet1!K6)</f>
        <v>0.14201689001235221</v>
      </c>
      <c r="L22" s="8">
        <f>LN(Sheet1!L7/Sheet1!L6)</f>
        <v>0.13367383262191446</v>
      </c>
      <c r="M22" s="8">
        <f>LN(Sheet1!M7/Sheet1!M6)</f>
        <v>-4.419778413090128E-2</v>
      </c>
      <c r="N22" s="8">
        <f>LN(Sheet1!N7/Sheet1!N6)</f>
        <v>5.7904041347045295E-3</v>
      </c>
      <c r="O22" s="8">
        <f>LN(Sheet1!O7/Sheet1!O6)</f>
        <v>3.4509064604015344E-2</v>
      </c>
      <c r="P22" s="8">
        <f>LN(Sheet1!P7/Sheet1!P6)</f>
        <v>-7.9831370203079875E-3</v>
      </c>
      <c r="Q22" s="8">
        <f>LN(Sheet1!Q7/Sheet1!Q6)</f>
        <v>0.10783173163776599</v>
      </c>
      <c r="R22" s="8">
        <f>LN(Sheet1!R7/Sheet1!R6)</f>
        <v>8.2804778955534938E-3</v>
      </c>
      <c r="S22" s="8">
        <f>LN(Sheet1!S7/Sheet1!S6)</f>
        <v>9.638963125007996E-2</v>
      </c>
      <c r="T22" s="8">
        <f>LN(Sheet1!T7/Sheet1!T6)</f>
        <v>-5.9636257478822272E-2</v>
      </c>
      <c r="U22" s="8">
        <f>LN(Sheet1!U7/Sheet1!U6)</f>
        <v>0.10080182788956099</v>
      </c>
      <c r="V22" s="8">
        <f>LN(Sheet1!V7/Sheet1!V6)</f>
        <v>8.0700615164516973E-2</v>
      </c>
      <c r="W22" s="8">
        <f>LN(Sheet1!W7/Sheet1!W6)</f>
        <v>6.8503754333644321E-2</v>
      </c>
      <c r="X22" s="8">
        <f>LN(Sheet1!X7/Sheet1!X6)</f>
        <v>9.3380393708516543E-2</v>
      </c>
      <c r="Y22" s="8">
        <f>LN(Sheet1!Y7/Sheet1!Y6)</f>
        <v>6.0533305120939879E-2</v>
      </c>
      <c r="Z22" s="8">
        <f>LN(Sheet1!Z7/Sheet1!Z6)</f>
        <v>8.4557388028063174E-2</v>
      </c>
      <c r="AA22" s="8">
        <f>LN(Sheet1!AA7/Sheet1!AA6)</f>
        <v>2.6947738409767743E-2</v>
      </c>
      <c r="AB22" s="8">
        <f>LN(Sheet1!AB7/Sheet1!AB6)</f>
        <v>0.1138574594446433</v>
      </c>
      <c r="AC22" s="8">
        <f>LN(Sheet1!AC7/Sheet1!AC6)</f>
        <v>0.13208718862968455</v>
      </c>
      <c r="AD22" s="8">
        <f>LN(Sheet1!AD7/Sheet1!AD6)</f>
        <v>7.2504727598491164E-2</v>
      </c>
      <c r="AE22" s="8">
        <f>LN(Sheet1!AE7/Sheet1!AE6)</f>
        <v>0.10951699636278697</v>
      </c>
      <c r="AF22" s="8">
        <f>LN(Sheet1!AF7/Sheet1!AF6)</f>
        <v>0.13515345299639073</v>
      </c>
      <c r="AG22" s="8">
        <f>LN(Sheet1!AG7/Sheet1!AG6)</f>
        <v>-4.0559724749914352E-4</v>
      </c>
    </row>
    <row r="23" spans="1:33" x14ac:dyDescent="0.25">
      <c r="A23" s="7">
        <v>35765</v>
      </c>
      <c r="B23" s="8">
        <f>LN(Sheet1!B8/Sheet1!B7)</f>
        <v>1.5609171282679583E-2</v>
      </c>
      <c r="C23" s="8">
        <f>LN(Sheet1!C8/Sheet1!C7)</f>
        <v>1.0821788133836503E-2</v>
      </c>
      <c r="D23" s="8">
        <f>LN(Sheet1!D8/Sheet1!D7)</f>
        <v>4.5905138833591486E-2</v>
      </c>
      <c r="E23" s="8">
        <f>LN(Sheet1!E8/Sheet1!E7)</f>
        <v>7.6368703809636118E-2</v>
      </c>
      <c r="F23" s="8">
        <f>LN(Sheet1!F8/Sheet1!F7)</f>
        <v>0.12605316915727657</v>
      </c>
      <c r="G23" s="8">
        <f>LN(Sheet1!G8/Sheet1!G7)</f>
        <v>-8.2113665959078805E-2</v>
      </c>
      <c r="H23" s="8">
        <f>LN(Sheet1!H8/Sheet1!H7)</f>
        <v>5.7275366065098005E-2</v>
      </c>
      <c r="I23" s="8">
        <f>LN(Sheet1!I8/Sheet1!I7)</f>
        <v>1.1969958167655248E-2</v>
      </c>
      <c r="J23" s="8">
        <f>LN(Sheet1!J8/Sheet1!J7)</f>
        <v>-8.37932135413238E-3</v>
      </c>
      <c r="K23" s="8">
        <f>LN(Sheet1!K8/Sheet1!K7)</f>
        <v>4.1756908108852374E-2</v>
      </c>
      <c r="L23" s="8">
        <f>LN(Sheet1!L8/Sheet1!L7)</f>
        <v>-2.495633938147241E-3</v>
      </c>
      <c r="M23" s="8">
        <f>LN(Sheet1!M8/Sheet1!M7)</f>
        <v>5.5021350376482286E-2</v>
      </c>
      <c r="N23" s="8">
        <f>LN(Sheet1!N8/Sheet1!N7)</f>
        <v>4.9559690948460522E-2</v>
      </c>
      <c r="O23" s="8">
        <f>LN(Sheet1!O8/Sheet1!O7)</f>
        <v>4.4338309923010952E-2</v>
      </c>
      <c r="P23" s="8">
        <f>LN(Sheet1!P8/Sheet1!P7)</f>
        <v>2.2378556262192043E-2</v>
      </c>
      <c r="Q23" s="8">
        <f>LN(Sheet1!Q8/Sheet1!Q7)</f>
        <v>-4.5649827928225466E-2</v>
      </c>
      <c r="R23" s="8">
        <f>LN(Sheet1!R8/Sheet1!R7)</f>
        <v>-9.9938797281107175E-2</v>
      </c>
      <c r="S23" s="8">
        <f>LN(Sheet1!S8/Sheet1!S7)</f>
        <v>4.5454106846816771E-2</v>
      </c>
      <c r="T23" s="8">
        <f>LN(Sheet1!T8/Sheet1!T7)</f>
        <v>6.8467365221174586E-3</v>
      </c>
      <c r="U23" s="8">
        <f>LN(Sheet1!U8/Sheet1!U7)</f>
        <v>6.492929184895059E-2</v>
      </c>
      <c r="V23" s="8">
        <f>LN(Sheet1!V8/Sheet1!V7)</f>
        <v>-1.5438903151651305E-2</v>
      </c>
      <c r="W23" s="8">
        <f>LN(Sheet1!W8/Sheet1!W7)</f>
        <v>-0.17172342580213121</v>
      </c>
      <c r="X23" s="8">
        <f>LN(Sheet1!X8/Sheet1!X7)</f>
        <v>4.834193995546162E-2</v>
      </c>
      <c r="Y23" s="8">
        <f>LN(Sheet1!Y8/Sheet1!Y7)</f>
        <v>0.11628831563804438</v>
      </c>
      <c r="Z23" s="8">
        <f>LN(Sheet1!Z8/Sheet1!Z7)</f>
        <v>-9.0312799598683727E-2</v>
      </c>
      <c r="AA23" s="8">
        <f>LN(Sheet1!AA8/Sheet1!AA7)</f>
        <v>2.4320264813249833E-2</v>
      </c>
      <c r="AB23" s="8">
        <f>LN(Sheet1!AB8/Sheet1!AB7)</f>
        <v>4.6419890478363507E-2</v>
      </c>
      <c r="AC23" s="8">
        <f>LN(Sheet1!AC8/Sheet1!AC7)</f>
        <v>8.9096076493988714E-3</v>
      </c>
      <c r="AD23" s="8">
        <f>LN(Sheet1!AD8/Sheet1!AD7)</f>
        <v>-2.9258233919795928E-2</v>
      </c>
      <c r="AE23" s="8">
        <f>LN(Sheet1!AE8/Sheet1!AE7)</f>
        <v>1.9303723901387432E-2</v>
      </c>
      <c r="AF23" s="8">
        <f>LN(Sheet1!AF8/Sheet1!AF7)</f>
        <v>-1.4146046556905713E-2</v>
      </c>
      <c r="AG23" s="8">
        <f>LN(Sheet1!AG8/Sheet1!AG7)</f>
        <v>3.2401810446258334E-3</v>
      </c>
    </row>
    <row r="24" spans="1:33" x14ac:dyDescent="0.25">
      <c r="A24" s="7">
        <v>35797</v>
      </c>
      <c r="B24" s="8">
        <f>LN(Sheet1!B9/Sheet1!B8)</f>
        <v>1.0098972903237103E-2</v>
      </c>
      <c r="C24" s="8">
        <f>LN(Sheet1!C9/Sheet1!C8)</f>
        <v>-2.2131238333108301E-4</v>
      </c>
      <c r="D24" s="8">
        <f>LN(Sheet1!D9/Sheet1!D8)</f>
        <v>8.1558057408316634E-2</v>
      </c>
      <c r="E24" s="8">
        <f>LN(Sheet1!E9/Sheet1!E8)</f>
        <v>1.443875351496092E-2</v>
      </c>
      <c r="F24" s="8">
        <f>LN(Sheet1!F9/Sheet1!F8)</f>
        <v>-6.4149383628143999E-2</v>
      </c>
      <c r="G24" s="8">
        <f>LN(Sheet1!G9/Sheet1!G8)</f>
        <v>-2.7320175086383468E-2</v>
      </c>
      <c r="H24" s="8">
        <f>LN(Sheet1!H9/Sheet1!H8)</f>
        <v>-8.3403218646132316E-2</v>
      </c>
      <c r="I24" s="8">
        <f>LN(Sheet1!I9/Sheet1!I8)</f>
        <v>-5.1867336195510856E-3</v>
      </c>
      <c r="J24" s="8">
        <f>LN(Sheet1!J9/Sheet1!J8)</f>
        <v>-5.8827079816127809E-2</v>
      </c>
      <c r="K24" s="8">
        <f>LN(Sheet1!K9/Sheet1!K8)</f>
        <v>7.770590193655233E-2</v>
      </c>
      <c r="L24" s="8">
        <f>LN(Sheet1!L9/Sheet1!L8)</f>
        <v>5.4934831846449581E-2</v>
      </c>
      <c r="M24" s="8">
        <f>LN(Sheet1!M9/Sheet1!M8)</f>
        <v>-4.7365517546058729E-2</v>
      </c>
      <c r="N24" s="8">
        <f>LN(Sheet1!N9/Sheet1!N8)</f>
        <v>2.7101929777791179E-2</v>
      </c>
      <c r="O24" s="8">
        <f>LN(Sheet1!O9/Sheet1!O8)</f>
        <v>3.1152673169494998E-3</v>
      </c>
      <c r="P24" s="8">
        <f>LN(Sheet1!P9/Sheet1!P8)</f>
        <v>-3.6623811398240898E-2</v>
      </c>
      <c r="Q24" s="8">
        <f>LN(Sheet1!Q9/Sheet1!Q8)</f>
        <v>-5.7812222297367537E-2</v>
      </c>
      <c r="R24" s="8">
        <f>LN(Sheet1!R9/Sheet1!R8)</f>
        <v>0.1429793295752706</v>
      </c>
      <c r="S24" s="8">
        <f>LN(Sheet1!S9/Sheet1!S8)</f>
        <v>1.6220383832454891E-2</v>
      </c>
      <c r="T24" s="8">
        <f>LN(Sheet1!T9/Sheet1!T8)</f>
        <v>-1.5664121614511497E-2</v>
      </c>
      <c r="U24" s="8">
        <f>LN(Sheet1!U9/Sheet1!U8)</f>
        <v>-2.9557026359619296E-2</v>
      </c>
      <c r="V24" s="8">
        <f>LN(Sheet1!V9/Sheet1!V8)</f>
        <v>-1.3289232118682765E-2</v>
      </c>
      <c r="W24" s="8">
        <f>LN(Sheet1!W9/Sheet1!W8)</f>
        <v>1.7319035457211196E-2</v>
      </c>
      <c r="X24" s="8">
        <f>LN(Sheet1!X9/Sheet1!X8)</f>
        <v>-8.6711108890859007E-2</v>
      </c>
      <c r="Y24" s="8">
        <f>LN(Sheet1!Y9/Sheet1!Y8)</f>
        <v>0.10181626093129734</v>
      </c>
      <c r="Z24" s="8">
        <f>LN(Sheet1!Z9/Sheet1!Z8)</f>
        <v>0.1435817284780242</v>
      </c>
      <c r="AA24" s="8">
        <f>LN(Sheet1!AA9/Sheet1!AA8)</f>
        <v>9.2203704028386513E-2</v>
      </c>
      <c r="AB24" s="8">
        <f>LN(Sheet1!AB9/Sheet1!AB8)</f>
        <v>-1.5133460730376682E-2</v>
      </c>
      <c r="AC24" s="8">
        <f>LN(Sheet1!AC9/Sheet1!AC8)</f>
        <v>6.567073763229761E-2</v>
      </c>
      <c r="AD24" s="8">
        <f>LN(Sheet1!AD9/Sheet1!AD8)</f>
        <v>0.10996141243868439</v>
      </c>
      <c r="AE24" s="8">
        <f>LN(Sheet1!AE9/Sheet1!AE8)</f>
        <v>2.5593207517851411E-2</v>
      </c>
      <c r="AF24" s="8">
        <f>LN(Sheet1!AF9/Sheet1!AF8)</f>
        <v>9.2719507986602605E-3</v>
      </c>
      <c r="AG24" s="8">
        <f>LN(Sheet1!AG9/Sheet1!AG8)</f>
        <v>-3.1214033087031925E-2</v>
      </c>
    </row>
    <row r="25" spans="1:33" x14ac:dyDescent="0.25">
      <c r="A25" s="7">
        <v>35828</v>
      </c>
      <c r="B25" s="8">
        <f>LN(Sheet1!B10/Sheet1!B9)</f>
        <v>6.8078428947376632E-2</v>
      </c>
      <c r="C25" s="8">
        <f>LN(Sheet1!C10/Sheet1!C9)</f>
        <v>7.7745366837715532E-2</v>
      </c>
      <c r="D25" s="8">
        <f>LN(Sheet1!D10/Sheet1!D9)</f>
        <v>-3.5068942689638338E-2</v>
      </c>
      <c r="E25" s="8">
        <f>LN(Sheet1!E10/Sheet1!E9)</f>
        <v>8.5683179158564396E-2</v>
      </c>
      <c r="F25" s="8">
        <f>LN(Sheet1!F10/Sheet1!F9)</f>
        <v>7.328186719141648E-2</v>
      </c>
      <c r="G25" s="8">
        <f>LN(Sheet1!G10/Sheet1!G9)</f>
        <v>0.13310613214607472</v>
      </c>
      <c r="H25" s="8">
        <f>LN(Sheet1!H10/Sheet1!H9)</f>
        <v>0.11808312868747424</v>
      </c>
      <c r="I25" s="8">
        <f>LN(Sheet1!I10/Sheet1!I9)</f>
        <v>0.128186923147704</v>
      </c>
      <c r="J25" s="8">
        <f>LN(Sheet1!J10/Sheet1!J9)</f>
        <v>8.4405039963223683E-2</v>
      </c>
      <c r="K25" s="8">
        <f>LN(Sheet1!K10/Sheet1!K9)</f>
        <v>4.6506144758877405E-2</v>
      </c>
      <c r="L25" s="8">
        <f>LN(Sheet1!L10/Sheet1!L9)</f>
        <v>3.3057881344994103E-3</v>
      </c>
      <c r="M25" s="8">
        <f>LN(Sheet1!M10/Sheet1!M9)</f>
        <v>0.18191472196328215</v>
      </c>
      <c r="N25" s="8">
        <f>LN(Sheet1!N10/Sheet1!N9)</f>
        <v>5.4629967486589937E-2</v>
      </c>
      <c r="O25" s="8">
        <f>LN(Sheet1!O10/Sheet1!O9)</f>
        <v>9.2620293564332309E-2</v>
      </c>
      <c r="P25" s="8">
        <f>LN(Sheet1!P10/Sheet1!P9)</f>
        <v>0.10822584713111263</v>
      </c>
      <c r="Q25" s="8">
        <f>LN(Sheet1!Q10/Sheet1!Q9)</f>
        <v>5.8017962448283604E-2</v>
      </c>
      <c r="R25" s="8">
        <f>LN(Sheet1!R10/Sheet1!R9)</f>
        <v>0.10156184062461054</v>
      </c>
      <c r="S25" s="8">
        <f>LN(Sheet1!S10/Sheet1!S9)</f>
        <v>0.12170057843596346</v>
      </c>
      <c r="T25" s="8">
        <f>LN(Sheet1!T10/Sheet1!T9)</f>
        <v>0.14625335865017133</v>
      </c>
      <c r="U25" s="8">
        <f>LN(Sheet1!U10/Sheet1!U9)</f>
        <v>5.8092879434296453E-2</v>
      </c>
      <c r="V25" s="8">
        <f>LN(Sheet1!V10/Sheet1!V9)</f>
        <v>0.14805748328060159</v>
      </c>
      <c r="W25" s="8">
        <f>LN(Sheet1!W10/Sheet1!W9)</f>
        <v>2.7734955376328595E-2</v>
      </c>
      <c r="X25" s="8">
        <f>LN(Sheet1!X10/Sheet1!X9)</f>
        <v>4.7244966849365751E-2</v>
      </c>
      <c r="Y25" s="8">
        <f>LN(Sheet1!Y10/Sheet1!Y9)</f>
        <v>8.3362811769904094E-2</v>
      </c>
      <c r="Z25" s="8">
        <f>LN(Sheet1!Z10/Sheet1!Z9)</f>
        <v>0.12718316016829867</v>
      </c>
      <c r="AA25" s="8">
        <f>LN(Sheet1!AA10/Sheet1!AA9)</f>
        <v>8.1592103382465794E-2</v>
      </c>
      <c r="AB25" s="8">
        <f>LN(Sheet1!AB10/Sheet1!AB9)</f>
        <v>7.9690756098439661E-2</v>
      </c>
      <c r="AC25" s="8">
        <f>LN(Sheet1!AC10/Sheet1!AC9)</f>
        <v>-2.7830430359363049E-2</v>
      </c>
      <c r="AD25" s="8">
        <f>LN(Sheet1!AD10/Sheet1!AD9)</f>
        <v>9.8033227187864294E-2</v>
      </c>
      <c r="AE25" s="8">
        <f>LN(Sheet1!AE10/Sheet1!AE9)</f>
        <v>-3.0791399859714606E-2</v>
      </c>
      <c r="AF25" s="8">
        <f>LN(Sheet1!AF10/Sheet1!AF9)</f>
        <v>0.15135477865832472</v>
      </c>
      <c r="AG25" s="8">
        <f>LN(Sheet1!AG10/Sheet1!AG9)</f>
        <v>7.8597551104280156E-2</v>
      </c>
    </row>
    <row r="26" spans="1:33" x14ac:dyDescent="0.25">
      <c r="A26" s="7">
        <v>35856</v>
      </c>
      <c r="B26" s="8">
        <f>LN(Sheet1!B11/Sheet1!B10)</f>
        <v>4.8738429632941518E-2</v>
      </c>
      <c r="C26" s="8">
        <f>LN(Sheet1!C11/Sheet1!C10)</f>
        <v>2.9299557523033017E-2</v>
      </c>
      <c r="D26" s="8">
        <f>LN(Sheet1!D11/Sheet1!D10)</f>
        <v>-6.4322234773583259E-2</v>
      </c>
      <c r="E26" s="8">
        <f>LN(Sheet1!E11/Sheet1!E10)</f>
        <v>4.7350345987994216E-2</v>
      </c>
      <c r="F26" s="8">
        <f>LN(Sheet1!F11/Sheet1!F10)</f>
        <v>1.9235297378624696E-2</v>
      </c>
      <c r="G26" s="8">
        <f>LN(Sheet1!G11/Sheet1!G10)</f>
        <v>-3.9918532072066297E-2</v>
      </c>
      <c r="H26" s="8">
        <f>LN(Sheet1!H11/Sheet1!H10)</f>
        <v>7.5341694037416654E-2</v>
      </c>
      <c r="I26" s="8">
        <f>LN(Sheet1!I11/Sheet1!I10)</f>
        <v>9.1075310769638557E-3</v>
      </c>
      <c r="J26" s="8">
        <f>LN(Sheet1!J11/Sheet1!J10)</f>
        <v>0.10365390157558137</v>
      </c>
      <c r="K26" s="8">
        <f>LN(Sheet1!K11/Sheet1!K10)</f>
        <v>-4.7422035526611742E-2</v>
      </c>
      <c r="L26" s="8">
        <f>LN(Sheet1!L11/Sheet1!L10)</f>
        <v>0.10677394345497337</v>
      </c>
      <c r="M26" s="8">
        <f>LN(Sheet1!M11/Sheet1!M10)</f>
        <v>-1.744528593464853E-2</v>
      </c>
      <c r="N26" s="8">
        <f>LN(Sheet1!N11/Sheet1!N10)</f>
        <v>5.7552147849591284E-2</v>
      </c>
      <c r="O26" s="8">
        <f>LN(Sheet1!O11/Sheet1!O10)</f>
        <v>-1.3415357467532134E-2</v>
      </c>
      <c r="P26" s="8">
        <f>LN(Sheet1!P11/Sheet1!P10)</f>
        <v>-5.3328343139629149E-2</v>
      </c>
      <c r="Q26" s="8">
        <f>LN(Sheet1!Q11/Sheet1!Q10)</f>
        <v>-5.3630491580607485E-3</v>
      </c>
      <c r="R26" s="8">
        <f>LN(Sheet1!R11/Sheet1!R10)</f>
        <v>-0.13857330560142969</v>
      </c>
      <c r="S26" s="8">
        <f>LN(Sheet1!S11/Sheet1!S10)</f>
        <v>-2.6040687140052012E-2</v>
      </c>
      <c r="T26" s="8">
        <f>LN(Sheet1!T11/Sheet1!T10)</f>
        <v>8.3567885666973776E-2</v>
      </c>
      <c r="U26" s="8">
        <f>LN(Sheet1!U11/Sheet1!U10)</f>
        <v>0.12294744720360966</v>
      </c>
      <c r="V26" s="8">
        <f>LN(Sheet1!V11/Sheet1!V10)</f>
        <v>9.5047943677922908E-2</v>
      </c>
      <c r="W26" s="8">
        <f>LN(Sheet1!W11/Sheet1!W10)</f>
        <v>6.4664484986113324E-2</v>
      </c>
      <c r="X26" s="8">
        <f>LN(Sheet1!X11/Sheet1!X10)</f>
        <v>-3.3444594494771739E-2</v>
      </c>
      <c r="Y26" s="8">
        <f>LN(Sheet1!Y11/Sheet1!Y10)</f>
        <v>8.3952704900596802E-3</v>
      </c>
      <c r="Z26" s="8">
        <f>LN(Sheet1!Z11/Sheet1!Z10)</f>
        <v>5.4617427611528761E-2</v>
      </c>
      <c r="AA26" s="8">
        <f>LN(Sheet1!AA11/Sheet1!AA10)</f>
        <v>0.11903875382300223</v>
      </c>
      <c r="AB26" s="8">
        <f>LN(Sheet1!AB11/Sheet1!AB10)</f>
        <v>-5.9313830157454832E-3</v>
      </c>
      <c r="AC26" s="8">
        <f>LN(Sheet1!AC11/Sheet1!AC10)</f>
        <v>0.1368678183330678</v>
      </c>
      <c r="AD26" s="8">
        <f>LN(Sheet1!AD11/Sheet1!AD10)</f>
        <v>3.2806373770946952E-2</v>
      </c>
      <c r="AE26" s="8">
        <f>LN(Sheet1!AE11/Sheet1!AE10)</f>
        <v>0.13051381499730455</v>
      </c>
      <c r="AF26" s="8">
        <f>LN(Sheet1!AF11/Sheet1!AF10)</f>
        <v>9.4334010976941066E-2</v>
      </c>
      <c r="AG26" s="8">
        <f>LN(Sheet1!AG11/Sheet1!AG10)</f>
        <v>5.9148975385910192E-2</v>
      </c>
    </row>
    <row r="27" spans="1:33" x14ac:dyDescent="0.25">
      <c r="A27" s="7">
        <v>35886</v>
      </c>
      <c r="B27" s="8">
        <f>LN(Sheet1!B12/Sheet1!B11)</f>
        <v>9.0355256687094428E-3</v>
      </c>
      <c r="C27" s="8">
        <f>LN(Sheet1!C12/Sheet1!C11)</f>
        <v>2.9510885231105368E-2</v>
      </c>
      <c r="D27" s="8">
        <f>LN(Sheet1!D12/Sheet1!D11)</f>
        <v>0.1186285066725052</v>
      </c>
      <c r="E27" s="8">
        <f>LN(Sheet1!E12/Sheet1!E11)</f>
        <v>4.3653214067121061E-2</v>
      </c>
      <c r="F27" s="8">
        <f>LN(Sheet1!F12/Sheet1!F11)</f>
        <v>0.10932508252387751</v>
      </c>
      <c r="G27" s="8">
        <f>LN(Sheet1!G12/Sheet1!G11)</f>
        <v>-4.0425511229597803E-2</v>
      </c>
      <c r="H27" s="8">
        <f>LN(Sheet1!H12/Sheet1!H11)</f>
        <v>2.1581987196257039E-2</v>
      </c>
      <c r="I27" s="8">
        <f>LN(Sheet1!I12/Sheet1!I11)</f>
        <v>3.7807482640047789E-2</v>
      </c>
      <c r="J27" s="8">
        <f>LN(Sheet1!J12/Sheet1!J11)</f>
        <v>6.8253154492290191E-2</v>
      </c>
      <c r="K27" s="8">
        <f>LN(Sheet1!K12/Sheet1!K11)</f>
        <v>0.15554598832955588</v>
      </c>
      <c r="L27" s="8">
        <f>LN(Sheet1!L12/Sheet1!L11)</f>
        <v>-1.1506625998225911E-2</v>
      </c>
      <c r="M27" s="8">
        <f>LN(Sheet1!M12/Sheet1!M11)</f>
        <v>-5.709852003906603E-3</v>
      </c>
      <c r="N27" s="8">
        <f>LN(Sheet1!N12/Sheet1!N11)</f>
        <v>3.0134106844074204E-2</v>
      </c>
      <c r="O27" s="8">
        <f>LN(Sheet1!O12/Sheet1!O11)</f>
        <v>4.2200354490376471E-2</v>
      </c>
      <c r="P27" s="8">
        <f>LN(Sheet1!P12/Sheet1!P11)</f>
        <v>0.17330258626542258</v>
      </c>
      <c r="Q27" s="8">
        <f>LN(Sheet1!Q12/Sheet1!Q11)</f>
        <v>0.10922068744983233</v>
      </c>
      <c r="R27" s="8">
        <f>LN(Sheet1!R12/Sheet1!R11)</f>
        <v>3.490287168106003E-2</v>
      </c>
      <c r="S27" s="8">
        <f>LN(Sheet1!S12/Sheet1!S11)</f>
        <v>-2.6736976785447928E-2</v>
      </c>
      <c r="T27" s="8">
        <f>LN(Sheet1!T12/Sheet1!T11)</f>
        <v>3.2217147326736709E-2</v>
      </c>
      <c r="U27" s="8">
        <f>LN(Sheet1!U12/Sheet1!U11)</f>
        <v>-2.035222884889842E-2</v>
      </c>
      <c r="V27" s="8">
        <f>LN(Sheet1!V12/Sheet1!V11)</f>
        <v>3.0987355738083269E-2</v>
      </c>
      <c r="W27" s="8">
        <f>LN(Sheet1!W12/Sheet1!W11)</f>
        <v>3.6309805598314843E-2</v>
      </c>
      <c r="X27" s="8">
        <f>LN(Sheet1!X12/Sheet1!X11)</f>
        <v>-0.11613464879990582</v>
      </c>
      <c r="Y27" s="8">
        <f>LN(Sheet1!Y12/Sheet1!Y11)</f>
        <v>-6.1898208475160775E-2</v>
      </c>
      <c r="Z27" s="8">
        <f>LN(Sheet1!Z12/Sheet1!Z11)</f>
        <v>7.2689832006307496E-3</v>
      </c>
      <c r="AA27" s="8">
        <f>LN(Sheet1!AA12/Sheet1!AA11)</f>
        <v>0.13245515933678467</v>
      </c>
      <c r="AB27" s="8">
        <f>LN(Sheet1!AB12/Sheet1!AB11)</f>
        <v>-2.3213536990501424E-2</v>
      </c>
      <c r="AC27" s="8">
        <f>LN(Sheet1!AC12/Sheet1!AC11)</f>
        <v>-3.9972290853844898E-2</v>
      </c>
      <c r="AD27" s="8">
        <f>LN(Sheet1!AD12/Sheet1!AD11)</f>
        <v>6.4414382350247587E-2</v>
      </c>
      <c r="AE27" s="8">
        <f>LN(Sheet1!AE12/Sheet1!AE11)</f>
        <v>-8.1258426348674487E-2</v>
      </c>
      <c r="AF27" s="8">
        <f>LN(Sheet1!AF12/Sheet1!AF11)</f>
        <v>-5.1085679427224657E-3</v>
      </c>
      <c r="AG27" s="8">
        <f>LN(Sheet1!AG12/Sheet1!AG11)</f>
        <v>7.7270644913075101E-2</v>
      </c>
    </row>
    <row r="28" spans="1:33" x14ac:dyDescent="0.25">
      <c r="A28" s="7">
        <v>35916</v>
      </c>
      <c r="B28" s="8">
        <f>LN(Sheet1!B13/Sheet1!B12)</f>
        <v>-1.9005643420609574E-2</v>
      </c>
      <c r="C28" s="8">
        <f>LN(Sheet1!C13/Sheet1!C12)</f>
        <v>-1.8195356828302884E-2</v>
      </c>
      <c r="D28" s="8">
        <f>LN(Sheet1!D13/Sheet1!D12)</f>
        <v>-0.1076166954683383</v>
      </c>
      <c r="E28" s="8">
        <f>LN(Sheet1!E13/Sheet1!E12)</f>
        <v>-6.0763674865397146E-2</v>
      </c>
      <c r="F28" s="8">
        <f>LN(Sheet1!F13/Sheet1!F12)</f>
        <v>3.9891258701822358E-3</v>
      </c>
      <c r="G28" s="8">
        <f>LN(Sheet1!G13/Sheet1!G12)</f>
        <v>-4.4535572573606706E-2</v>
      </c>
      <c r="H28" s="8">
        <f>LN(Sheet1!H13/Sheet1!H12)</f>
        <v>1.306335914055457E-3</v>
      </c>
      <c r="I28" s="8">
        <f>LN(Sheet1!I13/Sheet1!I12)</f>
        <v>-3.5543501596049229E-2</v>
      </c>
      <c r="J28" s="8">
        <f>LN(Sheet1!J13/Sheet1!J12)</f>
        <v>6.286727806026883E-2</v>
      </c>
      <c r="K28" s="8">
        <f>LN(Sheet1!K13/Sheet1!K12)</f>
        <v>-9.5101051346407811E-2</v>
      </c>
      <c r="L28" s="8">
        <f>LN(Sheet1!L13/Sheet1!L12)</f>
        <v>-2.1664625491634441E-2</v>
      </c>
      <c r="M28" s="8">
        <f>LN(Sheet1!M13/Sheet1!M12)</f>
        <v>7.179996383289669E-2</v>
      </c>
      <c r="N28" s="8">
        <f>LN(Sheet1!N13/Sheet1!N12)</f>
        <v>0.12004804228723566</v>
      </c>
      <c r="O28" s="8">
        <f>LN(Sheet1!O13/Sheet1!O12)</f>
        <v>-2.0877585021555255E-2</v>
      </c>
      <c r="P28" s="8">
        <f>LN(Sheet1!P13/Sheet1!P12)</f>
        <v>-0.19019410863171388</v>
      </c>
      <c r="Q28" s="8">
        <f>LN(Sheet1!Q13/Sheet1!Q12)</f>
        <v>1.5820786201188798E-2</v>
      </c>
      <c r="R28" s="8">
        <f>LN(Sheet1!R13/Sheet1!R12)</f>
        <v>-0.12340567325735988</v>
      </c>
      <c r="S28" s="8">
        <f>LN(Sheet1!S13/Sheet1!S12)</f>
        <v>-3.1169632069015407E-2</v>
      </c>
      <c r="T28" s="8">
        <f>LN(Sheet1!T13/Sheet1!T12)</f>
        <v>-1.9145065759383923E-2</v>
      </c>
      <c r="U28" s="8">
        <f>LN(Sheet1!U13/Sheet1!U12)</f>
        <v>3.2337504684860754E-2</v>
      </c>
      <c r="V28" s="8">
        <f>LN(Sheet1!V13/Sheet1!V12)</f>
        <v>5.9919259968638582E-2</v>
      </c>
      <c r="W28" s="8">
        <f>LN(Sheet1!W13/Sheet1!W12)</f>
        <v>-1.3099479953589548E-2</v>
      </c>
      <c r="X28" s="8">
        <f>LN(Sheet1!X13/Sheet1!X12)</f>
        <v>6.818208231776925E-3</v>
      </c>
      <c r="Y28" s="8">
        <f>LN(Sheet1!Y13/Sheet1!Y12)</f>
        <v>-2.939005935285869E-2</v>
      </c>
      <c r="Z28" s="8">
        <f>LN(Sheet1!Z13/Sheet1!Z12)</f>
        <v>-6.0786300690208454E-2</v>
      </c>
      <c r="AA28" s="8">
        <f>LN(Sheet1!AA13/Sheet1!AA12)</f>
        <v>-8.074961576565351E-2</v>
      </c>
      <c r="AB28" s="8">
        <f>LN(Sheet1!AB13/Sheet1!AB12)</f>
        <v>2.0376655655301831E-2</v>
      </c>
      <c r="AC28" s="8">
        <f>LN(Sheet1!AC13/Sheet1!AC12)</f>
        <v>-6.3662598836511625E-2</v>
      </c>
      <c r="AD28" s="8">
        <f>LN(Sheet1!AD13/Sheet1!AD12)</f>
        <v>-4.2316748600965855E-2</v>
      </c>
      <c r="AE28" s="8">
        <f>LN(Sheet1!AE13/Sheet1!AE12)</f>
        <v>-2.0994034414285573E-2</v>
      </c>
      <c r="AF28" s="8">
        <f>LN(Sheet1!AF13/Sheet1!AF12)</f>
        <v>8.6620064130009236E-2</v>
      </c>
      <c r="AG28" s="8">
        <f>LN(Sheet1!AG13/Sheet1!AG12)</f>
        <v>-3.0056907432810028E-2</v>
      </c>
    </row>
    <row r="29" spans="1:33" x14ac:dyDescent="0.25">
      <c r="A29" s="7">
        <v>35947</v>
      </c>
      <c r="B29" s="8">
        <f>LN(Sheet1!B14/Sheet1!B13)</f>
        <v>3.8680394888453609E-2</v>
      </c>
      <c r="C29" s="8">
        <f>LN(Sheet1!C14/Sheet1!C13)</f>
        <v>5.8335463999661091E-3</v>
      </c>
      <c r="D29" s="8">
        <f>LN(Sheet1!D14/Sheet1!D13)</f>
        <v>-5.0537068996355669E-2</v>
      </c>
      <c r="E29" s="8">
        <f>LN(Sheet1!E14/Sheet1!E13)</f>
        <v>0.16563463800894007</v>
      </c>
      <c r="F29" s="8">
        <f>LN(Sheet1!F14/Sheet1!F13)</f>
        <v>0.10503472969631968</v>
      </c>
      <c r="G29" s="8">
        <f>LN(Sheet1!G14/Sheet1!G13)</f>
        <v>-6.9078933709991908E-2</v>
      </c>
      <c r="H29" s="8">
        <f>LN(Sheet1!H14/Sheet1!H13)</f>
        <v>-1.0498784098219695E-2</v>
      </c>
      <c r="I29" s="8">
        <f>LN(Sheet1!I14/Sheet1!I13)</f>
        <v>-3.7792515963966877E-2</v>
      </c>
      <c r="J29" s="8">
        <f>LN(Sheet1!J14/Sheet1!J13)</f>
        <v>-3.2966205220485004E-2</v>
      </c>
      <c r="K29" s="8">
        <f>LN(Sheet1!K14/Sheet1!K13)</f>
        <v>-7.5214436229074311E-2</v>
      </c>
      <c r="L29" s="8">
        <f>LN(Sheet1!L14/Sheet1!L13)</f>
        <v>8.598880732927465E-2</v>
      </c>
      <c r="M29" s="8">
        <f>LN(Sheet1!M14/Sheet1!M13)</f>
        <v>-7.310221691444635E-2</v>
      </c>
      <c r="N29" s="8">
        <f>LN(Sheet1!N14/Sheet1!N13)</f>
        <v>5.6381111041386621E-2</v>
      </c>
      <c r="O29" s="8">
        <f>LN(Sheet1!O14/Sheet1!O13)</f>
        <v>3.72713947972316E-2</v>
      </c>
      <c r="P29" s="8">
        <f>LN(Sheet1!P14/Sheet1!P13)</f>
        <v>-3.7049958607826318E-2</v>
      </c>
      <c r="Q29" s="8">
        <f>LN(Sheet1!Q14/Sheet1!Q13)</f>
        <v>-2.3078657458117945E-2</v>
      </c>
      <c r="R29" s="8">
        <f>LN(Sheet1!R14/Sheet1!R13)</f>
        <v>3.6921861566170423E-2</v>
      </c>
      <c r="S29" s="8">
        <f>LN(Sheet1!S14/Sheet1!S13)</f>
        <v>6.8970416985384267E-2</v>
      </c>
      <c r="T29" s="8">
        <f>LN(Sheet1!T14/Sheet1!T13)</f>
        <v>0.10511886761702018</v>
      </c>
      <c r="U29" s="8">
        <f>LN(Sheet1!U14/Sheet1!U13)</f>
        <v>8.8969946353947629E-2</v>
      </c>
      <c r="V29" s="8">
        <f>LN(Sheet1!V14/Sheet1!V13)</f>
        <v>5.0369158987295257E-2</v>
      </c>
      <c r="W29" s="8">
        <f>LN(Sheet1!W14/Sheet1!W13)</f>
        <v>-0.11946562129608433</v>
      </c>
      <c r="X29" s="8">
        <f>LN(Sheet1!X14/Sheet1!X13)</f>
        <v>6.2554674660089502E-2</v>
      </c>
      <c r="Y29" s="8">
        <f>LN(Sheet1!Y14/Sheet1!Y13)</f>
        <v>0.13757440636426108</v>
      </c>
      <c r="Z29" s="8">
        <f>LN(Sheet1!Z14/Sheet1!Z13)</f>
        <v>0.24500293945367943</v>
      </c>
      <c r="AA29" s="8">
        <f>LN(Sheet1!AA14/Sheet1!AA13)</f>
        <v>3.6440602256487015E-2</v>
      </c>
      <c r="AB29" s="8">
        <f>LN(Sheet1!AB14/Sheet1!AB13)</f>
        <v>8.2312856208075491E-2</v>
      </c>
      <c r="AC29" s="8">
        <f>LN(Sheet1!AC14/Sheet1!AC13)</f>
        <v>2.833050662622599E-2</v>
      </c>
      <c r="AD29" s="8">
        <f>LN(Sheet1!AD14/Sheet1!AD13)</f>
        <v>-1.6157022219160651E-2</v>
      </c>
      <c r="AE29" s="8">
        <f>LN(Sheet1!AE14/Sheet1!AE13)</f>
        <v>-3.8071111973642332E-3</v>
      </c>
      <c r="AF29" s="8">
        <f>LN(Sheet1!AF14/Sheet1!AF13)</f>
        <v>9.832998847630782E-2</v>
      </c>
      <c r="AG29" s="8">
        <f>LN(Sheet1!AG14/Sheet1!AG13)</f>
        <v>1.2405396857487731E-2</v>
      </c>
    </row>
    <row r="30" spans="1:33" x14ac:dyDescent="0.25">
      <c r="A30" s="7">
        <v>35977</v>
      </c>
      <c r="B30" s="8">
        <f>LN(Sheet1!B15/Sheet1!B14)</f>
        <v>-1.1683381142634086E-2</v>
      </c>
      <c r="C30" s="8">
        <f>LN(Sheet1!C15/Sheet1!C14)</f>
        <v>-7.7072212616856213E-3</v>
      </c>
      <c r="D30" s="8">
        <f>LN(Sheet1!D15/Sheet1!D14)</f>
        <v>4.9852371948038258E-2</v>
      </c>
      <c r="E30" s="8">
        <f>LN(Sheet1!E15/Sheet1!E14)</f>
        <v>3.2324454009814409E-2</v>
      </c>
      <c r="F30" s="8">
        <f>LN(Sheet1!F15/Sheet1!F14)</f>
        <v>-3.0099841375781929E-2</v>
      </c>
      <c r="G30" s="8">
        <f>LN(Sheet1!G15/Sheet1!G14)</f>
        <v>-0.13822684445310199</v>
      </c>
      <c r="H30" s="8">
        <f>LN(Sheet1!H15/Sheet1!H14)</f>
        <v>0.10588808095626681</v>
      </c>
      <c r="I30" s="8">
        <f>LN(Sheet1!I15/Sheet1!I14)</f>
        <v>-8.1178470617018411E-2</v>
      </c>
      <c r="J30" s="8">
        <f>LN(Sheet1!J15/Sheet1!J14)</f>
        <v>-0.18617444503699579</v>
      </c>
      <c r="K30" s="8">
        <f>LN(Sheet1!K15/Sheet1!K14)</f>
        <v>-1.5305624415638017E-2</v>
      </c>
      <c r="L30" s="8">
        <f>LN(Sheet1!L15/Sheet1!L14)</f>
        <v>-1.2538081337890849E-2</v>
      </c>
      <c r="M30" s="8">
        <f>LN(Sheet1!M15/Sheet1!M14)</f>
        <v>7.9140153383801329E-2</v>
      </c>
      <c r="N30" s="8">
        <f>LN(Sheet1!N15/Sheet1!N14)</f>
        <v>8.1317001811543142E-3</v>
      </c>
      <c r="O30" s="8">
        <f>LN(Sheet1!O15/Sheet1!O14)</f>
        <v>-1.998150508247484E-2</v>
      </c>
      <c r="P30" s="8">
        <f>LN(Sheet1!P15/Sheet1!P14)</f>
        <v>-7.5910470388626E-2</v>
      </c>
      <c r="Q30" s="8">
        <f>LN(Sheet1!Q15/Sheet1!Q14)</f>
        <v>0.14331250098068174</v>
      </c>
      <c r="R30" s="8">
        <f>LN(Sheet1!R15/Sheet1!R14)</f>
        <v>0.13036181786324363</v>
      </c>
      <c r="S30" s="8">
        <f>LN(Sheet1!S15/Sheet1!S14)</f>
        <v>4.3070329627602592E-2</v>
      </c>
      <c r="T30" s="8">
        <f>LN(Sheet1!T15/Sheet1!T14)</f>
        <v>6.2339272218895486E-3</v>
      </c>
      <c r="U30" s="8">
        <f>LN(Sheet1!U15/Sheet1!U14)</f>
        <v>-6.0279758551300293E-2</v>
      </c>
      <c r="V30" s="8">
        <f>LN(Sheet1!V15/Sheet1!V14)</f>
        <v>-3.239952814555859E-2</v>
      </c>
      <c r="W30" s="8">
        <f>LN(Sheet1!W15/Sheet1!W14)</f>
        <v>-8.9797911453293494E-2</v>
      </c>
      <c r="X30" s="8">
        <f>LN(Sheet1!X15/Sheet1!X14)</f>
        <v>0.10684876936081862</v>
      </c>
      <c r="Y30" s="8">
        <f>LN(Sheet1!Y15/Sheet1!Y14)</f>
        <v>-7.9190294440204728E-2</v>
      </c>
      <c r="Z30" s="8">
        <f>LN(Sheet1!Z15/Sheet1!Z14)</f>
        <v>1.4523963125514443E-2</v>
      </c>
      <c r="AA30" s="8">
        <f>LN(Sheet1!AA15/Sheet1!AA14)</f>
        <v>1.0125841866934668E-2</v>
      </c>
      <c r="AB30" s="8">
        <f>LN(Sheet1!AB15/Sheet1!AB14)</f>
        <v>-0.13420441564487925</v>
      </c>
      <c r="AC30" s="8">
        <f>LN(Sheet1!AC15/Sheet1!AC14)</f>
        <v>2.9246880734739942E-2</v>
      </c>
      <c r="AD30" s="8">
        <f>LN(Sheet1!AD15/Sheet1!AD14)</f>
        <v>3.5873938902885531E-2</v>
      </c>
      <c r="AE30" s="8">
        <f>LN(Sheet1!AE15/Sheet1!AE14)</f>
        <v>1.9053673595465362E-3</v>
      </c>
      <c r="AF30" s="8">
        <f>LN(Sheet1!AF15/Sheet1!AF14)</f>
        <v>3.8620210897000448E-2</v>
      </c>
      <c r="AG30" s="8">
        <f>LN(Sheet1!AG15/Sheet1!AG14)</f>
        <v>-1.5878828623357214E-2</v>
      </c>
    </row>
    <row r="31" spans="1:33" x14ac:dyDescent="0.25">
      <c r="A31" s="7">
        <v>36010</v>
      </c>
      <c r="B31" s="8">
        <f>LN(Sheet1!B16/Sheet1!B15)</f>
        <v>-0.15758607007429418</v>
      </c>
      <c r="C31" s="8">
        <f>LN(Sheet1!C16/Sheet1!C15)</f>
        <v>-0.16407315164553901</v>
      </c>
      <c r="D31" s="8">
        <f>LN(Sheet1!D16/Sheet1!D15)</f>
        <v>-0.14257411199826056</v>
      </c>
      <c r="E31" s="8">
        <f>LN(Sheet1!E16/Sheet1!E15)</f>
        <v>-0.26265522999012969</v>
      </c>
      <c r="F31" s="8">
        <f>LN(Sheet1!F16/Sheet1!F15)</f>
        <v>-0.34693646712747245</v>
      </c>
      <c r="G31" s="8">
        <f>LN(Sheet1!G16/Sheet1!G15)</f>
        <v>-0.22292122204364556</v>
      </c>
      <c r="H31" s="8">
        <f>LN(Sheet1!H16/Sheet1!H15)</f>
        <v>-0.41580317234805603</v>
      </c>
      <c r="I31" s="8">
        <f>LN(Sheet1!I16/Sheet1!I15)</f>
        <v>-0.1438456642321535</v>
      </c>
      <c r="J31" s="8">
        <f>LN(Sheet1!J16/Sheet1!J15)</f>
        <v>-6.2924864156567936E-2</v>
      </c>
      <c r="K31" s="8">
        <f>LN(Sheet1!K16/Sheet1!K15)</f>
        <v>-0.22692785100544929</v>
      </c>
      <c r="L31" s="8">
        <f>LN(Sheet1!L16/Sheet1!L15)</f>
        <v>-0.11139323755761248</v>
      </c>
      <c r="M31" s="8">
        <f>LN(Sheet1!M16/Sheet1!M15)</f>
        <v>-0.21129492966219274</v>
      </c>
      <c r="N31" s="8">
        <f>LN(Sheet1!N16/Sheet1!N15)</f>
        <v>-9.3730248453151477E-2</v>
      </c>
      <c r="O31" s="8">
        <f>LN(Sheet1!O16/Sheet1!O15)</f>
        <v>-0.23342570387156181</v>
      </c>
      <c r="P31" s="8">
        <f>LN(Sheet1!P16/Sheet1!P15)</f>
        <v>-0.1338259868231475</v>
      </c>
      <c r="Q31" s="8">
        <f>LN(Sheet1!Q16/Sheet1!Q15)</f>
        <v>-0.16083532333017236</v>
      </c>
      <c r="R31" s="8">
        <f>LN(Sheet1!R16/Sheet1!R15)</f>
        <v>-0.17027321827778027</v>
      </c>
      <c r="S31" s="8">
        <f>LN(Sheet1!S16/Sheet1!S15)</f>
        <v>-0.10968582542376401</v>
      </c>
      <c r="T31" s="8">
        <f>LN(Sheet1!T16/Sheet1!T15)</f>
        <v>-0.36469715449689044</v>
      </c>
      <c r="U31" s="8">
        <f>LN(Sheet1!U16/Sheet1!U15)</f>
        <v>-0.21206794990037398</v>
      </c>
      <c r="V31" s="8">
        <f>LN(Sheet1!V16/Sheet1!V15)</f>
        <v>-0.16830731341914304</v>
      </c>
      <c r="W31" s="8">
        <f>LN(Sheet1!W16/Sheet1!W15)</f>
        <v>-8.5121687044993302E-2</v>
      </c>
      <c r="X31" s="8">
        <f>LN(Sheet1!X16/Sheet1!X15)</f>
        <v>-5.3005537339995516E-2</v>
      </c>
      <c r="Y31" s="8">
        <f>LN(Sheet1!Y16/Sheet1!Y15)</f>
        <v>-6.3564250656183971E-2</v>
      </c>
      <c r="Z31" s="8">
        <f>LN(Sheet1!Z16/Sheet1!Z15)</f>
        <v>-0.136565191444359</v>
      </c>
      <c r="AA31" s="8">
        <f>LN(Sheet1!AA16/Sheet1!AA15)</f>
        <v>-0.16422180662291294</v>
      </c>
      <c r="AB31" s="8">
        <f>LN(Sheet1!AB16/Sheet1!AB15)</f>
        <v>-3.6877559824140253E-2</v>
      </c>
      <c r="AC31" s="8">
        <f>LN(Sheet1!AC16/Sheet1!AC15)</f>
        <v>-7.3143312512490455E-2</v>
      </c>
      <c r="AD31" s="8">
        <f>LN(Sheet1!AD16/Sheet1!AD15)</f>
        <v>-0.2744368457017603</v>
      </c>
      <c r="AE31" s="8">
        <f>LN(Sheet1!AE16/Sheet1!AE15)</f>
        <v>-2.7011288490622936E-2</v>
      </c>
      <c r="AF31" s="8">
        <f>LN(Sheet1!AF16/Sheet1!AF15)</f>
        <v>-6.7774696162718834E-2</v>
      </c>
      <c r="AG31" s="8">
        <f>LN(Sheet1!AG16/Sheet1!AG15)</f>
        <v>-6.5048973827371306E-2</v>
      </c>
    </row>
    <row r="32" spans="1:33" x14ac:dyDescent="0.25">
      <c r="A32" s="7">
        <v>36039</v>
      </c>
      <c r="B32" s="8">
        <f>LN(Sheet1!B17/Sheet1!B16)</f>
        <v>6.052629920018749E-2</v>
      </c>
      <c r="C32" s="8">
        <f>LN(Sheet1!C17/Sheet1!C16)</f>
        <v>3.9474129971332539E-2</v>
      </c>
      <c r="D32" s="8">
        <f>LN(Sheet1!D17/Sheet1!D16)</f>
        <v>0.17093522961995844</v>
      </c>
      <c r="E32" s="8">
        <f>LN(Sheet1!E17/Sheet1!E16)</f>
        <v>1.4273436263649089E-2</v>
      </c>
      <c r="F32" s="8">
        <f>LN(Sheet1!F17/Sheet1!F16)</f>
        <v>-5.2393546859996008E-3</v>
      </c>
      <c r="G32" s="8">
        <f>LN(Sheet1!G17/Sheet1!G16)</f>
        <v>0.10339489483469426</v>
      </c>
      <c r="H32" s="8">
        <f>LN(Sheet1!H17/Sheet1!H16)</f>
        <v>-0.16874507102001188</v>
      </c>
      <c r="I32" s="8">
        <f>LN(Sheet1!I17/Sheet1!I16)</f>
        <v>5.7713815131648763E-2</v>
      </c>
      <c r="J32" s="8">
        <f>LN(Sheet1!J17/Sheet1!J16)</f>
        <v>-2.8461870712384079E-2</v>
      </c>
      <c r="K32" s="8">
        <f>LN(Sheet1!K17/Sheet1!K16)</f>
        <v>-7.8431315773156027E-2</v>
      </c>
      <c r="L32" s="8">
        <f>LN(Sheet1!L17/Sheet1!L16)</f>
        <v>-1.821494128391132E-3</v>
      </c>
      <c r="M32" s="8">
        <f>LN(Sheet1!M17/Sheet1!M16)</f>
        <v>-5.7543412882206504E-2</v>
      </c>
      <c r="N32" s="8">
        <f>LN(Sheet1!N17/Sheet1!N16)</f>
        <v>3.6186106546703796E-2</v>
      </c>
      <c r="O32" s="8">
        <f>LN(Sheet1!O17/Sheet1!O16)</f>
        <v>3.0940935010788932E-2</v>
      </c>
      <c r="P32" s="8">
        <f>LN(Sheet1!P17/Sheet1!P16)</f>
        <v>8.9561648111919481E-2</v>
      </c>
      <c r="Q32" s="8">
        <f>LN(Sheet1!Q17/Sheet1!Q16)</f>
        <v>0.13193822152103596</v>
      </c>
      <c r="R32" s="8">
        <f>LN(Sheet1!R17/Sheet1!R16)</f>
        <v>0.18580848436185121</v>
      </c>
      <c r="S32" s="8">
        <f>LN(Sheet1!S17/Sheet1!S16)</f>
        <v>0.12581520735364768</v>
      </c>
      <c r="T32" s="8">
        <f>LN(Sheet1!T17/Sheet1!T16)</f>
        <v>-0.1967441300409449</v>
      </c>
      <c r="U32" s="8">
        <f>LN(Sheet1!U17/Sheet1!U16)</f>
        <v>-0.11975508756882365</v>
      </c>
      <c r="V32" s="8">
        <f>LN(Sheet1!V17/Sheet1!V16)</f>
        <v>5.7180503280092686E-2</v>
      </c>
      <c r="W32" s="8">
        <f>LN(Sheet1!W17/Sheet1!W16)</f>
        <v>7.3020149336251783E-2</v>
      </c>
      <c r="X32" s="8">
        <f>LN(Sheet1!X17/Sheet1!X16)</f>
        <v>0.11733490658771442</v>
      </c>
      <c r="Y32" s="8">
        <f>LN(Sheet1!Y17/Sheet1!Y16)</f>
        <v>0.11536694119884208</v>
      </c>
      <c r="Z32" s="8">
        <f>LN(Sheet1!Z17/Sheet1!Z16)</f>
        <v>0.13741300836669865</v>
      </c>
      <c r="AA32" s="8">
        <f>LN(Sheet1!AA17/Sheet1!AA16)</f>
        <v>0.12849190606463107</v>
      </c>
      <c r="AB32" s="8">
        <f>LN(Sheet1!AB17/Sheet1!AB16)</f>
        <v>-7.274763878164911E-2</v>
      </c>
      <c r="AC32" s="8">
        <f>LN(Sheet1!AC17/Sheet1!AC16)</f>
        <v>0.15357721058337959</v>
      </c>
      <c r="AD32" s="8">
        <f>LN(Sheet1!AD17/Sheet1!AD16)</f>
        <v>5.1888355398861462E-2</v>
      </c>
      <c r="AE32" s="8">
        <f>LN(Sheet1!AE17/Sheet1!AE16)</f>
        <v>9.2996256673927649E-2</v>
      </c>
      <c r="AF32" s="8">
        <f>LN(Sheet1!AF17/Sheet1!AF16)</f>
        <v>-7.5851357574061237E-2</v>
      </c>
      <c r="AG32" s="8">
        <f>LN(Sheet1!AG17/Sheet1!AG16)</f>
        <v>7.6465807747276959E-2</v>
      </c>
    </row>
    <row r="33" spans="1:33" x14ac:dyDescent="0.25">
      <c r="A33" s="7">
        <v>36069</v>
      </c>
      <c r="B33" s="8">
        <f>LN(Sheet1!B18/Sheet1!B17)</f>
        <v>7.7233407495323633E-2</v>
      </c>
      <c r="C33" s="8">
        <f>LN(Sheet1!C18/Sheet1!C17)</f>
        <v>9.1270214223625787E-2</v>
      </c>
      <c r="D33" s="8">
        <f>LN(Sheet1!D18/Sheet1!D17)</f>
        <v>0.10961244871794833</v>
      </c>
      <c r="E33" s="8">
        <f>LN(Sheet1!E18/Sheet1!E17)</f>
        <v>8.4812707750210894E-2</v>
      </c>
      <c r="F33" s="8">
        <f>LN(Sheet1!F18/Sheet1!F17)</f>
        <v>0.1297036367547581</v>
      </c>
      <c r="G33" s="8">
        <f>LN(Sheet1!G18/Sheet1!G17)</f>
        <v>9.065214084611585E-2</v>
      </c>
      <c r="H33" s="8">
        <f>LN(Sheet1!H18/Sheet1!H17)</f>
        <v>0.23035665097084451</v>
      </c>
      <c r="I33" s="8">
        <f>LN(Sheet1!I18/Sheet1!I17)</f>
        <v>1.6520199498554398E-2</v>
      </c>
      <c r="J33" s="8">
        <f>LN(Sheet1!J18/Sheet1!J17)</f>
        <v>2.6196350939581926E-2</v>
      </c>
      <c r="K33" s="8">
        <f>LN(Sheet1!K18/Sheet1!K17)</f>
        <v>6.210604777126956E-2</v>
      </c>
      <c r="L33" s="8">
        <f>LN(Sheet1!L18/Sheet1!L17)</f>
        <v>9.5144424789856102E-2</v>
      </c>
      <c r="M33" s="8">
        <f>LN(Sheet1!M18/Sheet1!M17)</f>
        <v>0.14110347109752444</v>
      </c>
      <c r="N33" s="8">
        <f>LN(Sheet1!N18/Sheet1!N17)</f>
        <v>9.7980408360203816E-2</v>
      </c>
      <c r="O33" s="8">
        <f>LN(Sheet1!O18/Sheet1!O17)</f>
        <v>9.5802457212580294E-2</v>
      </c>
      <c r="P33" s="8">
        <f>LN(Sheet1!P18/Sheet1!P17)</f>
        <v>0.12921173148000625</v>
      </c>
      <c r="Q33" s="8">
        <f>LN(Sheet1!Q18/Sheet1!Q17)</f>
        <v>0.1446100601334582</v>
      </c>
      <c r="R33" s="8">
        <f>LN(Sheet1!R18/Sheet1!R17)</f>
        <v>3.9488435412161543E-2</v>
      </c>
      <c r="S33" s="8">
        <f>LN(Sheet1!S18/Sheet1!S17)</f>
        <v>4.0644200938135054E-2</v>
      </c>
      <c r="T33" s="8">
        <f>LN(Sheet1!T18/Sheet1!T17)</f>
        <v>0.28424177010847618</v>
      </c>
      <c r="U33" s="8">
        <f>LN(Sheet1!U18/Sheet1!U17)</f>
        <v>0.1590106384653194</v>
      </c>
      <c r="V33" s="8">
        <f>LN(Sheet1!V18/Sheet1!V17)</f>
        <v>0.11615447281601575</v>
      </c>
      <c r="W33" s="8">
        <f>LN(Sheet1!W18/Sheet1!W17)</f>
        <v>7.7229124584799552E-2</v>
      </c>
      <c r="X33" s="8">
        <f>LN(Sheet1!X18/Sheet1!X17)</f>
        <v>0.10055292209682434</v>
      </c>
      <c r="Y33" s="8">
        <f>LN(Sheet1!Y18/Sheet1!Y17)</f>
        <v>4.1612594828893949E-2</v>
      </c>
      <c r="Z33" s="8">
        <f>LN(Sheet1!Z18/Sheet1!Z17)</f>
        <v>-3.888178754420752E-2</v>
      </c>
      <c r="AA33" s="8">
        <f>LN(Sheet1!AA18/Sheet1!AA17)</f>
        <v>1.4711064366541252E-2</v>
      </c>
      <c r="AB33" s="8">
        <f>LN(Sheet1!AB18/Sheet1!AB17)</f>
        <v>0.22401128824413757</v>
      </c>
      <c r="AC33" s="8">
        <f>LN(Sheet1!AC18/Sheet1!AC17)</f>
        <v>4.7657154715808447E-2</v>
      </c>
      <c r="AD33" s="8">
        <f>LN(Sheet1!AD18/Sheet1!AD17)</f>
        <v>0.22016469894762253</v>
      </c>
      <c r="AE33" s="8">
        <f>LN(Sheet1!AE18/Sheet1!AE17)</f>
        <v>0.10104471165258537</v>
      </c>
      <c r="AF33" s="8">
        <f>LN(Sheet1!AF18/Sheet1!AF17)</f>
        <v>0.23458299283552406</v>
      </c>
      <c r="AG33" s="8">
        <f>LN(Sheet1!AG18/Sheet1!AG17)</f>
        <v>1.4005352750351412E-2</v>
      </c>
    </row>
    <row r="34" spans="1:33" x14ac:dyDescent="0.25">
      <c r="A34" s="7">
        <v>36101</v>
      </c>
      <c r="B34" s="8">
        <f>LN(Sheet1!B19/Sheet1!B18)</f>
        <v>5.7444072007151667E-2</v>
      </c>
      <c r="C34" s="8">
        <f>LN(Sheet1!C19/Sheet1!C18)</f>
        <v>5.9248266610557668E-2</v>
      </c>
      <c r="D34" s="8">
        <f>LN(Sheet1!D19/Sheet1!D18)</f>
        <v>-6.2154729782295033E-2</v>
      </c>
      <c r="E34" s="8">
        <f>LN(Sheet1!E19/Sheet1!E18)</f>
        <v>9.7011460324213039E-2</v>
      </c>
      <c r="F34" s="8">
        <f>LN(Sheet1!F19/Sheet1!F18)</f>
        <v>0.12743060584692509</v>
      </c>
      <c r="G34" s="8">
        <f>LN(Sheet1!G19/Sheet1!G18)</f>
        <v>8.1707947934980638E-2</v>
      </c>
      <c r="H34" s="8">
        <f>LN(Sheet1!H19/Sheet1!H18)</f>
        <v>6.6509519945442463E-2</v>
      </c>
      <c r="I34" s="8">
        <f>LN(Sheet1!I19/Sheet1!I18)</f>
        <v>9.526052860399703E-2</v>
      </c>
      <c r="J34" s="8">
        <f>LN(Sheet1!J19/Sheet1!J18)</f>
        <v>2.5085301936667397E-2</v>
      </c>
      <c r="K34" s="8">
        <f>LN(Sheet1!K19/Sheet1!K18)</f>
        <v>0.17789588069080206</v>
      </c>
      <c r="L34" s="8">
        <f>LN(Sheet1!L19/Sheet1!L18)</f>
        <v>3.2214814282312064E-2</v>
      </c>
      <c r="M34" s="8">
        <f>LN(Sheet1!M19/Sheet1!M18)</f>
        <v>0.10803818604647988</v>
      </c>
      <c r="N34" s="8">
        <f>LN(Sheet1!N19/Sheet1!N18)</f>
        <v>0.13265137589372997</v>
      </c>
      <c r="O34" s="8">
        <f>LN(Sheet1!O19/Sheet1!O18)</f>
        <v>0.1255792179258633</v>
      </c>
      <c r="P34" s="8">
        <f>LN(Sheet1!P19/Sheet1!P18)</f>
        <v>3.7635103591736087E-2</v>
      </c>
      <c r="Q34" s="8">
        <f>LN(Sheet1!Q19/Sheet1!Q18)</f>
        <v>0.10759241838064486</v>
      </c>
      <c r="R34" s="8">
        <f>LN(Sheet1!R19/Sheet1!R18)</f>
        <v>0.18851647772562286</v>
      </c>
      <c r="S34" s="8">
        <f>LN(Sheet1!S19/Sheet1!S18)</f>
        <v>0</v>
      </c>
      <c r="T34" s="8">
        <f>LN(Sheet1!T19/Sheet1!T18)</f>
        <v>0.11058747299539505</v>
      </c>
      <c r="U34" s="8">
        <f>LN(Sheet1!U19/Sheet1!U18)</f>
        <v>3.8443274907057109E-2</v>
      </c>
      <c r="V34" s="8">
        <f>LN(Sheet1!V19/Sheet1!V18)</f>
        <v>4.510568503893405E-2</v>
      </c>
      <c r="W34" s="8">
        <f>LN(Sheet1!W19/Sheet1!W18)</f>
        <v>1.8110968918506019E-2</v>
      </c>
      <c r="X34" s="8">
        <f>LN(Sheet1!X19/Sheet1!X18)</f>
        <v>8.9878496488647874E-2</v>
      </c>
      <c r="Y34" s="8">
        <f>LN(Sheet1!Y19/Sheet1!Y18)</f>
        <v>0.13863838620204877</v>
      </c>
      <c r="Z34" s="8">
        <f>LN(Sheet1!Z19/Sheet1!Z18)</f>
        <v>0.14186660210164106</v>
      </c>
      <c r="AA34" s="8">
        <f>LN(Sheet1!AA19/Sheet1!AA18)</f>
        <v>4.3831070406992641E-2</v>
      </c>
      <c r="AB34" s="8">
        <f>LN(Sheet1!AB19/Sheet1!AB18)</f>
        <v>-1.2082305660244413E-2</v>
      </c>
      <c r="AC34" s="8">
        <f>LN(Sheet1!AC19/Sheet1!AC18)</f>
        <v>3.4597411338931197E-2</v>
      </c>
      <c r="AD34" s="8">
        <f>LN(Sheet1!AD19/Sheet1!AD18)</f>
        <v>0.12164721218209398</v>
      </c>
      <c r="AE34" s="8">
        <f>LN(Sheet1!AE19/Sheet1!AE18)</f>
        <v>4.4883533948765805E-2</v>
      </c>
      <c r="AF34" s="8">
        <f>LN(Sheet1!AF19/Sheet1!AF18)</f>
        <v>8.6517851257831027E-2</v>
      </c>
      <c r="AG34" s="8">
        <f>LN(Sheet1!AG19/Sheet1!AG18)</f>
        <v>5.156462799388202E-2</v>
      </c>
    </row>
    <row r="35" spans="1:33" x14ac:dyDescent="0.25">
      <c r="A35" s="7">
        <v>36130</v>
      </c>
      <c r="B35" s="8">
        <f>LN(Sheet1!B20/Sheet1!B19)</f>
        <v>5.4843527731920916E-2</v>
      </c>
      <c r="C35" s="8">
        <f>LN(Sheet1!C20/Sheet1!C19)</f>
        <v>7.0915228784161838E-3</v>
      </c>
      <c r="D35" s="8">
        <f>LN(Sheet1!D20/Sheet1!D19)</f>
        <v>4.4345970678657748E-3</v>
      </c>
      <c r="E35" s="8">
        <f>LN(Sheet1!E20/Sheet1!E19)</f>
        <v>2.8205425844724789E-2</v>
      </c>
      <c r="F35" s="8">
        <f>LN(Sheet1!F20/Sheet1!F19)</f>
        <v>2.4440392148369391E-2</v>
      </c>
      <c r="G35" s="8">
        <f>LN(Sheet1!G20/Sheet1!G19)</f>
        <v>-0.21921427317432032</v>
      </c>
      <c r="H35" s="8">
        <f>LN(Sheet1!H20/Sheet1!H19)</f>
        <v>-1.1137744410455983E-2</v>
      </c>
      <c r="I35" s="8">
        <f>LN(Sheet1!I20/Sheet1!I19)</f>
        <v>-7.2047610480140259E-2</v>
      </c>
      <c r="J35" s="8">
        <f>LN(Sheet1!J20/Sheet1!J19)</f>
        <v>-0.10410789050785398</v>
      </c>
      <c r="K35" s="8">
        <f>LN(Sheet1!K20/Sheet1!K19)</f>
        <v>-7.0650350337204473E-2</v>
      </c>
      <c r="L35" s="8">
        <f>LN(Sheet1!L20/Sheet1!L19)</f>
        <v>0.12436025250541552</v>
      </c>
      <c r="M35" s="8">
        <f>LN(Sheet1!M20/Sheet1!M19)</f>
        <v>2.3781756562488553E-2</v>
      </c>
      <c r="N35" s="8">
        <f>LN(Sheet1!N20/Sheet1!N19)</f>
        <v>0.20751772260880921</v>
      </c>
      <c r="O35" s="8">
        <f>LN(Sheet1!O20/Sheet1!O19)</f>
        <v>7.028955676322635E-3</v>
      </c>
      <c r="P35" s="8">
        <f>LN(Sheet1!P20/Sheet1!P19)</f>
        <v>9.0614847803365026E-2</v>
      </c>
      <c r="Q35" s="8">
        <f>LN(Sheet1!Q20/Sheet1!Q19)</f>
        <v>0.11031907544184233</v>
      </c>
      <c r="R35" s="8">
        <f>LN(Sheet1!R20/Sheet1!R19)</f>
        <v>9.6533069572951768E-2</v>
      </c>
      <c r="S35" s="8">
        <f>LN(Sheet1!S20/Sheet1!S19)</f>
        <v>3.1642006990261977E-2</v>
      </c>
      <c r="T35" s="8">
        <f>LN(Sheet1!T20/Sheet1!T19)</f>
        <v>0.11248477452898829</v>
      </c>
      <c r="U35" s="8">
        <f>LN(Sheet1!U20/Sheet1!U19)</f>
        <v>-4.4733702778517827E-2</v>
      </c>
      <c r="V35" s="8">
        <f>LN(Sheet1!V20/Sheet1!V19)</f>
        <v>9.1846796491103375E-2</v>
      </c>
      <c r="W35" s="8">
        <f>LN(Sheet1!W20/Sheet1!W19)</f>
        <v>-0.12404700467617585</v>
      </c>
      <c r="X35" s="8">
        <f>LN(Sheet1!X20/Sheet1!X19)</f>
        <v>-3.621670802343923E-2</v>
      </c>
      <c r="Y35" s="8">
        <f>LN(Sheet1!Y20/Sheet1!Y19)</f>
        <v>-4.7114070916236504E-2</v>
      </c>
      <c r="Z35" s="8">
        <f>LN(Sheet1!Z20/Sheet1!Z19)</f>
        <v>0.12826141444301095</v>
      </c>
      <c r="AA35" s="8">
        <f>LN(Sheet1!AA20/Sheet1!AA19)</f>
        <v>0.11027219470747138</v>
      </c>
      <c r="AB35" s="8">
        <f>LN(Sheet1!AB20/Sheet1!AB19)</f>
        <v>4.1275700332231394E-2</v>
      </c>
      <c r="AC35" s="8">
        <f>LN(Sheet1!AC20/Sheet1!AC19)</f>
        <v>0.11219589078805056</v>
      </c>
      <c r="AD35" s="8">
        <f>LN(Sheet1!AD20/Sheet1!AD19)</f>
        <v>1.4684551682921099E-2</v>
      </c>
      <c r="AE35" s="8">
        <f>LN(Sheet1!AE20/Sheet1!AE19)</f>
        <v>-2.9697415544022946E-2</v>
      </c>
      <c r="AF35" s="8">
        <f>LN(Sheet1!AF20/Sheet1!AF19)</f>
        <v>7.936096193828078E-2</v>
      </c>
      <c r="AG35" s="8">
        <f>LN(Sheet1!AG20/Sheet1!AG19)</f>
        <v>-2.5449986954808049E-2</v>
      </c>
    </row>
    <row r="36" spans="1:33" x14ac:dyDescent="0.25">
      <c r="A36" s="7">
        <v>36164</v>
      </c>
      <c r="B36" s="8">
        <f>LN(Sheet1!B21/Sheet1!B20)</f>
        <v>4.0190831279158935E-2</v>
      </c>
      <c r="C36" s="8">
        <f>LN(Sheet1!C21/Sheet1!C20)</f>
        <v>1.9137316754890502E-2</v>
      </c>
      <c r="D36" s="8">
        <f>LN(Sheet1!D21/Sheet1!D20)</f>
        <v>0.11398315774660872</v>
      </c>
      <c r="E36" s="8">
        <f>LN(Sheet1!E21/Sheet1!E20)</f>
        <v>6.325293091248832E-2</v>
      </c>
      <c r="F36" s="8">
        <f>LN(Sheet1!F21/Sheet1!F20)</f>
        <v>5.749207355787227E-3</v>
      </c>
      <c r="G36" s="8">
        <f>LN(Sheet1!G21/Sheet1!G20)</f>
        <v>6.1118815056045536E-2</v>
      </c>
      <c r="H36" s="8">
        <f>LN(Sheet1!H21/Sheet1!H20)</f>
        <v>0.12422152329874499</v>
      </c>
      <c r="I36" s="8">
        <f>LN(Sheet1!I21/Sheet1!I20)</f>
        <v>-5.3711539246251924E-2</v>
      </c>
      <c r="J36" s="8">
        <f>LN(Sheet1!J21/Sheet1!J20)</f>
        <v>-3.5731471364890792E-2</v>
      </c>
      <c r="K36" s="8">
        <f>LN(Sheet1!K21/Sheet1!K20)</f>
        <v>9.5539639100891707E-2</v>
      </c>
      <c r="L36" s="8">
        <f>LN(Sheet1!L21/Sheet1!L20)</f>
        <v>2.7954301031373908E-2</v>
      </c>
      <c r="M36" s="8">
        <f>LN(Sheet1!M21/Sheet1!M20)</f>
        <v>0.22649524226612125</v>
      </c>
      <c r="N36" s="8">
        <f>LN(Sheet1!N21/Sheet1!N20)</f>
        <v>-1.113184036884407E-2</v>
      </c>
      <c r="O36" s="8">
        <f>LN(Sheet1!O21/Sheet1!O20)</f>
        <v>-0.12769868230502096</v>
      </c>
      <c r="P36" s="8">
        <f>LN(Sheet1!P21/Sheet1!P20)</f>
        <v>0.13753212536576154</v>
      </c>
      <c r="Q36" s="8">
        <f>LN(Sheet1!Q21/Sheet1!Q20)</f>
        <v>-6.1631685290325063E-3</v>
      </c>
      <c r="R36" s="8">
        <f>LN(Sheet1!R21/Sheet1!R20)</f>
        <v>0.17317368366019367</v>
      </c>
      <c r="S36" s="8">
        <f>LN(Sheet1!S21/Sheet1!S20)</f>
        <v>1.477455055799598E-2</v>
      </c>
      <c r="T36" s="8">
        <f>LN(Sheet1!T21/Sheet1!T20)</f>
        <v>8.5512821744336248E-2</v>
      </c>
      <c r="U36" s="8">
        <f>LN(Sheet1!U21/Sheet1!U20)</f>
        <v>-2.5565035108612012E-2</v>
      </c>
      <c r="V36" s="8">
        <f>LN(Sheet1!V21/Sheet1!V20)</f>
        <v>2.5900728432157391E-2</v>
      </c>
      <c r="W36" s="8">
        <f>LN(Sheet1!W21/Sheet1!W20)</f>
        <v>8.7491000071515085E-2</v>
      </c>
      <c r="X36" s="8">
        <f>LN(Sheet1!X21/Sheet1!X20)</f>
        <v>-0.13205068271017739</v>
      </c>
      <c r="Y36" s="8">
        <f>LN(Sheet1!Y21/Sheet1!Y20)</f>
        <v>-4.9838589547559018E-3</v>
      </c>
      <c r="Z36" s="8">
        <f>LN(Sheet1!Z21/Sheet1!Z20)</f>
        <v>0.23264767211492052</v>
      </c>
      <c r="AA36" s="8">
        <f>LN(Sheet1!AA21/Sheet1!AA20)</f>
        <v>2.8881861710475295E-2</v>
      </c>
      <c r="AB36" s="8">
        <f>LN(Sheet1!AB21/Sheet1!AB20)</f>
        <v>-1.5564205476580842E-3</v>
      </c>
      <c r="AC36" s="8">
        <f>LN(Sheet1!AC21/Sheet1!AC20)</f>
        <v>1.1270611107450791E-2</v>
      </c>
      <c r="AD36" s="8">
        <f>LN(Sheet1!AD21/Sheet1!AD20)</f>
        <v>9.3756590132033454E-2</v>
      </c>
      <c r="AE36" s="8">
        <f>LN(Sheet1!AE21/Sheet1!AE20)</f>
        <v>0.11218540150166463</v>
      </c>
      <c r="AF36" s="8">
        <f>LN(Sheet1!AF21/Sheet1!AF20)</f>
        <v>5.4456185796058751E-2</v>
      </c>
      <c r="AG36" s="8">
        <f>LN(Sheet1!AG21/Sheet1!AG20)</f>
        <v>-3.9776055694891302E-2</v>
      </c>
    </row>
    <row r="37" spans="1:33" x14ac:dyDescent="0.25">
      <c r="A37" s="7">
        <v>36192</v>
      </c>
      <c r="B37" s="8">
        <f>LN(Sheet1!B22/Sheet1!B21)</f>
        <v>-3.2815090665377786E-2</v>
      </c>
      <c r="C37" s="8">
        <f>LN(Sheet1!C22/Sheet1!C21)</f>
        <v>-5.5986058145643574E-3</v>
      </c>
      <c r="D37" s="8">
        <f>LN(Sheet1!D22/Sheet1!D21)</f>
        <v>-2.6287227927529317E-2</v>
      </c>
      <c r="E37" s="8">
        <f>LN(Sheet1!E22/Sheet1!E21)</f>
        <v>0.10155077062400154</v>
      </c>
      <c r="F37" s="8">
        <f>LN(Sheet1!F22/Sheet1!F21)</f>
        <v>5.3369246312444649E-2</v>
      </c>
      <c r="G37" s="8">
        <f>LN(Sheet1!G22/Sheet1!G21)</f>
        <v>3.049214501867847E-2</v>
      </c>
      <c r="H37" s="8">
        <f>LN(Sheet1!H22/Sheet1!H21)</f>
        <v>4.6926732897084461E-2</v>
      </c>
      <c r="I37" s="8">
        <f>LN(Sheet1!I22/Sheet1!I21)</f>
        <v>5.0504695236672371E-2</v>
      </c>
      <c r="J37" s="8">
        <f>LN(Sheet1!J22/Sheet1!J21)</f>
        <v>8.8641836578808569E-3</v>
      </c>
      <c r="K37" s="8">
        <f>LN(Sheet1!K22/Sheet1!K21)</f>
        <v>6.410824175668188E-2</v>
      </c>
      <c r="L37" s="8">
        <f>LN(Sheet1!L22/Sheet1!L21)</f>
        <v>-4.4749407263598218E-2</v>
      </c>
      <c r="M37" s="8">
        <f>LN(Sheet1!M22/Sheet1!M21)</f>
        <v>-7.8116584235985359E-2</v>
      </c>
      <c r="N37" s="8">
        <f>LN(Sheet1!N22/Sheet1!N21)</f>
        <v>-1.3685977739959483E-2</v>
      </c>
      <c r="O37" s="8">
        <f>LN(Sheet1!O22/Sheet1!O21)</f>
        <v>6.3160161167449824E-2</v>
      </c>
      <c r="P37" s="8">
        <f>LN(Sheet1!P22/Sheet1!P21)</f>
        <v>-0.1654055514840172</v>
      </c>
      <c r="Q37" s="8">
        <f>LN(Sheet1!Q22/Sheet1!Q21)</f>
        <v>-7.5194260342346039E-2</v>
      </c>
      <c r="R37" s="8">
        <f>LN(Sheet1!R22/Sheet1!R21)</f>
        <v>-0.16102633886564885</v>
      </c>
      <c r="S37" s="8">
        <f>LN(Sheet1!S22/Sheet1!S21)</f>
        <v>5.9572339730467137E-3</v>
      </c>
      <c r="T37" s="8">
        <f>LN(Sheet1!T22/Sheet1!T21)</f>
        <v>3.4233171642242391E-2</v>
      </c>
      <c r="U37" s="8">
        <f>LN(Sheet1!U22/Sheet1!U21)</f>
        <v>-2.1998887337575657E-2</v>
      </c>
      <c r="V37" s="8">
        <f>LN(Sheet1!V22/Sheet1!V21)</f>
        <v>7.5486891137675677E-2</v>
      </c>
      <c r="W37" s="8">
        <f>LN(Sheet1!W22/Sheet1!W21)</f>
        <v>-3.9555860838623808E-2</v>
      </c>
      <c r="X37" s="8">
        <f>LN(Sheet1!X22/Sheet1!X21)</f>
        <v>-0.1806570069330774</v>
      </c>
      <c r="Y37" s="8">
        <f>LN(Sheet1!Y22/Sheet1!Y21)</f>
        <v>0.10495332692022293</v>
      </c>
      <c r="Z37" s="8">
        <f>LN(Sheet1!Z22/Sheet1!Z21)</f>
        <v>-0.15317416059656683</v>
      </c>
      <c r="AA37" s="8">
        <f>LN(Sheet1!AA22/Sheet1!AA21)</f>
        <v>2.6995504342011735E-2</v>
      </c>
      <c r="AB37" s="8">
        <f>LN(Sheet1!AB22/Sheet1!AB21)</f>
        <v>-1.5171622423056794E-2</v>
      </c>
      <c r="AC37" s="8">
        <f>LN(Sheet1!AC22/Sheet1!AC21)</f>
        <v>-2.1107604746223259E-2</v>
      </c>
      <c r="AD37" s="8">
        <f>LN(Sheet1!AD22/Sheet1!AD21)</f>
        <v>3.9045673768973013E-2</v>
      </c>
      <c r="AE37" s="8">
        <f>LN(Sheet1!AE22/Sheet1!AE21)</f>
        <v>-4.0270661461749672E-2</v>
      </c>
      <c r="AF37" s="8">
        <f>LN(Sheet1!AF22/Sheet1!AF21)</f>
        <v>1.4988761237359487E-3</v>
      </c>
      <c r="AG37" s="8">
        <f>LN(Sheet1!AG22/Sheet1!AG21)</f>
        <v>-4.8257293790431519E-2</v>
      </c>
    </row>
    <row r="38" spans="1:33" x14ac:dyDescent="0.25">
      <c r="A38" s="7">
        <v>36220</v>
      </c>
      <c r="B38" s="8">
        <f>LN(Sheet1!B23/Sheet1!B22)</f>
        <v>3.8060600567156579E-2</v>
      </c>
      <c r="C38" s="8">
        <f>LN(Sheet1!C23/Sheet1!C22)</f>
        <v>5.0247465759083204E-2</v>
      </c>
      <c r="D38" s="8">
        <f>LN(Sheet1!D23/Sheet1!D22)</f>
        <v>1.6652696048383226E-2</v>
      </c>
      <c r="E38" s="8">
        <f>LN(Sheet1!E23/Sheet1!E22)</f>
        <v>5.745271717387148E-2</v>
      </c>
      <c r="F38" s="8">
        <f>LN(Sheet1!F23/Sheet1!F22)</f>
        <v>8.3381608939051E-2</v>
      </c>
      <c r="G38" s="8">
        <f>LN(Sheet1!G23/Sheet1!G22)</f>
        <v>-4.6763465318089038E-2</v>
      </c>
      <c r="H38" s="8">
        <f>LN(Sheet1!H23/Sheet1!H22)</f>
        <v>8.3597316009686687E-2</v>
      </c>
      <c r="I38" s="8">
        <f>LN(Sheet1!I23/Sheet1!I22)</f>
        <v>7.9979098683644317E-3</v>
      </c>
      <c r="J38" s="8">
        <f>LN(Sheet1!J23/Sheet1!J22)</f>
        <v>0.12342629689624202</v>
      </c>
      <c r="K38" s="8">
        <f>LN(Sheet1!K23/Sheet1!K22)</f>
        <v>-0.12282956292180361</v>
      </c>
      <c r="L38" s="8">
        <f>LN(Sheet1!L23/Sheet1!L22)</f>
        <v>0.10167806808702791</v>
      </c>
      <c r="M38" s="8">
        <f>LN(Sheet1!M23/Sheet1!M22)</f>
        <v>5.2357437517058604E-2</v>
      </c>
      <c r="N38" s="8">
        <f>LN(Sheet1!N23/Sheet1!N22)</f>
        <v>4.258213060230371E-2</v>
      </c>
      <c r="O38" s="8">
        <f>LN(Sheet1!O23/Sheet1!O22)</f>
        <v>0.17293859369289155</v>
      </c>
      <c r="P38" s="8">
        <f>LN(Sheet1!P23/Sheet1!P22)</f>
        <v>2.28629772228118E-2</v>
      </c>
      <c r="Q38" s="8">
        <f>LN(Sheet1!Q23/Sheet1!Q22)</f>
        <v>4.3193425925620782E-2</v>
      </c>
      <c r="R38" s="8">
        <f>LN(Sheet1!R23/Sheet1!R22)</f>
        <v>-8.917483741610879E-3</v>
      </c>
      <c r="S38" s="8">
        <f>LN(Sheet1!S23/Sheet1!S22)</f>
        <v>9.1030467440377197E-2</v>
      </c>
      <c r="T38" s="8">
        <f>LN(Sheet1!T23/Sheet1!T22)</f>
        <v>2.1775356695654276E-2</v>
      </c>
      <c r="U38" s="8">
        <f>LN(Sheet1!U23/Sheet1!U22)</f>
        <v>-3.7457562534900443E-2</v>
      </c>
      <c r="V38" s="8">
        <f>LN(Sheet1!V23/Sheet1!V22)</f>
        <v>6.526270563875558E-2</v>
      </c>
      <c r="W38" s="8">
        <f>LN(Sheet1!W23/Sheet1!W22)</f>
        <v>-4.5905368576604301E-2</v>
      </c>
      <c r="X38" s="8">
        <f>LN(Sheet1!X23/Sheet1!X22)</f>
        <v>-9.5257660175101386E-2</v>
      </c>
      <c r="Y38" s="8">
        <f>LN(Sheet1!Y23/Sheet1!Y22)</f>
        <v>-1.3587393468536324E-2</v>
      </c>
      <c r="Z38" s="8">
        <f>LN(Sheet1!Z23/Sheet1!Z22)</f>
        <v>0.17713213155172899</v>
      </c>
      <c r="AA38" s="8">
        <f>LN(Sheet1!AA23/Sheet1!AA22)</f>
        <v>5.0364695495702758E-2</v>
      </c>
      <c r="AB38" s="8">
        <f>LN(Sheet1!AB23/Sheet1!AB22)</f>
        <v>9.0169274350765133E-2</v>
      </c>
      <c r="AC38" s="8">
        <f>LN(Sheet1!AC23/Sheet1!AC22)</f>
        <v>-0.11366172723173323</v>
      </c>
      <c r="AD38" s="8">
        <f>LN(Sheet1!AD23/Sheet1!AD22)</f>
        <v>8.9591318626749183E-2</v>
      </c>
      <c r="AE38" s="8">
        <f>LN(Sheet1!AE23/Sheet1!AE22)</f>
        <v>-0.10881134481555928</v>
      </c>
      <c r="AF38" s="8">
        <f>LN(Sheet1!AF23/Sheet1!AF22)</f>
        <v>6.919255199879687E-2</v>
      </c>
      <c r="AG38" s="8">
        <f>LN(Sheet1!AG23/Sheet1!AG22)</f>
        <v>5.8180386335641703E-2</v>
      </c>
    </row>
    <row r="39" spans="1:33" x14ac:dyDescent="0.25">
      <c r="A39" s="7">
        <v>36251</v>
      </c>
      <c r="B39" s="8">
        <f>LN(Sheet1!B24/Sheet1!B23)</f>
        <v>3.7241815948836486E-2</v>
      </c>
      <c r="C39" s="8">
        <f>LN(Sheet1!C24/Sheet1!C23)</f>
        <v>9.7561661421302681E-2</v>
      </c>
      <c r="D39" s="8">
        <f>LN(Sheet1!D24/Sheet1!D23)</f>
        <v>0.41302944069709091</v>
      </c>
      <c r="E39" s="8">
        <f>LN(Sheet1!E24/Sheet1!E23)</f>
        <v>-3.0474179922945446E-2</v>
      </c>
      <c r="F39" s="8">
        <f>LN(Sheet1!F24/Sheet1!F23)</f>
        <v>0.10436001532424286</v>
      </c>
      <c r="G39" s="8">
        <f>LN(Sheet1!G24/Sheet1!G23)</f>
        <v>0.17829605655757502</v>
      </c>
      <c r="H39" s="8">
        <f>LN(Sheet1!H24/Sheet1!H23)</f>
        <v>0.16150560104097239</v>
      </c>
      <c r="I39" s="8">
        <f>LN(Sheet1!I24/Sheet1!I23)</f>
        <v>0.34244782264860085</v>
      </c>
      <c r="J39" s="8">
        <f>LN(Sheet1!J24/Sheet1!J23)</f>
        <v>0.19681376241973433</v>
      </c>
      <c r="K39" s="8">
        <f>LN(Sheet1!K24/Sheet1!K23)</f>
        <v>1.9959368710648889E-2</v>
      </c>
      <c r="L39" s="8">
        <f>LN(Sheet1!L24/Sheet1!L23)</f>
        <v>-4.8692512687493125E-2</v>
      </c>
      <c r="M39" s="8">
        <f>LN(Sheet1!M24/Sheet1!M23)</f>
        <v>2.3462055356632122E-2</v>
      </c>
      <c r="N39" s="8">
        <f>LN(Sheet1!N24/Sheet1!N23)</f>
        <v>-4.0962259837727388E-2</v>
      </c>
      <c r="O39" s="8">
        <f>LN(Sheet1!O24/Sheet1!O23)</f>
        <v>0.17759685238433856</v>
      </c>
      <c r="P39" s="8">
        <f>LN(Sheet1!P24/Sheet1!P23)</f>
        <v>0.15085637598847956</v>
      </c>
      <c r="Q39" s="8">
        <f>LN(Sheet1!Q24/Sheet1!Q23)</f>
        <v>0.16566344437378783</v>
      </c>
      <c r="R39" s="8">
        <f>LN(Sheet1!R24/Sheet1!R23)</f>
        <v>2.8956825442967467E-2</v>
      </c>
      <c r="S39" s="8">
        <f>LN(Sheet1!S24/Sheet1!S23)</f>
        <v>4.1758208833876237E-2</v>
      </c>
      <c r="T39" s="8">
        <f>LN(Sheet1!T24/Sheet1!T23)</f>
        <v>1.8884681390527201E-2</v>
      </c>
      <c r="U39" s="8">
        <f>LN(Sheet1!U24/Sheet1!U23)</f>
        <v>0.10325907253086911</v>
      </c>
      <c r="V39" s="8">
        <f>LN(Sheet1!V24/Sheet1!V23)</f>
        <v>-6.6844567292102114E-2</v>
      </c>
      <c r="W39" s="8">
        <f>LN(Sheet1!W24/Sheet1!W23)</f>
        <v>0.22967842147250717</v>
      </c>
      <c r="X39" s="8">
        <f>LN(Sheet1!X24/Sheet1!X23)</f>
        <v>-3.4722257107490922E-3</v>
      </c>
      <c r="Y39" s="8">
        <f>LN(Sheet1!Y24/Sheet1!Y23)</f>
        <v>-0.12984672796225735</v>
      </c>
      <c r="Z39" s="8">
        <f>LN(Sheet1!Z24/Sheet1!Z23)</f>
        <v>-9.7471723414531947E-2</v>
      </c>
      <c r="AA39" s="8">
        <f>LN(Sheet1!AA24/Sheet1!AA23)</f>
        <v>-0.18709116349733337</v>
      </c>
      <c r="AB39" s="8">
        <f>LN(Sheet1!AB24/Sheet1!AB23)</f>
        <v>-4.0049572940318051E-2</v>
      </c>
      <c r="AC39" s="8">
        <f>LN(Sheet1!AC24/Sheet1!AC23)</f>
        <v>0.17128251537190886</v>
      </c>
      <c r="AD39" s="8">
        <f>LN(Sheet1!AD24/Sheet1!AD23)</f>
        <v>6.7368790237396101E-2</v>
      </c>
      <c r="AE39" s="8">
        <f>LN(Sheet1!AE24/Sheet1!AE23)</f>
        <v>0.11616612177847625</v>
      </c>
      <c r="AF39" s="8">
        <f>LN(Sheet1!AF24/Sheet1!AF23)</f>
        <v>-2.0986366569211382E-3</v>
      </c>
      <c r="AG39" s="8">
        <f>LN(Sheet1!AG24/Sheet1!AG23)</f>
        <v>0.16330173504461556</v>
      </c>
    </row>
    <row r="40" spans="1:33" x14ac:dyDescent="0.25">
      <c r="A40" s="7">
        <v>36283</v>
      </c>
      <c r="B40" s="8">
        <f>LN(Sheet1!B25/Sheet1!B24)</f>
        <v>-2.5287465853720853E-2</v>
      </c>
      <c r="C40" s="8">
        <f>LN(Sheet1!C25/Sheet1!C24)</f>
        <v>-2.1482147279283798E-2</v>
      </c>
      <c r="D40" s="8">
        <f>LN(Sheet1!D25/Sheet1!D24)</f>
        <v>-0.12037682616479031</v>
      </c>
      <c r="E40" s="8">
        <f>LN(Sheet1!E25/Sheet1!E24)</f>
        <v>-2.3225547516642634E-2</v>
      </c>
      <c r="F40" s="8">
        <f>LN(Sheet1!F25/Sheet1!F24)</f>
        <v>-7.6623260352643219E-2</v>
      </c>
      <c r="G40" s="8">
        <f>LN(Sheet1!G25/Sheet1!G24)</f>
        <v>3.7657328377047376E-2</v>
      </c>
      <c r="H40" s="8">
        <f>LN(Sheet1!H25/Sheet1!H24)</f>
        <v>-0.12218949383066863</v>
      </c>
      <c r="I40" s="8">
        <f>LN(Sheet1!I25/Sheet1!I24)</f>
        <v>-0.15950687902778332</v>
      </c>
      <c r="J40" s="8">
        <f>LN(Sheet1!J25/Sheet1!J24)</f>
        <v>-7.2489996801985729E-2</v>
      </c>
      <c r="K40" s="8">
        <f>LN(Sheet1!K25/Sheet1!K24)</f>
        <v>-8.6423041497578318E-2</v>
      </c>
      <c r="L40" s="8">
        <f>LN(Sheet1!L25/Sheet1!L24)</f>
        <v>-3.548198296693706E-2</v>
      </c>
      <c r="M40" s="8">
        <f>LN(Sheet1!M25/Sheet1!M24)</f>
        <v>-5.9618995010748341E-2</v>
      </c>
      <c r="N40" s="8">
        <f>LN(Sheet1!N25/Sheet1!N24)</f>
        <v>-5.4891827567517107E-2</v>
      </c>
      <c r="O40" s="8">
        <f>LN(Sheet1!O25/Sheet1!O24)</f>
        <v>-8.9449671434325591E-3</v>
      </c>
      <c r="P40" s="8">
        <f>LN(Sheet1!P25/Sheet1!P24)</f>
        <v>0.17883576685895108</v>
      </c>
      <c r="Q40" s="8">
        <f>LN(Sheet1!Q25/Sheet1!Q24)</f>
        <v>0.10464590177411526</v>
      </c>
      <c r="R40" s="8">
        <f>LN(Sheet1!R25/Sheet1!R24)</f>
        <v>-0.12319269896670731</v>
      </c>
      <c r="S40" s="8">
        <f>LN(Sheet1!S25/Sheet1!S24)</f>
        <v>-4.8187508923157762E-2</v>
      </c>
      <c r="T40" s="8">
        <f>LN(Sheet1!T25/Sheet1!T24)</f>
        <v>-0.13117404562701354</v>
      </c>
      <c r="U40" s="8">
        <f>LN(Sheet1!U25/Sheet1!U24)</f>
        <v>6.5191515836575311E-3</v>
      </c>
      <c r="V40" s="8">
        <f>LN(Sheet1!V25/Sheet1!V24)</f>
        <v>-9.4861731559606685E-2</v>
      </c>
      <c r="W40" s="8">
        <f>LN(Sheet1!W25/Sheet1!W24)</f>
        <v>-3.0822022545790115E-2</v>
      </c>
      <c r="X40" s="8">
        <f>LN(Sheet1!X25/Sheet1!X24)</f>
        <v>9.5046640469554008E-2</v>
      </c>
      <c r="Y40" s="8">
        <f>LN(Sheet1!Y25/Sheet1!Y24)</f>
        <v>-3.982089322531375E-2</v>
      </c>
      <c r="Z40" s="8">
        <f>LN(Sheet1!Z25/Sheet1!Z24)</f>
        <v>-7.4842030403068898E-3</v>
      </c>
      <c r="AA40" s="8">
        <f>LN(Sheet1!AA25/Sheet1!AA24)</f>
        <v>-7.0933591926706216E-2</v>
      </c>
      <c r="AB40" s="8">
        <f>LN(Sheet1!AB25/Sheet1!AB24)</f>
        <v>-4.7744782241704482E-3</v>
      </c>
      <c r="AC40" s="8">
        <f>LN(Sheet1!AC25/Sheet1!AC24)</f>
        <v>-8.6386460663440953E-2</v>
      </c>
      <c r="AD40" s="8">
        <f>LN(Sheet1!AD25/Sheet1!AD24)</f>
        <v>-0.15223024739939017</v>
      </c>
      <c r="AE40" s="8">
        <f>LN(Sheet1!AE25/Sheet1!AE24)</f>
        <v>-5.1113329608742805E-2</v>
      </c>
      <c r="AF40" s="8">
        <f>LN(Sheet1!AF25/Sheet1!AF24)</f>
        <v>-7.6121057886403248E-2</v>
      </c>
      <c r="AG40" s="8">
        <f>LN(Sheet1!AG25/Sheet1!AG24)</f>
        <v>-3.4420223886479306E-2</v>
      </c>
    </row>
    <row r="41" spans="1:33" x14ac:dyDescent="0.25">
      <c r="A41" s="7">
        <v>36312</v>
      </c>
      <c r="B41" s="8">
        <f>LN(Sheet1!B26/Sheet1!B25)</f>
        <v>5.3008239791665523E-2</v>
      </c>
      <c r="C41" s="8">
        <f>LN(Sheet1!C26/Sheet1!C25)</f>
        <v>3.8188541027529131E-2</v>
      </c>
      <c r="D41" s="8">
        <f>LN(Sheet1!D26/Sheet1!D25)</f>
        <v>0.11773581349973865</v>
      </c>
      <c r="E41" s="8">
        <f>LN(Sheet1!E26/Sheet1!E25)</f>
        <v>2.5883797960524819E-2</v>
      </c>
      <c r="F41" s="8">
        <f>LN(Sheet1!F26/Sheet1!F25)</f>
        <v>7.4086261106054527E-2</v>
      </c>
      <c r="G41" s="8">
        <f>LN(Sheet1!G26/Sheet1!G25)</f>
        <v>4.5096632651864775E-2</v>
      </c>
      <c r="H41" s="8">
        <f>LN(Sheet1!H26/Sheet1!H25)</f>
        <v>7.2431573460250823E-2</v>
      </c>
      <c r="I41" s="8">
        <f>LN(Sheet1!I26/Sheet1!I25)</f>
        <v>8.9220346299611578E-2</v>
      </c>
      <c r="J41" s="8">
        <f>LN(Sheet1!J26/Sheet1!J25)</f>
        <v>4.2953160271966377E-2</v>
      </c>
      <c r="K41" s="8">
        <f>LN(Sheet1!K26/Sheet1!K25)</f>
        <v>5.633258176724798E-2</v>
      </c>
      <c r="L41" s="8">
        <f>LN(Sheet1!L26/Sheet1!L25)</f>
        <v>0.10543133467984529</v>
      </c>
      <c r="M41" s="8">
        <f>LN(Sheet1!M26/Sheet1!M25)</f>
        <v>-4.4294588740877334E-2</v>
      </c>
      <c r="N41" s="8">
        <f>LN(Sheet1!N26/Sheet1!N25)</f>
        <v>0.13121323327401971</v>
      </c>
      <c r="O41" s="8">
        <f>LN(Sheet1!O26/Sheet1!O25)</f>
        <v>8.1722074617441492E-2</v>
      </c>
      <c r="P41" s="8">
        <f>LN(Sheet1!P26/Sheet1!P25)</f>
        <v>6.5253196460913057E-2</v>
      </c>
      <c r="Q41" s="8">
        <f>LN(Sheet1!Q26/Sheet1!Q25)</f>
        <v>0.10817823333664976</v>
      </c>
      <c r="R41" s="8">
        <f>LN(Sheet1!R26/Sheet1!R25)</f>
        <v>9.5668025576617313E-2</v>
      </c>
      <c r="S41" s="8">
        <f>LN(Sheet1!S26/Sheet1!S25)</f>
        <v>5.6427696808613627E-2</v>
      </c>
      <c r="T41" s="8">
        <f>LN(Sheet1!T26/Sheet1!T25)</f>
        <v>0.17838955219060174</v>
      </c>
      <c r="U41" s="8">
        <f>LN(Sheet1!U26/Sheet1!U25)</f>
        <v>-9.7261466731929327E-2</v>
      </c>
      <c r="V41" s="8">
        <f>LN(Sheet1!V26/Sheet1!V25)</f>
        <v>6.6223349928200018E-2</v>
      </c>
      <c r="W41" s="8">
        <f>LN(Sheet1!W26/Sheet1!W25)</f>
        <v>1.3755375068485419E-2</v>
      </c>
      <c r="X41" s="8">
        <f>LN(Sheet1!X26/Sheet1!X25)</f>
        <v>5.187298927348475E-2</v>
      </c>
      <c r="Y41" s="8">
        <f>LN(Sheet1!Y26/Sheet1!Y25)</f>
        <v>8.8977290689445196E-2</v>
      </c>
      <c r="Z41" s="8">
        <f>LN(Sheet1!Z26/Sheet1!Z25)</f>
        <v>0.1111800129378407</v>
      </c>
      <c r="AA41" s="8">
        <f>LN(Sheet1!AA26/Sheet1!AA25)</f>
        <v>1.8698264953126459E-2</v>
      </c>
      <c r="AB41" s="8">
        <f>LN(Sheet1!AB26/Sheet1!AB25)</f>
        <v>-5.7810574887548878E-2</v>
      </c>
      <c r="AC41" s="8">
        <f>LN(Sheet1!AC26/Sheet1!AC25)</f>
        <v>0.12610765305964136</v>
      </c>
      <c r="AD41" s="8">
        <f>LN(Sheet1!AD26/Sheet1!AD25)</f>
        <v>0.1484825852991504</v>
      </c>
      <c r="AE41" s="8">
        <f>LN(Sheet1!AE26/Sheet1!AE25)</f>
        <v>0.17716690620529019</v>
      </c>
      <c r="AF41" s="8">
        <f>LN(Sheet1!AF26/Sheet1!AF25)</f>
        <v>0.12508905515993618</v>
      </c>
      <c r="AG41" s="8">
        <f>LN(Sheet1!AG26/Sheet1!AG25)</f>
        <v>-3.5027183671602354E-2</v>
      </c>
    </row>
    <row r="42" spans="1:33" x14ac:dyDescent="0.25">
      <c r="A42" s="7">
        <v>36342</v>
      </c>
      <c r="B42" s="8">
        <f>LN(Sheet1!B27/Sheet1!B26)</f>
        <v>-3.2570815353280949E-2</v>
      </c>
      <c r="C42" s="8">
        <f>LN(Sheet1!C27/Sheet1!C26)</f>
        <v>-2.9193854441227844E-2</v>
      </c>
      <c r="D42" s="8">
        <f>LN(Sheet1!D27/Sheet1!D26)</f>
        <v>-3.2638719770421626E-2</v>
      </c>
      <c r="E42" s="8">
        <f>LN(Sheet1!E27/Sheet1!E26)</f>
        <v>-9.6699653143943742E-3</v>
      </c>
      <c r="F42" s="8">
        <f>LN(Sheet1!F27/Sheet1!F26)</f>
        <v>1.2342372666810439E-2</v>
      </c>
      <c r="G42" s="8">
        <f>LN(Sheet1!G27/Sheet1!G26)</f>
        <v>3.0974804299430499E-2</v>
      </c>
      <c r="H42" s="8">
        <f>LN(Sheet1!H27/Sheet1!H26)</f>
        <v>-6.0971262295958867E-2</v>
      </c>
      <c r="I42" s="8">
        <f>LN(Sheet1!I27/Sheet1!I26)</f>
        <v>-1.7547889575408867E-2</v>
      </c>
      <c r="J42" s="8">
        <f>LN(Sheet1!J27/Sheet1!J26)</f>
        <v>5.4305344857542188E-2</v>
      </c>
      <c r="K42" s="8">
        <f>LN(Sheet1!K27/Sheet1!K26)</f>
        <v>-0.11130825583981242</v>
      </c>
      <c r="L42" s="8">
        <f>LN(Sheet1!L27/Sheet1!L26)</f>
        <v>-3.3044794777457288E-2</v>
      </c>
      <c r="M42" s="8">
        <f>LN(Sheet1!M27/Sheet1!M26)</f>
        <v>-7.6646397892196821E-2</v>
      </c>
      <c r="N42" s="8">
        <f>LN(Sheet1!N27/Sheet1!N26)</f>
        <v>-9.7953815987388507E-3</v>
      </c>
      <c r="O42" s="8">
        <f>LN(Sheet1!O27/Sheet1!O26)</f>
        <v>2.6371073203539316E-2</v>
      </c>
      <c r="P42" s="8">
        <f>LN(Sheet1!P27/Sheet1!P26)</f>
        <v>4.0889674125031882E-2</v>
      </c>
      <c r="Q42" s="8">
        <f>LN(Sheet1!Q27/Sheet1!Q26)</f>
        <v>-2.7937581454455938E-2</v>
      </c>
      <c r="R42" s="8">
        <f>LN(Sheet1!R27/Sheet1!R26)</f>
        <v>0.14835831670642197</v>
      </c>
      <c r="S42" s="8">
        <f>LN(Sheet1!S27/Sheet1!S26)</f>
        <v>-7.3440866735344404E-2</v>
      </c>
      <c r="T42" s="8">
        <f>LN(Sheet1!T27/Sheet1!T26)</f>
        <v>-0.11065324085124696</v>
      </c>
      <c r="U42" s="8">
        <f>LN(Sheet1!U27/Sheet1!U26)</f>
        <v>-2.3454216507978527E-2</v>
      </c>
      <c r="V42" s="8">
        <f>LN(Sheet1!V27/Sheet1!V26)</f>
        <v>1.3484562469518624E-2</v>
      </c>
      <c r="W42" s="8">
        <f>LN(Sheet1!W27/Sheet1!W26)</f>
        <v>1.1410066738030959E-2</v>
      </c>
      <c r="X42" s="8">
        <f>LN(Sheet1!X27/Sheet1!X26)</f>
        <v>-7.5880544002374151E-2</v>
      </c>
      <c r="Y42" s="8">
        <f>LN(Sheet1!Y27/Sheet1!Y26)</f>
        <v>-8.4982877549397207E-2</v>
      </c>
      <c r="Z42" s="8">
        <f>LN(Sheet1!Z27/Sheet1!Z26)</f>
        <v>-4.9824825410208398E-2</v>
      </c>
      <c r="AA42" s="8">
        <f>LN(Sheet1!AA27/Sheet1!AA26)</f>
        <v>-6.9991559340677009E-2</v>
      </c>
      <c r="AB42" s="8">
        <f>LN(Sheet1!AB27/Sheet1!AB26)</f>
        <v>3.0747396538721269E-2</v>
      </c>
      <c r="AC42" s="8">
        <f>LN(Sheet1!AC27/Sheet1!AC26)</f>
        <v>-1.09161027014877E-2</v>
      </c>
      <c r="AD42" s="8">
        <f>LN(Sheet1!AD27/Sheet1!AD26)</f>
        <v>-7.6710759568059256E-2</v>
      </c>
      <c r="AE42" s="8">
        <f>LN(Sheet1!AE27/Sheet1!AE26)</f>
        <v>-1.4969365108160378E-2</v>
      </c>
      <c r="AF42" s="8">
        <f>LN(Sheet1!AF27/Sheet1!AF26)</f>
        <v>-0.13292826587026643</v>
      </c>
      <c r="AG42" s="8">
        <f>LN(Sheet1!AG27/Sheet1!AG26)</f>
        <v>2.8721803225380264E-2</v>
      </c>
    </row>
    <row r="43" spans="1:33" x14ac:dyDescent="0.25">
      <c r="A43" s="7">
        <v>36374</v>
      </c>
      <c r="B43" s="8">
        <f>LN(Sheet1!B28/Sheet1!B27)</f>
        <v>-6.2737783777968726E-3</v>
      </c>
      <c r="C43" s="8">
        <f>LN(Sheet1!C28/Sheet1!C27)</f>
        <v>1.6210233459225405E-2</v>
      </c>
      <c r="D43" s="8">
        <f>LN(Sheet1!D28/Sheet1!D27)</f>
        <v>7.8420062406298841E-2</v>
      </c>
      <c r="E43" s="8">
        <f>LN(Sheet1!E28/Sheet1!E27)</f>
        <v>-2.1802943647501647E-3</v>
      </c>
      <c r="F43" s="8">
        <f>LN(Sheet1!F28/Sheet1!F27)</f>
        <v>4.2838360065200094E-2</v>
      </c>
      <c r="G43" s="8">
        <f>LN(Sheet1!G28/Sheet1!G27)</f>
        <v>1.4988761237359487E-3</v>
      </c>
      <c r="H43" s="8">
        <f>LN(Sheet1!H28/Sheet1!H27)</f>
        <v>-2.3603472799445867E-3</v>
      </c>
      <c r="I43" s="8">
        <f>LN(Sheet1!I28/Sheet1!I27)</f>
        <v>-3.4767899788751687E-2</v>
      </c>
      <c r="J43" s="8">
        <f>LN(Sheet1!J28/Sheet1!J27)</f>
        <v>-0.12418742864187907</v>
      </c>
      <c r="K43" s="8">
        <f>LN(Sheet1!K28/Sheet1!K27)</f>
        <v>6.6497409128157938E-3</v>
      </c>
      <c r="L43" s="8">
        <f>LN(Sheet1!L28/Sheet1!L27)</f>
        <v>2.9852963149681128E-2</v>
      </c>
      <c r="M43" s="8">
        <f>LN(Sheet1!M28/Sheet1!M27)</f>
        <v>8.8273206810051782E-2</v>
      </c>
      <c r="N43" s="8">
        <f>LN(Sheet1!N28/Sheet1!N27)</f>
        <v>-3.6236779811596176E-2</v>
      </c>
      <c r="O43" s="8">
        <f>LN(Sheet1!O28/Sheet1!O27)</f>
        <v>-4.8826821732807946E-2</v>
      </c>
      <c r="P43" s="8">
        <f>LN(Sheet1!P28/Sheet1!P27)</f>
        <v>6.4760075222041625E-3</v>
      </c>
      <c r="Q43" s="8">
        <f>LN(Sheet1!Q28/Sheet1!Q27)</f>
        <v>-8.0054932738479988E-3</v>
      </c>
      <c r="R43" s="8">
        <f>LN(Sheet1!R28/Sheet1!R27)</f>
        <v>0.17525366037065987</v>
      </c>
      <c r="S43" s="8">
        <f>LN(Sheet1!S28/Sheet1!S27)</f>
        <v>0.11881987143883482</v>
      </c>
      <c r="T43" s="8">
        <f>LN(Sheet1!T28/Sheet1!T27)</f>
        <v>8.2449256235025345E-2</v>
      </c>
      <c r="U43" s="8">
        <f>LN(Sheet1!U28/Sheet1!U27)</f>
        <v>-1.2620301469972374E-2</v>
      </c>
      <c r="V43" s="8">
        <f>LN(Sheet1!V28/Sheet1!V27)</f>
        <v>-6.1803233131029799E-3</v>
      </c>
      <c r="W43" s="8">
        <f>LN(Sheet1!W28/Sheet1!W27)</f>
        <v>7.7671115723791997E-2</v>
      </c>
      <c r="X43" s="8">
        <f>LN(Sheet1!X28/Sheet1!X27)</f>
        <v>4.8478414361260097E-3</v>
      </c>
      <c r="Y43" s="8">
        <f>LN(Sheet1!Y28/Sheet1!Y27)</f>
        <v>-6.3987420883142854E-3</v>
      </c>
      <c r="Z43" s="8">
        <f>LN(Sheet1!Z28/Sheet1!Z27)</f>
        <v>7.5853342518259662E-2</v>
      </c>
      <c r="AA43" s="8">
        <f>LN(Sheet1!AA28/Sheet1!AA27)</f>
        <v>0.11043649220688492</v>
      </c>
      <c r="AB43" s="8">
        <f>LN(Sheet1!AB28/Sheet1!AB27)</f>
        <v>9.1680411753746235E-2</v>
      </c>
      <c r="AC43" s="8">
        <f>LN(Sheet1!AC28/Sheet1!AC27)</f>
        <v>-0.172775284967256</v>
      </c>
      <c r="AD43" s="8">
        <f>LN(Sheet1!AD28/Sheet1!AD27)</f>
        <v>-5.7597990846333068E-3</v>
      </c>
      <c r="AE43" s="8">
        <f>LN(Sheet1!AE28/Sheet1!AE27)</f>
        <v>-4.2873277290812577E-2</v>
      </c>
      <c r="AF43" s="8">
        <f>LN(Sheet1!AF28/Sheet1!AF27)</f>
        <v>4.759262442585873E-2</v>
      </c>
      <c r="AG43" s="8">
        <f>LN(Sheet1!AG28/Sheet1!AG27)</f>
        <v>-1.2055456553487812E-3</v>
      </c>
    </row>
    <row r="44" spans="1:33" x14ac:dyDescent="0.25">
      <c r="A44" s="7">
        <v>36404</v>
      </c>
      <c r="B44" s="8">
        <f>LN(Sheet1!B29/Sheet1!B28)</f>
        <v>-2.8967267082334575E-2</v>
      </c>
      <c r="C44" s="8">
        <f>LN(Sheet1!C29/Sheet1!C28)</f>
        <v>-4.6528722227089162E-2</v>
      </c>
      <c r="D44" s="8">
        <f>LN(Sheet1!D29/Sheet1!D28)</f>
        <v>-3.975495904904626E-2</v>
      </c>
      <c r="E44" s="8">
        <f>LN(Sheet1!E29/Sheet1!E28)</f>
        <v>-6.3598734534201534E-2</v>
      </c>
      <c r="F44" s="8">
        <f>LN(Sheet1!F29/Sheet1!F28)</f>
        <v>-1.8329354121905044E-2</v>
      </c>
      <c r="G44" s="8">
        <f>LN(Sheet1!G29/Sheet1!G28)</f>
        <v>-6.0983522958628293E-2</v>
      </c>
      <c r="H44" s="8">
        <f>LN(Sheet1!H29/Sheet1!H28)</f>
        <v>-9.8951925544857183E-3</v>
      </c>
      <c r="I44" s="8">
        <f>LN(Sheet1!I29/Sheet1!I28)</f>
        <v>-3.2931918737972452E-2</v>
      </c>
      <c r="J44" s="8">
        <f>LN(Sheet1!J29/Sheet1!J28)</f>
        <v>-4.6558527535074778E-2</v>
      </c>
      <c r="K44" s="8">
        <f>LN(Sheet1!K29/Sheet1!K28)</f>
        <v>-6.4824461949771692E-2</v>
      </c>
      <c r="L44" s="8">
        <f>LN(Sheet1!L29/Sheet1!L28)</f>
        <v>5.7158413839948415E-2</v>
      </c>
      <c r="M44" s="8">
        <f>LN(Sheet1!M29/Sheet1!M28)</f>
        <v>-5.1094203568297795E-2</v>
      </c>
      <c r="N44" s="8">
        <f>LN(Sheet1!N29/Sheet1!N28)</f>
        <v>0.10946096931831033</v>
      </c>
      <c r="O44" s="8">
        <f>LN(Sheet1!O29/Sheet1!O28)</f>
        <v>-2.4745539318140834E-2</v>
      </c>
      <c r="P44" s="8">
        <f>LN(Sheet1!P29/Sheet1!P28)</f>
        <v>-0.14753819929498418</v>
      </c>
      <c r="Q44" s="8">
        <f>LN(Sheet1!Q29/Sheet1!Q28)</f>
        <v>-2.9062986743137138E-2</v>
      </c>
      <c r="R44" s="8">
        <f>LN(Sheet1!R29/Sheet1!R28)</f>
        <v>-0.10096944570678847</v>
      </c>
      <c r="S44" s="8">
        <f>LN(Sheet1!S29/Sheet1!S28)</f>
        <v>-0.10702994432865509</v>
      </c>
      <c r="T44" s="8">
        <f>LN(Sheet1!T29/Sheet1!T28)</f>
        <v>-0.10469857083985173</v>
      </c>
      <c r="U44" s="8">
        <f>LN(Sheet1!U29/Sheet1!U28)</f>
        <v>-0.21182643317416697</v>
      </c>
      <c r="V44" s="8">
        <f>LN(Sheet1!V29/Sheet1!V28)</f>
        <v>4.4029782069448277E-2</v>
      </c>
      <c r="W44" s="8">
        <f>LN(Sheet1!W29/Sheet1!W28)</f>
        <v>1.6361297049989593E-2</v>
      </c>
      <c r="X44" s="8">
        <f>LN(Sheet1!X29/Sheet1!X28)</f>
        <v>-7.820846043071128E-2</v>
      </c>
      <c r="Y44" s="8">
        <f>LN(Sheet1!Y29/Sheet1!Y28)</f>
        <v>-3.179399652239686E-2</v>
      </c>
      <c r="Z44" s="8">
        <f>LN(Sheet1!Z29/Sheet1!Z28)</f>
        <v>-2.1900544270020555E-2</v>
      </c>
      <c r="AA44" s="8">
        <f>LN(Sheet1!AA29/Sheet1!AA28)</f>
        <v>-5.0570774733142615E-2</v>
      </c>
      <c r="AB44" s="8">
        <f>LN(Sheet1!AB29/Sheet1!AB28)</f>
        <v>-5.7088966984127167E-2</v>
      </c>
      <c r="AC44" s="8">
        <f>LN(Sheet1!AC29/Sheet1!AC28)</f>
        <v>6.5583777276178354E-2</v>
      </c>
      <c r="AD44" s="8">
        <f>LN(Sheet1!AD29/Sheet1!AD28)</f>
        <v>-0.10902941173014868</v>
      </c>
      <c r="AE44" s="8">
        <f>LN(Sheet1!AE29/Sheet1!AE28)</f>
        <v>9.3379376675760239E-2</v>
      </c>
      <c r="AF44" s="8">
        <f>LN(Sheet1!AF29/Sheet1!AF28)</f>
        <v>7.1909617437270743E-2</v>
      </c>
      <c r="AG44" s="8">
        <f>LN(Sheet1!AG29/Sheet1!AG28)</f>
        <v>-3.6859209369020221E-2</v>
      </c>
    </row>
    <row r="45" spans="1:33" x14ac:dyDescent="0.25">
      <c r="A45" s="7">
        <v>36434</v>
      </c>
      <c r="B45" s="8">
        <f>LN(Sheet1!B30/Sheet1!B29)</f>
        <v>6.0661766747015879E-2</v>
      </c>
      <c r="C45" s="8">
        <f>LN(Sheet1!C30/Sheet1!C29)</f>
        <v>3.7305654445874026E-2</v>
      </c>
      <c r="D45" s="8">
        <f>LN(Sheet1!D30/Sheet1!D29)</f>
        <v>-2.1253171880430431E-2</v>
      </c>
      <c r="E45" s="8">
        <f>LN(Sheet1!E30/Sheet1!E29)</f>
        <v>0.16899282921185946</v>
      </c>
      <c r="F45" s="8">
        <f>LN(Sheet1!F30/Sheet1!F29)</f>
        <v>0.13325932079588204</v>
      </c>
      <c r="G45" s="8">
        <f>LN(Sheet1!G30/Sheet1!G29)</f>
        <v>7.7324564963223208E-2</v>
      </c>
      <c r="H45" s="8">
        <f>LN(Sheet1!H30/Sheet1!H29)</f>
        <v>0.21210432233734525</v>
      </c>
      <c r="I45" s="8">
        <f>LN(Sheet1!I30/Sheet1!I29)</f>
        <v>1.5300844955300543E-2</v>
      </c>
      <c r="J45" s="8">
        <f>LN(Sheet1!J30/Sheet1!J29)</f>
        <v>6.3200515625677897E-2</v>
      </c>
      <c r="K45" s="8">
        <f>LN(Sheet1!K30/Sheet1!K29)</f>
        <v>2.0992744573522737E-2</v>
      </c>
      <c r="L45" s="8">
        <f>LN(Sheet1!L30/Sheet1!L29)</f>
        <v>0.13349365036639885</v>
      </c>
      <c r="M45" s="8">
        <f>LN(Sheet1!M30/Sheet1!M29)</f>
        <v>0.11243562699733103</v>
      </c>
      <c r="N45" s="8">
        <f>LN(Sheet1!N30/Sheet1!N29)</f>
        <v>9.8865152522097474E-2</v>
      </c>
      <c r="O45" s="8">
        <f>LN(Sheet1!O30/Sheet1!O29)</f>
        <v>-5.1407514240123416E-2</v>
      </c>
      <c r="P45" s="8">
        <f>LN(Sheet1!P30/Sheet1!P29)</f>
        <v>-0.20171030466275994</v>
      </c>
      <c r="Q45" s="8">
        <f>LN(Sheet1!Q30/Sheet1!Q29)</f>
        <v>-0.20828963032624737</v>
      </c>
      <c r="R45" s="8">
        <f>LN(Sheet1!R30/Sheet1!R29)</f>
        <v>4.1509043671293377E-2</v>
      </c>
      <c r="S45" s="8">
        <f>LN(Sheet1!S30/Sheet1!S29)</f>
        <v>0.13115950461408632</v>
      </c>
      <c r="T45" s="8">
        <f>LN(Sheet1!T30/Sheet1!T29)</f>
        <v>0.15195512305325148</v>
      </c>
      <c r="U45" s="8">
        <f>LN(Sheet1!U30/Sheet1!U29)</f>
        <v>0.20121938027844502</v>
      </c>
      <c r="V45" s="8">
        <f>LN(Sheet1!V30/Sheet1!V29)</f>
        <v>-4.7269525723859181E-2</v>
      </c>
      <c r="W45" s="8">
        <f>LN(Sheet1!W30/Sheet1!W29)</f>
        <v>-1.0380716054560854E-2</v>
      </c>
      <c r="X45" s="8">
        <f>LN(Sheet1!X30/Sheet1!X29)</f>
        <v>-0.259984761879332</v>
      </c>
      <c r="Y45" s="8">
        <f>LN(Sheet1!Y30/Sheet1!Y29)</f>
        <v>0.20504748110238091</v>
      </c>
      <c r="Z45" s="8">
        <f>LN(Sheet1!Z30/Sheet1!Z29)</f>
        <v>2.1900544270020632E-2</v>
      </c>
      <c r="AA45" s="8">
        <f>LN(Sheet1!AA30/Sheet1!AA29)</f>
        <v>0.10078670995144566</v>
      </c>
      <c r="AB45" s="8">
        <f>LN(Sheet1!AB30/Sheet1!AB29)</f>
        <v>0.11533559867990442</v>
      </c>
      <c r="AC45" s="8">
        <f>LN(Sheet1!AC30/Sheet1!AC29)</f>
        <v>3.2661296378497996E-2</v>
      </c>
      <c r="AD45" s="8">
        <f>LN(Sheet1!AD30/Sheet1!AD29)</f>
        <v>1.9884354261294323E-2</v>
      </c>
      <c r="AE45" s="8">
        <f>LN(Sheet1!AE30/Sheet1!AE29)</f>
        <v>-2.9953726431626342E-2</v>
      </c>
      <c r="AF45" s="8">
        <f>LN(Sheet1!AF30/Sheet1!AF29)</f>
        <v>0.16894115533041129</v>
      </c>
      <c r="AG45" s="8">
        <f>LN(Sheet1!AG30/Sheet1!AG29)</f>
        <v>-2.5991954492221622E-2</v>
      </c>
    </row>
    <row r="46" spans="1:33" x14ac:dyDescent="0.25">
      <c r="A46" s="7">
        <v>36465</v>
      </c>
      <c r="B46" s="8">
        <f>LN(Sheet1!B31/Sheet1!B30)</f>
        <v>1.8882472761026243E-2</v>
      </c>
      <c r="C46" s="8">
        <f>LN(Sheet1!C31/Sheet1!C30)</f>
        <v>1.3694425374992401E-2</v>
      </c>
      <c r="D46" s="8">
        <f>LN(Sheet1!D31/Sheet1!D30)</f>
        <v>7.8536749998657465E-2</v>
      </c>
      <c r="E46" s="8">
        <f>LN(Sheet1!E31/Sheet1!E30)</f>
        <v>8.2763244220489442E-3</v>
      </c>
      <c r="F46" s="8">
        <f>LN(Sheet1!F31/Sheet1!F30)</f>
        <v>-1.9231361927887533E-2</v>
      </c>
      <c r="G46" s="8">
        <f>LN(Sheet1!G31/Sheet1!G30)</f>
        <v>-0.12208993950213018</v>
      </c>
      <c r="H46" s="8">
        <f>LN(Sheet1!H31/Sheet1!H30)</f>
        <v>-7.103678564431822E-3</v>
      </c>
      <c r="I46" s="8">
        <f>LN(Sheet1!I31/Sheet1!I30)</f>
        <v>-0.17600747622241819</v>
      </c>
      <c r="J46" s="8">
        <f>LN(Sheet1!J31/Sheet1!J30)</f>
        <v>-7.513332289052059E-2</v>
      </c>
      <c r="K46" s="8">
        <f>LN(Sheet1!K31/Sheet1!K30)</f>
        <v>5.8921963099838874E-2</v>
      </c>
      <c r="L46" s="8">
        <f>LN(Sheet1!L31/Sheet1!L30)</f>
        <v>-4.0436775903929467E-2</v>
      </c>
      <c r="M46" s="8">
        <f>LN(Sheet1!M31/Sheet1!M30)</f>
        <v>5.3869534208250081E-2</v>
      </c>
      <c r="N46" s="8">
        <f>LN(Sheet1!N31/Sheet1!N30)</f>
        <v>4.5079810470892698E-2</v>
      </c>
      <c r="O46" s="8">
        <f>LN(Sheet1!O31/Sheet1!O30)</f>
        <v>5.5148780787732297E-2</v>
      </c>
      <c r="P46" s="8">
        <f>LN(Sheet1!P31/Sheet1!P30)</f>
        <v>0.24591808214258343</v>
      </c>
      <c r="Q46" s="8">
        <f>LN(Sheet1!Q31/Sheet1!Q30)</f>
        <v>4.9182438436109151E-2</v>
      </c>
      <c r="R46" s="8">
        <f>LN(Sheet1!R31/Sheet1!R30)</f>
        <v>-9.3845568675236177E-3</v>
      </c>
      <c r="S46" s="8">
        <f>LN(Sheet1!S31/Sheet1!S30)</f>
        <v>-6.8034938167501604E-3</v>
      </c>
      <c r="T46" s="8">
        <f>LN(Sheet1!T31/Sheet1!T30)</f>
        <v>-0.12171298518256146</v>
      </c>
      <c r="U46" s="8">
        <f>LN(Sheet1!U31/Sheet1!U30)</f>
        <v>0.13414830340177766</v>
      </c>
      <c r="V46" s="8">
        <f>LN(Sheet1!V31/Sheet1!V30)</f>
        <v>0.1046571856318089</v>
      </c>
      <c r="W46" s="8">
        <f>LN(Sheet1!W31/Sheet1!W30)</f>
        <v>1.062656731578677E-2</v>
      </c>
      <c r="X46" s="8">
        <f>LN(Sheet1!X31/Sheet1!X30)</f>
        <v>-4.5317298098820798E-3</v>
      </c>
      <c r="Y46" s="8">
        <f>LN(Sheet1!Y31/Sheet1!Y30)</f>
        <v>-1.102547001170771E-2</v>
      </c>
      <c r="Z46" s="8">
        <f>LN(Sheet1!Z31/Sheet1!Z30)</f>
        <v>-1.650831140744994E-2</v>
      </c>
      <c r="AA46" s="8">
        <f>LN(Sheet1!AA31/Sheet1!AA30)</f>
        <v>-7.8065836415913956E-2</v>
      </c>
      <c r="AB46" s="8">
        <f>LN(Sheet1!AB31/Sheet1!AB30)</f>
        <v>2.9413885206293192E-2</v>
      </c>
      <c r="AC46" s="8">
        <f>LN(Sheet1!AC31/Sheet1!AC30)</f>
        <v>-2.0586728835364095E-3</v>
      </c>
      <c r="AD46" s="8">
        <f>LN(Sheet1!AD31/Sheet1!AD30)</f>
        <v>-6.4835742123560677E-2</v>
      </c>
      <c r="AE46" s="8">
        <f>LN(Sheet1!AE31/Sheet1!AE30)</f>
        <v>-1.815088724509327E-2</v>
      </c>
      <c r="AF46" s="8">
        <f>LN(Sheet1!AF31/Sheet1!AF30)</f>
        <v>2.3132202108795987E-2</v>
      </c>
      <c r="AG46" s="8">
        <f>LN(Sheet1!AG31/Sheet1!AG30)</f>
        <v>7.4543697011838397E-2</v>
      </c>
    </row>
    <row r="47" spans="1:33" x14ac:dyDescent="0.25">
      <c r="A47" s="7">
        <v>36495</v>
      </c>
      <c r="B47" s="8">
        <f>LN(Sheet1!B32/Sheet1!B31)</f>
        <v>5.6232799654105478E-2</v>
      </c>
      <c r="C47" s="8">
        <f>LN(Sheet1!C32/Sheet1!C31)</f>
        <v>5.5371634820378185E-2</v>
      </c>
      <c r="D47" s="8">
        <f>LN(Sheet1!D32/Sheet1!D31)</f>
        <v>0.23694853178721417</v>
      </c>
      <c r="E47" s="8">
        <f>LN(Sheet1!E32/Sheet1!E31)</f>
        <v>4.1247499664200188E-2</v>
      </c>
      <c r="F47" s="8">
        <f>LN(Sheet1!F32/Sheet1!F31)</f>
        <v>9.5751388723902334E-2</v>
      </c>
      <c r="G47" s="8">
        <f>LN(Sheet1!G32/Sheet1!G31)</f>
        <v>1.9508792918708523E-2</v>
      </c>
      <c r="H47" s="8">
        <f>LN(Sheet1!H32/Sheet1!H31)</f>
        <v>3.314516285578413E-2</v>
      </c>
      <c r="I47" s="8">
        <f>LN(Sheet1!I32/Sheet1!I31)</f>
        <v>1.4381346988015511E-2</v>
      </c>
      <c r="J47" s="8">
        <f>LN(Sheet1!J32/Sheet1!J31)</f>
        <v>0.10278485422103077</v>
      </c>
      <c r="K47" s="8">
        <f>LN(Sheet1!K32/Sheet1!K31)</f>
        <v>4.8351182599608078E-2</v>
      </c>
      <c r="L47" s="8">
        <f>LN(Sheet1!L32/Sheet1!L31)</f>
        <v>0.17588179212868463</v>
      </c>
      <c r="M47" s="8">
        <f>LN(Sheet1!M32/Sheet1!M31)</f>
        <v>-1.5097474910841987E-2</v>
      </c>
      <c r="N47" s="8">
        <f>LN(Sheet1!N32/Sheet1!N31)</f>
        <v>0.26409716422905677</v>
      </c>
      <c r="O47" s="8">
        <f>LN(Sheet1!O32/Sheet1!O31)</f>
        <v>-3.928360821289506E-2</v>
      </c>
      <c r="P47" s="8">
        <f>LN(Sheet1!P32/Sheet1!P31)</f>
        <v>0.18316621438522568</v>
      </c>
      <c r="Q47" s="8">
        <f>LN(Sheet1!Q32/Sheet1!Q31)</f>
        <v>4.5595391226992125E-2</v>
      </c>
      <c r="R47" s="8">
        <f>LN(Sheet1!R32/Sheet1!R31)</f>
        <v>7.065538226056485E-2</v>
      </c>
      <c r="S47" s="8">
        <f>LN(Sheet1!S32/Sheet1!S31)</f>
        <v>-0.10680519569214532</v>
      </c>
      <c r="T47" s="8">
        <f>LN(Sheet1!T32/Sheet1!T31)</f>
        <v>5.6338177182560642E-3</v>
      </c>
      <c r="U47" s="8">
        <f>LN(Sheet1!U32/Sheet1!U31)</f>
        <v>-0.14466949226606513</v>
      </c>
      <c r="V47" s="8">
        <f>LN(Sheet1!V32/Sheet1!V31)</f>
        <v>-0.12652793162363854</v>
      </c>
      <c r="W47" s="8">
        <f>LN(Sheet1!W32/Sheet1!W31)</f>
        <v>2.4044874254002868E-2</v>
      </c>
      <c r="X47" s="8">
        <f>LN(Sheet1!X32/Sheet1!X31)</f>
        <v>-0.11287458706261481</v>
      </c>
      <c r="Y47" s="8">
        <f>LN(Sheet1!Y32/Sheet1!Y31)</f>
        <v>-0.15423596403693865</v>
      </c>
      <c r="Z47" s="8">
        <f>LN(Sheet1!Z32/Sheet1!Z31)</f>
        <v>0.24857915005615855</v>
      </c>
      <c r="AA47" s="8">
        <f>LN(Sheet1!AA32/Sheet1!AA31)</f>
        <v>-0.12131944827944317</v>
      </c>
      <c r="AB47" s="8">
        <f>LN(Sheet1!AB32/Sheet1!AB31)</f>
        <v>1.4388737452099671E-2</v>
      </c>
      <c r="AC47" s="8">
        <f>LN(Sheet1!AC32/Sheet1!AC31)</f>
        <v>-7.6806493573808435E-2</v>
      </c>
      <c r="AD47" s="8">
        <f>LN(Sheet1!AD32/Sheet1!AD31)</f>
        <v>0.14029601538357211</v>
      </c>
      <c r="AE47" s="8">
        <f>LN(Sheet1!AE32/Sheet1!AE31)</f>
        <v>-3.5286030685708666E-2</v>
      </c>
      <c r="AF47" s="8">
        <f>LN(Sheet1!AF32/Sheet1!AF31)</f>
        <v>0.18250744767654212</v>
      </c>
      <c r="AG47" s="8">
        <f>LN(Sheet1!AG32/Sheet1!AG31)</f>
        <v>1.5673838543424169E-2</v>
      </c>
    </row>
    <row r="48" spans="1:33" x14ac:dyDescent="0.25">
      <c r="A48" s="7">
        <v>36528</v>
      </c>
      <c r="B48" s="8">
        <f>LN(Sheet1!B33/Sheet1!B32)</f>
        <v>-5.2244822952783904E-2</v>
      </c>
      <c r="C48" s="8">
        <f>LN(Sheet1!C33/Sheet1!C32)</f>
        <v>-4.9622327332736908E-2</v>
      </c>
      <c r="D48" s="8">
        <f>LN(Sheet1!D33/Sheet1!D32)</f>
        <v>-0.17473985027900629</v>
      </c>
      <c r="E48" s="8">
        <f>LN(Sheet1!E33/Sheet1!E32)</f>
        <v>-3.5271088629055369E-2</v>
      </c>
      <c r="F48" s="8">
        <f>LN(Sheet1!F33/Sheet1!F32)</f>
        <v>-7.527155309063214E-3</v>
      </c>
      <c r="G48" s="8">
        <f>LN(Sheet1!G33/Sheet1!G32)</f>
        <v>7.1402664015910125E-2</v>
      </c>
      <c r="H48" s="8">
        <f>LN(Sheet1!H33/Sheet1!H32)</f>
        <v>2.3238845931641137E-2</v>
      </c>
      <c r="I48" s="8">
        <f>LN(Sheet1!I33/Sheet1!I32)</f>
        <v>-9.6841182910215443E-2</v>
      </c>
      <c r="J48" s="8">
        <f>LN(Sheet1!J33/Sheet1!J32)</f>
        <v>-0.11009986102172284</v>
      </c>
      <c r="K48" s="8">
        <f>LN(Sheet1!K33/Sheet1!K32)</f>
        <v>0.21631457885616218</v>
      </c>
      <c r="L48" s="8">
        <f>LN(Sheet1!L33/Sheet1!L32)</f>
        <v>-0.14393538296128353</v>
      </c>
      <c r="M48" s="8">
        <f>LN(Sheet1!M33/Sheet1!M32)</f>
        <v>0.10290456445620549</v>
      </c>
      <c r="N48" s="8">
        <f>LN(Sheet1!N33/Sheet1!N32)</f>
        <v>-0.19389979128032411</v>
      </c>
      <c r="O48" s="8">
        <f>LN(Sheet1!O33/Sheet1!O32)</f>
        <v>-0.18371254830408418</v>
      </c>
      <c r="P48" s="8">
        <f>LN(Sheet1!P33/Sheet1!P32)</f>
        <v>-4.9634821760703086E-2</v>
      </c>
      <c r="Q48" s="8">
        <f>LN(Sheet1!Q33/Sheet1!Q32)</f>
        <v>3.9823567059093984E-2</v>
      </c>
      <c r="R48" s="8">
        <f>LN(Sheet1!R33/Sheet1!R32)</f>
        <v>0.18404272761472754</v>
      </c>
      <c r="S48" s="8">
        <f>LN(Sheet1!S33/Sheet1!S32)</f>
        <v>-8.0328626188708091E-2</v>
      </c>
      <c r="T48" s="8">
        <f>LN(Sheet1!T33/Sheet1!T32)</f>
        <v>4.3474245386446467E-2</v>
      </c>
      <c r="U48" s="8">
        <f>LN(Sheet1!U33/Sheet1!U32)</f>
        <v>-1.3865388411169233E-2</v>
      </c>
      <c r="V48" s="8">
        <f>LN(Sheet1!V33/Sheet1!V32)</f>
        <v>-7.5469616549458343E-2</v>
      </c>
      <c r="W48" s="8">
        <f>LN(Sheet1!W33/Sheet1!W32)</f>
        <v>-4.4408130649713454E-2</v>
      </c>
      <c r="X48" s="8">
        <f>LN(Sheet1!X33/Sheet1!X32)</f>
        <v>-9.6921647011961598E-2</v>
      </c>
      <c r="Y48" s="8">
        <f>LN(Sheet1!Y33/Sheet1!Y32)</f>
        <v>0.15713130796539598</v>
      </c>
      <c r="Z48" s="8">
        <f>LN(Sheet1!Z33/Sheet1!Z32)</f>
        <v>-0.17622871194936654</v>
      </c>
      <c r="AA48" s="8">
        <f>LN(Sheet1!AA33/Sheet1!AA32)</f>
        <v>0.10937418921330457</v>
      </c>
      <c r="AB48" s="8">
        <f>LN(Sheet1!AB33/Sheet1!AB32)</f>
        <v>-7.8019170053505227E-2</v>
      </c>
      <c r="AC48" s="8">
        <f>LN(Sheet1!AC33/Sheet1!AC32)</f>
        <v>-0.1229773092443445</v>
      </c>
      <c r="AD48" s="8">
        <f>LN(Sheet1!AD33/Sheet1!AD32)</f>
        <v>-0.20538958549864103</v>
      </c>
      <c r="AE48" s="8">
        <f>LN(Sheet1!AE33/Sheet1!AE32)</f>
        <v>1.2570311423298329E-2</v>
      </c>
      <c r="AF48" s="8">
        <f>LN(Sheet1!AF33/Sheet1!AF32)</f>
        <v>-0.23302805409865285</v>
      </c>
      <c r="AG48" s="8">
        <f>LN(Sheet1!AG33/Sheet1!AG32)</f>
        <v>2.8064911519484124E-2</v>
      </c>
    </row>
    <row r="49" spans="1:33" x14ac:dyDescent="0.25">
      <c r="A49" s="7">
        <v>36557</v>
      </c>
      <c r="B49" s="8">
        <f>LN(Sheet1!B34/Sheet1!B33)</f>
        <v>-2.0313062610448358E-2</v>
      </c>
      <c r="C49" s="8">
        <f>LN(Sheet1!C34/Sheet1!C33)</f>
        <v>-7.7139768741583695E-2</v>
      </c>
      <c r="D49" s="8">
        <f>LN(Sheet1!D34/Sheet1!D33)</f>
        <v>-1.3756298122261078E-2</v>
      </c>
      <c r="E49" s="8">
        <f>LN(Sheet1!E34/Sheet1!E33)</f>
        <v>-0.16568725245567459</v>
      </c>
      <c r="F49" s="8">
        <f>LN(Sheet1!F34/Sheet1!F33)</f>
        <v>-0.20524906143765931</v>
      </c>
      <c r="G49" s="8">
        <f>LN(Sheet1!G34/Sheet1!G33)</f>
        <v>-0.18267631948677651</v>
      </c>
      <c r="H49" s="8">
        <f>LN(Sheet1!H34/Sheet1!H33)</f>
        <v>-9.3688218712433685E-2</v>
      </c>
      <c r="I49" s="8">
        <f>LN(Sheet1!I34/Sheet1!I33)</f>
        <v>-0.19135096351334896</v>
      </c>
      <c r="J49" s="8">
        <f>LN(Sheet1!J34/Sheet1!J33)</f>
        <v>-0.14923225457534534</v>
      </c>
      <c r="K49" s="8">
        <f>LN(Sheet1!K34/Sheet1!K33)</f>
        <v>-6.5777130514714038E-2</v>
      </c>
      <c r="L49" s="8">
        <f>LN(Sheet1!L34/Sheet1!L33)</f>
        <v>-1.2062872449275095E-2</v>
      </c>
      <c r="M49" s="8">
        <f>LN(Sheet1!M34/Sheet1!M33)</f>
        <v>-5.1212034314642552E-2</v>
      </c>
      <c r="N49" s="8">
        <f>LN(Sheet1!N34/Sheet1!N33)</f>
        <v>1.5221566088971267E-2</v>
      </c>
      <c r="O49" s="8">
        <f>LN(Sheet1!O34/Sheet1!O33)</f>
        <v>6.6103802958660703E-3</v>
      </c>
      <c r="P49" s="8">
        <f>LN(Sheet1!P34/Sheet1!P33)</f>
        <v>0.21707087010376755</v>
      </c>
      <c r="Q49" s="8">
        <f>LN(Sheet1!Q34/Sheet1!Q33)</f>
        <v>-8.738187022375013E-2</v>
      </c>
      <c r="R49" s="8">
        <f>LN(Sheet1!R34/Sheet1!R33)</f>
        <v>0.13304761268120371</v>
      </c>
      <c r="S49" s="8">
        <f>LN(Sheet1!S34/Sheet1!S33)</f>
        <v>-0.17480869144768027</v>
      </c>
      <c r="T49" s="8">
        <f>LN(Sheet1!T34/Sheet1!T33)</f>
        <v>-1.3290867563347792E-2</v>
      </c>
      <c r="U49" s="8">
        <f>LN(Sheet1!U34/Sheet1!U33)</f>
        <v>-0.16650238080379653</v>
      </c>
      <c r="V49" s="8">
        <f>LN(Sheet1!V34/Sheet1!V33)</f>
        <v>-0.16348371490787389</v>
      </c>
      <c r="W49" s="8">
        <f>LN(Sheet1!W34/Sheet1!W33)</f>
        <v>-5.3328797423251077E-2</v>
      </c>
      <c r="X49" s="8">
        <f>LN(Sheet1!X34/Sheet1!X33)</f>
        <v>-3.3225647628320511E-2</v>
      </c>
      <c r="Y49" s="8">
        <f>LN(Sheet1!Y34/Sheet1!Y33)</f>
        <v>-0.2446312710508993</v>
      </c>
      <c r="Z49" s="8">
        <f>LN(Sheet1!Z34/Sheet1!Z33)</f>
        <v>-9.096043500002321E-2</v>
      </c>
      <c r="AA49" s="8">
        <f>LN(Sheet1!AA34/Sheet1!AA33)</f>
        <v>-0.11664694854238453</v>
      </c>
      <c r="AB49" s="8">
        <f>LN(Sheet1!AB34/Sheet1!AB33)</f>
        <v>-0.13980804763347168</v>
      </c>
      <c r="AC49" s="8">
        <f>LN(Sheet1!AC34/Sheet1!AC33)</f>
        <v>-0.12730447139534917</v>
      </c>
      <c r="AD49" s="8">
        <f>LN(Sheet1!AD34/Sheet1!AD33)</f>
        <v>-3.4426807750088009E-2</v>
      </c>
      <c r="AE49" s="8">
        <f>LN(Sheet1!AE34/Sheet1!AE33)</f>
        <v>-0.23560092581266051</v>
      </c>
      <c r="AF49" s="8">
        <f>LN(Sheet1!AF34/Sheet1!AF33)</f>
        <v>-0.11619552051634981</v>
      </c>
      <c r="AG49" s="8">
        <f>LN(Sheet1!AG34/Sheet1!AG33)</f>
        <v>-9.0102649859532244E-2</v>
      </c>
    </row>
    <row r="50" spans="1:33" x14ac:dyDescent="0.25">
      <c r="A50" s="7">
        <v>36586</v>
      </c>
      <c r="B50" s="8">
        <f>LN(Sheet1!B35/Sheet1!B34)</f>
        <v>9.2323812122223556E-2</v>
      </c>
      <c r="C50" s="8">
        <f>LN(Sheet1!C35/Sheet1!C34)</f>
        <v>7.5437305889075934E-2</v>
      </c>
      <c r="D50" s="8">
        <f>LN(Sheet1!D35/Sheet1!D34)</f>
        <v>2.502215617549268E-2</v>
      </c>
      <c r="E50" s="8">
        <f>LN(Sheet1!E35/Sheet1!E34)</f>
        <v>0.21424330184394563</v>
      </c>
      <c r="F50" s="8">
        <f>LN(Sheet1!F35/Sheet1!F34)</f>
        <v>0.10432314284769868</v>
      </c>
      <c r="G50" s="8">
        <f>LN(Sheet1!G35/Sheet1!G34)</f>
        <v>2.3148485902757577E-2</v>
      </c>
      <c r="H50" s="8">
        <f>LN(Sheet1!H35/Sheet1!H34)</f>
        <v>0.14589992736934637</v>
      </c>
      <c r="I50" s="8">
        <f>LN(Sheet1!I35/Sheet1!I34)</f>
        <v>0.11793419581085472</v>
      </c>
      <c r="J50" s="8">
        <f>LN(Sheet1!J35/Sheet1!J34)</f>
        <v>4.7249028083172183E-2</v>
      </c>
      <c r="K50" s="8">
        <f>LN(Sheet1!K35/Sheet1!K34)</f>
        <v>0.19343365172791357</v>
      </c>
      <c r="L50" s="8">
        <f>LN(Sheet1!L35/Sheet1!L34)</f>
        <v>0.16472792261068342</v>
      </c>
      <c r="M50" s="8">
        <f>LN(Sheet1!M35/Sheet1!M34)</f>
        <v>8.4947734758498414E-2</v>
      </c>
      <c r="N50" s="8">
        <f>LN(Sheet1!N35/Sheet1!N34)</f>
        <v>0.1155840927518663</v>
      </c>
      <c r="O50" s="8">
        <f>LN(Sheet1!O35/Sheet1!O34)</f>
        <v>9.0462386281308718E-2</v>
      </c>
      <c r="P50" s="8">
        <f>LN(Sheet1!P35/Sheet1!P34)</f>
        <v>-1.3320843975660678E-2</v>
      </c>
      <c r="Q50" s="8">
        <f>LN(Sheet1!Q35/Sheet1!Q34)</f>
        <v>0.14151392503393498</v>
      </c>
      <c r="R50" s="8">
        <f>LN(Sheet1!R35/Sheet1!R34)</f>
        <v>0.15501057131894866</v>
      </c>
      <c r="S50" s="8">
        <f>LN(Sheet1!S35/Sheet1!S34)</f>
        <v>-2.4653081429929082E-2</v>
      </c>
      <c r="T50" s="8">
        <f>LN(Sheet1!T35/Sheet1!T34)</f>
        <v>9.0659323657240304E-2</v>
      </c>
      <c r="U50" s="8">
        <f>LN(Sheet1!U35/Sheet1!U34)</f>
        <v>-3.1563678732813544E-2</v>
      </c>
      <c r="V50" s="8">
        <f>LN(Sheet1!V35/Sheet1!V34)</f>
        <v>0.16348371490787375</v>
      </c>
      <c r="W50" s="8">
        <f>LN(Sheet1!W35/Sheet1!W34)</f>
        <v>4.2249864802414499E-3</v>
      </c>
      <c r="X50" s="8">
        <f>LN(Sheet1!X35/Sheet1!X34)</f>
        <v>5.081055240376102E-2</v>
      </c>
      <c r="Y50" s="8">
        <f>LN(Sheet1!Y35/Sheet1!Y34)</f>
        <v>1.4019425129163696E-2</v>
      </c>
      <c r="Z50" s="8">
        <f>LN(Sheet1!Z35/Sheet1!Z34)</f>
        <v>0.17301672588332742</v>
      </c>
      <c r="AA50" s="8">
        <f>LN(Sheet1!AA35/Sheet1!AA34)</f>
        <v>0.12923385023560599</v>
      </c>
      <c r="AB50" s="8">
        <f>LN(Sheet1!AB35/Sheet1!AB34)</f>
        <v>-0.43724801492356047</v>
      </c>
      <c r="AC50" s="8">
        <f>LN(Sheet1!AC35/Sheet1!AC34)</f>
        <v>0.10985202144412311</v>
      </c>
      <c r="AD50" s="8">
        <f>LN(Sheet1!AD35/Sheet1!AD34)</f>
        <v>0.21540792905461567</v>
      </c>
      <c r="AE50" s="8">
        <f>LN(Sheet1!AE35/Sheet1!AE34)</f>
        <v>0.22235272485939178</v>
      </c>
      <c r="AF50" s="8">
        <f>LN(Sheet1!AF35/Sheet1!AF34)</f>
        <v>0.14889703030743384</v>
      </c>
      <c r="AG50" s="8">
        <f>LN(Sheet1!AG35/Sheet1!AG34)</f>
        <v>3.5274321141231628E-2</v>
      </c>
    </row>
    <row r="51" spans="1:33" x14ac:dyDescent="0.25">
      <c r="A51" s="7">
        <v>36619</v>
      </c>
      <c r="B51" s="8">
        <f>LN(Sheet1!B36/Sheet1!B35)</f>
        <v>-3.1279977258077872E-2</v>
      </c>
      <c r="C51" s="8">
        <f>LN(Sheet1!C36/Sheet1!C35)</f>
        <v>-1.7363889890224773E-2</v>
      </c>
      <c r="D51" s="8">
        <f>LN(Sheet1!D36/Sheet1!D35)</f>
        <v>-7.952115232881031E-2</v>
      </c>
      <c r="E51" s="8">
        <f>LN(Sheet1!E36/Sheet1!E35)</f>
        <v>1.7014040684498275E-3</v>
      </c>
      <c r="F51" s="8">
        <f>LN(Sheet1!F36/Sheet1!F35)</f>
        <v>5.3934918683967333E-3</v>
      </c>
      <c r="G51" s="8">
        <f>LN(Sheet1!G36/Sheet1!G35)</f>
        <v>4.8436319645022499E-2</v>
      </c>
      <c r="H51" s="8">
        <f>LN(Sheet1!H36/Sheet1!H35)</f>
        <v>-1.2284448135566792E-2</v>
      </c>
      <c r="I51" s="8">
        <f>LN(Sheet1!I36/Sheet1!I35)</f>
        <v>7.8290071671574899E-3</v>
      </c>
      <c r="J51" s="8">
        <f>LN(Sheet1!J36/Sheet1!J35)</f>
        <v>-0.10956723663026618</v>
      </c>
      <c r="K51" s="8">
        <f>LN(Sheet1!K36/Sheet1!K35)</f>
        <v>5.5990416821823763E-2</v>
      </c>
      <c r="L51" s="8">
        <f>LN(Sheet1!L36/Sheet1!L35)</f>
        <v>1.0240162300097387E-2</v>
      </c>
      <c r="M51" s="8">
        <f>LN(Sheet1!M36/Sheet1!M35)</f>
        <v>0.12269163001974599</v>
      </c>
      <c r="N51" s="8">
        <f>LN(Sheet1!N36/Sheet1!N35)</f>
        <v>-0.13232167201730105</v>
      </c>
      <c r="O51" s="8">
        <f>LN(Sheet1!O36/Sheet1!O35)</f>
        <v>6.0965493665032074E-2</v>
      </c>
      <c r="P51" s="8">
        <f>LN(Sheet1!P36/Sheet1!P35)</f>
        <v>1.8140130411609761E-2</v>
      </c>
      <c r="Q51" s="8">
        <f>LN(Sheet1!Q36/Sheet1!Q35)</f>
        <v>-5.9833866323363981E-2</v>
      </c>
      <c r="R51" s="8">
        <f>LN(Sheet1!R36/Sheet1!R35)</f>
        <v>-3.9614021754078521E-2</v>
      </c>
      <c r="S51" s="8">
        <f>LN(Sheet1!S36/Sheet1!S35)</f>
        <v>0.16102673082338179</v>
      </c>
      <c r="T51" s="8">
        <f>LN(Sheet1!T36/Sheet1!T35)</f>
        <v>-0.18436029348380287</v>
      </c>
      <c r="U51" s="8">
        <f>LN(Sheet1!U36/Sheet1!U35)</f>
        <v>6.3929403862620924E-3</v>
      </c>
      <c r="V51" s="8">
        <f>LN(Sheet1!V36/Sheet1!V35)</f>
        <v>1.8018505502678212E-2</v>
      </c>
      <c r="W51" s="8">
        <f>LN(Sheet1!W36/Sheet1!W35)</f>
        <v>-2.2113595923639283E-2</v>
      </c>
      <c r="X51" s="8">
        <f>LN(Sheet1!X36/Sheet1!X35)</f>
        <v>5.2714302625566221E-2</v>
      </c>
      <c r="Y51" s="8">
        <f>LN(Sheet1!Y36/Sheet1!Y35)</f>
        <v>0.11193555428813717</v>
      </c>
      <c r="Z51" s="8">
        <f>LN(Sheet1!Z36/Sheet1!Z35)</f>
        <v>-0.42072245216951454</v>
      </c>
      <c r="AA51" s="8">
        <f>LN(Sheet1!AA36/Sheet1!AA35)</f>
        <v>0.14179573749579696</v>
      </c>
      <c r="AB51" s="8">
        <f>LN(Sheet1!AB36/Sheet1!AB35)</f>
        <v>5.6268581822577324E-2</v>
      </c>
      <c r="AC51" s="8">
        <f>LN(Sheet1!AC36/Sheet1!AC35)</f>
        <v>4.4451762570833796E-2</v>
      </c>
      <c r="AD51" s="8">
        <f>LN(Sheet1!AD36/Sheet1!AD35)</f>
        <v>-1.6011727950101997E-2</v>
      </c>
      <c r="AE51" s="8">
        <f>LN(Sheet1!AE36/Sheet1!AE35)</f>
        <v>-1.2510114250734996E-2</v>
      </c>
      <c r="AF51" s="8">
        <f>LN(Sheet1!AF36/Sheet1!AF35)</f>
        <v>-2.0071399218324546E-2</v>
      </c>
      <c r="AG51" s="8">
        <f>LN(Sheet1!AG36/Sheet1!AG35)</f>
        <v>-3.9257184646032664E-3</v>
      </c>
    </row>
    <row r="52" spans="1:33" x14ac:dyDescent="0.25">
      <c r="A52" s="7">
        <v>36647</v>
      </c>
      <c r="B52" s="8">
        <f>LN(Sheet1!B37/Sheet1!B36)</f>
        <v>-2.2158698229963615E-2</v>
      </c>
      <c r="C52" s="8">
        <f>LN(Sheet1!C37/Sheet1!C36)</f>
        <v>-1.9908223471516218E-2</v>
      </c>
      <c r="D52" s="8">
        <f>LN(Sheet1!D37/Sheet1!D36)</f>
        <v>-0.10049663513950476</v>
      </c>
      <c r="E52" s="8">
        <f>LN(Sheet1!E37/Sheet1!E36)</f>
        <v>2.6284191713809111E-2</v>
      </c>
      <c r="F52" s="8">
        <f>LN(Sheet1!F37/Sheet1!F36)</f>
        <v>8.0305979390272328E-2</v>
      </c>
      <c r="G52" s="8">
        <f>LN(Sheet1!G37/Sheet1!G36)</f>
        <v>-1.2249120537076483E-2</v>
      </c>
      <c r="H52" s="8">
        <f>LN(Sheet1!H37/Sheet1!H36)</f>
        <v>5.2455067766555528E-2</v>
      </c>
      <c r="I52" s="8">
        <f>LN(Sheet1!I37/Sheet1!I36)</f>
        <v>-3.0453023173687144E-2</v>
      </c>
      <c r="J52" s="8">
        <f>LN(Sheet1!J37/Sheet1!J36)</f>
        <v>3.9241236709193258E-2</v>
      </c>
      <c r="K52" s="8">
        <f>LN(Sheet1!K37/Sheet1!K36)</f>
        <v>-3.3419568941626274E-2</v>
      </c>
      <c r="L52" s="8">
        <f>LN(Sheet1!L37/Sheet1!L36)</f>
        <v>4.0668831471532873E-3</v>
      </c>
      <c r="M52" s="8">
        <f>LN(Sheet1!M37/Sheet1!M36)</f>
        <v>-0.27601332861740352</v>
      </c>
      <c r="N52" s="8">
        <f>LN(Sheet1!N37/Sheet1!N36)</f>
        <v>-0.14243001587241466</v>
      </c>
      <c r="O52" s="8">
        <f>LN(Sheet1!O37/Sheet1!O36)</f>
        <v>-2.0339684237122672E-2</v>
      </c>
      <c r="P52" s="8">
        <f>LN(Sheet1!P37/Sheet1!P36)</f>
        <v>-0.11624262570725417</v>
      </c>
      <c r="Q52" s="8">
        <f>LN(Sheet1!Q37/Sheet1!Q36)</f>
        <v>-3.7084428066512021E-2</v>
      </c>
      <c r="R52" s="8">
        <f>LN(Sheet1!R37/Sheet1!R36)</f>
        <v>-1.6568426347232705E-2</v>
      </c>
      <c r="S52" s="8">
        <f>LN(Sheet1!S37/Sheet1!S36)</f>
        <v>8.4870566117104598E-2</v>
      </c>
      <c r="T52" s="8">
        <f>LN(Sheet1!T37/Sheet1!T36)</f>
        <v>3.5025636209157808E-2</v>
      </c>
      <c r="U52" s="8">
        <f>LN(Sheet1!U37/Sheet1!U36)</f>
        <v>0.12213086859248699</v>
      </c>
      <c r="V52" s="8">
        <f>LN(Sheet1!V37/Sheet1!V36)</f>
        <v>-6.0954008611002482E-2</v>
      </c>
      <c r="W52" s="8">
        <f>LN(Sheet1!W37/Sheet1!W36)</f>
        <v>-3.7786819590210062E-3</v>
      </c>
      <c r="X52" s="8">
        <f>LN(Sheet1!X37/Sheet1!X36)</f>
        <v>0.17810612791921537</v>
      </c>
      <c r="Y52" s="8">
        <f>LN(Sheet1!Y37/Sheet1!Y36)</f>
        <v>7.5051336204952496E-2</v>
      </c>
      <c r="Z52" s="8">
        <f>LN(Sheet1!Z37/Sheet1!Z36)</f>
        <v>-0.10900648866874384</v>
      </c>
      <c r="AA52" s="8">
        <f>LN(Sheet1!AA37/Sheet1!AA36)</f>
        <v>5.6802720814740977E-2</v>
      </c>
      <c r="AB52" s="8">
        <f>LN(Sheet1!AB37/Sheet1!AB36)</f>
        <v>0.10698899106714585</v>
      </c>
      <c r="AC52" s="8">
        <f>LN(Sheet1!AC37/Sheet1!AC36)</f>
        <v>-2.7594682541768256E-3</v>
      </c>
      <c r="AD52" s="8">
        <f>LN(Sheet1!AD37/Sheet1!AD36)</f>
        <v>-2.5428177169325404E-2</v>
      </c>
      <c r="AE52" s="8">
        <f>LN(Sheet1!AE37/Sheet1!AE36)</f>
        <v>-0.12646100166960586</v>
      </c>
      <c r="AF52" s="8">
        <f>LN(Sheet1!AF37/Sheet1!AF36)</f>
        <v>3.9933397479151346E-2</v>
      </c>
      <c r="AG52" s="8">
        <f>LN(Sheet1!AG37/Sheet1!AG36)</f>
        <v>7.5166413320049474E-2</v>
      </c>
    </row>
    <row r="53" spans="1:33" x14ac:dyDescent="0.25">
      <c r="A53" s="7">
        <v>36678</v>
      </c>
      <c r="B53" s="8">
        <f>LN(Sheet1!B38/Sheet1!B37)</f>
        <v>2.3651631156730649E-2</v>
      </c>
      <c r="C53" s="8">
        <f>LN(Sheet1!C38/Sheet1!C37)</f>
        <v>-7.0996215277124575E-3</v>
      </c>
      <c r="D53" s="8">
        <f>LN(Sheet1!D38/Sheet1!D37)</f>
        <v>-7.5232982049524113E-3</v>
      </c>
      <c r="E53" s="8">
        <f>LN(Sheet1!E38/Sheet1!E37)</f>
        <v>4.2944757113174949E-2</v>
      </c>
      <c r="F53" s="8">
        <f>LN(Sheet1!F38/Sheet1!F37)</f>
        <v>-3.5131612010302946E-2</v>
      </c>
      <c r="G53" s="8">
        <f>LN(Sheet1!G38/Sheet1!G37)</f>
        <v>6.8132656380143541E-2</v>
      </c>
      <c r="H53" s="8">
        <f>LN(Sheet1!H38/Sheet1!H37)</f>
        <v>-3.148749705752784E-2</v>
      </c>
      <c r="I53" s="8">
        <f>LN(Sheet1!I38/Sheet1!I37)</f>
        <v>-0.12150051205651605</v>
      </c>
      <c r="J53" s="8">
        <f>LN(Sheet1!J38/Sheet1!J37)</f>
        <v>-0.11314399225606707</v>
      </c>
      <c r="K53" s="8">
        <f>LN(Sheet1!K38/Sheet1!K37)</f>
        <v>-8.3535994594724772E-2</v>
      </c>
      <c r="L53" s="8">
        <f>LN(Sheet1!L38/Sheet1!L37)</f>
        <v>6.965537656423236E-3</v>
      </c>
      <c r="M53" s="8">
        <f>LN(Sheet1!M38/Sheet1!M37)</f>
        <v>-0.19587000042990949</v>
      </c>
      <c r="N53" s="8">
        <f>LN(Sheet1!N38/Sheet1!N37)</f>
        <v>1.9918389623389154E-2</v>
      </c>
      <c r="O53" s="8">
        <f>LN(Sheet1!O38/Sheet1!O37)</f>
        <v>-0.48449163706074982</v>
      </c>
      <c r="P53" s="8">
        <f>LN(Sheet1!P38/Sheet1!P37)</f>
        <v>0.28738853324751279</v>
      </c>
      <c r="Q53" s="8">
        <f>LN(Sheet1!Q38/Sheet1!Q37)</f>
        <v>2.0750475374191144E-2</v>
      </c>
      <c r="R53" s="8">
        <f>LN(Sheet1!R38/Sheet1!R37)</f>
        <v>6.9629105006107056E-2</v>
      </c>
      <c r="S53" s="8">
        <f>LN(Sheet1!S38/Sheet1!S37)</f>
        <v>0.12962643980776337</v>
      </c>
      <c r="T53" s="8">
        <f>LN(Sheet1!T38/Sheet1!T37)</f>
        <v>-7.8117779263952039E-2</v>
      </c>
      <c r="U53" s="8">
        <f>LN(Sheet1!U38/Sheet1!U37)</f>
        <v>7.6398498428321179E-2</v>
      </c>
      <c r="V53" s="8">
        <f>LN(Sheet1!V38/Sheet1!V37)</f>
        <v>-8.367926422936553E-2</v>
      </c>
      <c r="W53" s="8">
        <f>LN(Sheet1!W38/Sheet1!W37)</f>
        <v>-3.2429332552324108E-2</v>
      </c>
      <c r="X53" s="8">
        <f>LN(Sheet1!X38/Sheet1!X37)</f>
        <v>3.4362722329129673E-2</v>
      </c>
      <c r="Y53" s="8">
        <f>LN(Sheet1!Y38/Sheet1!Y37)</f>
        <v>2.6471876202396594E-2</v>
      </c>
      <c r="Z53" s="8">
        <f>LN(Sheet1!Z38/Sheet1!Z37)</f>
        <v>0.24591619243282578</v>
      </c>
      <c r="AA53" s="8">
        <f>LN(Sheet1!AA38/Sheet1!AA37)</f>
        <v>7.5684430704066233E-2</v>
      </c>
      <c r="AB53" s="8">
        <f>LN(Sheet1!AB38/Sheet1!AB37)</f>
        <v>-0.1587521382768394</v>
      </c>
      <c r="AC53" s="8">
        <f>LN(Sheet1!AC38/Sheet1!AC37)</f>
        <v>7.0368961019557823E-3</v>
      </c>
      <c r="AD53" s="8">
        <f>LN(Sheet1!AD38/Sheet1!AD37)</f>
        <v>-2.6091677654190175E-2</v>
      </c>
      <c r="AE53" s="8">
        <f>LN(Sheet1!AE38/Sheet1!AE37)</f>
        <v>-3.9740328649514108E-2</v>
      </c>
      <c r="AF53" s="8">
        <f>LN(Sheet1!AF38/Sheet1!AF37)</f>
        <v>1.1125534246036147E-3</v>
      </c>
      <c r="AG53" s="8">
        <f>LN(Sheet1!AG38/Sheet1!AG37)</f>
        <v>-5.9555168625801236E-2</v>
      </c>
    </row>
    <row r="54" spans="1:33" x14ac:dyDescent="0.25">
      <c r="A54" s="7">
        <v>36710</v>
      </c>
      <c r="B54" s="8">
        <f>LN(Sheet1!B39/Sheet1!B38)</f>
        <v>-1.647625326436223E-2</v>
      </c>
      <c r="C54" s="8">
        <f>LN(Sheet1!C39/Sheet1!C38)</f>
        <v>7.0663583796185909E-3</v>
      </c>
      <c r="D54" s="8">
        <f>LN(Sheet1!D39/Sheet1!D38)</f>
        <v>4.2029532243648499E-2</v>
      </c>
      <c r="E54" s="8">
        <f>LN(Sheet1!E39/Sheet1!E38)</f>
        <v>0.11288009069914264</v>
      </c>
      <c r="F54" s="8">
        <f>LN(Sheet1!F39/Sheet1!F38)</f>
        <v>8.5296110702874794E-2</v>
      </c>
      <c r="G54" s="8">
        <f>LN(Sheet1!G39/Sheet1!G38)</f>
        <v>0.1547242387761624</v>
      </c>
      <c r="H54" s="8">
        <f>LN(Sheet1!H39/Sheet1!H38)</f>
        <v>0.15702837965487335</v>
      </c>
      <c r="I54" s="8">
        <f>LN(Sheet1!I39/Sheet1!I38)</f>
        <v>1.5246310572873666E-2</v>
      </c>
      <c r="J54" s="8">
        <f>LN(Sheet1!J39/Sheet1!J38)</f>
        <v>3.5002161907610477E-2</v>
      </c>
      <c r="K54" s="8">
        <f>LN(Sheet1!K39/Sheet1!K38)</f>
        <v>-6.6390285348091951E-3</v>
      </c>
      <c r="L54" s="8">
        <f>LN(Sheet1!L39/Sheet1!L38)</f>
        <v>-2.2416878914542145E-2</v>
      </c>
      <c r="M54" s="8">
        <f>LN(Sheet1!M39/Sheet1!M38)</f>
        <v>-1.947342466899141E-2</v>
      </c>
      <c r="N54" s="8">
        <f>LN(Sheet1!N39/Sheet1!N38)</f>
        <v>3.5586447981984216E-2</v>
      </c>
      <c r="O54" s="8">
        <f>LN(Sheet1!O39/Sheet1!O38)</f>
        <v>9.3377818386983658E-3</v>
      </c>
      <c r="P54" s="8">
        <f>LN(Sheet1!P39/Sheet1!P38)</f>
        <v>-0.1336068880633757</v>
      </c>
      <c r="Q54" s="8">
        <f>LN(Sheet1!Q39/Sheet1!Q38)</f>
        <v>2.4307416862462804E-2</v>
      </c>
      <c r="R54" s="8">
        <f>LN(Sheet1!R39/Sheet1!R38)</f>
        <v>-1.4320950812590411E-3</v>
      </c>
      <c r="S54" s="8">
        <f>LN(Sheet1!S39/Sheet1!S38)</f>
        <v>-9.0600734455412002E-2</v>
      </c>
      <c r="T54" s="8">
        <f>LN(Sheet1!T39/Sheet1!T38)</f>
        <v>8.5447655013446949E-2</v>
      </c>
      <c r="U54" s="8">
        <f>LN(Sheet1!U39/Sheet1!U38)</f>
        <v>6.5342056737254406E-2</v>
      </c>
      <c r="V54" s="8">
        <f>LN(Sheet1!V39/Sheet1!V38)</f>
        <v>-3.862549114496077E-2</v>
      </c>
      <c r="W54" s="8">
        <f>LN(Sheet1!W39/Sheet1!W38)</f>
        <v>8.1502750016469658E-2</v>
      </c>
      <c r="X54" s="8">
        <f>LN(Sheet1!X39/Sheet1!X38)</f>
        <v>-5.1256256664625605E-2</v>
      </c>
      <c r="Y54" s="8">
        <f>LN(Sheet1!Y39/Sheet1!Y38)</f>
        <v>-6.6894234830030111E-2</v>
      </c>
      <c r="Z54" s="8">
        <f>LN(Sheet1!Z39/Sheet1!Z38)</f>
        <v>-0.13624147787887608</v>
      </c>
      <c r="AA54" s="8">
        <f>LN(Sheet1!AA39/Sheet1!AA38)</f>
        <v>-0.1012517354815937</v>
      </c>
      <c r="AB54" s="8">
        <f>LN(Sheet1!AB39/Sheet1!AB38)</f>
        <v>1.0569204078744562E-2</v>
      </c>
      <c r="AC54" s="8">
        <f>LN(Sheet1!AC39/Sheet1!AC38)</f>
        <v>-2.7509075099945761E-2</v>
      </c>
      <c r="AD54" s="8">
        <f>LN(Sheet1!AD39/Sheet1!AD38)</f>
        <v>-8.7237420311747343E-3</v>
      </c>
      <c r="AE54" s="8">
        <f>LN(Sheet1!AE39/Sheet1!AE38)</f>
        <v>-7.48983051746238E-2</v>
      </c>
      <c r="AF54" s="8">
        <f>LN(Sheet1!AF39/Sheet1!AF38)</f>
        <v>-4.2205147324131539E-2</v>
      </c>
      <c r="AG54" s="8">
        <f>LN(Sheet1!AG39/Sheet1!AG38)</f>
        <v>2.1220955482885436E-2</v>
      </c>
    </row>
    <row r="55" spans="1:33" x14ac:dyDescent="0.25">
      <c r="A55" s="7">
        <v>36739</v>
      </c>
      <c r="B55" s="8">
        <f>LN(Sheet1!B40/Sheet1!B39)</f>
        <v>5.8928157588211842E-2</v>
      </c>
      <c r="C55" s="8">
        <f>LN(Sheet1!C40/Sheet1!C39)</f>
        <v>6.3794682034443342E-2</v>
      </c>
      <c r="D55" s="8">
        <f>LN(Sheet1!D40/Sheet1!D39)</f>
        <v>9.932097281664809E-2</v>
      </c>
      <c r="E55" s="8">
        <f>LN(Sheet1!E40/Sheet1!E39)</f>
        <v>1.6744141562654753E-2</v>
      </c>
      <c r="F55" s="8">
        <f>LN(Sheet1!F40/Sheet1!F39)</f>
        <v>4.0375542944249262E-2</v>
      </c>
      <c r="G55" s="8">
        <f>LN(Sheet1!G40/Sheet1!G39)</f>
        <v>9.7184985061312693E-2</v>
      </c>
      <c r="H55" s="8">
        <f>LN(Sheet1!H40/Sheet1!H39)</f>
        <v>0.10178269430994238</v>
      </c>
      <c r="I55" s="8">
        <f>LN(Sheet1!I40/Sheet1!I39)</f>
        <v>7.6120094639568037E-2</v>
      </c>
      <c r="J55" s="8">
        <f>LN(Sheet1!J40/Sheet1!J39)</f>
        <v>-1.9436352085710144E-3</v>
      </c>
      <c r="K55" s="8">
        <f>LN(Sheet1!K40/Sheet1!K39)</f>
        <v>1.0216849882693013E-2</v>
      </c>
      <c r="L55" s="8">
        <f>LN(Sheet1!L40/Sheet1!L39)</f>
        <v>0.12611905656374375</v>
      </c>
      <c r="M55" s="8">
        <f>LN(Sheet1!M40/Sheet1!M39)</f>
        <v>0.21456973066959048</v>
      </c>
      <c r="N55" s="8">
        <f>LN(Sheet1!N40/Sheet1!N39)</f>
        <v>-7.315365219326847E-2</v>
      </c>
      <c r="O55" s="8">
        <f>LN(Sheet1!O40/Sheet1!O39)</f>
        <v>0.13923797065764287</v>
      </c>
      <c r="P55" s="8">
        <f>LN(Sheet1!P40/Sheet1!P39)</f>
        <v>9.9201057601980017E-2</v>
      </c>
      <c r="Q55" s="8">
        <f>LN(Sheet1!Q40/Sheet1!Q39)</f>
        <v>0.1632797253930956</v>
      </c>
      <c r="R55" s="8">
        <f>LN(Sheet1!R40/Sheet1!R39)</f>
        <v>0.11509009943893851</v>
      </c>
      <c r="S55" s="8">
        <f>LN(Sheet1!S40/Sheet1!S39)</f>
        <v>-8.5690327251014033E-3</v>
      </c>
      <c r="T55" s="8">
        <f>LN(Sheet1!T40/Sheet1!T39)</f>
        <v>0.11493890917814632</v>
      </c>
      <c r="U55" s="8">
        <f>LN(Sheet1!U40/Sheet1!U39)</f>
        <v>-0.15242651444456937</v>
      </c>
      <c r="V55" s="8">
        <f>LN(Sheet1!V40/Sheet1!V39)</f>
        <v>-5.864872708150775E-2</v>
      </c>
      <c r="W55" s="8">
        <f>LN(Sheet1!W40/Sheet1!W39)</f>
        <v>3.8388552062284038E-2</v>
      </c>
      <c r="X55" s="8">
        <f>LN(Sheet1!X40/Sheet1!X39)</f>
        <v>0.16425815690531173</v>
      </c>
      <c r="Y55" s="8">
        <f>LN(Sheet1!Y40/Sheet1!Y39)</f>
        <v>-2.0368825291866285E-2</v>
      </c>
      <c r="Z55" s="8">
        <f>LN(Sheet1!Z40/Sheet1!Z39)</f>
        <v>0</v>
      </c>
      <c r="AA55" s="8">
        <f>LN(Sheet1!AA40/Sheet1!AA39)</f>
        <v>-3.242369768430009E-3</v>
      </c>
      <c r="AB55" s="8">
        <f>LN(Sheet1!AB40/Sheet1!AB39)</f>
        <v>8.1503582904207811E-2</v>
      </c>
      <c r="AC55" s="8">
        <f>LN(Sheet1!AC40/Sheet1!AC39)</f>
        <v>-1.8981904951837811E-2</v>
      </c>
      <c r="AD55" s="8">
        <f>LN(Sheet1!AD40/Sheet1!AD39)</f>
        <v>7.0591592850648505E-2</v>
      </c>
      <c r="AE55" s="8">
        <f>LN(Sheet1!AE40/Sheet1!AE39)</f>
        <v>-7.1534486571526737E-2</v>
      </c>
      <c r="AF55" s="8">
        <f>LN(Sheet1!AF40/Sheet1!AF39)</f>
        <v>-0.14852826537603836</v>
      </c>
      <c r="AG55" s="8">
        <f>LN(Sheet1!AG40/Sheet1!AG39)</f>
        <v>2.3347363996991107E-2</v>
      </c>
    </row>
    <row r="56" spans="1:33" x14ac:dyDescent="0.25">
      <c r="A56" s="7">
        <v>36770</v>
      </c>
      <c r="B56" s="8">
        <f>LN(Sheet1!B41/Sheet1!B40)</f>
        <v>-5.4966292284748544E-2</v>
      </c>
      <c r="C56" s="8">
        <f>LN(Sheet1!C41/Sheet1!C40)</f>
        <v>-5.1614811160940084E-2</v>
      </c>
      <c r="D56" s="8">
        <f>LN(Sheet1!D41/Sheet1!D40)</f>
        <v>-0.27329333499968128</v>
      </c>
      <c r="E56" s="8">
        <f>LN(Sheet1!E41/Sheet1!E40)</f>
        <v>7.0926285336971623E-2</v>
      </c>
      <c r="F56" s="8">
        <f>LN(Sheet1!F41/Sheet1!F40)</f>
        <v>2.884620077577767E-2</v>
      </c>
      <c r="G56" s="8">
        <f>LN(Sheet1!G41/Sheet1!G40)</f>
        <v>0.18440055962178786</v>
      </c>
      <c r="H56" s="8">
        <f>LN(Sheet1!H41/Sheet1!H40)</f>
        <v>-7.6969939952141089E-2</v>
      </c>
      <c r="I56" s="8">
        <f>LN(Sheet1!I41/Sheet1!I40)</f>
        <v>-0.17053658861807683</v>
      </c>
      <c r="J56" s="8">
        <f>LN(Sheet1!J41/Sheet1!J40)</f>
        <v>-9.3449765811663588E-2</v>
      </c>
      <c r="K56" s="8">
        <f>LN(Sheet1!K41/Sheet1!K40)</f>
        <v>-1.8298264911412929E-2</v>
      </c>
      <c r="L56" s="8">
        <f>LN(Sheet1!L41/Sheet1!L40)</f>
        <v>-1.1776785857142877E-2</v>
      </c>
      <c r="M56" s="8">
        <f>LN(Sheet1!M41/Sheet1!M40)</f>
        <v>-7.4078203604192247E-2</v>
      </c>
      <c r="N56" s="8">
        <f>LN(Sheet1!N41/Sheet1!N40)</f>
        <v>9.6664905881726201E-2</v>
      </c>
      <c r="O56" s="8">
        <f>LN(Sheet1!O41/Sheet1!O40)</f>
        <v>-8.725644499722808E-2</v>
      </c>
      <c r="P56" s="8">
        <f>LN(Sheet1!P41/Sheet1!P40)</f>
        <v>-0.21655636111280413</v>
      </c>
      <c r="Q56" s="8">
        <f>LN(Sheet1!Q41/Sheet1!Q40)</f>
        <v>-0.15894009594113501</v>
      </c>
      <c r="R56" s="8">
        <f>LN(Sheet1!R41/Sheet1!R40)</f>
        <v>-0.58866698414566865</v>
      </c>
      <c r="S56" s="8">
        <f>LN(Sheet1!S41/Sheet1!S40)</f>
        <v>2.1406801382323929E-2</v>
      </c>
      <c r="T56" s="8">
        <f>LN(Sheet1!T41/Sheet1!T40)</f>
        <v>-0.19049249054639508</v>
      </c>
      <c r="U56" s="8">
        <f>LN(Sheet1!U41/Sheet1!U40)</f>
        <v>4.9197260171421675E-2</v>
      </c>
      <c r="V56" s="8">
        <f>LN(Sheet1!V41/Sheet1!V40)</f>
        <v>1.0016778243471209E-2</v>
      </c>
      <c r="W56" s="8">
        <f>LN(Sheet1!W41/Sheet1!W40)</f>
        <v>-2.0526377742937394E-2</v>
      </c>
      <c r="X56" s="8">
        <f>LN(Sheet1!X41/Sheet1!X40)</f>
        <v>7.5141242717661171E-3</v>
      </c>
      <c r="Y56" s="8">
        <f>LN(Sheet1!Y41/Sheet1!Y40)</f>
        <v>6.3097990017415007E-2</v>
      </c>
      <c r="Z56" s="8">
        <f>LN(Sheet1!Z41/Sheet1!Z40)</f>
        <v>-0.14611138279354455</v>
      </c>
      <c r="AA56" s="8">
        <f>LN(Sheet1!AA41/Sheet1!AA40)</f>
        <v>4.031306936999289E-2</v>
      </c>
      <c r="AB56" s="8">
        <f>LN(Sheet1!AB41/Sheet1!AB40)</f>
        <v>8.0186050133251766E-2</v>
      </c>
      <c r="AC56" s="8">
        <f>LN(Sheet1!AC41/Sheet1!AC40)</f>
        <v>0.17746575365070805</v>
      </c>
      <c r="AD56" s="8">
        <f>LN(Sheet1!AD41/Sheet1!AD40)</f>
        <v>0.1050409757925095</v>
      </c>
      <c r="AE56" s="8">
        <f>LN(Sheet1!AE41/Sheet1!AE40)</f>
        <v>0.10701746506228993</v>
      </c>
      <c r="AF56" s="8">
        <f>LN(Sheet1!AF41/Sheet1!AF40)</f>
        <v>1.1594332780919227E-2</v>
      </c>
      <c r="AG56" s="8">
        <f>LN(Sheet1!AG41/Sheet1!AG40)</f>
        <v>8.7770822630839643E-2</v>
      </c>
    </row>
    <row r="57" spans="1:33" x14ac:dyDescent="0.25">
      <c r="A57" s="7">
        <v>36801</v>
      </c>
      <c r="B57" s="8">
        <f>LN(Sheet1!B42/Sheet1!B41)</f>
        <v>-4.9617849736629414E-3</v>
      </c>
      <c r="C57" s="8">
        <f>LN(Sheet1!C42/Sheet1!C41)</f>
        <v>2.9621915268081202E-2</v>
      </c>
      <c r="D57" s="8">
        <f>LN(Sheet1!D42/Sheet1!D41)</f>
        <v>0.12516314295400599</v>
      </c>
      <c r="E57" s="8">
        <f>LN(Sheet1!E42/Sheet1!E41)</f>
        <v>2.3834826812649319E-2</v>
      </c>
      <c r="F57" s="8">
        <f>LN(Sheet1!F42/Sheet1!F41)</f>
        <v>-1.1074310299093665E-2</v>
      </c>
      <c r="G57" s="8">
        <f>LN(Sheet1!G42/Sheet1!G41)</f>
        <v>5.0124387182568599E-2</v>
      </c>
      <c r="H57" s="8">
        <f>LN(Sheet1!H42/Sheet1!H41)</f>
        <v>-2.678514158500556E-2</v>
      </c>
      <c r="I57" s="8">
        <f>LN(Sheet1!I42/Sheet1!I41)</f>
        <v>0.13419254967340016</v>
      </c>
      <c r="J57" s="8">
        <f>LN(Sheet1!J42/Sheet1!J41)</f>
        <v>0.10423079628817433</v>
      </c>
      <c r="K57" s="8">
        <f>LN(Sheet1!K42/Sheet1!K41)</f>
        <v>-6.5919814172604077E-2</v>
      </c>
      <c r="L57" s="8">
        <f>LN(Sheet1!L42/Sheet1!L41)</f>
        <v>-5.3273237357779585E-2</v>
      </c>
      <c r="M57" s="8">
        <f>LN(Sheet1!M42/Sheet1!M41)</f>
        <v>-4.5181347261073632E-2</v>
      </c>
      <c r="N57" s="8">
        <f>LN(Sheet1!N42/Sheet1!N41)</f>
        <v>-0.20790363333881928</v>
      </c>
      <c r="O57" s="8">
        <f>LN(Sheet1!O42/Sheet1!O41)</f>
        <v>0.41241259588789958</v>
      </c>
      <c r="P57" s="8">
        <f>LN(Sheet1!P42/Sheet1!P41)</f>
        <v>-4.2077404510371744E-2</v>
      </c>
      <c r="Q57" s="8">
        <f>LN(Sheet1!Q42/Sheet1!Q41)</f>
        <v>-0.13386764688971367</v>
      </c>
      <c r="R57" s="8">
        <f>LN(Sheet1!R42/Sheet1!R41)</f>
        <v>7.959023233064072E-2</v>
      </c>
      <c r="S57" s="8">
        <f>LN(Sheet1!S42/Sheet1!S41)</f>
        <v>-1.9687110502797266E-2</v>
      </c>
      <c r="T57" s="8">
        <f>LN(Sheet1!T42/Sheet1!T41)</f>
        <v>-8.1909792795257334E-3</v>
      </c>
      <c r="U57" s="8">
        <f>LN(Sheet1!U42/Sheet1!U41)</f>
        <v>9.1107893740802831E-2</v>
      </c>
      <c r="V57" s="8">
        <f>LN(Sheet1!V42/Sheet1!V41)</f>
        <v>2.6590530398293195E-2</v>
      </c>
      <c r="W57" s="8">
        <f>LN(Sheet1!W42/Sheet1!W41)</f>
        <v>5.8450222270315877E-2</v>
      </c>
      <c r="X57" s="8">
        <f>LN(Sheet1!X42/Sheet1!X41)</f>
        <v>0.21876717671441079</v>
      </c>
      <c r="Y57" s="8">
        <f>LN(Sheet1!Y42/Sheet1!Y41)</f>
        <v>0.18918087980084367</v>
      </c>
      <c r="Z57" s="8">
        <f>LN(Sheet1!Z42/Sheet1!Z41)</f>
        <v>0.13266128090529586</v>
      </c>
      <c r="AA57" s="8">
        <f>LN(Sheet1!AA42/Sheet1!AA41)</f>
        <v>-3.9231110919841043E-2</v>
      </c>
      <c r="AB57" s="8">
        <f>LN(Sheet1!AB42/Sheet1!AB41)</f>
        <v>6.8786451835067652E-2</v>
      </c>
      <c r="AC57" s="8">
        <f>LN(Sheet1!AC42/Sheet1!AC41)</f>
        <v>0.1504376858392612</v>
      </c>
      <c r="AD57" s="8">
        <f>LN(Sheet1!AD42/Sheet1!AD41)</f>
        <v>6.3714774321423839E-3</v>
      </c>
      <c r="AE57" s="8">
        <f>LN(Sheet1!AE42/Sheet1!AE41)</f>
        <v>0.18480184446836168</v>
      </c>
      <c r="AF57" s="8">
        <f>LN(Sheet1!AF42/Sheet1!AF41)</f>
        <v>-5.8894242154762362E-2</v>
      </c>
      <c r="AG57" s="8">
        <f>LN(Sheet1!AG42/Sheet1!AG41)</f>
        <v>7.8257471060550257E-4</v>
      </c>
    </row>
    <row r="58" spans="1:33" x14ac:dyDescent="0.25">
      <c r="A58" s="7">
        <v>36831</v>
      </c>
      <c r="B58" s="8">
        <f>LN(Sheet1!B43/Sheet1!B42)</f>
        <v>-8.3456133710587313E-2</v>
      </c>
      <c r="C58" s="8">
        <f>LN(Sheet1!C43/Sheet1!C42)</f>
        <v>-5.2070082989955725E-2</v>
      </c>
      <c r="D58" s="8">
        <f>LN(Sheet1!D43/Sheet1!D42)</f>
        <v>-1.3293247110662742E-2</v>
      </c>
      <c r="E58" s="8">
        <f>LN(Sheet1!E43/Sheet1!E42)</f>
        <v>-1.0404595401406702E-2</v>
      </c>
      <c r="F58" s="8">
        <f>LN(Sheet1!F43/Sheet1!F42)</f>
        <v>-8.8208507702709729E-2</v>
      </c>
      <c r="G58" s="8">
        <f>LN(Sheet1!G43/Sheet1!G42)</f>
        <v>2.0367302824433733E-2</v>
      </c>
      <c r="H58" s="8">
        <f>LN(Sheet1!H43/Sheet1!H42)</f>
        <v>-5.2436983428829596E-2</v>
      </c>
      <c r="I58" s="8">
        <f>LN(Sheet1!I43/Sheet1!I42)</f>
        <v>0.11476755144587025</v>
      </c>
      <c r="J58" s="8">
        <f>LN(Sheet1!J43/Sheet1!J42)</f>
        <v>-6.1811055347687736E-2</v>
      </c>
      <c r="K58" s="8">
        <f>LN(Sheet1!K43/Sheet1!K42)</f>
        <v>-0.21303344438391464</v>
      </c>
      <c r="L58" s="8">
        <f>LN(Sheet1!L43/Sheet1!L42)</f>
        <v>-0.10077532350079156</v>
      </c>
      <c r="M58" s="8">
        <f>LN(Sheet1!M43/Sheet1!M42)</f>
        <v>-0.21841309636302744</v>
      </c>
      <c r="N58" s="8">
        <f>LN(Sheet1!N43/Sheet1!N42)</f>
        <v>-9.190801354174076E-2</v>
      </c>
      <c r="O58" s="8">
        <f>LN(Sheet1!O43/Sheet1!O42)</f>
        <v>-9.5028955829209311E-2</v>
      </c>
      <c r="P58" s="8">
        <f>LN(Sheet1!P43/Sheet1!P42)</f>
        <v>-0.38594031647397892</v>
      </c>
      <c r="Q58" s="8">
        <f>LN(Sheet1!Q43/Sheet1!Q42)</f>
        <v>-5.0885556421497502E-2</v>
      </c>
      <c r="R58" s="8">
        <f>LN(Sheet1!R43/Sheet1!R42)</f>
        <v>-0.16690383299133357</v>
      </c>
      <c r="S58" s="8">
        <f>LN(Sheet1!S43/Sheet1!S42)</f>
        <v>8.557850670578801E-2</v>
      </c>
      <c r="T58" s="8">
        <f>LN(Sheet1!T43/Sheet1!T42)</f>
        <v>-0.21004200446800289</v>
      </c>
      <c r="U58" s="8">
        <f>LN(Sheet1!U43/Sheet1!U42)</f>
        <v>3.9418571157832705E-2</v>
      </c>
      <c r="V58" s="8">
        <f>LN(Sheet1!V43/Sheet1!V42)</f>
        <v>3.4272918128787543E-2</v>
      </c>
      <c r="W58" s="8">
        <f>LN(Sheet1!W43/Sheet1!W42)</f>
        <v>3.9294110342201947E-2</v>
      </c>
      <c r="X58" s="8">
        <f>LN(Sheet1!X43/Sheet1!X42)</f>
        <v>4.1723843371399984E-2</v>
      </c>
      <c r="Y58" s="8">
        <f>LN(Sheet1!Y43/Sheet1!Y42)</f>
        <v>3.0055722839161306E-2</v>
      </c>
      <c r="Z58" s="8">
        <f>LN(Sheet1!Z43/Sheet1!Z42)</f>
        <v>-0.18259241270026921</v>
      </c>
      <c r="AA58" s="8">
        <f>LN(Sheet1!AA43/Sheet1!AA42)</f>
        <v>2.7727716095805658E-2</v>
      </c>
      <c r="AB58" s="8">
        <f>LN(Sheet1!AB43/Sheet1!AB42)</f>
        <v>4.7045363690053986E-2</v>
      </c>
      <c r="AC58" s="8">
        <f>LN(Sheet1!AC43/Sheet1!AC42)</f>
        <v>-4.8801669067642515E-2</v>
      </c>
      <c r="AD58" s="8">
        <f>LN(Sheet1!AD43/Sheet1!AD42)</f>
        <v>1.7627148253745648E-2</v>
      </c>
      <c r="AE58" s="8">
        <f>LN(Sheet1!AE43/Sheet1!AE42)</f>
        <v>-2.8444676673905045E-2</v>
      </c>
      <c r="AF58" s="8">
        <f>LN(Sheet1!AF43/Sheet1!AF42)</f>
        <v>0.13997660155342936</v>
      </c>
      <c r="AG58" s="8">
        <f>LN(Sheet1!AG43/Sheet1!AG42)</f>
        <v>-8.6421907529820319E-3</v>
      </c>
    </row>
    <row r="59" spans="1:33" x14ac:dyDescent="0.25">
      <c r="A59" s="7">
        <v>36861</v>
      </c>
      <c r="B59" s="8">
        <f>LN(Sheet1!B44/Sheet1!B43)</f>
        <v>4.0451932227232121E-3</v>
      </c>
      <c r="C59" s="8">
        <f>LN(Sheet1!C44/Sheet1!C43)</f>
        <v>3.5235372642058782E-2</v>
      </c>
      <c r="D59" s="8">
        <f>LN(Sheet1!D44/Sheet1!D43)</f>
        <v>0.17274625698660276</v>
      </c>
      <c r="E59" s="8">
        <f>LN(Sheet1!E44/Sheet1!E43)</f>
        <v>1.6511806128337955E-2</v>
      </c>
      <c r="F59" s="8">
        <f>LN(Sheet1!F44/Sheet1!F43)</f>
        <v>0</v>
      </c>
      <c r="G59" s="8">
        <f>LN(Sheet1!G44/Sheet1!G43)</f>
        <v>-4.5368605029850947E-2</v>
      </c>
      <c r="H59" s="8">
        <f>LN(Sheet1!H44/Sheet1!H43)</f>
        <v>2.4914605772921029E-2</v>
      </c>
      <c r="I59" s="8">
        <f>LN(Sheet1!I44/Sheet1!I43)</f>
        <v>0.18506773349038463</v>
      </c>
      <c r="J59" s="8">
        <f>LN(Sheet1!J44/Sheet1!J43)</f>
        <v>0.13265355789368183</v>
      </c>
      <c r="K59" s="8">
        <f>LN(Sheet1!K44/Sheet1!K43)</f>
        <v>7.0020555109049651E-3</v>
      </c>
      <c r="L59" s="8">
        <f>LN(Sheet1!L44/Sheet1!L43)</f>
        <v>-2.9990155685178297E-2</v>
      </c>
      <c r="M59" s="8">
        <f>LN(Sheet1!M44/Sheet1!M43)</f>
        <v>2.887129159558589E-2</v>
      </c>
      <c r="N59" s="8">
        <f>LN(Sheet1!N44/Sheet1!N43)</f>
        <v>0.15364410407360971</v>
      </c>
      <c r="O59" s="8">
        <f>LN(Sheet1!O44/Sheet1!O43)</f>
        <v>-3.01918838707162E-2</v>
      </c>
      <c r="P59" s="8">
        <f>LN(Sheet1!P44/Sheet1!P43)</f>
        <v>6.9444447235255996E-4</v>
      </c>
      <c r="Q59" s="8">
        <f>LN(Sheet1!Q44/Sheet1!Q43)</f>
        <v>-9.5332827552573426E-2</v>
      </c>
      <c r="R59" s="8">
        <f>LN(Sheet1!R44/Sheet1!R43)</f>
        <v>-0.23620278345753781</v>
      </c>
      <c r="S59" s="8">
        <f>LN(Sheet1!S44/Sheet1!S43)</f>
        <v>4.9240716103163128E-2</v>
      </c>
      <c r="T59" s="8">
        <f>LN(Sheet1!T44/Sheet1!T43)</f>
        <v>0.20862296066523989</v>
      </c>
      <c r="U59" s="8">
        <f>LN(Sheet1!U44/Sheet1!U43)</f>
        <v>-2.748548135935849E-2</v>
      </c>
      <c r="V59" s="8">
        <f>LN(Sheet1!V44/Sheet1!V43)</f>
        <v>6.4560229828646468E-2</v>
      </c>
      <c r="W59" s="8">
        <f>LN(Sheet1!W44/Sheet1!W43)</f>
        <v>0.18784906538772719</v>
      </c>
      <c r="X59" s="8">
        <f>LN(Sheet1!X44/Sheet1!X43)</f>
        <v>0.15511175630680882</v>
      </c>
      <c r="Y59" s="8">
        <f>LN(Sheet1!Y44/Sheet1!Y43)</f>
        <v>1.3853769776407454E-2</v>
      </c>
      <c r="Z59" s="8">
        <f>LN(Sheet1!Z44/Sheet1!Z43)</f>
        <v>-0.27945379374880513</v>
      </c>
      <c r="AA59" s="8">
        <f>LN(Sheet1!AA44/Sheet1!AA43)</f>
        <v>3.7418892625112478E-2</v>
      </c>
      <c r="AB59" s="8">
        <f>LN(Sheet1!AB44/Sheet1!AB43)</f>
        <v>4.6687113972653259E-2</v>
      </c>
      <c r="AC59" s="8">
        <f>LN(Sheet1!AC44/Sheet1!AC43)</f>
        <v>-0.14035404805310853</v>
      </c>
      <c r="AD59" s="8">
        <f>LN(Sheet1!AD44/Sheet1!AD43)</f>
        <v>0.10448649887101012</v>
      </c>
      <c r="AE59" s="8">
        <f>LN(Sheet1!AE44/Sheet1!AE43)</f>
        <v>-0.11424278414143087</v>
      </c>
      <c r="AF59" s="8">
        <f>LN(Sheet1!AF44/Sheet1!AF43)</f>
        <v>1.9032767276440085E-2</v>
      </c>
      <c r="AG59" s="8">
        <f>LN(Sheet1!AG44/Sheet1!AG43)</f>
        <v>-1.1906477474405703E-2</v>
      </c>
    </row>
    <row r="60" spans="1:33" x14ac:dyDescent="0.25">
      <c r="A60" s="7">
        <v>36893</v>
      </c>
      <c r="B60" s="8">
        <f>LN(Sheet1!B45/Sheet1!B44)</f>
        <v>3.4050246450141819E-2</v>
      </c>
      <c r="C60" s="8">
        <f>LN(Sheet1!C45/Sheet1!C44)</f>
        <v>9.1690049917613689E-3</v>
      </c>
      <c r="D60" s="8">
        <f>LN(Sheet1!D45/Sheet1!D44)</f>
        <v>9.6519088678947138E-2</v>
      </c>
      <c r="E60" s="8">
        <f>LN(Sheet1!E45/Sheet1!E44)</f>
        <v>-0.14769803191745062</v>
      </c>
      <c r="F60" s="8">
        <f>LN(Sheet1!F45/Sheet1!F44)</f>
        <v>-0.15234632310624788</v>
      </c>
      <c r="G60" s="8">
        <f>LN(Sheet1!G45/Sheet1!G44)</f>
        <v>-0.12057173058064505</v>
      </c>
      <c r="H60" s="8">
        <f>LN(Sheet1!H45/Sheet1!H44)</f>
        <v>9.179864821926767E-2</v>
      </c>
      <c r="I60" s="8">
        <f>LN(Sheet1!I45/Sheet1!I44)</f>
        <v>-6.0043253135831219E-2</v>
      </c>
      <c r="J60" s="8">
        <f>LN(Sheet1!J45/Sheet1!J44)</f>
        <v>-0.1001373858091324</v>
      </c>
      <c r="K60" s="8">
        <f>LN(Sheet1!K45/Sheet1!K44)</f>
        <v>5.083413647508029E-2</v>
      </c>
      <c r="L60" s="8">
        <f>LN(Sheet1!L45/Sheet1!L44)</f>
        <v>-4.1610012593341857E-2</v>
      </c>
      <c r="M60" s="8">
        <f>LN(Sheet1!M45/Sheet1!M44)</f>
        <v>5.2609950272297215E-2</v>
      </c>
      <c r="N60" s="8">
        <f>LN(Sheet1!N45/Sheet1!N44)</f>
        <v>5.3279160351788361E-2</v>
      </c>
      <c r="O60" s="8">
        <f>LN(Sheet1!O45/Sheet1!O44)</f>
        <v>-1.2268434859880471E-3</v>
      </c>
      <c r="P60" s="8">
        <f>LN(Sheet1!P45/Sheet1!P44)</f>
        <v>0.15499328600831033</v>
      </c>
      <c r="Q60" s="8">
        <f>LN(Sheet1!Q45/Sheet1!Q44)</f>
        <v>0.27584094170969647</v>
      </c>
      <c r="R60" s="8">
        <f>LN(Sheet1!R45/Sheet1!R44)</f>
        <v>0.2079043473351101</v>
      </c>
      <c r="S60" s="8">
        <f>LN(Sheet1!S45/Sheet1!S44)</f>
        <v>-0.1204410050839701</v>
      </c>
      <c r="T60" s="8">
        <f>LN(Sheet1!T45/Sheet1!T44)</f>
        <v>0.198240749069508</v>
      </c>
      <c r="U60" s="8">
        <f>LN(Sheet1!U45/Sheet1!U44)</f>
        <v>-4.9402288967827418E-2</v>
      </c>
      <c r="V60" s="8">
        <f>LN(Sheet1!V45/Sheet1!V44)</f>
        <v>-0.14706631415179683</v>
      </c>
      <c r="W60" s="8">
        <f>LN(Sheet1!W45/Sheet1!W44)</f>
        <v>-8.5267637176400443E-2</v>
      </c>
      <c r="X60" s="8">
        <f>LN(Sheet1!X45/Sheet1!X44)</f>
        <v>0</v>
      </c>
      <c r="Y60" s="8">
        <f>LN(Sheet1!Y45/Sheet1!Y44)</f>
        <v>-0.13042757243698663</v>
      </c>
      <c r="Z60" s="8">
        <f>LN(Sheet1!Z45/Sheet1!Z44)</f>
        <v>0.34167858786546129</v>
      </c>
      <c r="AA60" s="8">
        <f>LN(Sheet1!AA45/Sheet1!AA44)</f>
        <v>-1.866345876592471E-2</v>
      </c>
      <c r="AB60" s="8">
        <f>LN(Sheet1!AB45/Sheet1!AB44)</f>
        <v>-8.3190932992244115E-2</v>
      </c>
      <c r="AC60" s="8">
        <f>LN(Sheet1!AC45/Sheet1!AC44)</f>
        <v>1.7636169424612179E-2</v>
      </c>
      <c r="AD60" s="8">
        <f>LN(Sheet1!AD45/Sheet1!AD44)</f>
        <v>-4.7189422431608799E-2</v>
      </c>
      <c r="AE60" s="8">
        <f>LN(Sheet1!AE45/Sheet1!AE44)</f>
        <v>9.8979011117862781E-2</v>
      </c>
      <c r="AF60" s="8">
        <f>LN(Sheet1!AF45/Sheet1!AF44)</f>
        <v>6.6717253076386998E-2</v>
      </c>
      <c r="AG60" s="8">
        <f>LN(Sheet1!AG45/Sheet1!AG44)</f>
        <v>-3.2736590276599524E-2</v>
      </c>
    </row>
    <row r="61" spans="1:33" x14ac:dyDescent="0.25">
      <c r="A61" s="7">
        <v>36923</v>
      </c>
      <c r="B61" s="8">
        <f>LN(Sheet1!B46/Sheet1!B45)</f>
        <v>-9.6831090416541171E-2</v>
      </c>
      <c r="C61" s="8">
        <f>LN(Sheet1!C46/Sheet1!C45)</f>
        <v>-3.6676851025101008E-2</v>
      </c>
      <c r="D61" s="8">
        <f>LN(Sheet1!D46/Sheet1!D45)</f>
        <v>-2.7003210574272941E-2</v>
      </c>
      <c r="E61" s="8">
        <f>LN(Sheet1!E46/Sheet1!E45)</f>
        <v>-3.8199088681655648E-2</v>
      </c>
      <c r="F61" s="8">
        <f>LN(Sheet1!F46/Sheet1!F45)</f>
        <v>-7.0963097779569315E-2</v>
      </c>
      <c r="G61" s="8">
        <f>LN(Sheet1!G46/Sheet1!G45)</f>
        <v>6.4336196787145361E-2</v>
      </c>
      <c r="H61" s="8">
        <f>LN(Sheet1!H46/Sheet1!H45)</f>
        <v>-0.12690808807583834</v>
      </c>
      <c r="I61" s="8">
        <f>LN(Sheet1!I46/Sheet1!I45)</f>
        <v>-6.1112260193484612E-2</v>
      </c>
      <c r="J61" s="8">
        <f>LN(Sheet1!J46/Sheet1!J45)</f>
        <v>7.8962621222255398E-3</v>
      </c>
      <c r="K61" s="8">
        <f>LN(Sheet1!K46/Sheet1!K45)</f>
        <v>1.6271780167736626E-2</v>
      </c>
      <c r="L61" s="8">
        <f>LN(Sheet1!L46/Sheet1!L45)</f>
        <v>1.119889535632004E-2</v>
      </c>
      <c r="M61" s="8">
        <f>LN(Sheet1!M46/Sheet1!M45)</f>
        <v>1.9980026626730579E-3</v>
      </c>
      <c r="N61" s="8">
        <f>LN(Sheet1!N46/Sheet1!N45)</f>
        <v>-0.12576938728903339</v>
      </c>
      <c r="O61" s="8">
        <f>LN(Sheet1!O46/Sheet1!O45)</f>
        <v>-7.1455275080504893E-3</v>
      </c>
      <c r="P61" s="8">
        <f>LN(Sheet1!P46/Sheet1!P45)</f>
        <v>-0.24462713878961229</v>
      </c>
      <c r="Q61" s="8">
        <f>LN(Sheet1!Q46/Sheet1!Q45)</f>
        <v>-0.11318500116986288</v>
      </c>
      <c r="R61" s="8">
        <f>LN(Sheet1!R46/Sheet1!R45)</f>
        <v>-0.25826818724548767</v>
      </c>
      <c r="S61" s="8">
        <f>LN(Sheet1!S46/Sheet1!S45)</f>
        <v>4.7487367584572046E-2</v>
      </c>
      <c r="T61" s="8">
        <f>LN(Sheet1!T46/Sheet1!T45)</f>
        <v>-0.16445280793700723</v>
      </c>
      <c r="U61" s="8">
        <f>LN(Sheet1!U46/Sheet1!U45)</f>
        <v>-8.9550340620245777E-2</v>
      </c>
      <c r="V61" s="8">
        <f>LN(Sheet1!V46/Sheet1!V45)</f>
        <v>1.8843043072988236E-3</v>
      </c>
      <c r="W61" s="8">
        <f>LN(Sheet1!W46/Sheet1!W45)</f>
        <v>2.3929968957971823E-2</v>
      </c>
      <c r="X61" s="8">
        <f>LN(Sheet1!X46/Sheet1!X45)</f>
        <v>9.084647277357237E-2</v>
      </c>
      <c r="Y61" s="8">
        <f>LN(Sheet1!Y46/Sheet1!Y45)</f>
        <v>-2.4284826264752275E-2</v>
      </c>
      <c r="Z61" s="8">
        <f>LN(Sheet1!Z46/Sheet1!Z45)</f>
        <v>-3.417808396258791E-2</v>
      </c>
      <c r="AA61" s="8">
        <f>LN(Sheet1!AA46/Sheet1!AA45)</f>
        <v>-1.032791209799259E-3</v>
      </c>
      <c r="AB61" s="8">
        <f>LN(Sheet1!AB46/Sheet1!AB45)</f>
        <v>-1.8925985919740106E-2</v>
      </c>
      <c r="AC61" s="8">
        <f>LN(Sheet1!AC46/Sheet1!AC45)</f>
        <v>-1.3474698583360272E-2</v>
      </c>
      <c r="AD61" s="8">
        <f>LN(Sheet1!AD46/Sheet1!AD45)</f>
        <v>4.1269743411308894E-2</v>
      </c>
      <c r="AE61" s="8">
        <f>LN(Sheet1!AE46/Sheet1!AE45)</f>
        <v>-0.10438442968477084</v>
      </c>
      <c r="AF61" s="8">
        <f>LN(Sheet1!AF46/Sheet1!AF45)</f>
        <v>-0.12557598613575974</v>
      </c>
      <c r="AG61" s="8">
        <f>LN(Sheet1!AG46/Sheet1!AG45)</f>
        <v>-3.2423186705226544E-2</v>
      </c>
    </row>
    <row r="62" spans="1:33" x14ac:dyDescent="0.25">
      <c r="A62" s="7">
        <v>36951</v>
      </c>
      <c r="B62" s="8">
        <f>LN(Sheet1!B47/Sheet1!B46)</f>
        <v>-6.635854393013127E-2</v>
      </c>
      <c r="C62" s="8">
        <f>LN(Sheet1!C47/Sheet1!C46)</f>
        <v>-6.0536609933940187E-2</v>
      </c>
      <c r="D62" s="8">
        <f>LN(Sheet1!D47/Sheet1!D46)</f>
        <v>5.3959819865186179E-3</v>
      </c>
      <c r="E62" s="8">
        <f>LN(Sheet1!E47/Sheet1!E46)</f>
        <v>-1.6057436895858413E-2</v>
      </c>
      <c r="F62" s="8">
        <f>LN(Sheet1!F47/Sheet1!F46)</f>
        <v>-6.040001336848537E-2</v>
      </c>
      <c r="G62" s="8">
        <f>LN(Sheet1!G47/Sheet1!G46)</f>
        <v>-0.11031234989707572</v>
      </c>
      <c r="H62" s="8">
        <f>LN(Sheet1!H47/Sheet1!H46)</f>
        <v>-8.9259160044655922E-2</v>
      </c>
      <c r="I62" s="8">
        <f>LN(Sheet1!I47/Sheet1!I46)</f>
        <v>6.4745796503636127E-2</v>
      </c>
      <c r="J62" s="8">
        <f>LN(Sheet1!J47/Sheet1!J46)</f>
        <v>-7.1001307590890655E-2</v>
      </c>
      <c r="K62" s="8">
        <f>LN(Sheet1!K47/Sheet1!K46)</f>
        <v>-7.8927258589670854E-2</v>
      </c>
      <c r="L62" s="8">
        <f>LN(Sheet1!L47/Sheet1!L46)</f>
        <v>-0.10168326692123042</v>
      </c>
      <c r="M62" s="8">
        <f>LN(Sheet1!M47/Sheet1!M46)</f>
        <v>-2.8085337425991536E-2</v>
      </c>
      <c r="N62" s="8">
        <f>LN(Sheet1!N47/Sheet1!N46)</f>
        <v>1.4974075645250126E-2</v>
      </c>
      <c r="O62" s="8">
        <f>LN(Sheet1!O47/Sheet1!O46)</f>
        <v>-0.13565318421197553</v>
      </c>
      <c r="P62" s="8">
        <f>LN(Sheet1!P47/Sheet1!P46)</f>
        <v>8.3366422794888734E-2</v>
      </c>
      <c r="Q62" s="8">
        <f>LN(Sheet1!Q47/Sheet1!Q46)</f>
        <v>-3.7866559503839756E-2</v>
      </c>
      <c r="R62" s="8">
        <f>LN(Sheet1!R47/Sheet1!R46)</f>
        <v>-8.2057618691715337E-2</v>
      </c>
      <c r="S62" s="8">
        <f>LN(Sheet1!S47/Sheet1!S46)</f>
        <v>-0.10679722379145574</v>
      </c>
      <c r="T62" s="8">
        <f>LN(Sheet1!T47/Sheet1!T46)</f>
        <v>-3.8342460818862896E-2</v>
      </c>
      <c r="U62" s="8">
        <f>LN(Sheet1!U47/Sheet1!U46)</f>
        <v>-0.15711193293915846</v>
      </c>
      <c r="V62" s="8">
        <f>LN(Sheet1!V47/Sheet1!V46)</f>
        <v>-0.1021861750088649</v>
      </c>
      <c r="W62" s="8">
        <f>LN(Sheet1!W47/Sheet1!W46)</f>
        <v>-8.166083100394661E-2</v>
      </c>
      <c r="X62" s="8">
        <f>LN(Sheet1!X47/Sheet1!X46)</f>
        <v>-4.5214847188460071E-3</v>
      </c>
      <c r="Y62" s="8">
        <f>LN(Sheet1!Y47/Sheet1!Y46)</f>
        <v>-5.0758668742104267E-2</v>
      </c>
      <c r="Z62" s="8">
        <f>LN(Sheet1!Z47/Sheet1!Z46)</f>
        <v>-7.5902731331703166E-2</v>
      </c>
      <c r="AA62" s="8">
        <f>LN(Sheet1!AA47/Sheet1!AA46)</f>
        <v>-9.4199972236410537E-2</v>
      </c>
      <c r="AB62" s="8">
        <f>LN(Sheet1!AB47/Sheet1!AB46)</f>
        <v>-0.11883605102240703</v>
      </c>
      <c r="AC62" s="8">
        <f>LN(Sheet1!AC47/Sheet1!AC46)</f>
        <v>-6.6681827822586082E-2</v>
      </c>
      <c r="AD62" s="8">
        <f>LN(Sheet1!AD47/Sheet1!AD46)</f>
        <v>-6.1207913187003749E-2</v>
      </c>
      <c r="AE62" s="8">
        <f>LN(Sheet1!AE47/Sheet1!AE46)</f>
        <v>-4.0733253876357864E-3</v>
      </c>
      <c r="AF62" s="8">
        <f>LN(Sheet1!AF47/Sheet1!AF46)</f>
        <v>9.5269059715785021E-3</v>
      </c>
      <c r="AG62" s="8">
        <f>LN(Sheet1!AG47/Sheet1!AG46)</f>
        <v>-5.6834329463933454E-4</v>
      </c>
    </row>
    <row r="63" spans="1:33" x14ac:dyDescent="0.25">
      <c r="A63" s="7">
        <v>36983</v>
      </c>
      <c r="B63" s="8">
        <f>LN(Sheet1!B48/Sheet1!B47)</f>
        <v>7.4007010555980454E-2</v>
      </c>
      <c r="C63" s="8">
        <f>LN(Sheet1!C48/Sheet1!C47)</f>
        <v>8.3117614375830082E-2</v>
      </c>
      <c r="D63" s="8">
        <f>LN(Sheet1!D48/Sheet1!D47)</f>
        <v>0.1409036441849037</v>
      </c>
      <c r="E63" s="8">
        <f>LN(Sheet1!E48/Sheet1!E47)</f>
        <v>1.6057436895858469E-2</v>
      </c>
      <c r="F63" s="8">
        <f>LN(Sheet1!F48/Sheet1!F47)</f>
        <v>2.9230846897567248E-2</v>
      </c>
      <c r="G63" s="8">
        <f>LN(Sheet1!G48/Sheet1!G47)</f>
        <v>0.10386418139688858</v>
      </c>
      <c r="H63" s="8">
        <f>LN(Sheet1!H48/Sheet1!H47)</f>
        <v>8.8733535853841888E-2</v>
      </c>
      <c r="I63" s="8">
        <f>LN(Sheet1!I48/Sheet1!I47)</f>
        <v>0.13048270865582987</v>
      </c>
      <c r="J63" s="8">
        <f>LN(Sheet1!J48/Sheet1!J47)</f>
        <v>0.10469684553783773</v>
      </c>
      <c r="K63" s="8">
        <f>LN(Sheet1!K48/Sheet1!K47)</f>
        <v>5.6001627922891949E-2</v>
      </c>
      <c r="L63" s="8">
        <f>LN(Sheet1!L48/Sheet1!L47)</f>
        <v>0.14792713481532813</v>
      </c>
      <c r="M63" s="8">
        <f>LN(Sheet1!M48/Sheet1!M47)</f>
        <v>5.5646137004862907E-2</v>
      </c>
      <c r="N63" s="8">
        <f>LN(Sheet1!N48/Sheet1!N47)</f>
        <v>8.8826259520452269E-2</v>
      </c>
      <c r="O63" s="8">
        <f>LN(Sheet1!O48/Sheet1!O47)</f>
        <v>0.18062087611193703</v>
      </c>
      <c r="P63" s="8">
        <f>LN(Sheet1!P48/Sheet1!P47)</f>
        <v>-9.5205400103549651E-2</v>
      </c>
      <c r="Q63" s="8">
        <f>LN(Sheet1!Q48/Sheet1!Q47)</f>
        <v>0.17984460492895746</v>
      </c>
      <c r="R63" s="8">
        <f>LN(Sheet1!R48/Sheet1!R47)</f>
        <v>0.16098487728138619</v>
      </c>
      <c r="S63" s="8">
        <f>LN(Sheet1!S48/Sheet1!S47)</f>
        <v>9.7990677883852004E-2</v>
      </c>
      <c r="T63" s="8">
        <f>LN(Sheet1!T48/Sheet1!T47)</f>
        <v>7.4474727796700779E-2</v>
      </c>
      <c r="U63" s="8">
        <f>LN(Sheet1!U48/Sheet1!U47)</f>
        <v>2.2529113060028104E-2</v>
      </c>
      <c r="V63" s="8">
        <f>LN(Sheet1!V48/Sheet1!V47)</f>
        <v>3.5235107465909854E-2</v>
      </c>
      <c r="W63" s="8">
        <f>LN(Sheet1!W48/Sheet1!W47)</f>
        <v>0.13574932592786684</v>
      </c>
      <c r="X63" s="8">
        <f>LN(Sheet1!X48/Sheet1!X47)</f>
        <v>5.4385186296802078E-2</v>
      </c>
      <c r="Y63" s="8">
        <f>LN(Sheet1!Y48/Sheet1!Y47)</f>
        <v>8.6169759748114163E-4</v>
      </c>
      <c r="Z63" s="8">
        <f>LN(Sheet1!Z48/Sheet1!Z47)</f>
        <v>0.2140658149168074</v>
      </c>
      <c r="AA63" s="8">
        <f>LN(Sheet1!AA48/Sheet1!AA47)</f>
        <v>5.5753952472422437E-2</v>
      </c>
      <c r="AB63" s="8">
        <f>LN(Sheet1!AB48/Sheet1!AB47)</f>
        <v>-3.5260657895158538E-2</v>
      </c>
      <c r="AC63" s="8">
        <f>LN(Sheet1!AC48/Sheet1!AC47)</f>
        <v>-7.2720267898723434E-2</v>
      </c>
      <c r="AD63" s="8">
        <f>LN(Sheet1!AD48/Sheet1!AD47)</f>
        <v>6.3185035706494586E-2</v>
      </c>
      <c r="AE63" s="8">
        <f>LN(Sheet1!AE48/Sheet1!AE47)</f>
        <v>0.1184177548144744</v>
      </c>
      <c r="AF63" s="8">
        <f>LN(Sheet1!AF48/Sheet1!AF47)</f>
        <v>2.4353373408076941E-2</v>
      </c>
      <c r="AG63" s="8">
        <f>LN(Sheet1!AG48/Sheet1!AG47)</f>
        <v>8.9660886488093519E-2</v>
      </c>
    </row>
    <row r="64" spans="1:33" x14ac:dyDescent="0.25">
      <c r="A64" s="7">
        <v>37012</v>
      </c>
      <c r="B64" s="8">
        <f>LN(Sheet1!B49/Sheet1!B48)</f>
        <v>5.0772876986084174E-3</v>
      </c>
      <c r="C64" s="8">
        <f>LN(Sheet1!C49/Sheet1!C48)</f>
        <v>1.6350965822537797E-2</v>
      </c>
      <c r="D64" s="8">
        <f>LN(Sheet1!D49/Sheet1!D48)</f>
        <v>4.5156825308797124E-2</v>
      </c>
      <c r="E64" s="8">
        <f>LN(Sheet1!E49/Sheet1!E48)</f>
        <v>-9.3992816972681085E-3</v>
      </c>
      <c r="F64" s="8">
        <f>LN(Sheet1!F49/Sheet1!F48)</f>
        <v>-7.4434927126599314E-3</v>
      </c>
      <c r="G64" s="8">
        <f>LN(Sheet1!G49/Sheet1!G48)</f>
        <v>2.0102073323271442E-2</v>
      </c>
      <c r="H64" s="8">
        <f>LN(Sheet1!H49/Sheet1!H48)</f>
        <v>4.4474621542409859E-2</v>
      </c>
      <c r="I64" s="8">
        <f>LN(Sheet1!I49/Sheet1!I48)</f>
        <v>7.5730769562854933E-2</v>
      </c>
      <c r="J64" s="8">
        <f>LN(Sheet1!J49/Sheet1!J48)</f>
        <v>3.3910604685580936E-2</v>
      </c>
      <c r="K64" s="8">
        <f>LN(Sheet1!K49/Sheet1!K48)</f>
        <v>4.4329539329932333E-2</v>
      </c>
      <c r="L64" s="8">
        <f>LN(Sheet1!L49/Sheet1!L48)</f>
        <v>9.6200838110226169E-3</v>
      </c>
      <c r="M64" s="8">
        <f>LN(Sheet1!M49/Sheet1!M48)</f>
        <v>4.6244161173956071E-2</v>
      </c>
      <c r="N64" s="8">
        <f>LN(Sheet1!N49/Sheet1!N48)</f>
        <v>4.5417042133595854E-2</v>
      </c>
      <c r="O64" s="8">
        <f>LN(Sheet1!O49/Sheet1!O48)</f>
        <v>-9.7399510932887397E-3</v>
      </c>
      <c r="P64" s="8">
        <f>LN(Sheet1!P49/Sheet1!P48)</f>
        <v>3.0643593097006927E-2</v>
      </c>
      <c r="Q64" s="8">
        <f>LN(Sheet1!Q49/Sheet1!Q48)</f>
        <v>-2.8225990086388368E-2</v>
      </c>
      <c r="R64" s="8">
        <f>LN(Sheet1!R49/Sheet1!R48)</f>
        <v>-0.13431663019922477</v>
      </c>
      <c r="S64" s="8">
        <f>LN(Sheet1!S49/Sheet1!S48)</f>
        <v>8.3449719321806882E-3</v>
      </c>
      <c r="T64" s="8">
        <f>LN(Sheet1!T49/Sheet1!T48)</f>
        <v>2.4072329307793738E-2</v>
      </c>
      <c r="U64" s="8">
        <f>LN(Sheet1!U49/Sheet1!U48)</f>
        <v>2.5899322040529166E-2</v>
      </c>
      <c r="V64" s="8">
        <f>LN(Sheet1!V49/Sheet1!V48)</f>
        <v>9.6261271802712198E-2</v>
      </c>
      <c r="W64" s="8">
        <f>LN(Sheet1!W49/Sheet1!W48)</f>
        <v>1.5305149343124748E-3</v>
      </c>
      <c r="X64" s="8">
        <f>LN(Sheet1!X49/Sheet1!X48)</f>
        <v>2.577371262766387E-2</v>
      </c>
      <c r="Y64" s="8">
        <f>LN(Sheet1!Y49/Sheet1!Y48)</f>
        <v>-3.5238986675094168E-2</v>
      </c>
      <c r="Z64" s="8">
        <f>LN(Sheet1!Z49/Sheet1!Z48)</f>
        <v>2.0773776160593664E-2</v>
      </c>
      <c r="AA64" s="8">
        <f>LN(Sheet1!AA49/Sheet1!AA48)</f>
        <v>-7.0043389812057969E-3</v>
      </c>
      <c r="AB64" s="8">
        <f>LN(Sheet1!AB49/Sheet1!AB48)</f>
        <v>6.7203082884798399E-2</v>
      </c>
      <c r="AC64" s="8">
        <f>LN(Sheet1!AC49/Sheet1!AC48)</f>
        <v>4.2678958029081809E-2</v>
      </c>
      <c r="AD64" s="8">
        <f>LN(Sheet1!AD49/Sheet1!AD48)</f>
        <v>6.7637551649940925E-2</v>
      </c>
      <c r="AE64" s="8">
        <f>LN(Sheet1!AE49/Sheet1!AE48)</f>
        <v>-4.1177241178393196E-3</v>
      </c>
      <c r="AF64" s="8">
        <f>LN(Sheet1!AF49/Sheet1!AF48)</f>
        <v>2.0561324221712407E-4</v>
      </c>
      <c r="AG64" s="8">
        <f>LN(Sheet1!AG49/Sheet1!AG48)</f>
        <v>6.7340321813441194E-3</v>
      </c>
    </row>
    <row r="65" spans="1:33" x14ac:dyDescent="0.25">
      <c r="A65" s="7">
        <v>37043</v>
      </c>
      <c r="B65" s="8">
        <f>LN(Sheet1!B50/Sheet1!B49)</f>
        <v>-2.5354152249423972E-2</v>
      </c>
      <c r="C65" s="8">
        <f>LN(Sheet1!C50/Sheet1!C49)</f>
        <v>-3.8253800078685E-2</v>
      </c>
      <c r="D65" s="8">
        <f>LN(Sheet1!D50/Sheet1!D49)</f>
        <v>-7.5868340059734099E-2</v>
      </c>
      <c r="E65" s="8">
        <f>LN(Sheet1!E50/Sheet1!E49)</f>
        <v>4.8328208630514964E-2</v>
      </c>
      <c r="F65" s="8">
        <f>LN(Sheet1!F50/Sheet1!F49)</f>
        <v>-8.2320203413749668E-2</v>
      </c>
      <c r="G65" s="8">
        <f>LN(Sheet1!G50/Sheet1!G49)</f>
        <v>-0.12316912434714153</v>
      </c>
      <c r="H65" s="8">
        <f>LN(Sheet1!H50/Sheet1!H49)</f>
        <v>3.0703080184368597E-2</v>
      </c>
      <c r="I65" s="8">
        <f>LN(Sheet1!I50/Sheet1!I49)</f>
        <v>-7.8919112049709805E-2</v>
      </c>
      <c r="J65" s="8">
        <f>LN(Sheet1!J50/Sheet1!J49)</f>
        <v>3.8877337769922082E-2</v>
      </c>
      <c r="K65" s="8">
        <f>LN(Sheet1!K50/Sheet1!K49)</f>
        <v>-9.0347723268641114E-2</v>
      </c>
      <c r="L65" s="8">
        <f>LN(Sheet1!L50/Sheet1!L49)</f>
        <v>0</v>
      </c>
      <c r="M65" s="8">
        <f>LN(Sheet1!M50/Sheet1!M49)</f>
        <v>0.12304789532966458</v>
      </c>
      <c r="N65" s="8">
        <f>LN(Sheet1!N50/Sheet1!N49)</f>
        <v>-4.1797128678461477E-2</v>
      </c>
      <c r="O65" s="8">
        <f>LN(Sheet1!O50/Sheet1!O49)</f>
        <v>-0.32720521057811952</v>
      </c>
      <c r="P65" s="8">
        <f>LN(Sheet1!P50/Sheet1!P49)</f>
        <v>-2.1846443228830888E-2</v>
      </c>
      <c r="Q65" s="8">
        <f>LN(Sheet1!Q50/Sheet1!Q49)</f>
        <v>1.509710328181924E-2</v>
      </c>
      <c r="R65" s="8">
        <f>LN(Sheet1!R50/Sheet1!R49)</f>
        <v>7.9619631906444846E-2</v>
      </c>
      <c r="S65" s="8">
        <f>LN(Sheet1!S50/Sheet1!S49)</f>
        <v>3.0239885189718176E-2</v>
      </c>
      <c r="T65" s="8">
        <f>LN(Sheet1!T50/Sheet1!T49)</f>
        <v>-9.9974609095679914E-2</v>
      </c>
      <c r="U65" s="8">
        <f>LN(Sheet1!U50/Sheet1!U49)</f>
        <v>-4.7922234127966375E-2</v>
      </c>
      <c r="V65" s="8">
        <f>LN(Sheet1!V50/Sheet1!V49)</f>
        <v>-0.11249539456459567</v>
      </c>
      <c r="W65" s="8">
        <f>LN(Sheet1!W50/Sheet1!W49)</f>
        <v>-3.8586236594251137E-2</v>
      </c>
      <c r="X65" s="8">
        <f>LN(Sheet1!X50/Sheet1!X49)</f>
        <v>-2.6847250036188052E-2</v>
      </c>
      <c r="Y65" s="8">
        <f>LN(Sheet1!Y50/Sheet1!Y49)</f>
        <v>-0.13281787136699419</v>
      </c>
      <c r="Z65" s="8">
        <f>LN(Sheet1!Z50/Sheet1!Z49)</f>
        <v>5.3801101035583734E-2</v>
      </c>
      <c r="AA65" s="8">
        <f>LN(Sheet1!AA50/Sheet1!AA49)</f>
        <v>-6.85295331258301E-2</v>
      </c>
      <c r="AB65" s="8">
        <f>LN(Sheet1!AB50/Sheet1!AB49)</f>
        <v>-6.7340321813439564E-3</v>
      </c>
      <c r="AC65" s="8">
        <f>LN(Sheet1!AC50/Sheet1!AC49)</f>
        <v>-7.2069092127978518E-2</v>
      </c>
      <c r="AD65" s="8">
        <f>LN(Sheet1!AD50/Sheet1!AD49)</f>
        <v>-0.12842090502518835</v>
      </c>
      <c r="AE65" s="8">
        <f>LN(Sheet1!AE50/Sheet1!AE49)</f>
        <v>-2.4820047894371079E-2</v>
      </c>
      <c r="AF65" s="8">
        <f>LN(Sheet1!AF50/Sheet1!AF49)</f>
        <v>-5.7327739320209521E-2</v>
      </c>
      <c r="AG65" s="8">
        <f>LN(Sheet1!AG50/Sheet1!AG49)</f>
        <v>-1.5609057806576867E-2</v>
      </c>
    </row>
    <row r="66" spans="1:33" x14ac:dyDescent="0.25">
      <c r="A66" s="7">
        <v>37074</v>
      </c>
      <c r="B66" s="8">
        <f>LN(Sheet1!B51/Sheet1!B50)</f>
        <v>-1.0798221205900169E-2</v>
      </c>
      <c r="C66" s="8">
        <f>LN(Sheet1!C51/Sheet1!C50)</f>
        <v>1.9414794345477258E-3</v>
      </c>
      <c r="D66" s="8">
        <f>LN(Sheet1!D51/Sheet1!D50)</f>
        <v>-1.9468121298883249E-2</v>
      </c>
      <c r="E66" s="8">
        <f>LN(Sheet1!E51/Sheet1!E50)</f>
        <v>-2.0887846283546681E-2</v>
      </c>
      <c r="F66" s="8">
        <f>LN(Sheet1!F51/Sheet1!F50)</f>
        <v>4.0659734867010237E-2</v>
      </c>
      <c r="G66" s="8">
        <f>LN(Sheet1!G51/Sheet1!G50)</f>
        <v>5.125345295644114E-2</v>
      </c>
      <c r="H66" s="8">
        <f>LN(Sheet1!H51/Sheet1!H50)</f>
        <v>-5.1280460629633443E-2</v>
      </c>
      <c r="I66" s="8">
        <f>LN(Sheet1!I51/Sheet1!I50)</f>
        <v>0.10266528093426616</v>
      </c>
      <c r="J66" s="8">
        <f>LN(Sheet1!J51/Sheet1!J50)</f>
        <v>-0.11920450000376105</v>
      </c>
      <c r="K66" s="8">
        <f>LN(Sheet1!K51/Sheet1!K50)</f>
        <v>-9.2041062675898566E-2</v>
      </c>
      <c r="L66" s="8">
        <f>LN(Sheet1!L51/Sheet1!L50)</f>
        <v>-0.11584021376988866</v>
      </c>
      <c r="M66" s="8">
        <f>LN(Sheet1!M51/Sheet1!M50)</f>
        <v>-1.1541760440171345E-2</v>
      </c>
      <c r="N66" s="8">
        <f>LN(Sheet1!N51/Sheet1!N50)</f>
        <v>6.42844238169306E-2</v>
      </c>
      <c r="O66" s="8">
        <f>LN(Sheet1!O51/Sheet1!O50)</f>
        <v>6.0390858617489759E-2</v>
      </c>
      <c r="P66" s="8">
        <f>LN(Sheet1!P51/Sheet1!P50)</f>
        <v>-0.148328615539668</v>
      </c>
      <c r="Q66" s="8">
        <f>LN(Sheet1!Q51/Sheet1!Q50)</f>
        <v>-7.5863458497966996E-2</v>
      </c>
      <c r="R66" s="8">
        <f>LN(Sheet1!R51/Sheet1!R50)</f>
        <v>1.9041351303994855E-2</v>
      </c>
      <c r="S66" s="8">
        <f>LN(Sheet1!S51/Sheet1!S50)</f>
        <v>7.9611914576795298E-2</v>
      </c>
      <c r="T66" s="8">
        <f>LN(Sheet1!T51/Sheet1!T50)</f>
        <v>-1.9328454019813091E-2</v>
      </c>
      <c r="U66" s="8">
        <f>LN(Sheet1!U51/Sheet1!U50)</f>
        <v>-8.8957252019271505E-3</v>
      </c>
      <c r="V66" s="8">
        <f>LN(Sheet1!V51/Sheet1!V50)</f>
        <v>7.4107972153721835E-2</v>
      </c>
      <c r="W66" s="8">
        <f>LN(Sheet1!W51/Sheet1!W50)</f>
        <v>-1.9663554908778021E-2</v>
      </c>
      <c r="X66" s="8">
        <f>LN(Sheet1!X51/Sheet1!X50)</f>
        <v>-8.4378385074036277E-2</v>
      </c>
      <c r="Y66" s="8">
        <f>LN(Sheet1!Y51/Sheet1!Y50)</f>
        <v>6.1643055553509817E-2</v>
      </c>
      <c r="Z66" s="8">
        <f>LN(Sheet1!Z51/Sheet1!Z50)</f>
        <v>-9.7900564853434499E-2</v>
      </c>
      <c r="AA66" s="8">
        <f>LN(Sheet1!AA51/Sheet1!AA50)</f>
        <v>2.8822083530717208E-2</v>
      </c>
      <c r="AB66" s="8">
        <f>LN(Sheet1!AB51/Sheet1!AB50)</f>
        <v>0.11255364413385126</v>
      </c>
      <c r="AC66" s="8">
        <f>LN(Sheet1!AC51/Sheet1!AC50)</f>
        <v>0.12319463838133365</v>
      </c>
      <c r="AD66" s="8">
        <f>LN(Sheet1!AD51/Sheet1!AD50)</f>
        <v>1.797484007032378E-3</v>
      </c>
      <c r="AE66" s="8">
        <f>LN(Sheet1!AE51/Sheet1!AE50)</f>
        <v>1.9221883097669906E-2</v>
      </c>
      <c r="AF66" s="8">
        <f>LN(Sheet1!AF51/Sheet1!AF50)</f>
        <v>0.13578771740501375</v>
      </c>
      <c r="AG66" s="8">
        <f>LN(Sheet1!AG51/Sheet1!AG50)</f>
        <v>-4.5047830921756057E-2</v>
      </c>
    </row>
    <row r="67" spans="1:33" x14ac:dyDescent="0.25">
      <c r="A67" s="7">
        <v>37104</v>
      </c>
      <c r="B67" s="8">
        <f>LN(Sheet1!B52/Sheet1!B51)</f>
        <v>-6.6255605887467039E-2</v>
      </c>
      <c r="C67" s="8">
        <f>LN(Sheet1!C52/Sheet1!C51)</f>
        <v>-5.599785668142078E-2</v>
      </c>
      <c r="D67" s="8">
        <f>LN(Sheet1!D52/Sheet1!D51)</f>
        <v>-2.4880545831255155E-2</v>
      </c>
      <c r="E67" s="8">
        <f>LN(Sheet1!E52/Sheet1!E51)</f>
        <v>-6.2107904102232166E-2</v>
      </c>
      <c r="F67" s="8">
        <f>LN(Sheet1!F52/Sheet1!F51)</f>
        <v>-0.10177199506049471</v>
      </c>
      <c r="G67" s="8">
        <f>LN(Sheet1!G52/Sheet1!G51)</f>
        <v>-0.13061578125075524</v>
      </c>
      <c r="H67" s="8">
        <f>LN(Sheet1!H52/Sheet1!H51)</f>
        <v>-8.8786331914029459E-2</v>
      </c>
      <c r="I67" s="8">
        <f>LN(Sheet1!I52/Sheet1!I51)</f>
        <v>-9.7205758729367431E-2</v>
      </c>
      <c r="J67" s="8">
        <f>LN(Sheet1!J52/Sheet1!J51)</f>
        <v>-3.5619807332971522E-2</v>
      </c>
      <c r="K67" s="8">
        <f>LN(Sheet1!K52/Sheet1!K51)</f>
        <v>-3.530744412681721E-2</v>
      </c>
      <c r="L67" s="8">
        <f>LN(Sheet1!L52/Sheet1!L51)</f>
        <v>-6.1515235978934477E-2</v>
      </c>
      <c r="M67" s="8">
        <f>LN(Sheet1!M52/Sheet1!M51)</f>
        <v>-0.14209675548344569</v>
      </c>
      <c r="N67" s="8">
        <f>LN(Sheet1!N52/Sheet1!N51)</f>
        <v>-9.1062542898323592E-2</v>
      </c>
      <c r="O67" s="8">
        <f>LN(Sheet1!O52/Sheet1!O51)</f>
        <v>1.5772709851156586E-2</v>
      </c>
      <c r="P67" s="8">
        <f>LN(Sheet1!P52/Sheet1!P51)</f>
        <v>-6.0541807224456505E-2</v>
      </c>
      <c r="Q67" s="8">
        <f>LN(Sheet1!Q52/Sheet1!Q51)</f>
        <v>-4.9920320628016754E-2</v>
      </c>
      <c r="R67" s="8">
        <f>LN(Sheet1!R52/Sheet1!R51)</f>
        <v>-6.35425759745048E-2</v>
      </c>
      <c r="S67" s="8">
        <f>LN(Sheet1!S52/Sheet1!S51)</f>
        <v>-2.2801950140541628E-2</v>
      </c>
      <c r="T67" s="8">
        <f>LN(Sheet1!T52/Sheet1!T51)</f>
        <v>-9.4320282498115485E-2</v>
      </c>
      <c r="U67" s="8">
        <f>LN(Sheet1!U52/Sheet1!U51)</f>
        <v>8.7224102213261601E-2</v>
      </c>
      <c r="V67" s="8">
        <f>LN(Sheet1!V52/Sheet1!V51)</f>
        <v>3.0311020213723776E-2</v>
      </c>
      <c r="W67" s="8">
        <f>LN(Sheet1!W52/Sheet1!W51)</f>
        <v>-6.6390961953141328E-2</v>
      </c>
      <c r="X67" s="8">
        <f>LN(Sheet1!X52/Sheet1!X51)</f>
        <v>4.0837576790747905E-2</v>
      </c>
      <c r="Y67" s="8">
        <f>LN(Sheet1!Y52/Sheet1!Y51)</f>
        <v>-3.8079383495378538E-2</v>
      </c>
      <c r="Z67" s="8">
        <f>LN(Sheet1!Z52/Sheet1!Z51)</f>
        <v>-0.14858909303029955</v>
      </c>
      <c r="AA67" s="8">
        <f>LN(Sheet1!AA52/Sheet1!AA51)</f>
        <v>-7.0500939937445203E-2</v>
      </c>
      <c r="AB67" s="8">
        <f>LN(Sheet1!AB52/Sheet1!AB51)</f>
        <v>4.3221401532806562E-2</v>
      </c>
      <c r="AC67" s="8">
        <f>LN(Sheet1!AC52/Sheet1!AC51)</f>
        <v>-9.6034870030982267E-2</v>
      </c>
      <c r="AD67" s="8">
        <f>LN(Sheet1!AD52/Sheet1!AD51)</f>
        <v>-6.7476085073677833E-2</v>
      </c>
      <c r="AE67" s="8">
        <f>LN(Sheet1!AE52/Sheet1!AE51)</f>
        <v>-7.9737652913841897E-2</v>
      </c>
      <c r="AF67" s="8">
        <f>LN(Sheet1!AF52/Sheet1!AF51)</f>
        <v>-0.15136674889289206</v>
      </c>
      <c r="AG67" s="8">
        <f>LN(Sheet1!AG52/Sheet1!AG51)</f>
        <v>-3.3750239992239382E-2</v>
      </c>
    </row>
    <row r="68" spans="1:33" x14ac:dyDescent="0.25">
      <c r="A68" s="7">
        <v>37138</v>
      </c>
      <c r="B68" s="8">
        <f>LN(Sheet1!B53/Sheet1!B52)</f>
        <v>-8.5256615246989922E-2</v>
      </c>
      <c r="C68" s="8">
        <f>LN(Sheet1!C53/Sheet1!C52)</f>
        <v>-0.11740571043550366</v>
      </c>
      <c r="D68" s="8">
        <f>LN(Sheet1!D53/Sheet1!D52)</f>
        <v>-0.20631790916228274</v>
      </c>
      <c r="E68" s="8">
        <f>LN(Sheet1!E53/Sheet1!E52)</f>
        <v>-2.513395066096975E-3</v>
      </c>
      <c r="F68" s="8">
        <f>LN(Sheet1!F53/Sheet1!F52)</f>
        <v>-0.22563421262666164</v>
      </c>
      <c r="G68" s="8">
        <f>LN(Sheet1!G53/Sheet1!G52)</f>
        <v>-0.42418572448298325</v>
      </c>
      <c r="H68" s="8">
        <f>LN(Sheet1!H53/Sheet1!H52)</f>
        <v>-0.12280967330333543</v>
      </c>
      <c r="I68" s="8">
        <f>LN(Sheet1!I53/Sheet1!I52)</f>
        <v>-0.10970549293758282</v>
      </c>
      <c r="J68" s="8">
        <f>LN(Sheet1!J53/Sheet1!J52)</f>
        <v>-8.8083993203161431E-2</v>
      </c>
      <c r="K68" s="8">
        <f>LN(Sheet1!K53/Sheet1!K52)</f>
        <v>-0.31178981641203657</v>
      </c>
      <c r="L68" s="8">
        <f>LN(Sheet1!L53/Sheet1!L52)</f>
        <v>-9.0264343307846703E-2</v>
      </c>
      <c r="M68" s="8">
        <f>LN(Sheet1!M53/Sheet1!M52)</f>
        <v>-0.24396820607892747</v>
      </c>
      <c r="N68" s="8">
        <f>LN(Sheet1!N53/Sheet1!N52)</f>
        <v>-0.18023605030293327</v>
      </c>
      <c r="O68" s="8">
        <f>LN(Sheet1!O53/Sheet1!O52)</f>
        <v>-0.34460586948306621</v>
      </c>
      <c r="P68" s="8">
        <f>LN(Sheet1!P53/Sheet1!P52)</f>
        <v>-0.36454926534045623</v>
      </c>
      <c r="Q68" s="8">
        <f>LN(Sheet1!Q53/Sheet1!Q52)</f>
        <v>-8.5908603162243607E-2</v>
      </c>
      <c r="R68" s="8">
        <f>LN(Sheet1!R53/Sheet1!R52)</f>
        <v>-0.31315871118279576</v>
      </c>
      <c r="S68" s="8">
        <f>LN(Sheet1!S53/Sheet1!S52)</f>
        <v>4.9938165866461555E-2</v>
      </c>
      <c r="T68" s="8">
        <f>LN(Sheet1!T53/Sheet1!T52)</f>
        <v>-0.14290387692741094</v>
      </c>
      <c r="U68" s="8">
        <f>LN(Sheet1!U53/Sheet1!U52)</f>
        <v>-3.8154365666190473E-2</v>
      </c>
      <c r="V68" s="8">
        <f>LN(Sheet1!V53/Sheet1!V52)</f>
        <v>-0.1011510156028297</v>
      </c>
      <c r="W68" s="8">
        <f>LN(Sheet1!W53/Sheet1!W52)</f>
        <v>-5.6343521640738144E-2</v>
      </c>
      <c r="X68" s="8">
        <f>LN(Sheet1!X53/Sheet1!X52)</f>
        <v>1.852590960751448E-2</v>
      </c>
      <c r="Y68" s="8">
        <f>LN(Sheet1!Y53/Sheet1!Y52)</f>
        <v>2.2826650301176209E-2</v>
      </c>
      <c r="Z68" s="8">
        <f>LN(Sheet1!Z53/Sheet1!Z52)</f>
        <v>-0.10868073793339997</v>
      </c>
      <c r="AA68" s="8">
        <f>LN(Sheet1!AA53/Sheet1!AA52)</f>
        <v>4.572393560053651E-2</v>
      </c>
      <c r="AB68" s="8">
        <f>LN(Sheet1!AB53/Sheet1!AB52)</f>
        <v>-1.8428039912059286E-2</v>
      </c>
      <c r="AC68" s="8">
        <f>LN(Sheet1!AC53/Sheet1!AC52)</f>
        <v>0.14135556821043668</v>
      </c>
      <c r="AD68" s="8">
        <f>LN(Sheet1!AD53/Sheet1!AD52)</f>
        <v>-0.38596389557982252</v>
      </c>
      <c r="AE68" s="8">
        <f>LN(Sheet1!AE53/Sheet1!AE52)</f>
        <v>7.9005141588205527E-2</v>
      </c>
      <c r="AF68" s="8">
        <f>LN(Sheet1!AF53/Sheet1!AF52)</f>
        <v>3.1347799743460171E-2</v>
      </c>
      <c r="AG68" s="8">
        <f>LN(Sheet1!AG53/Sheet1!AG52)</f>
        <v>-1.8611847194599001E-2</v>
      </c>
    </row>
    <row r="69" spans="1:33" x14ac:dyDescent="0.25">
      <c r="A69" s="7">
        <v>37165</v>
      </c>
      <c r="B69" s="8">
        <f>LN(Sheet1!B54/Sheet1!B53)</f>
        <v>1.7937188329115412E-2</v>
      </c>
      <c r="C69" s="8">
        <f>LN(Sheet1!C54/Sheet1!C53)</f>
        <v>2.5397092237961497E-2</v>
      </c>
      <c r="D69" s="8">
        <f>LN(Sheet1!D54/Sheet1!D53)</f>
        <v>4.4182462037733856E-2</v>
      </c>
      <c r="E69" s="8">
        <f>LN(Sheet1!E54/Sheet1!E53)</f>
        <v>7.6527619821558767E-3</v>
      </c>
      <c r="F69" s="8">
        <f>LN(Sheet1!F54/Sheet1!F53)</f>
        <v>1.5261174723116304E-2</v>
      </c>
      <c r="G69" s="8">
        <f>LN(Sheet1!G54/Sheet1!G53)</f>
        <v>-2.7398974188114503E-2</v>
      </c>
      <c r="H69" s="8">
        <f>LN(Sheet1!H54/Sheet1!H53)</f>
        <v>0.1169016521799106</v>
      </c>
      <c r="I69" s="8">
        <f>LN(Sheet1!I54/Sheet1!I53)</f>
        <v>5.5541672698956436E-3</v>
      </c>
      <c r="J69" s="8">
        <f>LN(Sheet1!J54/Sheet1!J53)</f>
        <v>6.3914533838613924E-2</v>
      </c>
      <c r="K69" s="8">
        <f>LN(Sheet1!K54/Sheet1!K53)</f>
        <v>-1.7137964777347416E-3</v>
      </c>
      <c r="L69" s="8">
        <f>LN(Sheet1!L54/Sheet1!L53)</f>
        <v>-2.1499405390959268E-2</v>
      </c>
      <c r="M69" s="8">
        <f>LN(Sheet1!M54/Sheet1!M53)</f>
        <v>-3.728297604256306E-2</v>
      </c>
      <c r="N69" s="8">
        <f>LN(Sheet1!N54/Sheet1!N53)</f>
        <v>-3.6176469119189145E-3</v>
      </c>
      <c r="O69" s="8">
        <f>LN(Sheet1!O54/Sheet1!O53)</f>
        <v>0.11252405554799705</v>
      </c>
      <c r="P69" s="8">
        <f>LN(Sheet1!P54/Sheet1!P53)</f>
        <v>4.750233398500326E-2</v>
      </c>
      <c r="Q69" s="8">
        <f>LN(Sheet1!Q54/Sheet1!Q53)</f>
        <v>0.16404163388461665</v>
      </c>
      <c r="R69" s="8">
        <f>LN(Sheet1!R54/Sheet1!R53)</f>
        <v>0.17772942465019426</v>
      </c>
      <c r="S69" s="8">
        <f>LN(Sheet1!S54/Sheet1!S53)</f>
        <v>4.4294220231004336E-2</v>
      </c>
      <c r="T69" s="8">
        <f>LN(Sheet1!T54/Sheet1!T53)</f>
        <v>4.4419651079734002E-2</v>
      </c>
      <c r="U69" s="8">
        <f>LN(Sheet1!U54/Sheet1!U53)</f>
        <v>2.187850219414586E-2</v>
      </c>
      <c r="V69" s="8">
        <f>LN(Sheet1!V54/Sheet1!V53)</f>
        <v>-4.0363290605583899E-2</v>
      </c>
      <c r="W69" s="8">
        <f>LN(Sheet1!W54/Sheet1!W53)</f>
        <v>5.8938678806577181E-2</v>
      </c>
      <c r="X69" s="8">
        <f>LN(Sheet1!X54/Sheet1!X53)</f>
        <v>-3.1322471129041157E-2</v>
      </c>
      <c r="Y69" s="8">
        <f>LN(Sheet1!Y54/Sheet1!Y53)</f>
        <v>-4.2728804843021495E-2</v>
      </c>
      <c r="Z69" s="8">
        <f>LN(Sheet1!Z54/Sheet1!Z53)</f>
        <v>0.12770580073071006</v>
      </c>
      <c r="AA69" s="8">
        <f>LN(Sheet1!AA54/Sheet1!AA53)</f>
        <v>4.40003292624375E-2</v>
      </c>
      <c r="AB69" s="8">
        <f>LN(Sheet1!AB54/Sheet1!AB53)</f>
        <v>1.8732314979065124E-2</v>
      </c>
      <c r="AC69" s="8">
        <f>LN(Sheet1!AC54/Sheet1!AC53)</f>
        <v>-0.20659609007883767</v>
      </c>
      <c r="AD69" s="8">
        <f>LN(Sheet1!AD54/Sheet1!AD53)</f>
        <v>0.14773758868779965</v>
      </c>
      <c r="AE69" s="8">
        <f>LN(Sheet1!AE54/Sheet1!AE53)</f>
        <v>-7.5838076391504375E-2</v>
      </c>
      <c r="AF69" s="8">
        <f>LN(Sheet1!AF54/Sheet1!AF53)</f>
        <v>3.7645071743491382E-2</v>
      </c>
      <c r="AG69" s="8">
        <f>LN(Sheet1!AG54/Sheet1!AG53)</f>
        <v>1.1554016305558895E-3</v>
      </c>
    </row>
    <row r="70" spans="1:33" x14ac:dyDescent="0.25">
      <c r="A70" s="7">
        <v>37196</v>
      </c>
      <c r="B70" s="8">
        <f>LN(Sheet1!B55/Sheet1!B54)</f>
        <v>7.2484350433373146E-2</v>
      </c>
      <c r="C70" s="8">
        <f>LN(Sheet1!C55/Sheet1!C54)</f>
        <v>8.2091011249253748E-2</v>
      </c>
      <c r="D70" s="8">
        <f>LN(Sheet1!D55/Sheet1!D54)</f>
        <v>0.17917964462648814</v>
      </c>
      <c r="E70" s="8">
        <f>LN(Sheet1!E55/Sheet1!E54)</f>
        <v>4.7236707416448163E-2</v>
      </c>
      <c r="F70" s="8">
        <f>LN(Sheet1!F55/Sheet1!F54)</f>
        <v>0.11180714943294021</v>
      </c>
      <c r="G70" s="8">
        <f>LN(Sheet1!G55/Sheet1!G54)</f>
        <v>7.9104181091272027E-2</v>
      </c>
      <c r="H70" s="8">
        <f>LN(Sheet1!H55/Sheet1!H54)</f>
        <v>5.4364195109063568E-2</v>
      </c>
      <c r="I70" s="8">
        <f>LN(Sheet1!I55/Sheet1!I54)</f>
        <v>5.8667848088802856E-2</v>
      </c>
      <c r="J70" s="8">
        <f>LN(Sheet1!J55/Sheet1!J54)</f>
        <v>0.11135279483890977</v>
      </c>
      <c r="K70" s="8">
        <f>LN(Sheet1!K55/Sheet1!K54)</f>
        <v>9.6401117339468892E-2</v>
      </c>
      <c r="L70" s="8">
        <f>LN(Sheet1!L55/Sheet1!L54)</f>
        <v>5.5932564252730216E-2</v>
      </c>
      <c r="M70" s="8">
        <f>LN(Sheet1!M55/Sheet1!M54)</f>
        <v>0.19625796928809791</v>
      </c>
      <c r="N70" s="8">
        <f>LN(Sheet1!N55/Sheet1!N54)</f>
        <v>0.20018904262312931</v>
      </c>
      <c r="O70" s="8">
        <f>LN(Sheet1!O55/Sheet1!O54)</f>
        <v>0.12087422822605623</v>
      </c>
      <c r="P70" s="8">
        <f>LN(Sheet1!P55/Sheet1!P54)</f>
        <v>0.26750566396790976</v>
      </c>
      <c r="Q70" s="8">
        <f>LN(Sheet1!Q55/Sheet1!Q54)</f>
        <v>6.8465646144490744E-2</v>
      </c>
      <c r="R70" s="8">
        <f>LN(Sheet1!R55/Sheet1!R54)</f>
        <v>0.29169052806546503</v>
      </c>
      <c r="S70" s="8">
        <f>LN(Sheet1!S55/Sheet1!S54)</f>
        <v>8.8190755639007967E-3</v>
      </c>
      <c r="T70" s="8">
        <f>LN(Sheet1!T55/Sheet1!T54)</f>
        <v>6.4626825257015838E-2</v>
      </c>
      <c r="U70" s="8">
        <f>LN(Sheet1!U55/Sheet1!U54)</f>
        <v>-1.5820080658315892E-2</v>
      </c>
      <c r="V70" s="8">
        <f>LN(Sheet1!V55/Sheet1!V54)</f>
        <v>3.8730637181698571E-2</v>
      </c>
      <c r="W70" s="8">
        <f>LN(Sheet1!W55/Sheet1!W54)</f>
        <v>9.8446822250518318E-2</v>
      </c>
      <c r="X70" s="8">
        <f>LN(Sheet1!X55/Sheet1!X54)</f>
        <v>7.9230748373274266E-3</v>
      </c>
      <c r="Y70" s="8">
        <f>LN(Sheet1!Y55/Sheet1!Y54)</f>
        <v>5.9895780581941289E-2</v>
      </c>
      <c r="Z70" s="8">
        <f>LN(Sheet1!Z55/Sheet1!Z54)</f>
        <v>9.9166553048618364E-2</v>
      </c>
      <c r="AA70" s="8">
        <f>LN(Sheet1!AA55/Sheet1!AA54)</f>
        <v>3.5509897035365105E-2</v>
      </c>
      <c r="AB70" s="8">
        <f>LN(Sheet1!AB55/Sheet1!AB54)</f>
        <v>4.8688749433784116E-2</v>
      </c>
      <c r="AC70" s="8">
        <f>LN(Sheet1!AC55/Sheet1!AC54)</f>
        <v>-1.9251196114091648E-2</v>
      </c>
      <c r="AD70" s="8">
        <f>LN(Sheet1!AD55/Sheet1!AD54)</f>
        <v>0.11466290832013994</v>
      </c>
      <c r="AE70" s="8">
        <f>LN(Sheet1!AE55/Sheet1!AE54)</f>
        <v>-5.8042319831297644E-2</v>
      </c>
      <c r="AF70" s="8">
        <f>LN(Sheet1!AF55/Sheet1!AF54)</f>
        <v>7.0519054058849201E-2</v>
      </c>
      <c r="AG70" s="8">
        <f>LN(Sheet1!AG55/Sheet1!AG54)</f>
        <v>-4.7592844291536117E-2</v>
      </c>
    </row>
    <row r="71" spans="1:33" x14ac:dyDescent="0.25">
      <c r="A71" s="7">
        <v>37228</v>
      </c>
      <c r="B71" s="8">
        <f>LN(Sheet1!B56/Sheet1!B55)</f>
        <v>7.545292033896033E-3</v>
      </c>
      <c r="C71" s="8">
        <f>LN(Sheet1!C56/Sheet1!C55)</f>
        <v>1.7109951730979279E-2</v>
      </c>
      <c r="D71" s="8">
        <f>LN(Sheet1!D56/Sheet1!D55)</f>
        <v>-8.2254748392235205E-2</v>
      </c>
      <c r="E71" s="8">
        <f>LN(Sheet1!E56/Sheet1!E55)</f>
        <v>-3.6646296609493471E-2</v>
      </c>
      <c r="F71" s="8">
        <f>LN(Sheet1!F56/Sheet1!F55)</f>
        <v>8.1168326882884431E-2</v>
      </c>
      <c r="G71" s="8">
        <f>LN(Sheet1!G56/Sheet1!G55)</f>
        <v>9.9710783115707233E-2</v>
      </c>
      <c r="H71" s="8">
        <f>LN(Sheet1!H56/Sheet1!H55)</f>
        <v>5.2575208888490925E-2</v>
      </c>
      <c r="I71" s="8">
        <f>LN(Sheet1!I56/Sheet1!I55)</f>
        <v>9.7207713580516386E-2</v>
      </c>
      <c r="J71" s="8">
        <f>LN(Sheet1!J56/Sheet1!J55)</f>
        <v>-4.193717973965945E-2</v>
      </c>
      <c r="K71" s="8">
        <f>LN(Sheet1!K56/Sheet1!K55)</f>
        <v>2.2588229373963185E-2</v>
      </c>
      <c r="L71" s="8">
        <f>LN(Sheet1!L56/Sheet1!L55)</f>
        <v>4.4622560130157626E-2</v>
      </c>
      <c r="M71" s="8">
        <f>LN(Sheet1!M56/Sheet1!M55)</f>
        <v>-2.2360526526005002E-2</v>
      </c>
      <c r="N71" s="8">
        <f>LN(Sheet1!N56/Sheet1!N55)</f>
        <v>8.9233916727710208E-2</v>
      </c>
      <c r="O71" s="8">
        <f>LN(Sheet1!O56/Sheet1!O55)</f>
        <v>2.0367302824433733E-2</v>
      </c>
      <c r="P71" s="8">
        <f>LN(Sheet1!P56/Sheet1!P55)</f>
        <v>-6.4144121605738263E-2</v>
      </c>
      <c r="Q71" s="8">
        <f>LN(Sheet1!Q56/Sheet1!Q55)</f>
        <v>4.5438067276321117E-2</v>
      </c>
      <c r="R71" s="8">
        <f>LN(Sheet1!R56/Sheet1!R55)</f>
        <v>-3.7677953122390466E-2</v>
      </c>
      <c r="S71" s="8">
        <f>LN(Sheet1!S56/Sheet1!S55)</f>
        <v>1.4402371367828468E-2</v>
      </c>
      <c r="T71" s="8">
        <f>LN(Sheet1!T56/Sheet1!T55)</f>
        <v>-3.6760166623292047E-2</v>
      </c>
      <c r="U71" s="8">
        <f>LN(Sheet1!U56/Sheet1!U55)</f>
        <v>4.0988604703855753E-3</v>
      </c>
      <c r="V71" s="8">
        <f>LN(Sheet1!V56/Sheet1!V55)</f>
        <v>-1.3986241974739839E-2</v>
      </c>
      <c r="W71" s="8">
        <f>LN(Sheet1!W56/Sheet1!W55)</f>
        <v>3.121640752440883E-2</v>
      </c>
      <c r="X71" s="8">
        <f>LN(Sheet1!X56/Sheet1!X55)</f>
        <v>-1.5909426469977263E-2</v>
      </c>
      <c r="Y71" s="8">
        <f>LN(Sheet1!Y56/Sheet1!Y55)</f>
        <v>-0.13645893134379725</v>
      </c>
      <c r="Z71" s="8">
        <f>LN(Sheet1!Z56/Sheet1!Z55)</f>
        <v>3.1101702565587815E-2</v>
      </c>
      <c r="AA71" s="8">
        <f>LN(Sheet1!AA56/Sheet1!AA55)</f>
        <v>-8.3265827996464828E-2</v>
      </c>
      <c r="AB71" s="8">
        <f>LN(Sheet1!AB56/Sheet1!AB55)</f>
        <v>2.1500039859812168E-2</v>
      </c>
      <c r="AC71" s="8">
        <f>LN(Sheet1!AC56/Sheet1!AC55)</f>
        <v>4.6788194622310361E-2</v>
      </c>
      <c r="AD71" s="8">
        <f>LN(Sheet1!AD56/Sheet1!AD55)</f>
        <v>7.0971588862369386E-2</v>
      </c>
      <c r="AE71" s="8">
        <f>LN(Sheet1!AE56/Sheet1!AE55)</f>
        <v>9.7263515136342734E-3</v>
      </c>
      <c r="AF71" s="8">
        <f>LN(Sheet1!AF56/Sheet1!AF55)</f>
        <v>4.3841090854816314E-2</v>
      </c>
      <c r="AG71" s="8">
        <f>LN(Sheet1!AG56/Sheet1!AG55)</f>
        <v>4.961159047099669E-2</v>
      </c>
    </row>
    <row r="72" spans="1:33" x14ac:dyDescent="0.25">
      <c r="A72" s="7">
        <v>37258</v>
      </c>
      <c r="B72" s="8">
        <f>LN(Sheet1!B57/Sheet1!B56)</f>
        <v>-1.5696373666933345E-2</v>
      </c>
      <c r="C72" s="8">
        <f>LN(Sheet1!C57/Sheet1!C56)</f>
        <v>-1.0186848712616426E-2</v>
      </c>
      <c r="D72" s="8">
        <f>LN(Sheet1!D57/Sheet1!D56)</f>
        <v>8.5053276944878943E-3</v>
      </c>
      <c r="E72" s="8">
        <f>LN(Sheet1!E57/Sheet1!E56)</f>
        <v>-6.8352086921863217E-2</v>
      </c>
      <c r="F72" s="8">
        <f>LN(Sheet1!F57/Sheet1!F56)</f>
        <v>6.3919477511184828E-3</v>
      </c>
      <c r="G72" s="8">
        <f>LN(Sheet1!G57/Sheet1!G56)</f>
        <v>5.4305749551916062E-2</v>
      </c>
      <c r="H72" s="8">
        <f>LN(Sheet1!H57/Sheet1!H56)</f>
        <v>-5.9547615788796873E-2</v>
      </c>
      <c r="I72" s="8">
        <f>LN(Sheet1!I57/Sheet1!I56)</f>
        <v>-3.1067911075971268E-2</v>
      </c>
      <c r="J72" s="8">
        <f>LN(Sheet1!J57/Sheet1!J56)</f>
        <v>3.8147245587647961E-2</v>
      </c>
      <c r="K72" s="8">
        <f>LN(Sheet1!K57/Sheet1!K56)</f>
        <v>1.6612513933784209E-2</v>
      </c>
      <c r="L72" s="8">
        <f>LN(Sheet1!L57/Sheet1!L56)</f>
        <v>-7.5932668358615063E-2</v>
      </c>
      <c r="M72" s="8">
        <f>LN(Sheet1!M57/Sheet1!M56)</f>
        <v>5.0827636637575994E-2</v>
      </c>
      <c r="N72" s="8">
        <f>LN(Sheet1!N57/Sheet1!N56)</f>
        <v>-1.811338486364206E-2</v>
      </c>
      <c r="O72" s="8">
        <f>LN(Sheet1!O57/Sheet1!O56)</f>
        <v>-6.4048761005053448E-3</v>
      </c>
      <c r="P72" s="8">
        <f>LN(Sheet1!P57/Sheet1!P56)</f>
        <v>7.3469342555953887E-2</v>
      </c>
      <c r="Q72" s="8">
        <f>LN(Sheet1!Q57/Sheet1!Q56)</f>
        <v>-0.11439187550031311</v>
      </c>
      <c r="R72" s="8">
        <f>LN(Sheet1!R57/Sheet1!R56)</f>
        <v>0.1081185813798221</v>
      </c>
      <c r="S72" s="8">
        <f>LN(Sheet1!S57/Sheet1!S56)</f>
        <v>-2.7273550884300161E-2</v>
      </c>
      <c r="T72" s="8">
        <f>LN(Sheet1!T57/Sheet1!T56)</f>
        <v>-5.6168744692388937E-2</v>
      </c>
      <c r="U72" s="8">
        <f>LN(Sheet1!U57/Sheet1!U56)</f>
        <v>-7.4922696488681731E-2</v>
      </c>
      <c r="V72" s="8">
        <f>LN(Sheet1!V57/Sheet1!V56)</f>
        <v>2.6570130377713722E-2</v>
      </c>
      <c r="W72" s="8">
        <f>LN(Sheet1!W57/Sheet1!W56)</f>
        <v>-6.3034561903320768E-2</v>
      </c>
      <c r="X72" s="8">
        <f>LN(Sheet1!X57/Sheet1!X56)</f>
        <v>8.9077460590403126E-2</v>
      </c>
      <c r="Y72" s="8">
        <f>LN(Sheet1!Y57/Sheet1!Y56)</f>
        <v>6.3367414048886052E-3</v>
      </c>
      <c r="Z72" s="8">
        <f>LN(Sheet1!Z57/Sheet1!Z56)</f>
        <v>-3.8756195926120007E-2</v>
      </c>
      <c r="AA72" s="8">
        <f>LN(Sheet1!AA57/Sheet1!AA56)</f>
        <v>4.4715994945870148E-2</v>
      </c>
      <c r="AB72" s="8">
        <f>LN(Sheet1!AB57/Sheet1!AB56)</f>
        <v>3.6479055191565704E-2</v>
      </c>
      <c r="AC72" s="8">
        <f>LN(Sheet1!AC57/Sheet1!AC56)</f>
        <v>-3.8492260420827269E-2</v>
      </c>
      <c r="AD72" s="8">
        <f>LN(Sheet1!AD57/Sheet1!AD56)</f>
        <v>6.1517594183709383E-2</v>
      </c>
      <c r="AE72" s="8">
        <f>LN(Sheet1!AE57/Sheet1!AE56)</f>
        <v>-1.5888836001874247E-2</v>
      </c>
      <c r="AF72" s="8">
        <f>LN(Sheet1!AF57/Sheet1!AF56)</f>
        <v>4.1293164798127918E-2</v>
      </c>
      <c r="AG72" s="8">
        <f>LN(Sheet1!AG57/Sheet1!AG56)</f>
        <v>-6.3584029249452887E-3</v>
      </c>
    </row>
    <row r="73" spans="1:33" x14ac:dyDescent="0.25">
      <c r="A73" s="7">
        <v>37288</v>
      </c>
      <c r="B73" s="8">
        <f>LN(Sheet1!B58/Sheet1!B57)</f>
        <v>-2.0984886675167722E-2</v>
      </c>
      <c r="C73" s="8">
        <f>LN(Sheet1!C58/Sheet1!C57)</f>
        <v>1.8589249135558528E-2</v>
      </c>
      <c r="D73" s="8">
        <f>LN(Sheet1!D58/Sheet1!D57)</f>
        <v>5.1356027676991226E-2</v>
      </c>
      <c r="E73" s="8">
        <f>LN(Sheet1!E58/Sheet1!E57)</f>
        <v>-1.9514921163982745E-3</v>
      </c>
      <c r="F73" s="8">
        <f>LN(Sheet1!F58/Sheet1!F57)</f>
        <v>1.6628251437578474E-2</v>
      </c>
      <c r="G73" s="8">
        <f>LN(Sheet1!G58/Sheet1!G57)</f>
        <v>0.11971897169012348</v>
      </c>
      <c r="H73" s="8">
        <f>LN(Sheet1!H58/Sheet1!H57)</f>
        <v>-4.6545645160107278E-2</v>
      </c>
      <c r="I73" s="8">
        <f>LN(Sheet1!I58/Sheet1!I57)</f>
        <v>9.8939947854903648E-2</v>
      </c>
      <c r="J73" s="8">
        <f>LN(Sheet1!J58/Sheet1!J57)</f>
        <v>6.6621378960859137E-2</v>
      </c>
      <c r="K73" s="8">
        <f>LN(Sheet1!K58/Sheet1!K57)</f>
        <v>8.7884685010949565E-2</v>
      </c>
      <c r="L73" s="8">
        <f>LN(Sheet1!L58/Sheet1!L57)</f>
        <v>4.033544025049958E-2</v>
      </c>
      <c r="M73" s="8">
        <f>LN(Sheet1!M58/Sheet1!M57)</f>
        <v>4.571518661760577E-2</v>
      </c>
      <c r="N73" s="8">
        <f>LN(Sheet1!N58/Sheet1!N57)</f>
        <v>-1.9146905115475794E-3</v>
      </c>
      <c r="O73" s="8">
        <f>LN(Sheet1!O58/Sheet1!O57)</f>
        <v>0.13162731520917298</v>
      </c>
      <c r="P73" s="8">
        <f>LN(Sheet1!P58/Sheet1!P57)</f>
        <v>-9.4187215059701068E-2</v>
      </c>
      <c r="Q73" s="8">
        <f>LN(Sheet1!Q58/Sheet1!Q57)</f>
        <v>-9.3602654081482481E-2</v>
      </c>
      <c r="R73" s="8">
        <f>LN(Sheet1!R58/Sheet1!R57)</f>
        <v>-0.20420373300385194</v>
      </c>
      <c r="S73" s="8">
        <f>LN(Sheet1!S58/Sheet1!S57)</f>
        <v>6.0397126763471032E-2</v>
      </c>
      <c r="T73" s="8">
        <f>LN(Sheet1!T58/Sheet1!T57)</f>
        <v>-0.15197282052724537</v>
      </c>
      <c r="U73" s="8">
        <f>LN(Sheet1!U58/Sheet1!U57)</f>
        <v>7.9962908766739033E-2</v>
      </c>
      <c r="V73" s="8">
        <f>LN(Sheet1!V58/Sheet1!V57)</f>
        <v>-4.0754765369670092E-2</v>
      </c>
      <c r="W73" s="8">
        <f>LN(Sheet1!W58/Sheet1!W57)</f>
        <v>6.6065441283564133E-2</v>
      </c>
      <c r="X73" s="8">
        <f>LN(Sheet1!X58/Sheet1!X57)</f>
        <v>4.940537997161535E-2</v>
      </c>
      <c r="Y73" s="8">
        <f>LN(Sheet1!Y58/Sheet1!Y57)</f>
        <v>3.5729546613680961E-2</v>
      </c>
      <c r="Z73" s="8">
        <f>LN(Sheet1!Z58/Sheet1!Z57)</f>
        <v>-8.830949490121158E-2</v>
      </c>
      <c r="AA73" s="8">
        <f>LN(Sheet1!AA58/Sheet1!AA57)</f>
        <v>-1.3935565541804215E-2</v>
      </c>
      <c r="AB73" s="8">
        <f>LN(Sheet1!AB58/Sheet1!AB57)</f>
        <v>3.730474158043727E-2</v>
      </c>
      <c r="AC73" s="8">
        <f>LN(Sheet1!AC58/Sheet1!AC57)</f>
        <v>1.0274062976185284E-2</v>
      </c>
      <c r="AD73" s="8">
        <f>LN(Sheet1!AD58/Sheet1!AD57)</f>
        <v>6.3029925829822267E-2</v>
      </c>
      <c r="AE73" s="8">
        <f>LN(Sheet1!AE58/Sheet1!AE57)</f>
        <v>9.5079016033260324E-3</v>
      </c>
      <c r="AF73" s="8">
        <f>LN(Sheet1!AF58/Sheet1!AF57)</f>
        <v>3.3353795254561065E-2</v>
      </c>
      <c r="AG73" s="8">
        <f>LN(Sheet1!AG58/Sheet1!AG57)</f>
        <v>6.1834811418441021E-2</v>
      </c>
    </row>
    <row r="74" spans="1:33" x14ac:dyDescent="0.25">
      <c r="A74" s="7">
        <v>37316</v>
      </c>
      <c r="B74" s="8">
        <f>LN(Sheet1!B59/Sheet1!B58)</f>
        <v>3.6080076252758407E-2</v>
      </c>
      <c r="C74" s="8">
        <f>LN(Sheet1!C59/Sheet1!C58)</f>
        <v>2.9042410124748501E-2</v>
      </c>
      <c r="D74" s="8">
        <f>LN(Sheet1!D59/Sheet1!D58)</f>
        <v>4.4596476469638989E-3</v>
      </c>
      <c r="E74" s="8">
        <f>LN(Sheet1!E59/Sheet1!E58)</f>
        <v>-2.5006600766063224E-2</v>
      </c>
      <c r="F74" s="8">
        <f>LN(Sheet1!F59/Sheet1!F58)</f>
        <v>0.11690314118694395</v>
      </c>
      <c r="G74" s="8">
        <f>LN(Sheet1!G59/Sheet1!G58)</f>
        <v>4.8552097271509775E-2</v>
      </c>
      <c r="H74" s="8">
        <f>LN(Sheet1!H59/Sheet1!H58)</f>
        <v>9.0248308955333853E-2</v>
      </c>
      <c r="I74" s="8">
        <f>LN(Sheet1!I59/Sheet1!I58)</f>
        <v>2.3867481406643486E-2</v>
      </c>
      <c r="J74" s="8">
        <f>LN(Sheet1!J59/Sheet1!J58)</f>
        <v>6.5756433193266042E-3</v>
      </c>
      <c r="K74" s="8">
        <f>LN(Sheet1!K59/Sheet1!K58)</f>
        <v>3.6513048325038438E-3</v>
      </c>
      <c r="L74" s="8">
        <f>LN(Sheet1!L59/Sheet1!L58)</f>
        <v>-2.9172533636336612E-2</v>
      </c>
      <c r="M74" s="8">
        <f>LN(Sheet1!M59/Sheet1!M58)</f>
        <v>0.13174840307675698</v>
      </c>
      <c r="N74" s="8">
        <f>LN(Sheet1!N59/Sheet1!N58)</f>
        <v>-2.6979083176188016E-2</v>
      </c>
      <c r="O74" s="8">
        <f>LN(Sheet1!O59/Sheet1!O58)</f>
        <v>3.8467276314303627E-3</v>
      </c>
      <c r="P74" s="8">
        <f>LN(Sheet1!P59/Sheet1!P58)</f>
        <v>-0.11056278768289642</v>
      </c>
      <c r="Q74" s="8">
        <f>LN(Sheet1!Q59/Sheet1!Q58)</f>
        <v>5.8218322596484504E-2</v>
      </c>
      <c r="R74" s="8">
        <f>LN(Sheet1!R59/Sheet1!R58)</f>
        <v>6.2868607028384829E-2</v>
      </c>
      <c r="S74" s="8">
        <f>LN(Sheet1!S59/Sheet1!S58)</f>
        <v>6.449301591583928E-2</v>
      </c>
      <c r="T74" s="8">
        <f>LN(Sheet1!T59/Sheet1!T58)</f>
        <v>0.19812939803347857</v>
      </c>
      <c r="U74" s="8">
        <f>LN(Sheet1!U59/Sheet1!U58)</f>
        <v>0.10209927829420903</v>
      </c>
      <c r="V74" s="8">
        <f>LN(Sheet1!V59/Sheet1!V58)</f>
        <v>6.1513993879603671E-2</v>
      </c>
      <c r="W74" s="8">
        <f>LN(Sheet1!W59/Sheet1!W58)</f>
        <v>-2.5089892176372135E-2</v>
      </c>
      <c r="X74" s="8">
        <f>LN(Sheet1!X59/Sheet1!X58)</f>
        <v>1.1239787749507782E-2</v>
      </c>
      <c r="Y74" s="8">
        <f>LN(Sheet1!Y59/Sheet1!Y58)</f>
        <v>-5.7529375004569172E-2</v>
      </c>
      <c r="Z74" s="8">
        <f>LN(Sheet1!Z59/Sheet1!Z58)</f>
        <v>3.3408491159172833E-2</v>
      </c>
      <c r="AA74" s="8">
        <f>LN(Sheet1!AA59/Sheet1!AA58)</f>
        <v>-3.0201725684211533E-2</v>
      </c>
      <c r="AB74" s="8">
        <f>LN(Sheet1!AB59/Sheet1!AB58)</f>
        <v>6.0562635143549516E-2</v>
      </c>
      <c r="AC74" s="8">
        <f>LN(Sheet1!AC59/Sheet1!AC58)</f>
        <v>-1.0618356317510191E-2</v>
      </c>
      <c r="AD74" s="8">
        <f>LN(Sheet1!AD59/Sheet1!AD58)</f>
        <v>1.7134835767289167E-2</v>
      </c>
      <c r="AE74" s="8">
        <f>LN(Sheet1!AE59/Sheet1!AE58)</f>
        <v>-1.486078098569865E-2</v>
      </c>
      <c r="AF74" s="8">
        <f>LN(Sheet1!AF59/Sheet1!AF58)</f>
        <v>-1.0476695225668653E-2</v>
      </c>
      <c r="AG74" s="8">
        <f>LN(Sheet1!AG59/Sheet1!AG58)</f>
        <v>5.9517761576862879E-2</v>
      </c>
    </row>
    <row r="75" spans="1:33" x14ac:dyDescent="0.25">
      <c r="A75" s="7">
        <v>37347</v>
      </c>
      <c r="B75" s="8">
        <f>LN(Sheet1!B60/Sheet1!B59)</f>
        <v>-6.3384682784413518E-2</v>
      </c>
      <c r="C75" s="8">
        <f>LN(Sheet1!C60/Sheet1!C59)</f>
        <v>-4.4992001064169999E-2</v>
      </c>
      <c r="D75" s="8">
        <f>LN(Sheet1!D60/Sheet1!D59)</f>
        <v>-0.10335192083379345</v>
      </c>
      <c r="E75" s="8">
        <f>LN(Sheet1!E60/Sheet1!E59)</f>
        <v>-4.2820891317805809E-2</v>
      </c>
      <c r="F75" s="8">
        <f>LN(Sheet1!F60/Sheet1!F59)</f>
        <v>3.2225016900949972E-3</v>
      </c>
      <c r="G75" s="8">
        <f>LN(Sheet1!G60/Sheet1!G59)</f>
        <v>-7.8758574098276274E-2</v>
      </c>
      <c r="H75" s="8">
        <f>LN(Sheet1!H60/Sheet1!H59)</f>
        <v>-0.13434131793478407</v>
      </c>
      <c r="I75" s="8">
        <f>LN(Sheet1!I60/Sheet1!I59)</f>
        <v>-3.3982882243820234E-2</v>
      </c>
      <c r="J75" s="8">
        <f>LN(Sheet1!J60/Sheet1!J59)</f>
        <v>-5.7855582916847552E-2</v>
      </c>
      <c r="K75" s="8">
        <f>LN(Sheet1!K60/Sheet1!K59)</f>
        <v>4.0918447635333111E-3</v>
      </c>
      <c r="L75" s="8">
        <f>LN(Sheet1!L60/Sheet1!L59)</f>
        <v>-0.17000182756487695</v>
      </c>
      <c r="M75" s="8">
        <f>LN(Sheet1!M60/Sheet1!M59)</f>
        <v>5.9390846119841766E-2</v>
      </c>
      <c r="N75" s="8">
        <f>LN(Sheet1!N60/Sheet1!N59)</f>
        <v>-4.7259941988664372E-2</v>
      </c>
      <c r="O75" s="8">
        <f>LN(Sheet1!O60/Sheet1!O59)</f>
        <v>-4.2533933554890137E-2</v>
      </c>
      <c r="P75" s="8">
        <f>LN(Sheet1!P60/Sheet1!P59)</f>
        <v>-4.7891287704414788E-2</v>
      </c>
      <c r="Q75" s="8">
        <f>LN(Sheet1!Q60/Sheet1!Q59)</f>
        <v>-0.2164882882700721</v>
      </c>
      <c r="R75" s="8">
        <f>LN(Sheet1!R60/Sheet1!R59)</f>
        <v>-6.1016411647970628E-2</v>
      </c>
      <c r="S75" s="8">
        <f>LN(Sheet1!S60/Sheet1!S59)</f>
        <v>-1.7038532838675225E-2</v>
      </c>
      <c r="T75" s="8">
        <f>LN(Sheet1!T60/Sheet1!T59)</f>
        <v>-5.9161474106275546E-3</v>
      </c>
      <c r="U75" s="8">
        <f>LN(Sheet1!U60/Sheet1!U59)</f>
        <v>6.0192189377263755E-2</v>
      </c>
      <c r="V75" s="8">
        <f>LN(Sheet1!V60/Sheet1!V59)</f>
        <v>2.3043394148459396E-2</v>
      </c>
      <c r="W75" s="8">
        <f>LN(Sheet1!W60/Sheet1!W59)</f>
        <v>8.9722980433026608E-2</v>
      </c>
      <c r="X75" s="8">
        <f>LN(Sheet1!X60/Sheet1!X59)</f>
        <v>3.2980680729858949E-2</v>
      </c>
      <c r="Y75" s="8">
        <f>LN(Sheet1!Y60/Sheet1!Y59)</f>
        <v>-5.7734767632330472E-2</v>
      </c>
      <c r="Z75" s="8">
        <f>LN(Sheet1!Z60/Sheet1!Z59)</f>
        <v>-0.14357670838510217</v>
      </c>
      <c r="AA75" s="8">
        <f>LN(Sheet1!AA60/Sheet1!AA59)</f>
        <v>-8.9196422152207189E-2</v>
      </c>
      <c r="AB75" s="8">
        <f>LN(Sheet1!AB60/Sheet1!AB59)</f>
        <v>6.1797255123918525E-3</v>
      </c>
      <c r="AC75" s="8">
        <f>LN(Sheet1!AC60/Sheet1!AC59)</f>
        <v>-0.17943317021808536</v>
      </c>
      <c r="AD75" s="8">
        <f>LN(Sheet1!AD60/Sheet1!AD59)</f>
        <v>-5.5712132596110707E-2</v>
      </c>
      <c r="AE75" s="8">
        <f>LN(Sheet1!AE60/Sheet1!AE59)</f>
        <v>-0.13079100241918776</v>
      </c>
      <c r="AF75" s="8">
        <f>LN(Sheet1!AF60/Sheet1!AF59)</f>
        <v>-9.293041700228287E-2</v>
      </c>
      <c r="AG75" s="8">
        <f>LN(Sheet1!AG60/Sheet1!AG59)</f>
        <v>-8.7151462441984656E-2</v>
      </c>
    </row>
    <row r="76" spans="1:33" x14ac:dyDescent="0.25">
      <c r="A76" s="7">
        <v>37377</v>
      </c>
      <c r="B76" s="8">
        <f>LN(Sheet1!B61/Sheet1!B60)</f>
        <v>-9.122942297125956E-3</v>
      </c>
      <c r="C76" s="8">
        <f>LN(Sheet1!C61/Sheet1!C60)</f>
        <v>-2.110564320023153E-3</v>
      </c>
      <c r="D76" s="8">
        <f>LN(Sheet1!D61/Sheet1!D60)</f>
        <v>3.1728138892710589E-2</v>
      </c>
      <c r="E76" s="8">
        <f>LN(Sheet1!E61/Sheet1!E60)</f>
        <v>-3.1551229288881759E-2</v>
      </c>
      <c r="F76" s="8">
        <f>LN(Sheet1!F61/Sheet1!F60)</f>
        <v>3.5907922085670292E-2</v>
      </c>
      <c r="G76" s="8">
        <f>LN(Sheet1!G61/Sheet1!G60)</f>
        <v>-4.0811772132202884E-2</v>
      </c>
      <c r="H76" s="8">
        <f>LN(Sheet1!H61/Sheet1!H60)</f>
        <v>1.4721039019444384E-3</v>
      </c>
      <c r="I76" s="8">
        <f>LN(Sheet1!I61/Sheet1!I60)</f>
        <v>-4.3638754395970543E-2</v>
      </c>
      <c r="J76" s="8">
        <f>LN(Sheet1!J61/Sheet1!J60)</f>
        <v>4.08219945202552E-2</v>
      </c>
      <c r="K76" s="8">
        <f>LN(Sheet1!K61/Sheet1!K60)</f>
        <v>-1.1407835328185262E-2</v>
      </c>
      <c r="L76" s="8">
        <f>LN(Sheet1!L61/Sheet1!L60)</f>
        <v>-1.2874924949825426E-2</v>
      </c>
      <c r="M76" s="8">
        <f>LN(Sheet1!M61/Sheet1!M60)</f>
        <v>-2.4233819208895821E-2</v>
      </c>
      <c r="N76" s="8">
        <f>LN(Sheet1!N61/Sheet1!N60)</f>
        <v>-0.10638040355857173</v>
      </c>
      <c r="O76" s="8">
        <f>LN(Sheet1!O61/Sheet1!O60)</f>
        <v>7.1352694056433852E-2</v>
      </c>
      <c r="P76" s="8">
        <f>LN(Sheet1!P61/Sheet1!P60)</f>
        <v>0.11006640669523904</v>
      </c>
      <c r="Q76" s="8">
        <f>LN(Sheet1!Q61/Sheet1!Q60)</f>
        <v>-3.8286476321607685E-2</v>
      </c>
      <c r="R76" s="8">
        <f>LN(Sheet1!R61/Sheet1!R60)</f>
        <v>-3.4258949821015329E-2</v>
      </c>
      <c r="S76" s="8">
        <f>LN(Sheet1!S61/Sheet1!S60)</f>
        <v>-3.6592681865638313E-2</v>
      </c>
      <c r="T76" s="8">
        <f>LN(Sheet1!T61/Sheet1!T60)</f>
        <v>2.3798329554087123E-2</v>
      </c>
      <c r="U76" s="8">
        <f>LN(Sheet1!U61/Sheet1!U60)</f>
        <v>1.0171906074895715E-3</v>
      </c>
      <c r="V76" s="8">
        <f>LN(Sheet1!V61/Sheet1!V60)</f>
        <v>5.3009966780121619E-2</v>
      </c>
      <c r="W76" s="8">
        <f>LN(Sheet1!W61/Sheet1!W60)</f>
        <v>1.9484551377387616E-3</v>
      </c>
      <c r="X76" s="8">
        <f>LN(Sheet1!X61/Sheet1!X60)</f>
        <v>5.0545559432695564E-2</v>
      </c>
      <c r="Y76" s="8">
        <f>LN(Sheet1!Y61/Sheet1!Y60)</f>
        <v>4.9463791678906216E-2</v>
      </c>
      <c r="Z76" s="8">
        <f>LN(Sheet1!Z61/Sheet1!Z60)</f>
        <v>-2.5764136936131318E-2</v>
      </c>
      <c r="AA76" s="8">
        <f>LN(Sheet1!AA61/Sheet1!AA60)</f>
        <v>-4.5947907400502017E-2</v>
      </c>
      <c r="AB76" s="8">
        <f>LN(Sheet1!AB61/Sheet1!AB60)</f>
        <v>-7.9169141860232113E-3</v>
      </c>
      <c r="AC76" s="8">
        <f>LN(Sheet1!AC61/Sheet1!AC60)</f>
        <v>9.8787663818007396E-2</v>
      </c>
      <c r="AD76" s="8">
        <f>LN(Sheet1!AD61/Sheet1!AD60)</f>
        <v>-1.5291294984052692E-2</v>
      </c>
      <c r="AE76" s="8">
        <f>LN(Sheet1!AE61/Sheet1!AE60)</f>
        <v>6.9636579265857049E-2</v>
      </c>
      <c r="AF76" s="8">
        <f>LN(Sheet1!AF61/Sheet1!AF60)</f>
        <v>-3.1956521005898679E-2</v>
      </c>
      <c r="AG76" s="8">
        <f>LN(Sheet1!AG61/Sheet1!AG60)</f>
        <v>-2.8022979026032571E-4</v>
      </c>
    </row>
    <row r="77" spans="1:33" x14ac:dyDescent="0.25">
      <c r="A77" s="7">
        <v>37410</v>
      </c>
      <c r="B77" s="8">
        <f>LN(Sheet1!B62/Sheet1!B61)</f>
        <v>-7.5214343275906148E-2</v>
      </c>
      <c r="C77" s="8">
        <f>LN(Sheet1!C62/Sheet1!C61)</f>
        <v>-7.1187377890660625E-2</v>
      </c>
      <c r="D77" s="8">
        <f>LN(Sheet1!D62/Sheet1!D61)</f>
        <v>-5.36778062728775E-2</v>
      </c>
      <c r="E77" s="8">
        <f>LN(Sheet1!E62/Sheet1!E61)</f>
        <v>1.9382522082358654E-2</v>
      </c>
      <c r="F77" s="8">
        <f>LN(Sheet1!F62/Sheet1!F61)</f>
        <v>-0.15735369716763212</v>
      </c>
      <c r="G77" s="8">
        <f>LN(Sheet1!G62/Sheet1!G61)</f>
        <v>5.3488684950986222E-2</v>
      </c>
      <c r="H77" s="8">
        <f>LN(Sheet1!H62/Sheet1!H61)</f>
        <v>-0.10833968009465871</v>
      </c>
      <c r="I77" s="8">
        <f>LN(Sheet1!I62/Sheet1!I61)</f>
        <v>-6.5842117547416978E-2</v>
      </c>
      <c r="J77" s="8">
        <f>LN(Sheet1!J62/Sheet1!J61)</f>
        <v>-3.5228691883743828E-2</v>
      </c>
      <c r="K77" s="8">
        <f>LN(Sheet1!K62/Sheet1!K61)</f>
        <v>-0.19274744816106087</v>
      </c>
      <c r="L77" s="8">
        <f>LN(Sheet1!L62/Sheet1!L61)</f>
        <v>-6.3428437767332091E-2</v>
      </c>
      <c r="M77" s="8">
        <f>LN(Sheet1!M62/Sheet1!M61)</f>
        <v>-0.15085141321654208</v>
      </c>
      <c r="N77" s="8">
        <f>LN(Sheet1!N62/Sheet1!N61)</f>
        <v>-0.12540126654127257</v>
      </c>
      <c r="O77" s="8">
        <f>LN(Sheet1!O62/Sheet1!O61)</f>
        <v>-0.10679626608393057</v>
      </c>
      <c r="P77" s="8">
        <f>LN(Sheet1!P62/Sheet1!P61)</f>
        <v>-0.21822608443267977</v>
      </c>
      <c r="Q77" s="8">
        <f>LN(Sheet1!Q62/Sheet1!Q61)</f>
        <v>-0.1110183422392052</v>
      </c>
      <c r="R77" s="8">
        <f>LN(Sheet1!R62/Sheet1!R61)</f>
        <v>-0.41334749055245018</v>
      </c>
      <c r="S77" s="8">
        <f>LN(Sheet1!S62/Sheet1!S61)</f>
        <v>-0.1603817922355967</v>
      </c>
      <c r="T77" s="8">
        <f>LN(Sheet1!T62/Sheet1!T61)</f>
        <v>-5.8241641965366901E-2</v>
      </c>
      <c r="U77" s="8">
        <f>LN(Sheet1!U62/Sheet1!U61)</f>
        <v>1.1523426816555242E-2</v>
      </c>
      <c r="V77" s="8">
        <f>LN(Sheet1!V62/Sheet1!V61)</f>
        <v>-5.1081325873715985E-2</v>
      </c>
      <c r="W77" s="8">
        <f>LN(Sheet1!W62/Sheet1!W61)</f>
        <v>-1.9657530762493727E-2</v>
      </c>
      <c r="X77" s="8">
        <f>LN(Sheet1!X62/Sheet1!X61)</f>
        <v>-0.25798921034398792</v>
      </c>
      <c r="Y77" s="8">
        <f>LN(Sheet1!Y62/Sheet1!Y61)</f>
        <v>-0.113750772128445</v>
      </c>
      <c r="Z77" s="8">
        <f>LN(Sheet1!Z62/Sheet1!Z61)</f>
        <v>7.1553692348625075E-2</v>
      </c>
      <c r="AA77" s="8">
        <f>LN(Sheet1!AA62/Sheet1!AA61)</f>
        <v>1.1522761236780489E-2</v>
      </c>
      <c r="AB77" s="8">
        <f>LN(Sheet1!AB62/Sheet1!AB61)</f>
        <v>4.9554115279541074E-3</v>
      </c>
      <c r="AC77" s="8">
        <f>LN(Sheet1!AC62/Sheet1!AC61)</f>
        <v>-0.1170833924458667</v>
      </c>
      <c r="AD77" s="8">
        <f>LN(Sheet1!AD62/Sheet1!AD61)</f>
        <v>-1.4252022707201389E-2</v>
      </c>
      <c r="AE77" s="8">
        <f>LN(Sheet1!AE62/Sheet1!AE61)</f>
        <v>-6.8671172915735601E-2</v>
      </c>
      <c r="AF77" s="8">
        <f>LN(Sheet1!AF62/Sheet1!AF61)</f>
        <v>1.8028984991698485E-2</v>
      </c>
      <c r="AG77" s="8">
        <f>LN(Sheet1!AG62/Sheet1!AG61)</f>
        <v>2.4637924449481142E-2</v>
      </c>
    </row>
    <row r="78" spans="1:33" x14ac:dyDescent="0.25">
      <c r="A78" s="7">
        <v>37438</v>
      </c>
      <c r="B78" s="8">
        <f>LN(Sheet1!B63/Sheet1!B62)</f>
        <v>-8.2299871837899052E-2</v>
      </c>
      <c r="C78" s="8">
        <f>LN(Sheet1!C63/Sheet1!C62)</f>
        <v>-5.6374683930144207E-2</v>
      </c>
      <c r="D78" s="8">
        <f>LN(Sheet1!D63/Sheet1!D62)</f>
        <v>-0.19750005662714018</v>
      </c>
      <c r="E78" s="8">
        <f>LN(Sheet1!E63/Sheet1!E62)</f>
        <v>-6.5264298355833694E-2</v>
      </c>
      <c r="F78" s="8">
        <f>LN(Sheet1!F63/Sheet1!F62)</f>
        <v>-2.7454017534763821E-2</v>
      </c>
      <c r="G78" s="8">
        <f>LN(Sheet1!G63/Sheet1!G62)</f>
        <v>-8.0426340682794584E-2</v>
      </c>
      <c r="H78" s="8">
        <f>LN(Sheet1!H63/Sheet1!H62)</f>
        <v>-0.14436267346109546</v>
      </c>
      <c r="I78" s="8">
        <f>LN(Sheet1!I63/Sheet1!I62)</f>
        <v>-8.2730830446990367E-2</v>
      </c>
      <c r="J78" s="8">
        <f>LN(Sheet1!J63/Sheet1!J62)</f>
        <v>-5.7674131519397306E-2</v>
      </c>
      <c r="K78" s="8">
        <f>LN(Sheet1!K63/Sheet1!K62)</f>
        <v>-6.3759748221758242E-2</v>
      </c>
      <c r="L78" s="8">
        <f>LN(Sheet1!L63/Sheet1!L62)</f>
        <v>0.10299084630250781</v>
      </c>
      <c r="M78" s="8">
        <f>LN(Sheet1!M63/Sheet1!M62)</f>
        <v>-0.13819435779649997</v>
      </c>
      <c r="N78" s="8">
        <f>LN(Sheet1!N63/Sheet1!N62)</f>
        <v>-0.17356876568435989</v>
      </c>
      <c r="O78" s="8">
        <f>LN(Sheet1!O63/Sheet1!O62)</f>
        <v>-8.4923693559145835E-2</v>
      </c>
      <c r="P78" s="8">
        <f>LN(Sheet1!P63/Sheet1!P62)</f>
        <v>-7.6428597065204759E-2</v>
      </c>
      <c r="Q78" s="8">
        <f>LN(Sheet1!Q63/Sheet1!Q62)</f>
        <v>-2.2419818115696669E-2</v>
      </c>
      <c r="R78" s="8">
        <f>LN(Sheet1!R63/Sheet1!R62)</f>
        <v>2.7977845405436883E-2</v>
      </c>
      <c r="S78" s="8">
        <f>LN(Sheet1!S63/Sheet1!S62)</f>
        <v>6.531151415659818E-3</v>
      </c>
      <c r="T78" s="8">
        <f>LN(Sheet1!T63/Sheet1!T62)</f>
        <v>-0.29590460970977073</v>
      </c>
      <c r="U78" s="8">
        <f>LN(Sheet1!U63/Sheet1!U62)</f>
        <v>-0.11444689821378369</v>
      </c>
      <c r="V78" s="8">
        <f>LN(Sheet1!V63/Sheet1!V62)</f>
        <v>-0.13955001878245332</v>
      </c>
      <c r="W78" s="8">
        <f>LN(Sheet1!W63/Sheet1!W62)</f>
        <v>2.283774545695411E-2</v>
      </c>
      <c r="X78" s="8">
        <f>LN(Sheet1!X63/Sheet1!X62)</f>
        <v>5.2603590173794158E-2</v>
      </c>
      <c r="Y78" s="8">
        <f>LN(Sheet1!Y63/Sheet1!Y62)</f>
        <v>-2.0582609471615883E-2</v>
      </c>
      <c r="Z78" s="8">
        <f>LN(Sheet1!Z63/Sheet1!Z62)</f>
        <v>-0.13097711281942598</v>
      </c>
      <c r="AA78" s="8">
        <f>LN(Sheet1!AA63/Sheet1!AA62)</f>
        <v>-7.8625272992563042E-2</v>
      </c>
      <c r="AB78" s="8">
        <f>LN(Sheet1!AB63/Sheet1!AB62)</f>
        <v>1.4818476408833103E-3</v>
      </c>
      <c r="AC78" s="8">
        <f>LN(Sheet1!AC63/Sheet1!AC62)</f>
        <v>-8.9035321315607319E-2</v>
      </c>
      <c r="AD78" s="8">
        <f>LN(Sheet1!AD63/Sheet1!AD62)</f>
        <v>2.3330188042835893E-2</v>
      </c>
      <c r="AE78" s="8">
        <f>LN(Sheet1!AE63/Sheet1!AE62)</f>
        <v>-0.18612421034014001</v>
      </c>
      <c r="AF78" s="8">
        <f>LN(Sheet1!AF63/Sheet1!AF62)</f>
        <v>-0.11210752920442071</v>
      </c>
      <c r="AG78" s="8">
        <f>LN(Sheet1!AG63/Sheet1!AG62)</f>
        <v>-0.10727648723067035</v>
      </c>
    </row>
    <row r="79" spans="1:33" x14ac:dyDescent="0.25">
      <c r="A79" s="7">
        <v>37469</v>
      </c>
      <c r="B79" s="8">
        <f>LN(Sheet1!B64/Sheet1!B63)</f>
        <v>4.8695443903156652E-3</v>
      </c>
      <c r="C79" s="8">
        <f>LN(Sheet1!C64/Sheet1!C63)</f>
        <v>-8.4011553833259686E-3</v>
      </c>
      <c r="D79" s="8">
        <f>LN(Sheet1!D64/Sheet1!D63)</f>
        <v>-7.5274631069886494E-2</v>
      </c>
      <c r="E79" s="8">
        <f>LN(Sheet1!E64/Sheet1!E63)</f>
        <v>-1.774279473911939E-2</v>
      </c>
      <c r="F79" s="8">
        <f>LN(Sheet1!F64/Sheet1!F63)</f>
        <v>2.2155991897208641E-2</v>
      </c>
      <c r="G79" s="8">
        <f>LN(Sheet1!G64/Sheet1!G63)</f>
        <v>-0.10889641157014371</v>
      </c>
      <c r="H79" s="8">
        <f>LN(Sheet1!H64/Sheet1!H63)</f>
        <v>5.1312233602141939E-2</v>
      </c>
      <c r="I79" s="8">
        <f>LN(Sheet1!I64/Sheet1!I63)</f>
        <v>-2.3941293127263785E-2</v>
      </c>
      <c r="J79" s="8">
        <f>LN(Sheet1!J64/Sheet1!J63)</f>
        <v>-3.0859591626721656E-2</v>
      </c>
      <c r="K79" s="8">
        <f>LN(Sheet1!K64/Sheet1!K63)</f>
        <v>-0.12291182379706236</v>
      </c>
      <c r="L79" s="8">
        <f>LN(Sheet1!L64/Sheet1!L63)</f>
        <v>-6.5820481287498775E-2</v>
      </c>
      <c r="M79" s="8">
        <f>LN(Sheet1!M64/Sheet1!M63)</f>
        <v>3.93361750798394E-2</v>
      </c>
      <c r="N79" s="8">
        <f>LN(Sheet1!N64/Sheet1!N63)</f>
        <v>6.4280489914361624E-2</v>
      </c>
      <c r="O79" s="8">
        <f>LN(Sheet1!O64/Sheet1!O63)</f>
        <v>-7.1677837300430008E-2</v>
      </c>
      <c r="P79" s="8">
        <f>LN(Sheet1!P64/Sheet1!P63)</f>
        <v>-5.2807299218765653E-2</v>
      </c>
      <c r="Q79" s="8">
        <f>LN(Sheet1!Q64/Sheet1!Q63)</f>
        <v>7.0542982093650078E-2</v>
      </c>
      <c r="R79" s="8">
        <f>LN(Sheet1!R64/Sheet1!R63)</f>
        <v>-0.11820542214629598</v>
      </c>
      <c r="S79" s="8">
        <f>LN(Sheet1!S64/Sheet1!S63)</f>
        <v>3.5482270042494088E-2</v>
      </c>
      <c r="T79" s="8">
        <f>LN(Sheet1!T64/Sheet1!T63)</f>
        <v>5.6186596465116465E-2</v>
      </c>
      <c r="U79" s="8">
        <f>LN(Sheet1!U64/Sheet1!U63)</f>
        <v>2.0964193288228718E-2</v>
      </c>
      <c r="V79" s="8">
        <f>LN(Sheet1!V64/Sheet1!V63)</f>
        <v>-4.0692775281176589E-2</v>
      </c>
      <c r="W79" s="8">
        <f>LN(Sheet1!W64/Sheet1!W63)</f>
        <v>-2.2958067478948845E-3</v>
      </c>
      <c r="X79" s="8">
        <f>LN(Sheet1!X64/Sheet1!X63)</f>
        <v>8.2296728058070173E-2</v>
      </c>
      <c r="Y79" s="8">
        <f>LN(Sheet1!Y64/Sheet1!Y63)</f>
        <v>1.8316462209481413E-2</v>
      </c>
      <c r="Z79" s="8">
        <f>LN(Sheet1!Z64/Sheet1!Z63)</f>
        <v>2.2580829722486977E-2</v>
      </c>
      <c r="AA79" s="8">
        <f>LN(Sheet1!AA64/Sheet1!AA63)</f>
        <v>2.6211530308522756E-2</v>
      </c>
      <c r="AB79" s="8">
        <f>LN(Sheet1!AB64/Sheet1!AB63)</f>
        <v>-3.708744515633348E-3</v>
      </c>
      <c r="AC79" s="8">
        <f>LN(Sheet1!AC64/Sheet1!AC63)</f>
        <v>-0.11200845627557403</v>
      </c>
      <c r="AD79" s="8">
        <f>LN(Sheet1!AD64/Sheet1!AD63)</f>
        <v>-0.15326813596724961</v>
      </c>
      <c r="AE79" s="8">
        <f>LN(Sheet1!AE64/Sheet1!AE63)</f>
        <v>-6.2345396347030242E-2</v>
      </c>
      <c r="AF79" s="8">
        <f>LN(Sheet1!AF64/Sheet1!AF63)</f>
        <v>8.3854310436862728E-2</v>
      </c>
      <c r="AG79" s="8">
        <f>LN(Sheet1!AG64/Sheet1!AG63)</f>
        <v>-2.9972891008605305E-2</v>
      </c>
    </row>
    <row r="80" spans="1:33" x14ac:dyDescent="0.25">
      <c r="A80" s="7">
        <v>37502</v>
      </c>
      <c r="B80" s="8">
        <f>LN(Sheet1!B65/Sheet1!B64)</f>
        <v>-0.11656116844786664</v>
      </c>
      <c r="C80" s="8">
        <f>LN(Sheet1!C65/Sheet1!C64)</f>
        <v>-0.13203295693546718</v>
      </c>
      <c r="D80" s="8">
        <f>LN(Sheet1!D65/Sheet1!D64)</f>
        <v>-0.2626734995548845</v>
      </c>
      <c r="E80" s="8">
        <f>LN(Sheet1!E65/Sheet1!E64)</f>
        <v>-0.13726874815647602</v>
      </c>
      <c r="F80" s="8">
        <f>LN(Sheet1!F65/Sheet1!F64)</f>
        <v>-0.1451716347323169</v>
      </c>
      <c r="G80" s="8">
        <f>LN(Sheet1!G65/Sheet1!G64)</f>
        <v>-8.2656385773919525E-2</v>
      </c>
      <c r="H80" s="8">
        <f>LN(Sheet1!H65/Sheet1!H64)</f>
        <v>-9.9420811922172503E-2</v>
      </c>
      <c r="I80" s="8">
        <f>LN(Sheet1!I65/Sheet1!I64)</f>
        <v>-0.15887323878143178</v>
      </c>
      <c r="J80" s="8">
        <f>LN(Sheet1!J65/Sheet1!J64)</f>
        <v>-0.11098668240465491</v>
      </c>
      <c r="K80" s="8">
        <f>LN(Sheet1!K65/Sheet1!K64)</f>
        <v>-3.4803922194692118E-2</v>
      </c>
      <c r="L80" s="8">
        <f>LN(Sheet1!L65/Sheet1!L64)</f>
        <v>-0.19448185347935681</v>
      </c>
      <c r="M80" s="8">
        <f>LN(Sheet1!M65/Sheet1!M64)</f>
        <v>-0.20745772090065751</v>
      </c>
      <c r="N80" s="8">
        <f>LN(Sheet1!N65/Sheet1!N64)</f>
        <v>-0.23083434008218182</v>
      </c>
      <c r="O80" s="8">
        <f>LN(Sheet1!O65/Sheet1!O64)</f>
        <v>-0.3239298628441219</v>
      </c>
      <c r="P80" s="8">
        <f>LN(Sheet1!P65/Sheet1!P64)</f>
        <v>-0.13467125368490507</v>
      </c>
      <c r="Q80" s="8">
        <f>LN(Sheet1!Q65/Sheet1!Q64)</f>
        <v>-0.25675036054592409</v>
      </c>
      <c r="R80" s="8">
        <f>LN(Sheet1!R65/Sheet1!R64)</f>
        <v>-0.18308230236126358</v>
      </c>
      <c r="S80" s="8">
        <f>LN(Sheet1!S65/Sheet1!S64)</f>
        <v>-4.2652649206538131E-3</v>
      </c>
      <c r="T80" s="8">
        <f>LN(Sheet1!T65/Sheet1!T64)</f>
        <v>-0.32924406113688504</v>
      </c>
      <c r="U80" s="8">
        <f>LN(Sheet1!U65/Sheet1!U64)</f>
        <v>-5.7457055024787318E-2</v>
      </c>
      <c r="V80" s="8">
        <f>LN(Sheet1!V65/Sheet1!V64)</f>
        <v>-0.29648861835938484</v>
      </c>
      <c r="W80" s="8">
        <f>LN(Sheet1!W65/Sheet1!W64)</f>
        <v>-0.12768872464887143</v>
      </c>
      <c r="X80" s="8">
        <f>LN(Sheet1!X65/Sheet1!X64)</f>
        <v>-0.24004341895242798</v>
      </c>
      <c r="Y80" s="8">
        <f>LN(Sheet1!Y65/Sheet1!Y64)</f>
        <v>-9.2641699002263156E-2</v>
      </c>
      <c r="Z80" s="8">
        <f>LN(Sheet1!Z65/Sheet1!Z64)</f>
        <v>-0.11517361655031176</v>
      </c>
      <c r="AA80" s="8">
        <f>LN(Sheet1!AA65/Sheet1!AA64)</f>
        <v>-0.13102136349953586</v>
      </c>
      <c r="AB80" s="8">
        <f>LN(Sheet1!AB65/Sheet1!AB64)</f>
        <v>8.1411575837000861E-3</v>
      </c>
      <c r="AC80" s="8">
        <f>LN(Sheet1!AC65/Sheet1!AC64)</f>
        <v>-0.20736312713318958</v>
      </c>
      <c r="AD80" s="8">
        <f>LN(Sheet1!AD65/Sheet1!AD64)</f>
        <v>-5.0280558672762106E-2</v>
      </c>
      <c r="AE80" s="8">
        <f>LN(Sheet1!AE65/Sheet1!AE64)</f>
        <v>-0.12222588018093973</v>
      </c>
      <c r="AF80" s="8">
        <f>LN(Sheet1!AF65/Sheet1!AF64)</f>
        <v>-8.1278649000067135E-2</v>
      </c>
      <c r="AG80" s="8">
        <f>LN(Sheet1!AG65/Sheet1!AG64)</f>
        <v>-0.10543022392874085</v>
      </c>
    </row>
    <row r="81" spans="1:33" x14ac:dyDescent="0.25">
      <c r="A81" s="7">
        <v>37530</v>
      </c>
      <c r="B81" s="8">
        <f>LN(Sheet1!B66/Sheet1!B65)</f>
        <v>8.2914421028757151E-2</v>
      </c>
      <c r="C81" s="8">
        <f>LN(Sheet1!C66/Sheet1!C65)</f>
        <v>0.10079223086628435</v>
      </c>
      <c r="D81" s="8">
        <f>LN(Sheet1!D66/Sheet1!D65)</f>
        <v>0.13417736429600732</v>
      </c>
      <c r="E81" s="8">
        <f>LN(Sheet1!E66/Sheet1!E65)</f>
        <v>0.13414348860144595</v>
      </c>
      <c r="F81" s="8">
        <f>LN(Sheet1!F66/Sheet1!F65)</f>
        <v>0.15639657926763981</v>
      </c>
      <c r="G81" s="8">
        <f>LN(Sheet1!G66/Sheet1!G65)</f>
        <v>-0.13712630901228107</v>
      </c>
      <c r="H81" s="8">
        <f>LN(Sheet1!H66/Sheet1!H65)</f>
        <v>0.22504952393694341</v>
      </c>
      <c r="I81" s="8">
        <f>LN(Sheet1!I66/Sheet1!I65)</f>
        <v>0.10174451835697053</v>
      </c>
      <c r="J81" s="8">
        <f>LN(Sheet1!J66/Sheet1!J65)</f>
        <v>0.13422019555283202</v>
      </c>
      <c r="K81" s="8">
        <f>LN(Sheet1!K66/Sheet1!K65)</f>
        <v>9.7832249237034805E-2</v>
      </c>
      <c r="L81" s="8">
        <f>LN(Sheet1!L66/Sheet1!L65)</f>
        <v>2.4174495371658094E-2</v>
      </c>
      <c r="M81" s="8">
        <f>LN(Sheet1!M66/Sheet1!M65)</f>
        <v>-0.15662926291630386</v>
      </c>
      <c r="N81" s="8">
        <f>LN(Sheet1!N66/Sheet1!N65)</f>
        <v>0.10116644228270387</v>
      </c>
      <c r="O81" s="8">
        <f>LN(Sheet1!O66/Sheet1!O65)</f>
        <v>0.10013262518268681</v>
      </c>
      <c r="P81" s="8">
        <f>LN(Sheet1!P66/Sheet1!P65)</f>
        <v>0.30307395621936489</v>
      </c>
      <c r="Q81" s="8">
        <f>LN(Sheet1!Q66/Sheet1!Q65)</f>
        <v>0.30292912454234117</v>
      </c>
      <c r="R81" s="8">
        <f>LN(Sheet1!R66/Sheet1!R65)</f>
        <v>0.21978937832657913</v>
      </c>
      <c r="S81" s="8">
        <f>LN(Sheet1!S66/Sheet1!S65)</f>
        <v>8.2966297795821195E-2</v>
      </c>
      <c r="T81" s="8">
        <f>LN(Sheet1!T66/Sheet1!T65)</f>
        <v>0.10587091505642736</v>
      </c>
      <c r="U81" s="8">
        <f>LN(Sheet1!U66/Sheet1!U65)</f>
        <v>-3.1341596646626099E-2</v>
      </c>
      <c r="V81" s="8">
        <f>LN(Sheet1!V66/Sheet1!V65)</f>
        <v>2.5131570903949022E-2</v>
      </c>
      <c r="W81" s="8">
        <f>LN(Sheet1!W66/Sheet1!W65)</f>
        <v>0.14364977558020411</v>
      </c>
      <c r="X81" s="8">
        <f>LN(Sheet1!X66/Sheet1!X65)</f>
        <v>4.9204157137464566E-2</v>
      </c>
      <c r="Y81" s="8">
        <f>LN(Sheet1!Y66/Sheet1!Y65)</f>
        <v>0.17115136347945761</v>
      </c>
      <c r="Z81" s="8">
        <f>LN(Sheet1!Z66/Sheet1!Z65)</f>
        <v>0.20071915329173434</v>
      </c>
      <c r="AA81" s="8">
        <f>LN(Sheet1!AA66/Sheet1!AA65)</f>
        <v>9.0903386939264891E-2</v>
      </c>
      <c r="AB81" s="8">
        <f>LN(Sheet1!AB66/Sheet1!AB65)</f>
        <v>-5.9142607089499692E-3</v>
      </c>
      <c r="AC81" s="8">
        <f>LN(Sheet1!AC66/Sheet1!AC65)</f>
        <v>0.25691041378502733</v>
      </c>
      <c r="AD81" s="8">
        <f>LN(Sheet1!AD66/Sheet1!AD65)</f>
        <v>8.7711412019967488E-2</v>
      </c>
      <c r="AE81" s="8">
        <f>LN(Sheet1!AE66/Sheet1!AE65)</f>
        <v>0.33133323909329404</v>
      </c>
      <c r="AF81" s="8">
        <f>LN(Sheet1!AF66/Sheet1!AF65)</f>
        <v>8.4041626877783007E-2</v>
      </c>
      <c r="AG81" s="8">
        <f>LN(Sheet1!AG66/Sheet1!AG65)</f>
        <v>5.360849304035388E-2</v>
      </c>
    </row>
    <row r="82" spans="1:33" x14ac:dyDescent="0.25">
      <c r="A82" s="7">
        <v>37561</v>
      </c>
      <c r="B82" s="8">
        <f>LN(Sheet1!B67/Sheet1!B66)</f>
        <v>5.550058467611222E-2</v>
      </c>
      <c r="C82" s="8">
        <f>LN(Sheet1!C67/Sheet1!C66)</f>
        <v>5.773378246394445E-2</v>
      </c>
      <c r="D82" s="8">
        <f>LN(Sheet1!D67/Sheet1!D66)</f>
        <v>0.15293016059615935</v>
      </c>
      <c r="E82" s="8">
        <f>LN(Sheet1!E67/Sheet1!E66)</f>
        <v>4.0677008722018966E-2</v>
      </c>
      <c r="F82" s="8">
        <f>LN(Sheet1!F67/Sheet1!F66)</f>
        <v>6.7897940905646173E-2</v>
      </c>
      <c r="G82" s="8">
        <f>LN(Sheet1!G67/Sheet1!G66)</f>
        <v>0.14030091485305385</v>
      </c>
      <c r="H82" s="8">
        <f>LN(Sheet1!H67/Sheet1!H66)</f>
        <v>5.0737760862688254E-2</v>
      </c>
      <c r="I82" s="8">
        <f>LN(Sheet1!I67/Sheet1!I66)</f>
        <v>0.20033051808066621</v>
      </c>
      <c r="J82" s="8">
        <f>LN(Sheet1!J67/Sheet1!J66)</f>
        <v>8.6845972516242917E-2</v>
      </c>
      <c r="K82" s="8">
        <f>LN(Sheet1!K67/Sheet1!K66)</f>
        <v>0.17145245807503012</v>
      </c>
      <c r="L82" s="8">
        <f>LN(Sheet1!L67/Sheet1!L66)</f>
        <v>7.13035541661481E-2</v>
      </c>
      <c r="M82" s="8">
        <f>LN(Sheet1!M67/Sheet1!M66)</f>
        <v>0.19184305192950629</v>
      </c>
      <c r="N82" s="8">
        <f>LN(Sheet1!N67/Sheet1!N66)</f>
        <v>-8.9853190306167591E-2</v>
      </c>
      <c r="O82" s="8">
        <f>LN(Sheet1!O67/Sheet1!O66)</f>
        <v>9.1012392290696811E-2</v>
      </c>
      <c r="P82" s="8">
        <f>LN(Sheet1!P67/Sheet1!P66)</f>
        <v>0.20957482210814096</v>
      </c>
      <c r="Q82" s="8">
        <f>LN(Sheet1!Q67/Sheet1!Q66)</f>
        <v>9.8153829301039858E-2</v>
      </c>
      <c r="R82" s="8">
        <f>LN(Sheet1!R67/Sheet1!R66)</f>
        <v>0.1892209348115225</v>
      </c>
      <c r="S82" s="8">
        <f>LN(Sheet1!S67/Sheet1!S66)</f>
        <v>-2.6577114763033999E-2</v>
      </c>
      <c r="T82" s="8">
        <f>LN(Sheet1!T67/Sheet1!T66)</f>
        <v>0.19307486020360842</v>
      </c>
      <c r="U82" s="8">
        <f>LN(Sheet1!U67/Sheet1!U66)</f>
        <v>-1.3843572631082568E-2</v>
      </c>
      <c r="V82" s="8">
        <f>LN(Sheet1!V67/Sheet1!V66)</f>
        <v>3.5091319811270193E-2</v>
      </c>
      <c r="W82" s="8">
        <f>LN(Sheet1!W67/Sheet1!W66)</f>
        <v>2.746010879949376E-2</v>
      </c>
      <c r="X82" s="8">
        <f>LN(Sheet1!X67/Sheet1!X66)</f>
        <v>-7.7424724779715778E-2</v>
      </c>
      <c r="Y82" s="8">
        <f>LN(Sheet1!Y67/Sheet1!Y66)</f>
        <v>9.1042702706625372E-2</v>
      </c>
      <c r="Z82" s="8">
        <f>LN(Sheet1!Z67/Sheet1!Z66)</f>
        <v>7.5975270094528813E-2</v>
      </c>
      <c r="AA82" s="8">
        <f>LN(Sheet1!AA67/Sheet1!AA66)</f>
        <v>-3.9575514866076423E-3</v>
      </c>
      <c r="AB82" s="8">
        <f>LN(Sheet1!AB67/Sheet1!AB66)</f>
        <v>-4.5249726120393678E-2</v>
      </c>
      <c r="AC82" s="8">
        <f>LN(Sheet1!AC67/Sheet1!AC66)</f>
        <v>0.10511634522565239</v>
      </c>
      <c r="AD82" s="8">
        <f>LN(Sheet1!AD67/Sheet1!AD66)</f>
        <v>1.6999542069063327E-2</v>
      </c>
      <c r="AE82" s="8">
        <f>LN(Sheet1!AE67/Sheet1!AE66)</f>
        <v>0.10351874033602493</v>
      </c>
      <c r="AF82" s="8">
        <f>LN(Sheet1!AF67/Sheet1!AF66)</f>
        <v>6.4826864884166219E-3</v>
      </c>
      <c r="AG82" s="8">
        <f>LN(Sheet1!AG67/Sheet1!AG66)</f>
        <v>3.9830422797960174E-2</v>
      </c>
    </row>
    <row r="83" spans="1:33" x14ac:dyDescent="0.25">
      <c r="A83" s="7">
        <v>37592</v>
      </c>
      <c r="B83" s="8">
        <f>LN(Sheet1!B68/Sheet1!B67)</f>
        <v>-6.2229277129875436E-2</v>
      </c>
      <c r="C83" s="8">
        <f>LN(Sheet1!C68/Sheet1!C67)</f>
        <v>-6.4353213444407656E-2</v>
      </c>
      <c r="D83" s="8">
        <f>LN(Sheet1!D68/Sheet1!D67)</f>
        <v>-0.11450178691481255</v>
      </c>
      <c r="E83" s="8">
        <f>LN(Sheet1!E68/Sheet1!E67)</f>
        <v>-0.11805988511137402</v>
      </c>
      <c r="F83" s="8">
        <f>LN(Sheet1!F68/Sheet1!F67)</f>
        <v>-9.4175854069931564E-2</v>
      </c>
      <c r="G83" s="8">
        <f>LN(Sheet1!G68/Sheet1!G67)</f>
        <v>-3.155445308447908E-2</v>
      </c>
      <c r="H83" s="8">
        <f>LN(Sheet1!H68/Sheet1!H67)</f>
        <v>-9.9512057179595645E-2</v>
      </c>
      <c r="I83" s="8">
        <f>LN(Sheet1!I68/Sheet1!I67)</f>
        <v>-8.7727452924273683E-2</v>
      </c>
      <c r="J83" s="8">
        <f>LN(Sheet1!J68/Sheet1!J67)</f>
        <v>-5.1197530568416284E-2</v>
      </c>
      <c r="K83" s="8">
        <f>LN(Sheet1!K68/Sheet1!K67)</f>
        <v>-0.18285220153975756</v>
      </c>
      <c r="L83" s="8">
        <f>LN(Sheet1!L68/Sheet1!L67)</f>
        <v>-0.10010554506985439</v>
      </c>
      <c r="M83" s="8">
        <f>LN(Sheet1!M68/Sheet1!M67)</f>
        <v>-7.4395755742450762E-2</v>
      </c>
      <c r="N83" s="8">
        <f>LN(Sheet1!N68/Sheet1!N67)</f>
        <v>-9.2101191892143761E-2</v>
      </c>
      <c r="O83" s="8">
        <f>LN(Sheet1!O68/Sheet1!O67)</f>
        <v>-8.0327040914007511E-2</v>
      </c>
      <c r="P83" s="8">
        <f>LN(Sheet1!P68/Sheet1!P67)</f>
        <v>-0.11083998142245205</v>
      </c>
      <c r="Q83" s="8">
        <f>LN(Sheet1!Q68/Sheet1!Q67)</f>
        <v>-0.11474949926289385</v>
      </c>
      <c r="R83" s="8">
        <f>LN(Sheet1!R68/Sheet1!R67)</f>
        <v>-0.2934282434087373</v>
      </c>
      <c r="S83" s="8">
        <f>LN(Sheet1!S68/Sheet1!S67)</f>
        <v>-5.9855391009273493E-2</v>
      </c>
      <c r="T83" s="8">
        <f>LN(Sheet1!T68/Sheet1!T67)</f>
        <v>-4.7489543235273372E-2</v>
      </c>
      <c r="U83" s="8">
        <f>LN(Sheet1!U68/Sheet1!U67)</f>
        <v>-4.0170050890285774E-2</v>
      </c>
      <c r="V83" s="8">
        <f>LN(Sheet1!V68/Sheet1!V67)</f>
        <v>-0.14031732743203845</v>
      </c>
      <c r="W83" s="8">
        <f>LN(Sheet1!W68/Sheet1!W67)</f>
        <v>-5.1765637798898284E-2</v>
      </c>
      <c r="X83" s="8">
        <f>LN(Sheet1!X68/Sheet1!X67)</f>
        <v>8.7309484012257813E-2</v>
      </c>
      <c r="Y83" s="8">
        <f>LN(Sheet1!Y68/Sheet1!Y67)</f>
        <v>-4.2152666705960143E-2</v>
      </c>
      <c r="Z83" s="8">
        <f>LN(Sheet1!Z68/Sheet1!Z67)</f>
        <v>-0.10968134333612164</v>
      </c>
      <c r="AA83" s="8">
        <f>LN(Sheet1!AA68/Sheet1!AA67)</f>
        <v>-3.0749128278892108E-2</v>
      </c>
      <c r="AB83" s="8">
        <f>LN(Sheet1!AB68/Sheet1!AB67)</f>
        <v>1.6414833814563216E-2</v>
      </c>
      <c r="AC83" s="8">
        <f>LN(Sheet1!AC68/Sheet1!AC67)</f>
        <v>-5.0021691418678654E-2</v>
      </c>
      <c r="AD83" s="8">
        <f>LN(Sheet1!AD68/Sheet1!AD67)</f>
        <v>-8.6371239994084883E-3</v>
      </c>
      <c r="AE83" s="8">
        <f>LN(Sheet1!AE68/Sheet1!AE67)</f>
        <v>-7.7757738505711299E-2</v>
      </c>
      <c r="AF83" s="8">
        <f>LN(Sheet1!AF68/Sheet1!AF67)</f>
        <v>-6.3455627488012645E-2</v>
      </c>
      <c r="AG83" s="8">
        <f>LN(Sheet1!AG68/Sheet1!AG67)</f>
        <v>4.1184914859701679E-3</v>
      </c>
    </row>
    <row r="84" spans="1:33" x14ac:dyDescent="0.25">
      <c r="A84" s="7">
        <v>37623</v>
      </c>
      <c r="B84" s="8">
        <f>LN(Sheet1!B69/Sheet1!B68)</f>
        <v>-2.7797493671422965E-2</v>
      </c>
      <c r="C84" s="8">
        <f>LN(Sheet1!C69/Sheet1!C68)</f>
        <v>-3.5113369530476245E-2</v>
      </c>
      <c r="D84" s="8">
        <f>LN(Sheet1!D69/Sheet1!D68)</f>
        <v>-0.14206037682316391</v>
      </c>
      <c r="E84" s="8">
        <f>LN(Sheet1!E69/Sheet1!E68)</f>
        <v>-6.6605447499742537E-2</v>
      </c>
      <c r="F84" s="8">
        <f>LN(Sheet1!F69/Sheet1!F68)</f>
        <v>5.0428750338619597E-3</v>
      </c>
      <c r="G84" s="8">
        <f>LN(Sheet1!G69/Sheet1!G68)</f>
        <v>-4.3456035198948681E-2</v>
      </c>
      <c r="H84" s="8">
        <f>LN(Sheet1!H69/Sheet1!H68)</f>
        <v>-1.8497248417791528E-2</v>
      </c>
      <c r="I84" s="8">
        <f>LN(Sheet1!I69/Sheet1!I68)</f>
        <v>-3.1040319394649161E-2</v>
      </c>
      <c r="J84" s="8">
        <f>LN(Sheet1!J69/Sheet1!J68)</f>
        <v>-0.11283633047334735</v>
      </c>
      <c r="K84" s="8">
        <f>LN(Sheet1!K69/Sheet1!K68)</f>
        <v>7.0689944444108449E-2</v>
      </c>
      <c r="L84" s="8">
        <f>LN(Sheet1!L69/Sheet1!L68)</f>
        <v>-5.0902783789988082E-2</v>
      </c>
      <c r="M84" s="8">
        <f>LN(Sheet1!M69/Sheet1!M68)</f>
        <v>-1.4544480981757422E-2</v>
      </c>
      <c r="N84" s="8">
        <f>LN(Sheet1!N69/Sheet1!N68)</f>
        <v>-0.13921143314022613</v>
      </c>
      <c r="O84" s="8">
        <f>LN(Sheet1!O69/Sheet1!O68)</f>
        <v>1.7861706835971044E-2</v>
      </c>
      <c r="P84" s="8">
        <f>LN(Sheet1!P69/Sheet1!P68)</f>
        <v>3.0478536242533358E-3</v>
      </c>
      <c r="Q84" s="8">
        <f>LN(Sheet1!Q69/Sheet1!Q68)</f>
        <v>9.0012027097830672E-3</v>
      </c>
      <c r="R84" s="8">
        <f>LN(Sheet1!R69/Sheet1!R68)</f>
        <v>6.0831549534054626E-3</v>
      </c>
      <c r="S84" s="8">
        <f>LN(Sheet1!S69/Sheet1!S68)</f>
        <v>-1.8399269220072938E-3</v>
      </c>
      <c r="T84" s="8">
        <f>LN(Sheet1!T69/Sheet1!T68)</f>
        <v>-1.349008716426396E-2</v>
      </c>
      <c r="U84" s="8">
        <f>LN(Sheet1!U69/Sheet1!U68)</f>
        <v>-8.0276102185581441E-2</v>
      </c>
      <c r="V84" s="8">
        <f>LN(Sheet1!V69/Sheet1!V68)</f>
        <v>-0.12140424471687393</v>
      </c>
      <c r="W84" s="8">
        <f>LN(Sheet1!W69/Sheet1!W68)</f>
        <v>1.0110950882124832E-2</v>
      </c>
      <c r="X84" s="8">
        <f>LN(Sheet1!X69/Sheet1!X68)</f>
        <v>-6.782259633876106E-2</v>
      </c>
      <c r="Y84" s="8">
        <f>LN(Sheet1!Y69/Sheet1!Y68)</f>
        <v>-2.176193563425213E-2</v>
      </c>
      <c r="Z84" s="8">
        <f>LN(Sheet1!Z69/Sheet1!Z68)</f>
        <v>-8.5167831945898262E-2</v>
      </c>
      <c r="AA84" s="8">
        <f>LN(Sheet1!AA69/Sheet1!AA68)</f>
        <v>-2.2329745043123414E-3</v>
      </c>
      <c r="AB84" s="8">
        <f>LN(Sheet1!AB69/Sheet1!AB68)</f>
        <v>5.0864700994919184E-4</v>
      </c>
      <c r="AC84" s="8">
        <f>LN(Sheet1!AC69/Sheet1!AC68)</f>
        <v>-9.4940562354173447E-2</v>
      </c>
      <c r="AD84" s="8">
        <f>LN(Sheet1!AD69/Sheet1!AD68)</f>
        <v>2.6366875840742134E-2</v>
      </c>
      <c r="AE84" s="8">
        <f>LN(Sheet1!AE69/Sheet1!AE68)</f>
        <v>-3.2658422234171118E-3</v>
      </c>
      <c r="AF84" s="8">
        <f>LN(Sheet1!AF69/Sheet1!AF68)</f>
        <v>-5.5110953752043335E-2</v>
      </c>
      <c r="AG84" s="8">
        <f>LN(Sheet1!AG69/Sheet1!AG68)</f>
        <v>-2.270281359833615E-2</v>
      </c>
    </row>
    <row r="85" spans="1:33" x14ac:dyDescent="0.25">
      <c r="A85" s="7">
        <v>37655</v>
      </c>
      <c r="B85" s="8">
        <f>LN(Sheet1!B70/Sheet1!B69)</f>
        <v>-1.7149844258839787E-2</v>
      </c>
      <c r="C85" s="8">
        <f>LN(Sheet1!C70/Sheet1!C69)</f>
        <v>-2.041226376908532E-2</v>
      </c>
      <c r="D85" s="8">
        <f>LN(Sheet1!D70/Sheet1!D69)</f>
        <v>4.413682864379085E-2</v>
      </c>
      <c r="E85" s="8">
        <f>LN(Sheet1!E70/Sheet1!E69)</f>
        <v>-9.3466370771937562E-2</v>
      </c>
      <c r="F85" s="8">
        <f>LN(Sheet1!F70/Sheet1!F69)</f>
        <v>-5.6566802866058266E-2</v>
      </c>
      <c r="G85" s="8">
        <f>LN(Sheet1!G70/Sheet1!G69)</f>
        <v>-0.13085062188203411</v>
      </c>
      <c r="H85" s="8">
        <f>LN(Sheet1!H70/Sheet1!H69)</f>
        <v>-2.9976404700263859E-2</v>
      </c>
      <c r="I85" s="8">
        <f>LN(Sheet1!I70/Sheet1!I69)</f>
        <v>6.623043879104136E-2</v>
      </c>
      <c r="J85" s="8">
        <f>LN(Sheet1!J70/Sheet1!J69)</f>
        <v>-2.2612083140832007E-2</v>
      </c>
      <c r="K85" s="8">
        <f>LN(Sheet1!K70/Sheet1!K69)</f>
        <v>-2.5850552774088514E-2</v>
      </c>
      <c r="L85" s="8">
        <f>LN(Sheet1!L70/Sheet1!L69)</f>
        <v>4.6253774951744216E-2</v>
      </c>
      <c r="M85" s="8">
        <f>LN(Sheet1!M70/Sheet1!M69)</f>
        <v>-5.8943752475270943E-2</v>
      </c>
      <c r="N85" s="8">
        <f>LN(Sheet1!N70/Sheet1!N69)</f>
        <v>0.11513537053195214</v>
      </c>
      <c r="O85" s="8">
        <f>LN(Sheet1!O70/Sheet1!O69)</f>
        <v>-5.7452174106979448E-2</v>
      </c>
      <c r="P85" s="8">
        <f>LN(Sheet1!P70/Sheet1!P69)</f>
        <v>-9.3728959502845405E-2</v>
      </c>
      <c r="Q85" s="8">
        <f>LN(Sheet1!Q70/Sheet1!Q69)</f>
        <v>-1.3383299642137883E-3</v>
      </c>
      <c r="R85" s="8">
        <f>LN(Sheet1!R70/Sheet1!R69)</f>
        <v>9.7513093435366613E-2</v>
      </c>
      <c r="S85" s="8">
        <f>LN(Sheet1!S70/Sheet1!S69)</f>
        <v>-1.7754388739214498E-2</v>
      </c>
      <c r="T85" s="8">
        <f>LN(Sheet1!T70/Sheet1!T69)</f>
        <v>-2.9091104788004897E-2</v>
      </c>
      <c r="U85" s="8">
        <f>LN(Sheet1!U70/Sheet1!U69)</f>
        <v>-6.0874565406818818E-3</v>
      </c>
      <c r="V85" s="8">
        <f>LN(Sheet1!V70/Sheet1!V69)</f>
        <v>-4.5038667698933867E-2</v>
      </c>
      <c r="W85" s="8">
        <f>LN(Sheet1!W70/Sheet1!W69)</f>
        <v>1.1755552517920851E-2</v>
      </c>
      <c r="X85" s="8">
        <f>LN(Sheet1!X70/Sheet1!X69)</f>
        <v>2.0404441353805286E-2</v>
      </c>
      <c r="Y85" s="8">
        <f>LN(Sheet1!Y70/Sheet1!Y69)</f>
        <v>-4.8801504673744354E-2</v>
      </c>
      <c r="Z85" s="8">
        <f>LN(Sheet1!Z70/Sheet1!Z69)</f>
        <v>1.9627091678486889E-3</v>
      </c>
      <c r="AA85" s="8">
        <f>LN(Sheet1!AA70/Sheet1!AA69)</f>
        <v>-1.7666311738285635E-2</v>
      </c>
      <c r="AB85" s="8">
        <f>LN(Sheet1!AB70/Sheet1!AB69)</f>
        <v>-4.445176257083381E-2</v>
      </c>
      <c r="AC85" s="8">
        <f>LN(Sheet1!AC70/Sheet1!AC69)</f>
        <v>-0.16120463335303198</v>
      </c>
      <c r="AD85" s="8">
        <f>LN(Sheet1!AD70/Sheet1!AD69)</f>
        <v>-7.7988943359530535E-2</v>
      </c>
      <c r="AE85" s="8">
        <f>LN(Sheet1!AE70/Sheet1!AE69)</f>
        <v>-0.10147898792159706</v>
      </c>
      <c r="AF85" s="8">
        <f>LN(Sheet1!AF70/Sheet1!AF69)</f>
        <v>5.2770571008438193E-3</v>
      </c>
      <c r="AG85" s="8">
        <f>LN(Sheet1!AG70/Sheet1!AG69)</f>
        <v>2.9065093931364013E-3</v>
      </c>
    </row>
    <row r="86" spans="1:33" x14ac:dyDescent="0.25">
      <c r="A86" s="7">
        <v>37683</v>
      </c>
      <c r="B86" s="8">
        <f>LN(Sheet1!B71/Sheet1!B70)</f>
        <v>8.3228742528296627E-3</v>
      </c>
      <c r="C86" s="8">
        <f>LN(Sheet1!C71/Sheet1!C70)</f>
        <v>1.2724299860667849E-2</v>
      </c>
      <c r="D86" s="8">
        <f>LN(Sheet1!D71/Sheet1!D70)</f>
        <v>-5.5904966696645401E-2</v>
      </c>
      <c r="E86" s="8">
        <f>LN(Sheet1!E71/Sheet1!E70)</f>
        <v>4.1692785014516461E-3</v>
      </c>
      <c r="F86" s="8">
        <f>LN(Sheet1!F71/Sheet1!F70)</f>
        <v>-1.0344304831136584E-2</v>
      </c>
      <c r="G86" s="8">
        <f>LN(Sheet1!G71/Sheet1!G70)</f>
        <v>-9.5115494706853987E-2</v>
      </c>
      <c r="H86" s="8">
        <f>LN(Sheet1!H71/Sheet1!H70)</f>
        <v>3.2688270769013296E-2</v>
      </c>
      <c r="I86" s="8">
        <f>LN(Sheet1!I71/Sheet1!I70)</f>
        <v>4.5954031278684145E-2</v>
      </c>
      <c r="J86" s="8">
        <f>LN(Sheet1!J71/Sheet1!J70)</f>
        <v>5.8115210211008989E-2</v>
      </c>
      <c r="K86" s="8">
        <f>LN(Sheet1!K71/Sheet1!K70)</f>
        <v>-1.8287112685438916E-3</v>
      </c>
      <c r="L86" s="8">
        <f>LN(Sheet1!L71/Sheet1!L70)</f>
        <v>5.8813872055577809E-2</v>
      </c>
      <c r="M86" s="8">
        <f>LN(Sheet1!M71/Sheet1!M70)</f>
        <v>-4.3462581999110421E-3</v>
      </c>
      <c r="N86" s="8">
        <f>LN(Sheet1!N71/Sheet1!N70)</f>
        <v>4.067757976081568E-2</v>
      </c>
      <c r="O86" s="8">
        <f>LN(Sheet1!O71/Sheet1!O70)</f>
        <v>-6.916458952635339E-2</v>
      </c>
      <c r="P86" s="8">
        <f>LN(Sheet1!P71/Sheet1!P70)</f>
        <v>-1.4136889760502466E-2</v>
      </c>
      <c r="Q86" s="8">
        <f>LN(Sheet1!Q71/Sheet1!Q70)</f>
        <v>6.1415413334588217E-3</v>
      </c>
      <c r="R86" s="8">
        <f>LN(Sheet1!R71/Sheet1!R70)</f>
        <v>-5.7877786577970866E-2</v>
      </c>
      <c r="S86" s="8">
        <f>LN(Sheet1!S71/Sheet1!S70)</f>
        <v>9.8316393013586356E-2</v>
      </c>
      <c r="T86" s="8">
        <f>LN(Sheet1!T71/Sheet1!T70)</f>
        <v>4.4564335884323146E-2</v>
      </c>
      <c r="U86" s="8">
        <f>LN(Sheet1!U71/Sheet1!U70)</f>
        <v>1.241224044612866E-2</v>
      </c>
      <c r="V86" s="8">
        <f>LN(Sheet1!V71/Sheet1!V70)</f>
        <v>6.0110543057596055E-2</v>
      </c>
      <c r="W86" s="8">
        <f>LN(Sheet1!W71/Sheet1!W70)</f>
        <v>3.647977064966032E-2</v>
      </c>
      <c r="X86" s="8">
        <f>LN(Sheet1!X71/Sheet1!X70)</f>
        <v>-0.23644607808716603</v>
      </c>
      <c r="Y86" s="8">
        <f>LN(Sheet1!Y71/Sheet1!Y70)</f>
        <v>4.4710589877524069E-2</v>
      </c>
      <c r="Z86" s="8">
        <f>LN(Sheet1!Z71/Sheet1!Z70)</f>
        <v>2.0859354422709846E-2</v>
      </c>
      <c r="AA86" s="8">
        <f>LN(Sheet1!AA71/Sheet1!AA70)</f>
        <v>4.3775535233728076E-2</v>
      </c>
      <c r="AB86" s="8">
        <f>LN(Sheet1!AB71/Sheet1!AB70)</f>
        <v>8.4327466631427359E-2</v>
      </c>
      <c r="AC86" s="8">
        <f>LN(Sheet1!AC71/Sheet1!AC70)</f>
        <v>-3.5859205178126061E-2</v>
      </c>
      <c r="AD86" s="8">
        <f>LN(Sheet1!AD71/Sheet1!AD70)</f>
        <v>-1.3981096022674567E-2</v>
      </c>
      <c r="AE86" s="8">
        <f>LN(Sheet1!AE71/Sheet1!AE70)</f>
        <v>2.184509428425193E-2</v>
      </c>
      <c r="AF86" s="8">
        <f>LN(Sheet1!AF71/Sheet1!AF70)</f>
        <v>8.105434154838069E-2</v>
      </c>
      <c r="AG86" s="8">
        <f>LN(Sheet1!AG71/Sheet1!AG70)</f>
        <v>2.6727648905814819E-2</v>
      </c>
    </row>
    <row r="87" spans="1:33" x14ac:dyDescent="0.25">
      <c r="A87" s="7">
        <v>37712</v>
      </c>
      <c r="B87" s="8">
        <f>LN(Sheet1!B72/Sheet1!B71)</f>
        <v>7.7927350029476733E-2</v>
      </c>
      <c r="C87" s="8">
        <f>LN(Sheet1!C72/Sheet1!C71)</f>
        <v>5.9263755474814737E-2</v>
      </c>
      <c r="D87" s="8">
        <f>LN(Sheet1!D72/Sheet1!D71)</f>
        <v>0.174871854746532</v>
      </c>
      <c r="E87" s="8">
        <f>LN(Sheet1!E72/Sheet1!E71)</f>
        <v>0.15856897100075321</v>
      </c>
      <c r="F87" s="8">
        <f>LN(Sheet1!F72/Sheet1!F71)</f>
        <v>0.13276918037877475</v>
      </c>
      <c r="G87" s="8">
        <f>LN(Sheet1!G72/Sheet1!G71)</f>
        <v>8.4939281646401674E-2</v>
      </c>
      <c r="H87" s="8">
        <f>LN(Sheet1!H72/Sheet1!H71)</f>
        <v>0.13056491165942605</v>
      </c>
      <c r="I87" s="8">
        <f>LN(Sheet1!I72/Sheet1!I71)</f>
        <v>7.3415778185927441E-2</v>
      </c>
      <c r="J87" s="8">
        <f>LN(Sheet1!J72/Sheet1!J71)</f>
        <v>9.0110324352734514E-2</v>
      </c>
      <c r="K87" s="8">
        <f>LN(Sheet1!K72/Sheet1!K71)</f>
        <v>9.2032308039729185E-2</v>
      </c>
      <c r="L87" s="8">
        <f>LN(Sheet1!L72/Sheet1!L71)</f>
        <v>0.14380358435827958</v>
      </c>
      <c r="M87" s="8">
        <f>LN(Sheet1!M72/Sheet1!M71)</f>
        <v>6.974274150431016E-2</v>
      </c>
      <c r="N87" s="8">
        <f>LN(Sheet1!N72/Sheet1!N71)</f>
        <v>0.14419787311066382</v>
      </c>
      <c r="O87" s="8">
        <f>LN(Sheet1!O72/Sheet1!O71)</f>
        <v>9.9936248193107077E-2</v>
      </c>
      <c r="P87" s="8">
        <f>LN(Sheet1!P72/Sheet1!P71)</f>
        <v>4.7012960373447196E-2</v>
      </c>
      <c r="Q87" s="8">
        <f>LN(Sheet1!Q72/Sheet1!Q71)</f>
        <v>7.9295005797614712E-2</v>
      </c>
      <c r="R87" s="8">
        <f>LN(Sheet1!R72/Sheet1!R71)</f>
        <v>0.12237810405180607</v>
      </c>
      <c r="S87" s="8">
        <f>LN(Sheet1!S72/Sheet1!S71)</f>
        <v>-2.6397860299876716E-2</v>
      </c>
      <c r="T87" s="8">
        <f>LN(Sheet1!T72/Sheet1!T71)</f>
        <v>0.22759129771244602</v>
      </c>
      <c r="U87" s="8">
        <f>LN(Sheet1!U72/Sheet1!U71)</f>
        <v>-1.9207030187886177E-3</v>
      </c>
      <c r="V87" s="8">
        <f>LN(Sheet1!V72/Sheet1!V71)</f>
        <v>0.16762926010752899</v>
      </c>
      <c r="W87" s="8">
        <f>LN(Sheet1!W72/Sheet1!W71)</f>
        <v>-3.1087046438630288E-2</v>
      </c>
      <c r="X87" s="8">
        <f>LN(Sheet1!X72/Sheet1!X71)</f>
        <v>2.6324377978277091E-2</v>
      </c>
      <c r="Y87" s="8">
        <f>LN(Sheet1!Y72/Sheet1!Y71)</f>
        <v>6.0316457468610973E-2</v>
      </c>
      <c r="Z87" s="8">
        <f>LN(Sheet1!Z72/Sheet1!Z71)</f>
        <v>5.4648198085435216E-2</v>
      </c>
      <c r="AA87" s="8">
        <f>LN(Sheet1!AA72/Sheet1!AA71)</f>
        <v>-1.3153276954544128E-2</v>
      </c>
      <c r="AB87" s="8">
        <f>LN(Sheet1!AB72/Sheet1!AB71)</f>
        <v>1.3589143840464958E-2</v>
      </c>
      <c r="AC87" s="8">
        <f>LN(Sheet1!AC72/Sheet1!AC71)</f>
        <v>0.16714928195963491</v>
      </c>
      <c r="AD87" s="8">
        <f>LN(Sheet1!AD72/Sheet1!AD71)</f>
        <v>6.7682886994712144E-2</v>
      </c>
      <c r="AE87" s="8">
        <f>LN(Sheet1!AE72/Sheet1!AE71)</f>
        <v>6.6794211074304902E-2</v>
      </c>
      <c r="AF87" s="8">
        <f>LN(Sheet1!AF72/Sheet1!AF71)</f>
        <v>7.9280186336568734E-2</v>
      </c>
      <c r="AG87" s="8">
        <f>LN(Sheet1!AG72/Sheet1!AG71)</f>
        <v>7.1954009801412418E-3</v>
      </c>
    </row>
    <row r="88" spans="1:33" x14ac:dyDescent="0.25">
      <c r="A88" s="7">
        <v>37742</v>
      </c>
      <c r="B88" s="8">
        <f>LN(Sheet1!B73/Sheet1!B72)</f>
        <v>4.9645665489287727E-2</v>
      </c>
      <c r="C88" s="8">
        <f>LN(Sheet1!C73/Sheet1!C72)</f>
        <v>4.2725774164331723E-2</v>
      </c>
      <c r="D88" s="8">
        <f>LN(Sheet1!D73/Sheet1!D72)</f>
        <v>7.0348632891472362E-2</v>
      </c>
      <c r="E88" s="8">
        <f>LN(Sheet1!E73/Sheet1!E72)</f>
        <v>-1.2434498449117645E-3</v>
      </c>
      <c r="F88" s="8">
        <f>LN(Sheet1!F73/Sheet1!F72)</f>
        <v>9.5738231462426535E-2</v>
      </c>
      <c r="G88" s="8">
        <f>LN(Sheet1!G73/Sheet1!G72)</f>
        <v>0.12275361488957069</v>
      </c>
      <c r="H88" s="8">
        <f>LN(Sheet1!H73/Sheet1!H72)</f>
        <v>4.9271049006782835E-2</v>
      </c>
      <c r="I88" s="8">
        <f>LN(Sheet1!I73/Sheet1!I72)</f>
        <v>-8.6295994749602933E-3</v>
      </c>
      <c r="J88" s="8">
        <f>LN(Sheet1!J73/Sheet1!J72)</f>
        <v>-1.0810811863728189E-3</v>
      </c>
      <c r="K88" s="8">
        <f>LN(Sheet1!K73/Sheet1!K72)</f>
        <v>5.1515862828264695E-2</v>
      </c>
      <c r="L88" s="8">
        <f>LN(Sheet1!L73/Sheet1!L72)</f>
        <v>-2.582529340497593E-2</v>
      </c>
      <c r="M88" s="8">
        <f>LN(Sheet1!M73/Sheet1!M72)</f>
        <v>-6.4527308291281709E-3</v>
      </c>
      <c r="N88" s="8">
        <f>LN(Sheet1!N73/Sheet1!N72)</f>
        <v>0.1440256471858464</v>
      </c>
      <c r="O88" s="8">
        <f>LN(Sheet1!O73/Sheet1!O72)</f>
        <v>0.11191243147757718</v>
      </c>
      <c r="P88" s="8">
        <f>LN(Sheet1!P73/Sheet1!P72)</f>
        <v>0.17897400223975735</v>
      </c>
      <c r="Q88" s="8">
        <f>LN(Sheet1!Q73/Sheet1!Q72)</f>
        <v>3.823658218444443E-2</v>
      </c>
      <c r="R88" s="8">
        <f>LN(Sheet1!R73/Sheet1!R72)</f>
        <v>0.1248259885340893</v>
      </c>
      <c r="S88" s="8">
        <f>LN(Sheet1!S73/Sheet1!S72)</f>
        <v>-3.1905029900444998E-2</v>
      </c>
      <c r="T88" s="8">
        <f>LN(Sheet1!T73/Sheet1!T72)</f>
        <v>0.11290594169470435</v>
      </c>
      <c r="U88" s="8">
        <f>LN(Sheet1!U73/Sheet1!U72)</f>
        <v>0.12043446578112521</v>
      </c>
      <c r="V88" s="8">
        <f>LN(Sheet1!V73/Sheet1!V72)</f>
        <v>9.1219251912908403E-2</v>
      </c>
      <c r="W88" s="8">
        <f>LN(Sheet1!W73/Sheet1!W72)</f>
        <v>8.6371239994085542E-3</v>
      </c>
      <c r="X88" s="8">
        <f>LN(Sheet1!X73/Sheet1!X72)</f>
        <v>0.29455132007066409</v>
      </c>
      <c r="Y88" s="8">
        <f>LN(Sheet1!Y73/Sheet1!Y72)</f>
        <v>-4.5621946423208354E-2</v>
      </c>
      <c r="Z88" s="8">
        <f>LN(Sheet1!Z73/Sheet1!Z72)</f>
        <v>-3.7985113185055416E-2</v>
      </c>
      <c r="AA88" s="8">
        <f>LN(Sheet1!AA73/Sheet1!AA72)</f>
        <v>1.3153276954544034E-2</v>
      </c>
      <c r="AB88" s="8">
        <f>LN(Sheet1!AB73/Sheet1!AB72)</f>
        <v>2.1695927893135503E-2</v>
      </c>
      <c r="AC88" s="8">
        <f>LN(Sheet1!AC73/Sheet1!AC72)</f>
        <v>8.6225728134238538E-2</v>
      </c>
      <c r="AD88" s="8">
        <f>LN(Sheet1!AD73/Sheet1!AD72)</f>
        <v>0.10289903995714615</v>
      </c>
      <c r="AE88" s="8">
        <f>LN(Sheet1!AE73/Sheet1!AE72)</f>
        <v>1.2512510958616952E-2</v>
      </c>
      <c r="AF88" s="8">
        <f>LN(Sheet1!AF73/Sheet1!AF72)</f>
        <v>-6.8019258974477692E-2</v>
      </c>
      <c r="AG88" s="8">
        <f>LN(Sheet1!AG73/Sheet1!AG72)</f>
        <v>4.0622473370351353E-2</v>
      </c>
    </row>
    <row r="89" spans="1:33" x14ac:dyDescent="0.25">
      <c r="A89" s="7">
        <v>37774</v>
      </c>
      <c r="B89" s="8">
        <f>LN(Sheet1!B74/Sheet1!B73)</f>
        <v>1.125862601085219E-2</v>
      </c>
      <c r="C89" s="8">
        <f>LN(Sheet1!C74/Sheet1!C73)</f>
        <v>1.5158652423534794E-2</v>
      </c>
      <c r="D89" s="8">
        <f>LN(Sheet1!D74/Sheet1!D73)</f>
        <v>3.5532334151383599E-2</v>
      </c>
      <c r="E89" s="8">
        <f>LN(Sheet1!E74/Sheet1!E73)</f>
        <v>-4.6943310398284414E-2</v>
      </c>
      <c r="F89" s="8">
        <f>LN(Sheet1!F74/Sheet1!F73)</f>
        <v>3.7021258288131103E-3</v>
      </c>
      <c r="G89" s="8">
        <f>LN(Sheet1!G74/Sheet1!G73)</f>
        <v>0.1124335636598867</v>
      </c>
      <c r="H89" s="8">
        <f>LN(Sheet1!H74/Sheet1!H73)</f>
        <v>4.2359273839141641E-2</v>
      </c>
      <c r="I89" s="8">
        <f>LN(Sheet1!I74/Sheet1!I73)</f>
        <v>6.5105838515277001E-2</v>
      </c>
      <c r="J89" s="8">
        <f>LN(Sheet1!J74/Sheet1!J73)</f>
        <v>-1.1969675009118051E-2</v>
      </c>
      <c r="K89" s="8">
        <f>LN(Sheet1!K74/Sheet1!K73)</f>
        <v>4.7455928766054626E-3</v>
      </c>
      <c r="L89" s="8">
        <f>LN(Sheet1!L74/Sheet1!L73)</f>
        <v>5.8400010247191695E-3</v>
      </c>
      <c r="M89" s="8">
        <f>LN(Sheet1!M74/Sheet1!M73)</f>
        <v>1.8900326367751168E-2</v>
      </c>
      <c r="N89" s="8">
        <f>LN(Sheet1!N74/Sheet1!N73)</f>
        <v>2.0891005624596871E-2</v>
      </c>
      <c r="O89" s="8">
        <f>LN(Sheet1!O74/Sheet1!O73)</f>
        <v>2.4702779376497959E-2</v>
      </c>
      <c r="P89" s="8">
        <f>LN(Sheet1!P74/Sheet1!P73)</f>
        <v>9.2405133323949021E-2</v>
      </c>
      <c r="Q89" s="8">
        <f>LN(Sheet1!Q74/Sheet1!Q73)</f>
        <v>-6.5027792685143554E-2</v>
      </c>
      <c r="R89" s="8">
        <f>LN(Sheet1!R74/Sheet1!R73)</f>
        <v>-5.0594486280371165E-4</v>
      </c>
      <c r="S89" s="8">
        <f>LN(Sheet1!S74/Sheet1!S73)</f>
        <v>-5.0061734730195484E-2</v>
      </c>
      <c r="T89" s="8">
        <f>LN(Sheet1!T74/Sheet1!T73)</f>
        <v>3.938332800037516E-2</v>
      </c>
      <c r="U89" s="8">
        <f>LN(Sheet1!U74/Sheet1!U73)</f>
        <v>2.2867767448387227E-2</v>
      </c>
      <c r="V89" s="8">
        <f>LN(Sheet1!V74/Sheet1!V73)</f>
        <v>0.16367299771588145</v>
      </c>
      <c r="W89" s="8">
        <f>LN(Sheet1!W74/Sheet1!W73)</f>
        <v>1.9586762588546351E-2</v>
      </c>
      <c r="X89" s="8">
        <f>LN(Sheet1!X74/Sheet1!X73)</f>
        <v>0.11020657442952347</v>
      </c>
      <c r="Y89" s="8">
        <f>LN(Sheet1!Y74/Sheet1!Y73)</f>
        <v>9.1917782869763195E-2</v>
      </c>
      <c r="Z89" s="8">
        <f>LN(Sheet1!Z74/Sheet1!Z73)</f>
        <v>4.0708673652096003E-2</v>
      </c>
      <c r="AA89" s="8">
        <f>LN(Sheet1!AA74/Sheet1!AA73)</f>
        <v>9.6134786101566075E-2</v>
      </c>
      <c r="AB89" s="8">
        <f>LN(Sheet1!AB74/Sheet1!AB73)</f>
        <v>-2.919566063826871E-2</v>
      </c>
      <c r="AC89" s="8">
        <f>LN(Sheet1!AC74/Sheet1!AC73)</f>
        <v>3.8350957839424884E-3</v>
      </c>
      <c r="AD89" s="8">
        <f>LN(Sheet1!AD74/Sheet1!AD73)</f>
        <v>3.7103750203377209E-2</v>
      </c>
      <c r="AE89" s="8">
        <f>LN(Sheet1!AE74/Sheet1!AE73)</f>
        <v>4.1345417719852715E-2</v>
      </c>
      <c r="AF89" s="8">
        <f>LN(Sheet1!AF74/Sheet1!AF73)</f>
        <v>2.1561511778846406E-2</v>
      </c>
      <c r="AG89" s="8">
        <f>LN(Sheet1!AG74/Sheet1!AG73)</f>
        <v>-1.3560551327394055E-2</v>
      </c>
    </row>
    <row r="90" spans="1:33" x14ac:dyDescent="0.25">
      <c r="A90" s="7">
        <v>37803</v>
      </c>
      <c r="B90" s="8">
        <f>LN(Sheet1!B75/Sheet1!B74)</f>
        <v>1.6093506478773681E-2</v>
      </c>
      <c r="C90" s="8">
        <f>LN(Sheet1!C75/Sheet1!C74)</f>
        <v>2.7265175221343273E-2</v>
      </c>
      <c r="D90" s="8">
        <f>LN(Sheet1!D75/Sheet1!D74)</f>
        <v>8.5626851500876025E-2</v>
      </c>
      <c r="E90" s="8">
        <f>LN(Sheet1!E75/Sheet1!E74)</f>
        <v>0.15148585919150626</v>
      </c>
      <c r="F90" s="8">
        <f>LN(Sheet1!F75/Sheet1!F74)</f>
        <v>5.7174205516156332E-2</v>
      </c>
      <c r="G90" s="8">
        <f>LN(Sheet1!G75/Sheet1!G74)</f>
        <v>-3.5768965850476626E-2</v>
      </c>
      <c r="H90" s="8">
        <f>LN(Sheet1!H75/Sheet1!H74)</f>
        <v>5.3567745709220176E-2</v>
      </c>
      <c r="I90" s="8">
        <f>LN(Sheet1!I75/Sheet1!I74)</f>
        <v>0.19824210021325817</v>
      </c>
      <c r="J90" s="8">
        <f>LN(Sheet1!J75/Sheet1!J74)</f>
        <v>5.3807918792484317E-2</v>
      </c>
      <c r="K90" s="8">
        <f>LN(Sheet1!K75/Sheet1!K74)</f>
        <v>0.10430788398168291</v>
      </c>
      <c r="L90" s="8">
        <f>LN(Sheet1!L75/Sheet1!L74)</f>
        <v>-8.1855845864394049E-3</v>
      </c>
      <c r="M90" s="8">
        <f>LN(Sheet1!M75/Sheet1!M74)</f>
        <v>3.9014946543331895E-2</v>
      </c>
      <c r="N90" s="8">
        <f>LN(Sheet1!N75/Sheet1!N74)</f>
        <v>-5.9631158721353106E-2</v>
      </c>
      <c r="O90" s="8">
        <f>LN(Sheet1!O75/Sheet1!O74)</f>
        <v>5.1903112477390836E-2</v>
      </c>
      <c r="P90" s="8">
        <f>LN(Sheet1!P75/Sheet1!P74)</f>
        <v>-6.4308903302905144E-3</v>
      </c>
      <c r="Q90" s="8">
        <f>LN(Sheet1!Q75/Sheet1!Q74)</f>
        <v>-1.5271358123533372E-2</v>
      </c>
      <c r="R90" s="8">
        <f>LN(Sheet1!R75/Sheet1!R74)</f>
        <v>0.17885739887909466</v>
      </c>
      <c r="S90" s="8">
        <f>LN(Sheet1!S75/Sheet1!S74)</f>
        <v>1.6817325805092312E-3</v>
      </c>
      <c r="T90" s="8">
        <f>LN(Sheet1!T75/Sheet1!T74)</f>
        <v>3.5278200768644553E-2</v>
      </c>
      <c r="U90" s="8">
        <f>LN(Sheet1!U75/Sheet1!U74)</f>
        <v>-3.1426323174587177E-2</v>
      </c>
      <c r="V90" s="8">
        <f>LN(Sheet1!V75/Sheet1!V74)</f>
        <v>4.2232763623272995E-2</v>
      </c>
      <c r="W90" s="8">
        <f>LN(Sheet1!W75/Sheet1!W74)</f>
        <v>8.3449071665920124E-2</v>
      </c>
      <c r="X90" s="8">
        <f>LN(Sheet1!X75/Sheet1!X74)</f>
        <v>-0.12733505532599829</v>
      </c>
      <c r="Y90" s="8">
        <f>LN(Sheet1!Y75/Sheet1!Y74)</f>
        <v>-9.1020519462773383E-2</v>
      </c>
      <c r="Z90" s="8">
        <f>LN(Sheet1!Z75/Sheet1!Z74)</f>
        <v>2.9919624039095555E-2</v>
      </c>
      <c r="AA90" s="8">
        <f>LN(Sheet1!AA75/Sheet1!AA74)</f>
        <v>-2.3349960115015837E-2</v>
      </c>
      <c r="AB90" s="8">
        <f>LN(Sheet1!AB75/Sheet1!AB74)</f>
        <v>-9.7609364533342829E-3</v>
      </c>
      <c r="AC90" s="8">
        <f>LN(Sheet1!AC75/Sheet1!AC74)</f>
        <v>-7.4991689716204804E-2</v>
      </c>
      <c r="AD90" s="8">
        <f>LN(Sheet1!AD75/Sheet1!AD74)</f>
        <v>6.0447533502029908E-2</v>
      </c>
      <c r="AE90" s="8">
        <f>LN(Sheet1!AE75/Sheet1!AE74)</f>
        <v>-0.11008121679276371</v>
      </c>
      <c r="AF90" s="8">
        <f>LN(Sheet1!AF75/Sheet1!AF74)</f>
        <v>4.0837649975007113E-2</v>
      </c>
      <c r="AG90" s="8">
        <f>LN(Sheet1!AG75/Sheet1!AG74)</f>
        <v>-9.1436174989520322E-3</v>
      </c>
    </row>
    <row r="91" spans="1:33" x14ac:dyDescent="0.25">
      <c r="A91" s="7">
        <v>37834</v>
      </c>
      <c r="B91" s="8">
        <f>LN(Sheet1!B76/Sheet1!B75)</f>
        <v>1.7715343790636197E-2</v>
      </c>
      <c r="C91" s="8">
        <f>LN(Sheet1!C76/Sheet1!C75)</f>
        <v>1.9520588613384737E-2</v>
      </c>
      <c r="D91" s="8">
        <f>LN(Sheet1!D76/Sheet1!D75)</f>
        <v>3.3432508515112321E-2</v>
      </c>
      <c r="E91" s="8">
        <f>LN(Sheet1!E76/Sheet1!E75)</f>
        <v>-7.4945782069171712E-2</v>
      </c>
      <c r="F91" s="8">
        <f>LN(Sheet1!F76/Sheet1!F75)</f>
        <v>1.9671022373965636E-2</v>
      </c>
      <c r="G91" s="8">
        <f>LN(Sheet1!G76/Sheet1!G75)</f>
        <v>0.12665962460777117</v>
      </c>
      <c r="H91" s="8">
        <f>LN(Sheet1!H76/Sheet1!H75)</f>
        <v>-3.2909734088798097E-2</v>
      </c>
      <c r="I91" s="8">
        <f>LN(Sheet1!I76/Sheet1!I75)</f>
        <v>6.2693337434974003E-2</v>
      </c>
      <c r="J91" s="8">
        <f>LN(Sheet1!J76/Sheet1!J75)</f>
        <v>2.6108470432074711E-2</v>
      </c>
      <c r="K91" s="8">
        <f>LN(Sheet1!K76/Sheet1!K75)</f>
        <v>-6.6626006476685401E-2</v>
      </c>
      <c r="L91" s="8">
        <f>LN(Sheet1!L76/Sheet1!L75)</f>
        <v>3.8769007958519522E-2</v>
      </c>
      <c r="M91" s="8">
        <f>LN(Sheet1!M76/Sheet1!M75)</f>
        <v>0.10664586287849011</v>
      </c>
      <c r="N91" s="8">
        <f>LN(Sheet1!N76/Sheet1!N75)</f>
        <v>3.025999790713375E-2</v>
      </c>
      <c r="O91" s="8">
        <f>LN(Sheet1!O76/Sheet1!O75)</f>
        <v>3.1169379962952937E-2</v>
      </c>
      <c r="P91" s="8">
        <f>LN(Sheet1!P76/Sheet1!P75)</f>
        <v>-6.0345504445769103E-2</v>
      </c>
      <c r="Q91" s="8">
        <f>LN(Sheet1!Q76/Sheet1!Q75)</f>
        <v>1.1348543855448373E-2</v>
      </c>
      <c r="R91" s="8">
        <f>LN(Sheet1!R76/Sheet1!R75)</f>
        <v>0.13959633223943993</v>
      </c>
      <c r="S91" s="8">
        <f>LN(Sheet1!S76/Sheet1!S75)</f>
        <v>-3.8758732086288217E-2</v>
      </c>
      <c r="T91" s="8">
        <f>LN(Sheet1!T76/Sheet1!T75)</f>
        <v>-2.4161360662305016E-2</v>
      </c>
      <c r="U91" s="8">
        <f>LN(Sheet1!U76/Sheet1!U75)</f>
        <v>-3.2953555938379224E-2</v>
      </c>
      <c r="V91" s="8">
        <f>LN(Sheet1!V76/Sheet1!V75)</f>
        <v>-2.6185738025755453E-2</v>
      </c>
      <c r="W91" s="8">
        <f>LN(Sheet1!W76/Sheet1!W75)</f>
        <v>2.0730108946075052E-2</v>
      </c>
      <c r="X91" s="8">
        <f>LN(Sheet1!X76/Sheet1!X75)</f>
        <v>2.9687515672968685E-2</v>
      </c>
      <c r="Y91" s="8">
        <f>LN(Sheet1!Y76/Sheet1!Y75)</f>
        <v>-3.9095160497229262E-2</v>
      </c>
      <c r="Z91" s="8">
        <f>LN(Sheet1!Z76/Sheet1!Z75)</f>
        <v>3.9517065694778123E-3</v>
      </c>
      <c r="AA91" s="8">
        <f>LN(Sheet1!AA76/Sheet1!AA75)</f>
        <v>-0.10412379617927002</v>
      </c>
      <c r="AB91" s="8">
        <f>LN(Sheet1!AB76/Sheet1!AB75)</f>
        <v>-6.6429079317100268E-3</v>
      </c>
      <c r="AC91" s="8">
        <f>LN(Sheet1!AC76/Sheet1!AC75)</f>
        <v>-3.9447659997115359E-2</v>
      </c>
      <c r="AD91" s="8">
        <f>LN(Sheet1!AD76/Sheet1!AD75)</f>
        <v>6.7915499037186841E-2</v>
      </c>
      <c r="AE91" s="8">
        <f>LN(Sheet1!AE76/Sheet1!AE75)</f>
        <v>9.071939398675892E-3</v>
      </c>
      <c r="AF91" s="8">
        <f>LN(Sheet1!AF76/Sheet1!AF75)</f>
        <v>5.660510572195656E-2</v>
      </c>
      <c r="AG91" s="8">
        <f>LN(Sheet1!AG76/Sheet1!AG75)</f>
        <v>6.4615064441983242E-2</v>
      </c>
    </row>
    <row r="92" spans="1:33" x14ac:dyDescent="0.25">
      <c r="A92" s="7">
        <v>37866</v>
      </c>
      <c r="B92" s="8">
        <f>LN(Sheet1!B77/Sheet1!B76)</f>
        <v>-1.2016232567985653E-2</v>
      </c>
      <c r="C92" s="8">
        <f>LN(Sheet1!C77/Sheet1!C76)</f>
        <v>-1.5062175902363499E-2</v>
      </c>
      <c r="D92" s="8">
        <f>LN(Sheet1!D77/Sheet1!D76)</f>
        <v>-8.7629997485696068E-2</v>
      </c>
      <c r="E92" s="8">
        <f>LN(Sheet1!E77/Sheet1!E76)</f>
        <v>-3.0663812886115336E-2</v>
      </c>
      <c r="F92" s="8">
        <f>LN(Sheet1!F77/Sheet1!F76)</f>
        <v>2.6319252685147855E-4</v>
      </c>
      <c r="G92" s="8">
        <f>LN(Sheet1!G77/Sheet1!G76)</f>
        <v>-8.530924891909912E-2</v>
      </c>
      <c r="H92" s="8">
        <f>LN(Sheet1!H77/Sheet1!H76)</f>
        <v>4.8461354079587952E-2</v>
      </c>
      <c r="I92" s="8">
        <f>LN(Sheet1!I77/Sheet1!I76)</f>
        <v>-4.2598469741008518E-2</v>
      </c>
      <c r="J92" s="8">
        <f>LN(Sheet1!J77/Sheet1!J76)</f>
        <v>-0.11189464581704758</v>
      </c>
      <c r="K92" s="8">
        <f>LN(Sheet1!K77/Sheet1!K76)</f>
        <v>-1.6343571142156486E-2</v>
      </c>
      <c r="L92" s="8">
        <f>LN(Sheet1!L77/Sheet1!L76)</f>
        <v>1.4205846373984889E-2</v>
      </c>
      <c r="M92" s="8">
        <f>LN(Sheet1!M77/Sheet1!M76)</f>
        <v>-4.0544509638949797E-3</v>
      </c>
      <c r="N92" s="8">
        <f>LN(Sheet1!N77/Sheet1!N76)</f>
        <v>-7.5620942314630684E-3</v>
      </c>
      <c r="O92" s="8">
        <f>LN(Sheet1!O77/Sheet1!O76)</f>
        <v>-9.5347605654363884E-2</v>
      </c>
      <c r="P92" s="8">
        <f>LN(Sheet1!P77/Sheet1!P76)</f>
        <v>-2.5088051862643682E-2</v>
      </c>
      <c r="Q92" s="8">
        <f>LN(Sheet1!Q77/Sheet1!Q76)</f>
        <v>7.4144197475225562E-2</v>
      </c>
      <c r="R92" s="8">
        <f>LN(Sheet1!R77/Sheet1!R76)</f>
        <v>-3.8264232927324573E-2</v>
      </c>
      <c r="S92" s="8">
        <f>LN(Sheet1!S77/Sheet1!S76)</f>
        <v>-1.3109025255040737E-3</v>
      </c>
      <c r="T92" s="8">
        <f>LN(Sheet1!T77/Sheet1!T76)</f>
        <v>3.3444847228471289E-3</v>
      </c>
      <c r="U92" s="8">
        <f>LN(Sheet1!U77/Sheet1!U76)</f>
        <v>-7.8991364990246195E-3</v>
      </c>
      <c r="V92" s="8">
        <f>LN(Sheet1!V77/Sheet1!V76)</f>
        <v>4.8950948798767907E-2</v>
      </c>
      <c r="W92" s="8">
        <f>LN(Sheet1!W77/Sheet1!W76)</f>
        <v>-3.0866647980527268E-2</v>
      </c>
      <c r="X92" s="8">
        <f>LN(Sheet1!X77/Sheet1!X76)</f>
        <v>7.7278781140823524E-2</v>
      </c>
      <c r="Y92" s="8">
        <f>LN(Sheet1!Y77/Sheet1!Y76)</f>
        <v>1.3432346471911626E-2</v>
      </c>
      <c r="Z92" s="8">
        <f>LN(Sheet1!Z77/Sheet1!Z76)</f>
        <v>4.7077584648501411E-2</v>
      </c>
      <c r="AA92" s="8">
        <f>LN(Sheet1!AA77/Sheet1!AA76)</f>
        <v>1.5239098104370328E-2</v>
      </c>
      <c r="AB92" s="8">
        <f>LN(Sheet1!AB77/Sheet1!AB76)</f>
        <v>6.1509995073588571E-2</v>
      </c>
      <c r="AC92" s="8">
        <f>LN(Sheet1!AC77/Sheet1!AC76)</f>
        <v>-9.162015046296634E-3</v>
      </c>
      <c r="AD92" s="8">
        <f>LN(Sheet1!AD77/Sheet1!AD76)</f>
        <v>-3.7770877725467999E-2</v>
      </c>
      <c r="AE92" s="8">
        <f>LN(Sheet1!AE77/Sheet1!AE76)</f>
        <v>-8.4771946319776123E-2</v>
      </c>
      <c r="AF92" s="8">
        <f>LN(Sheet1!AF77/Sheet1!AF76)</f>
        <v>-5.7732925390375431E-2</v>
      </c>
      <c r="AG92" s="8">
        <f>LN(Sheet1!AG77/Sheet1!AG76)</f>
        <v>-2.9418169191685075E-2</v>
      </c>
    </row>
    <row r="93" spans="1:33" x14ac:dyDescent="0.25">
      <c r="A93" s="7">
        <v>37895</v>
      </c>
      <c r="B93" s="8">
        <f>LN(Sheet1!B78/Sheet1!B77)</f>
        <v>5.3504268464946513E-2</v>
      </c>
      <c r="C93" s="8">
        <f>LN(Sheet1!C78/Sheet1!C77)</f>
        <v>5.5167587385426993E-2</v>
      </c>
      <c r="D93" s="8">
        <f>LN(Sheet1!D78/Sheet1!D77)</f>
        <v>0.18787541247675185</v>
      </c>
      <c r="E93" s="8">
        <f>LN(Sheet1!E78/Sheet1!E77)</f>
        <v>5.2680232499952732E-2</v>
      </c>
      <c r="F93" s="8">
        <f>LN(Sheet1!F78/Sheet1!F77)</f>
        <v>4.3009074799853102E-2</v>
      </c>
      <c r="G93" s="8">
        <f>LN(Sheet1!G78/Sheet1!G77)</f>
        <v>0.11441035117774412</v>
      </c>
      <c r="H93" s="8">
        <f>LN(Sheet1!H78/Sheet1!H77)</f>
        <v>4.8151506052732315E-2</v>
      </c>
      <c r="I93" s="8">
        <f>LN(Sheet1!I78/Sheet1!I77)</f>
        <v>6.7312878558453859E-2</v>
      </c>
      <c r="J93" s="8">
        <f>LN(Sheet1!J78/Sheet1!J77)</f>
        <v>9.8412153739100474E-3</v>
      </c>
      <c r="K93" s="8">
        <f>LN(Sheet1!K78/Sheet1!K77)</f>
        <v>0.11560650693186438</v>
      </c>
      <c r="L93" s="8">
        <f>LN(Sheet1!L78/Sheet1!L77)</f>
        <v>-2.7089692646664224E-2</v>
      </c>
      <c r="M93" s="8">
        <f>LN(Sheet1!M78/Sheet1!M77)</f>
        <v>4.1773370025643776E-2</v>
      </c>
      <c r="N93" s="8">
        <f>LN(Sheet1!N78/Sheet1!N77)</f>
        <v>0.15188503173263718</v>
      </c>
      <c r="O93" s="8">
        <f>LN(Sheet1!O78/Sheet1!O77)</f>
        <v>0.14996620341058675</v>
      </c>
      <c r="P93" s="8">
        <f>LN(Sheet1!P78/Sheet1!P77)</f>
        <v>0.14187486721336465</v>
      </c>
      <c r="Q93" s="8">
        <f>LN(Sheet1!Q78/Sheet1!Q77)</f>
        <v>1.2983397772423301E-2</v>
      </c>
      <c r="R93" s="8">
        <f>LN(Sheet1!R78/Sheet1!R77)</f>
        <v>0.18008834482738237</v>
      </c>
      <c r="S93" s="8">
        <f>LN(Sheet1!S78/Sheet1!S77)</f>
        <v>1.6264047107858219E-2</v>
      </c>
      <c r="T93" s="8">
        <f>LN(Sheet1!T78/Sheet1!T77)</f>
        <v>5.4260507219867644E-2</v>
      </c>
      <c r="U93" s="8">
        <f>LN(Sheet1!U78/Sheet1!U77)</f>
        <v>7.7027362615310943E-2</v>
      </c>
      <c r="V93" s="8">
        <f>LN(Sheet1!V78/Sheet1!V77)</f>
        <v>6.0165168557720784E-2</v>
      </c>
      <c r="W93" s="8">
        <f>LN(Sheet1!W78/Sheet1!W77)</f>
        <v>0.1326493422904696</v>
      </c>
      <c r="X93" s="8">
        <f>LN(Sheet1!X78/Sheet1!X77)</f>
        <v>5.990233937261083E-2</v>
      </c>
      <c r="Y93" s="8">
        <f>LN(Sheet1!Y78/Sheet1!Y77)</f>
        <v>-0.13448488527431496</v>
      </c>
      <c r="Z93" s="8">
        <f>LN(Sheet1!Z78/Sheet1!Z77)</f>
        <v>-5.5880458394456614E-2</v>
      </c>
      <c r="AA93" s="8">
        <f>LN(Sheet1!AA78/Sheet1!AA77)</f>
        <v>3.9064641615447072E-2</v>
      </c>
      <c r="AB93" s="8">
        <f>LN(Sheet1!AB78/Sheet1!AB77)</f>
        <v>6.1880046232844869E-2</v>
      </c>
      <c r="AC93" s="8">
        <f>LN(Sheet1!AC78/Sheet1!AC77)</f>
        <v>9.1513050208116245E-2</v>
      </c>
      <c r="AD93" s="8">
        <f>LN(Sheet1!AD78/Sheet1!AD77)</f>
        <v>9.1629055785751062E-2</v>
      </c>
      <c r="AE93" s="8">
        <f>LN(Sheet1!AE78/Sheet1!AE77)</f>
        <v>4.6537200570578627E-2</v>
      </c>
      <c r="AF93" s="8">
        <f>LN(Sheet1!AF78/Sheet1!AF77)</f>
        <v>5.5600349497736484E-2</v>
      </c>
      <c r="AG93" s="8">
        <f>LN(Sheet1!AG78/Sheet1!AG77)</f>
        <v>-5.9136607282231596E-4</v>
      </c>
    </row>
    <row r="94" spans="1:33" x14ac:dyDescent="0.25">
      <c r="A94" s="7">
        <v>37928</v>
      </c>
      <c r="B94" s="8">
        <f>LN(Sheet1!B79/Sheet1!B78)</f>
        <v>7.1032253560451564E-3</v>
      </c>
      <c r="C94" s="8">
        <f>LN(Sheet1!C79/Sheet1!C78)</f>
        <v>-1.9056787009480915E-3</v>
      </c>
      <c r="D94" s="8">
        <f>LN(Sheet1!D79/Sheet1!D78)</f>
        <v>4.3157726112620851E-2</v>
      </c>
      <c r="E94" s="8">
        <f>LN(Sheet1!E79/Sheet1!E78)</f>
        <v>-4.841886241498488E-2</v>
      </c>
      <c r="F94" s="8">
        <f>LN(Sheet1!F79/Sheet1!F78)</f>
        <v>-2.6307225181921558E-2</v>
      </c>
      <c r="G94" s="8">
        <f>LN(Sheet1!G79/Sheet1!G78)</f>
        <v>1.6533484063876403E-3</v>
      </c>
      <c r="H94" s="8">
        <f>LN(Sheet1!H79/Sheet1!H78)</f>
        <v>-7.744472395477711E-3</v>
      </c>
      <c r="I94" s="8">
        <f>LN(Sheet1!I79/Sheet1!I78)</f>
        <v>3.7083541796968218E-2</v>
      </c>
      <c r="J94" s="8">
        <f>LN(Sheet1!J79/Sheet1!J78)</f>
        <v>3.4377096113080638E-2</v>
      </c>
      <c r="K94" s="8">
        <f>LN(Sheet1!K79/Sheet1!K78)</f>
        <v>1.9532758181061954E-2</v>
      </c>
      <c r="L94" s="8">
        <f>LN(Sheet1!L79/Sheet1!L78)</f>
        <v>-1.1893483761535085E-2</v>
      </c>
      <c r="M94" s="8">
        <f>LN(Sheet1!M79/Sheet1!M78)</f>
        <v>1.4094471266330099E-2</v>
      </c>
      <c r="N94" s="8">
        <f>LN(Sheet1!N79/Sheet1!N78)</f>
        <v>-8.5421931726763177E-3</v>
      </c>
      <c r="O94" s="8">
        <f>LN(Sheet1!O79/Sheet1!O78)</f>
        <v>-2.4391453124159124E-2</v>
      </c>
      <c r="P94" s="8">
        <f>LN(Sheet1!P79/Sheet1!P78)</f>
        <v>-2.5654613626562392E-2</v>
      </c>
      <c r="Q94" s="8">
        <f>LN(Sheet1!Q79/Sheet1!Q78)</f>
        <v>1.3619785787578815E-2</v>
      </c>
      <c r="R94" s="8">
        <f>LN(Sheet1!R79/Sheet1!R78)</f>
        <v>1.8354945683651966E-2</v>
      </c>
      <c r="S94" s="8">
        <f>LN(Sheet1!S79/Sheet1!S78)</f>
        <v>-1.582688863095098E-2</v>
      </c>
      <c r="T94" s="8">
        <f>LN(Sheet1!T79/Sheet1!T78)</f>
        <v>-1.4012968151695499E-2</v>
      </c>
      <c r="U94" s="8">
        <f>LN(Sheet1!U79/Sheet1!U78)</f>
        <v>6.8452999505242175E-3</v>
      </c>
      <c r="V94" s="8">
        <f>LN(Sheet1!V79/Sheet1!V78)</f>
        <v>4.0268207990803745E-2</v>
      </c>
      <c r="W94" s="8">
        <f>LN(Sheet1!W79/Sheet1!W78)</f>
        <v>6.4308903302903314E-3</v>
      </c>
      <c r="X94" s="8">
        <f>LN(Sheet1!X79/Sheet1!X78)</f>
        <v>0.11183390763506193</v>
      </c>
      <c r="Y94" s="8">
        <f>LN(Sheet1!Y79/Sheet1!Y78)</f>
        <v>-8.624611963451087E-2</v>
      </c>
      <c r="Z94" s="8">
        <f>LN(Sheet1!Z79/Sheet1!Z78)</f>
        <v>-1.6492462075725196E-2</v>
      </c>
      <c r="AA94" s="8">
        <f>LN(Sheet1!AA79/Sheet1!AA78)</f>
        <v>6.5225585515932577E-2</v>
      </c>
      <c r="AB94" s="8">
        <f>LN(Sheet1!AB79/Sheet1!AB78)</f>
        <v>-2.0946637306591697E-2</v>
      </c>
      <c r="AC94" s="8">
        <f>LN(Sheet1!AC79/Sheet1!AC78)</f>
        <v>-2.9583506103994552E-2</v>
      </c>
      <c r="AD94" s="8">
        <f>LN(Sheet1!AD79/Sheet1!AD78)</f>
        <v>1.592865932784477E-2</v>
      </c>
      <c r="AE94" s="8">
        <f>LN(Sheet1!AE79/Sheet1!AE78)</f>
        <v>-2.2997910830812943E-2</v>
      </c>
      <c r="AF94" s="8">
        <f>LN(Sheet1!AF79/Sheet1!AF78)</f>
        <v>-5.7671328304390021E-2</v>
      </c>
      <c r="AG94" s="8">
        <f>LN(Sheet1!AG79/Sheet1!AG78)</f>
        <v>-3.5555593013332069E-3</v>
      </c>
    </row>
    <row r="95" spans="1:33" x14ac:dyDescent="0.25">
      <c r="A95" s="7">
        <v>37956</v>
      </c>
      <c r="B95" s="8">
        <f>LN(Sheet1!B80/Sheet1!B79)</f>
        <v>4.9518899306471208E-2</v>
      </c>
      <c r="C95" s="8">
        <f>LN(Sheet1!C80/Sheet1!C79)</f>
        <v>6.6386041528522177E-2</v>
      </c>
      <c r="D95" s="8">
        <f>LN(Sheet1!D80/Sheet1!D79)</f>
        <v>0.14682670342690285</v>
      </c>
      <c r="E95" s="8">
        <f>LN(Sheet1!E80/Sheet1!E79)</f>
        <v>0.13534583341173897</v>
      </c>
      <c r="F95" s="8">
        <f>LN(Sheet1!F80/Sheet1!F79)</f>
        <v>5.5618811961694686E-2</v>
      </c>
      <c r="G95" s="8">
        <f>LN(Sheet1!G80/Sheet1!G79)</f>
        <v>9.325560766017095E-2</v>
      </c>
      <c r="H95" s="8">
        <f>LN(Sheet1!H80/Sheet1!H79)</f>
        <v>3.1566465967834509E-2</v>
      </c>
      <c r="I95" s="8">
        <f>LN(Sheet1!I80/Sheet1!I79)</f>
        <v>8.7874441388148886E-2</v>
      </c>
      <c r="J95" s="8">
        <f>LN(Sheet1!J80/Sheet1!J79)</f>
        <v>0.1017042044547159</v>
      </c>
      <c r="K95" s="8">
        <f>LN(Sheet1!K80/Sheet1!K79)</f>
        <v>1.9599736543332382E-2</v>
      </c>
      <c r="L95" s="8">
        <f>LN(Sheet1!L80/Sheet1!L79)</f>
        <v>8.4338310552002554E-2</v>
      </c>
      <c r="M95" s="8">
        <f>LN(Sheet1!M80/Sheet1!M79)</f>
        <v>0.22182544919015523</v>
      </c>
      <c r="N95" s="8">
        <f>LN(Sheet1!N80/Sheet1!N79)</f>
        <v>-3.3142568282667387E-2</v>
      </c>
      <c r="O95" s="8">
        <f>LN(Sheet1!O80/Sheet1!O79)</f>
        <v>0.11867023981184896</v>
      </c>
      <c r="P95" s="8">
        <f>LN(Sheet1!P80/Sheet1!P79)</f>
        <v>5.841417514317037E-2</v>
      </c>
      <c r="Q95" s="8">
        <f>LN(Sheet1!Q80/Sheet1!Q79)</f>
        <v>2.3341191083997837E-2</v>
      </c>
      <c r="R95" s="8">
        <f>LN(Sheet1!R80/Sheet1!R79)</f>
        <v>-4.5221750203520684E-2</v>
      </c>
      <c r="S95" s="8">
        <f>LN(Sheet1!S80/Sheet1!S79)</f>
        <v>4.6748454257904824E-2</v>
      </c>
      <c r="T95" s="8">
        <f>LN(Sheet1!T80/Sheet1!T79)</f>
        <v>3.6837157317279261E-2</v>
      </c>
      <c r="U95" s="8">
        <f>LN(Sheet1!U80/Sheet1!U79)</f>
        <v>8.7560116861510814E-2</v>
      </c>
      <c r="V95" s="8">
        <f>LN(Sheet1!V80/Sheet1!V79)</f>
        <v>-3.1654890312688928E-2</v>
      </c>
      <c r="W95" s="8">
        <f>LN(Sheet1!W80/Sheet1!W79)</f>
        <v>7.3094287322875817E-2</v>
      </c>
      <c r="X95" s="8">
        <f>LN(Sheet1!X80/Sheet1!X79)</f>
        <v>5.8171379890909126E-2</v>
      </c>
      <c r="Y95" s="8">
        <f>LN(Sheet1!Y80/Sheet1!Y79)</f>
        <v>0.13803928906371266</v>
      </c>
      <c r="Z95" s="8">
        <f>LN(Sheet1!Z80/Sheet1!Z79)</f>
        <v>6.2711009558444844E-2</v>
      </c>
      <c r="AA95" s="8">
        <f>LN(Sheet1!AA80/Sheet1!AA79)</f>
        <v>5.1176969908594536E-2</v>
      </c>
      <c r="AB95" s="8">
        <f>LN(Sheet1!AB80/Sheet1!AB79)</f>
        <v>3.7179003241754029E-2</v>
      </c>
      <c r="AC95" s="8">
        <f>LN(Sheet1!AC80/Sheet1!AC79)</f>
        <v>0.11296511504304563</v>
      </c>
      <c r="AD95" s="8">
        <f>LN(Sheet1!AD80/Sheet1!AD79)</f>
        <v>0.1006829261067153</v>
      </c>
      <c r="AE95" s="8">
        <f>LN(Sheet1!AE80/Sheet1!AE79)</f>
        <v>6.6083670943969441E-2</v>
      </c>
      <c r="AF95" s="8">
        <f>LN(Sheet1!AF80/Sheet1!AF79)</f>
        <v>-4.6089329221775242E-2</v>
      </c>
      <c r="AG95" s="8">
        <f>LN(Sheet1!AG80/Sheet1!AG79)</f>
        <v>0.12458678916162431</v>
      </c>
    </row>
    <row r="96" spans="1:33" x14ac:dyDescent="0.25">
      <c r="A96" s="7">
        <v>37988</v>
      </c>
      <c r="B96" s="8">
        <f>LN(Sheet1!B81/Sheet1!B80)</f>
        <v>1.7128882262967212E-2</v>
      </c>
      <c r="C96" s="8">
        <f>LN(Sheet1!C81/Sheet1!C80)</f>
        <v>3.2613930452861633E-3</v>
      </c>
      <c r="D96" s="8">
        <f>LN(Sheet1!D81/Sheet1!D80)</f>
        <v>-0.10576898030774839</v>
      </c>
      <c r="E96" s="8">
        <f>LN(Sheet1!E81/Sheet1!E80)</f>
        <v>4.6857596868582194E-2</v>
      </c>
      <c r="F96" s="8">
        <f>LN(Sheet1!F81/Sheet1!F80)</f>
        <v>7.223526326761405E-2</v>
      </c>
      <c r="G96" s="8">
        <f>LN(Sheet1!G81/Sheet1!G80)</f>
        <v>-9.3234894861874036E-3</v>
      </c>
      <c r="H96" s="8">
        <f>LN(Sheet1!H81/Sheet1!H80)</f>
        <v>2.7398974188114347E-2</v>
      </c>
      <c r="I96" s="8">
        <f>LN(Sheet1!I81/Sheet1!I80)</f>
        <v>-5.6449584359160386E-2</v>
      </c>
      <c r="J96" s="8">
        <f>LN(Sheet1!J81/Sheet1!J80)</f>
        <v>-4.4440662621338563E-2</v>
      </c>
      <c r="K96" s="8">
        <f>LN(Sheet1!K81/Sheet1!K80)</f>
        <v>2.869762151390079E-2</v>
      </c>
      <c r="L96" s="8">
        <f>LN(Sheet1!L81/Sheet1!L80)</f>
        <v>8.2032703832313869E-2</v>
      </c>
      <c r="M96" s="8">
        <f>LN(Sheet1!M81/Sheet1!M80)</f>
        <v>-7.223273403186882E-2</v>
      </c>
      <c r="N96" s="8">
        <f>LN(Sheet1!N81/Sheet1!N80)</f>
        <v>-5.9136607282231596E-4</v>
      </c>
      <c r="O96" s="8">
        <f>LN(Sheet1!O81/Sheet1!O80)</f>
        <v>7.7534168636861314E-2</v>
      </c>
      <c r="P96" s="8">
        <f>LN(Sheet1!P81/Sheet1!P80)</f>
        <v>3.5232183619677705E-2</v>
      </c>
      <c r="Q96" s="8">
        <f>LN(Sheet1!Q81/Sheet1!Q80)</f>
        <v>6.8283320528230468E-2</v>
      </c>
      <c r="R96" s="8">
        <f>LN(Sheet1!R81/Sheet1!R80)</f>
        <v>-4.9085483362403724E-2</v>
      </c>
      <c r="S96" s="8">
        <f>LN(Sheet1!S81/Sheet1!S80)</f>
        <v>3.3428725277597028E-2</v>
      </c>
      <c r="T96" s="8">
        <f>LN(Sheet1!T81/Sheet1!T80)</f>
        <v>6.6661459308234777E-2</v>
      </c>
      <c r="U96" s="8">
        <f>LN(Sheet1!U81/Sheet1!U80)</f>
        <v>-3.0192623753623273E-2</v>
      </c>
      <c r="V96" s="8">
        <f>LN(Sheet1!V81/Sheet1!V80)</f>
        <v>3.5800833233100009E-2</v>
      </c>
      <c r="W96" s="8">
        <f>LN(Sheet1!W81/Sheet1!W80)</f>
        <v>-7.2412577568476938E-2</v>
      </c>
      <c r="X96" s="8">
        <f>LN(Sheet1!X81/Sheet1!X80)</f>
        <v>2.1005597766109923E-2</v>
      </c>
      <c r="Y96" s="8">
        <f>LN(Sheet1!Y81/Sheet1!Y80)</f>
        <v>2.9786817563221081E-2</v>
      </c>
      <c r="Z96" s="8">
        <f>LN(Sheet1!Z81/Sheet1!Z80)</f>
        <v>1.0079883749587876E-2</v>
      </c>
      <c r="AA96" s="8">
        <f>LN(Sheet1!AA81/Sheet1!AA80)</f>
        <v>3.627742403367918E-2</v>
      </c>
      <c r="AB96" s="8">
        <f>LN(Sheet1!AB81/Sheet1!AB80)</f>
        <v>1.6395555175892342E-2</v>
      </c>
      <c r="AC96" s="8">
        <f>LN(Sheet1!AC81/Sheet1!AC80)</f>
        <v>-1.0509578111859822E-2</v>
      </c>
      <c r="AD96" s="8">
        <f>LN(Sheet1!AD81/Sheet1!AD80)</f>
        <v>8.0053796437856307E-3</v>
      </c>
      <c r="AE96" s="8">
        <f>LN(Sheet1!AE81/Sheet1!AE80)</f>
        <v>6.0034789291427686E-2</v>
      </c>
      <c r="AF96" s="8">
        <f>LN(Sheet1!AF81/Sheet1!AF80)</f>
        <v>1.5082060441545518E-2</v>
      </c>
      <c r="AG96" s="8">
        <f>LN(Sheet1!AG81/Sheet1!AG80)</f>
        <v>-5.2548728383585855E-3</v>
      </c>
    </row>
    <row r="97" spans="1:33" x14ac:dyDescent="0.25">
      <c r="A97" s="7">
        <v>38019</v>
      </c>
      <c r="B97" s="8">
        <f>LN(Sheet1!B82/Sheet1!B81)</f>
        <v>1.2135100829125884E-2</v>
      </c>
      <c r="C97" s="8">
        <f>LN(Sheet1!C82/Sheet1!C81)</f>
        <v>9.0974474715437969E-3</v>
      </c>
      <c r="D97" s="8">
        <f>LN(Sheet1!D82/Sheet1!D81)</f>
        <v>9.6109814299754695E-2</v>
      </c>
      <c r="E97" s="8">
        <f>LN(Sheet1!E82/Sheet1!E81)</f>
        <v>6.3365727954945356E-2</v>
      </c>
      <c r="F97" s="8">
        <f>LN(Sheet1!F82/Sheet1!F81)</f>
        <v>3.00605855723091E-2</v>
      </c>
      <c r="G97" s="8">
        <f>LN(Sheet1!G82/Sheet1!G81)</f>
        <v>4.1894836540913111E-2</v>
      </c>
      <c r="H97" s="8">
        <f>LN(Sheet1!H82/Sheet1!H81)</f>
        <v>1.5454853066367796E-2</v>
      </c>
      <c r="I97" s="8">
        <f>LN(Sheet1!I82/Sheet1!I81)</f>
        <v>-3.0864946600027362E-2</v>
      </c>
      <c r="J97" s="8">
        <f>LN(Sheet1!J82/Sheet1!J81)</f>
        <v>3.4624632883681915E-2</v>
      </c>
      <c r="K97" s="8">
        <f>LN(Sheet1!K82/Sheet1!K81)</f>
        <v>9.98589114777029E-2</v>
      </c>
      <c r="L97" s="8">
        <f>LN(Sheet1!L82/Sheet1!L81)</f>
        <v>-2.7498833930650089E-2</v>
      </c>
      <c r="M97" s="8">
        <f>LN(Sheet1!M82/Sheet1!M81)</f>
        <v>-2.1737389992568124E-2</v>
      </c>
      <c r="N97" s="8">
        <f>LN(Sheet1!N82/Sheet1!N81)</f>
        <v>2.3386040927458097E-2</v>
      </c>
      <c r="O97" s="8">
        <f>LN(Sheet1!O82/Sheet1!O81)</f>
        <v>-2.5080631757416896E-2</v>
      </c>
      <c r="P97" s="8">
        <f>LN(Sheet1!P82/Sheet1!P81)</f>
        <v>-4.6186195477401097E-2</v>
      </c>
      <c r="Q97" s="8">
        <f>LN(Sheet1!Q82/Sheet1!Q81)</f>
        <v>-2.6283836074227761E-2</v>
      </c>
      <c r="R97" s="8">
        <f>LN(Sheet1!R82/Sheet1!R81)</f>
        <v>-4.2949226759450322E-2</v>
      </c>
      <c r="S97" s="8">
        <f>LN(Sheet1!S82/Sheet1!S81)</f>
        <v>1.3622005508401595E-2</v>
      </c>
      <c r="T97" s="8">
        <f>LN(Sheet1!T82/Sheet1!T81)</f>
        <v>5.3214524565444427E-2</v>
      </c>
      <c r="U97" s="8">
        <f>LN(Sheet1!U82/Sheet1!U81)</f>
        <v>1.4334791718321357E-2</v>
      </c>
      <c r="V97" s="8">
        <f>LN(Sheet1!V82/Sheet1!V81)</f>
        <v>9.5046858569707543E-2</v>
      </c>
      <c r="W97" s="8">
        <f>LN(Sheet1!W82/Sheet1!W81)</f>
        <v>-9.1737481864292755E-3</v>
      </c>
      <c r="X97" s="8">
        <f>LN(Sheet1!X82/Sheet1!X81)</f>
        <v>3.478131438369244E-2</v>
      </c>
      <c r="Y97" s="8">
        <f>LN(Sheet1!Y82/Sheet1!Y81)</f>
        <v>1.0135221894043148E-2</v>
      </c>
      <c r="Z97" s="8">
        <f>LN(Sheet1!Z82/Sheet1!Z81)</f>
        <v>-4.1379330468916203E-2</v>
      </c>
      <c r="AA97" s="8">
        <f>LN(Sheet1!AA82/Sheet1!AA81)</f>
        <v>4.8602768822526626E-3</v>
      </c>
      <c r="AB97" s="8">
        <f>LN(Sheet1!AB82/Sheet1!AB81)</f>
        <v>1.4050771161019861E-2</v>
      </c>
      <c r="AC97" s="8">
        <f>LN(Sheet1!AC82/Sheet1!AC81)</f>
        <v>-6.0107989102093598E-2</v>
      </c>
      <c r="AD97" s="8">
        <f>LN(Sheet1!AD82/Sheet1!AD81)</f>
        <v>-3.2871036899649937E-2</v>
      </c>
      <c r="AE97" s="8">
        <f>LN(Sheet1!AE82/Sheet1!AE81)</f>
        <v>3.9258272544072395E-2</v>
      </c>
      <c r="AF97" s="8">
        <f>LN(Sheet1!AF82/Sheet1!AF81)</f>
        <v>0.10070349883319214</v>
      </c>
      <c r="AG97" s="8">
        <f>LN(Sheet1!AG82/Sheet1!AG81)</f>
        <v>3.9514501556831047E-2</v>
      </c>
    </row>
    <row r="98" spans="1:33" x14ac:dyDescent="0.25">
      <c r="A98" s="7">
        <v>38047</v>
      </c>
      <c r="B98" s="8">
        <f>LN(Sheet1!B83/Sheet1!B82)</f>
        <v>-1.6494220669989047E-2</v>
      </c>
      <c r="C98" s="8">
        <f>LN(Sheet1!C83/Sheet1!C82)</f>
        <v>-2.1605663743134138E-2</v>
      </c>
      <c r="D98" s="8">
        <f>LN(Sheet1!D83/Sheet1!D82)</f>
        <v>-7.6812607962183366E-2</v>
      </c>
      <c r="E98" s="8">
        <f>LN(Sheet1!E83/Sheet1!E82)</f>
        <v>-3.5551776265424634E-2</v>
      </c>
      <c r="F98" s="8">
        <f>LN(Sheet1!F83/Sheet1!F82)</f>
        <v>-2.8013036227674006E-2</v>
      </c>
      <c r="G98" s="8">
        <f>LN(Sheet1!G83/Sheet1!G82)</f>
        <v>-5.4377484929424243E-2</v>
      </c>
      <c r="H98" s="8">
        <f>LN(Sheet1!H83/Sheet1!H82)</f>
        <v>2.8239786535443581E-2</v>
      </c>
      <c r="I98" s="8">
        <f>LN(Sheet1!I83/Sheet1!I82)</f>
        <v>4.3002654614451519E-2</v>
      </c>
      <c r="J98" s="8">
        <f>LN(Sheet1!J83/Sheet1!J82)</f>
        <v>-6.5739406317710927E-2</v>
      </c>
      <c r="K98" s="8">
        <f>LN(Sheet1!K83/Sheet1!K82)</f>
        <v>-5.9534254496960266E-2</v>
      </c>
      <c r="L98" s="8">
        <f>LN(Sheet1!L83/Sheet1!L82)</f>
        <v>-6.344182119886925E-2</v>
      </c>
      <c r="M98" s="8">
        <f>LN(Sheet1!M83/Sheet1!M82)</f>
        <v>-1.8277589357275328E-2</v>
      </c>
      <c r="N98" s="8">
        <f>LN(Sheet1!N83/Sheet1!N82)</f>
        <v>3.044765006455568E-2</v>
      </c>
      <c r="O98" s="8">
        <f>LN(Sheet1!O83/Sheet1!O82)</f>
        <v>-3.4872774014128673E-2</v>
      </c>
      <c r="P98" s="8">
        <f>LN(Sheet1!P83/Sheet1!P82)</f>
        <v>9.1366556101412106E-3</v>
      </c>
      <c r="Q98" s="8">
        <f>LN(Sheet1!Q83/Sheet1!Q82)</f>
        <v>-4.9531418211784313E-2</v>
      </c>
      <c r="R98" s="8">
        <f>LN(Sheet1!R83/Sheet1!R82)</f>
        <v>-7.0793051991099462E-2</v>
      </c>
      <c r="S98" s="8">
        <f>LN(Sheet1!S83/Sheet1!S82)</f>
        <v>-6.1122159017603338E-2</v>
      </c>
      <c r="T98" s="8">
        <f>LN(Sheet1!T83/Sheet1!T82)</f>
        <v>2.2503321829180908E-2</v>
      </c>
      <c r="U98" s="8">
        <f>LN(Sheet1!U83/Sheet1!U82)</f>
        <v>1.1970977649326949E-2</v>
      </c>
      <c r="V98" s="8">
        <f>LN(Sheet1!V83/Sheet1!V82)</f>
        <v>9.3616111524334709E-3</v>
      </c>
      <c r="W98" s="8">
        <f>LN(Sheet1!W83/Sheet1!W82)</f>
        <v>4.8200483562664424E-2</v>
      </c>
      <c r="X98" s="8">
        <f>LN(Sheet1!X83/Sheet1!X82)</f>
        <v>-4.3527314554498479E-2</v>
      </c>
      <c r="Y98" s="8">
        <f>LN(Sheet1!Y83/Sheet1!Y82)</f>
        <v>-7.6567361135268658E-2</v>
      </c>
      <c r="Z98" s="8">
        <f>LN(Sheet1!Z83/Sheet1!Z82)</f>
        <v>-6.2450111050300627E-2</v>
      </c>
      <c r="AA98" s="8">
        <f>LN(Sheet1!AA83/Sheet1!AA82)</f>
        <v>-4.4617065488806805E-2</v>
      </c>
      <c r="AB98" s="8">
        <f>LN(Sheet1!AB83/Sheet1!AB82)</f>
        <v>2.2852255387449606E-2</v>
      </c>
      <c r="AC98" s="8">
        <f>LN(Sheet1!AC83/Sheet1!AC82)</f>
        <v>2.1713760223784261E-2</v>
      </c>
      <c r="AD98" s="8">
        <f>LN(Sheet1!AD83/Sheet1!AD82)</f>
        <v>-6.5011662730201036E-2</v>
      </c>
      <c r="AE98" s="8">
        <f>LN(Sheet1!AE83/Sheet1!AE82)</f>
        <v>-4.8086186667637795E-2</v>
      </c>
      <c r="AF98" s="8">
        <f>LN(Sheet1!AF83/Sheet1!AF82)</f>
        <v>4.5598114782635524E-3</v>
      </c>
      <c r="AG98" s="8">
        <f>LN(Sheet1!AG83/Sheet1!AG82)</f>
        <v>-1.3768702981800784E-2</v>
      </c>
    </row>
    <row r="99" spans="1:33" x14ac:dyDescent="0.25">
      <c r="A99" s="7">
        <v>38078</v>
      </c>
      <c r="B99" s="8">
        <f>LN(Sheet1!B84/Sheet1!B83)</f>
        <v>-1.6933393494544095E-2</v>
      </c>
      <c r="C99" s="8">
        <f>LN(Sheet1!C84/Sheet1!C83)</f>
        <v>-1.2838758365565243E-2</v>
      </c>
      <c r="D99" s="8">
        <f>LN(Sheet1!D84/Sheet1!D83)</f>
        <v>-0.12075446200385265</v>
      </c>
      <c r="E99" s="8">
        <f>LN(Sheet1!E84/Sheet1!E83)</f>
        <v>4.1562223928246766E-3</v>
      </c>
      <c r="F99" s="8">
        <f>LN(Sheet1!F84/Sheet1!F83)</f>
        <v>-5.7532815470294915E-2</v>
      </c>
      <c r="G99" s="8">
        <f>LN(Sheet1!G84/Sheet1!G83)</f>
        <v>3.8717757042856779E-2</v>
      </c>
      <c r="H99" s="8">
        <f>LN(Sheet1!H84/Sheet1!H83)</f>
        <v>-6.4056287069349446E-2</v>
      </c>
      <c r="I99" s="8">
        <f>LN(Sheet1!I84/Sheet1!I83)</f>
        <v>-1.2680596192795912E-2</v>
      </c>
      <c r="J99" s="8">
        <f>LN(Sheet1!J84/Sheet1!J83)</f>
        <v>1.7232802434478989E-2</v>
      </c>
      <c r="K99" s="8">
        <f>LN(Sheet1!K84/Sheet1!K83)</f>
        <v>-8.189704013030194E-2</v>
      </c>
      <c r="L99" s="8">
        <f>LN(Sheet1!L84/Sheet1!L83)</f>
        <v>-1.8786679694647371E-2</v>
      </c>
      <c r="M99" s="8">
        <f>LN(Sheet1!M84/Sheet1!M83)</f>
        <v>3.6823412175139361E-3</v>
      </c>
      <c r="N99" s="8">
        <f>LN(Sheet1!N84/Sheet1!N83)</f>
        <v>-5.9766665974794318E-2</v>
      </c>
      <c r="O99" s="8">
        <f>LN(Sheet1!O84/Sheet1!O83)</f>
        <v>2.1627547264108048E-2</v>
      </c>
      <c r="P99" s="8">
        <f>LN(Sheet1!P84/Sheet1!P83)</f>
        <v>-0.14772902061974691</v>
      </c>
      <c r="Q99" s="8">
        <f>LN(Sheet1!Q84/Sheet1!Q83)</f>
        <v>-4.0765575439307006E-2</v>
      </c>
      <c r="R99" s="8">
        <f>LN(Sheet1!R84/Sheet1!R83)</f>
        <v>-5.5569851154810765E-2</v>
      </c>
      <c r="S99" s="8">
        <f>LN(Sheet1!S84/Sheet1!S83)</f>
        <v>6.3308386659716248E-2</v>
      </c>
      <c r="T99" s="8">
        <f>LN(Sheet1!T84/Sheet1!T83)</f>
        <v>-0.10149548929145365</v>
      </c>
      <c r="U99" s="8">
        <f>LN(Sheet1!U84/Sheet1!U83)</f>
        <v>5.179122496028493E-3</v>
      </c>
      <c r="V99" s="8">
        <f>LN(Sheet1!V84/Sheet1!V83)</f>
        <v>-4.8100875134437449E-2</v>
      </c>
      <c r="W99" s="8">
        <f>LN(Sheet1!W84/Sheet1!W83)</f>
        <v>5.4708611661063056E-2</v>
      </c>
      <c r="X99" s="8">
        <f>LN(Sheet1!X84/Sheet1!X83)</f>
        <v>1.6859067472337223E-2</v>
      </c>
      <c r="Y99" s="8">
        <f>LN(Sheet1!Y84/Sheet1!Y83)</f>
        <v>6.1569498976511865E-2</v>
      </c>
      <c r="Z99" s="8">
        <f>LN(Sheet1!Z84/Sheet1!Z83)</f>
        <v>4.7088825888813454E-2</v>
      </c>
      <c r="AA99" s="8">
        <f>LN(Sheet1!AA84/Sheet1!AA83)</f>
        <v>2.0075956572689225E-2</v>
      </c>
      <c r="AB99" s="8">
        <f>LN(Sheet1!AB84/Sheet1!AB83)</f>
        <v>1.3545137850050239E-2</v>
      </c>
      <c r="AC99" s="8">
        <f>LN(Sheet1!AC84/Sheet1!AC83)</f>
        <v>2.7308665008125094E-2</v>
      </c>
      <c r="AD99" s="8">
        <f>LN(Sheet1!AD84/Sheet1!AD83)</f>
        <v>-4.8863914971759945E-4</v>
      </c>
      <c r="AE99" s="8">
        <f>LN(Sheet1!AE84/Sheet1!AE83)</f>
        <v>4.2751166952663906E-2</v>
      </c>
      <c r="AF99" s="8">
        <f>LN(Sheet1!AF84/Sheet1!AF83)</f>
        <v>-4.6195109042679053E-2</v>
      </c>
      <c r="AG99" s="8">
        <f>LN(Sheet1!AG84/Sheet1!AG83)</f>
        <v>2.2843632919466828E-2</v>
      </c>
    </row>
    <row r="100" spans="1:33" x14ac:dyDescent="0.25">
      <c r="A100" s="7">
        <v>38110</v>
      </c>
      <c r="B100" s="8">
        <f>LN(Sheet1!B85/Sheet1!B84)</f>
        <v>1.2011024205564368E-2</v>
      </c>
      <c r="C100" s="8">
        <f>LN(Sheet1!C85/Sheet1!C84)</f>
        <v>-3.6367203433323668E-3</v>
      </c>
      <c r="D100" s="8">
        <f>LN(Sheet1!D85/Sheet1!D84)</f>
        <v>2.2696985322544317E-2</v>
      </c>
      <c r="E100" s="8">
        <f>LN(Sheet1!E85/Sheet1!E84)</f>
        <v>2.2765210773012426E-2</v>
      </c>
      <c r="F100" s="8">
        <f>LN(Sheet1!F85/Sheet1!F84)</f>
        <v>3.5008305391617735E-2</v>
      </c>
      <c r="G100" s="8">
        <f>LN(Sheet1!G85/Sheet1!G84)</f>
        <v>7.5041128313801372E-2</v>
      </c>
      <c r="H100" s="8">
        <f>LN(Sheet1!H85/Sheet1!H84)</f>
        <v>-3.4966102245586411E-2</v>
      </c>
      <c r="I100" s="8">
        <f>LN(Sheet1!I85/Sheet1!I84)</f>
        <v>-3.1162041671380467E-2</v>
      </c>
      <c r="J100" s="8">
        <f>LN(Sheet1!J85/Sheet1!J84)</f>
        <v>1.4137235838204735E-2</v>
      </c>
      <c r="K100" s="8">
        <f>LN(Sheet1!K85/Sheet1!K84)</f>
        <v>1.9031333412517466E-2</v>
      </c>
      <c r="L100" s="8">
        <f>LN(Sheet1!L85/Sheet1!L84)</f>
        <v>3.8280474375648528E-2</v>
      </c>
      <c r="M100" s="8">
        <f>LN(Sheet1!M85/Sheet1!M84)</f>
        <v>-3.2373344994415063E-2</v>
      </c>
      <c r="N100" s="8">
        <f>LN(Sheet1!N85/Sheet1!N84)</f>
        <v>2.0321712434879954E-2</v>
      </c>
      <c r="O100" s="8">
        <f>LN(Sheet1!O85/Sheet1!O84)</f>
        <v>-2.0044517014255157E-2</v>
      </c>
      <c r="P100" s="8">
        <f>LN(Sheet1!P85/Sheet1!P84)</f>
        <v>7.5124098541888021E-2</v>
      </c>
      <c r="Q100" s="8">
        <f>LN(Sheet1!Q85/Sheet1!Q84)</f>
        <v>6.7939818551883578E-3</v>
      </c>
      <c r="R100" s="8">
        <f>LN(Sheet1!R85/Sheet1!R84)</f>
        <v>0.10527887967263871</v>
      </c>
      <c r="S100" s="8">
        <f>LN(Sheet1!S85/Sheet1!S84)</f>
        <v>3.5878287664901851E-2</v>
      </c>
      <c r="T100" s="8">
        <f>LN(Sheet1!T85/Sheet1!T84)</f>
        <v>-2.03843988663341E-2</v>
      </c>
      <c r="U100" s="8">
        <f>LN(Sheet1!U85/Sheet1!U84)</f>
        <v>1.5378346637265854E-2</v>
      </c>
      <c r="V100" s="8">
        <f>LN(Sheet1!V85/Sheet1!V84)</f>
        <v>-3.097944325599615E-2</v>
      </c>
      <c r="W100" s="8">
        <f>LN(Sheet1!W85/Sheet1!W84)</f>
        <v>-1.8032043805922941E-2</v>
      </c>
      <c r="X100" s="8">
        <f>LN(Sheet1!X85/Sheet1!X84)</f>
        <v>-0.14357248108885343</v>
      </c>
      <c r="Y100" s="8">
        <f>LN(Sheet1!Y85/Sheet1!Y84)</f>
        <v>6.3168334439040533E-3</v>
      </c>
      <c r="Z100" s="8">
        <f>LN(Sheet1!Z85/Sheet1!Z84)</f>
        <v>3.9726381974784647E-3</v>
      </c>
      <c r="AA100" s="8">
        <f>LN(Sheet1!AA85/Sheet1!AA84)</f>
        <v>-7.1684894786126279E-3</v>
      </c>
      <c r="AB100" s="8">
        <f>LN(Sheet1!AB85/Sheet1!AB84)</f>
        <v>1.889663389128949E-2</v>
      </c>
      <c r="AC100" s="8">
        <f>LN(Sheet1!AC85/Sheet1!AC84)</f>
        <v>-4.9510349125463357E-2</v>
      </c>
      <c r="AD100" s="8">
        <f>LN(Sheet1!AD85/Sheet1!AD84)</f>
        <v>-1.5019363954351302E-2</v>
      </c>
      <c r="AE100" s="8">
        <f>LN(Sheet1!AE85/Sheet1!AE84)</f>
        <v>-8.7411937780084686E-2</v>
      </c>
      <c r="AF100" s="8">
        <f>LN(Sheet1!AF85/Sheet1!AF84)</f>
        <v>-2.0176528964398185E-2</v>
      </c>
      <c r="AG100" s="8">
        <f>LN(Sheet1!AG85/Sheet1!AG84)</f>
        <v>2.2824111594938128E-2</v>
      </c>
    </row>
    <row r="101" spans="1:33" x14ac:dyDescent="0.25">
      <c r="A101" s="7">
        <v>38139</v>
      </c>
      <c r="B101" s="8">
        <f>LN(Sheet1!B86/Sheet1!B85)</f>
        <v>1.7829189249312503E-2</v>
      </c>
      <c r="C101" s="8">
        <f>LN(Sheet1!C86/Sheet1!C85)</f>
        <v>2.3956812759857667E-2</v>
      </c>
      <c r="D101" s="8">
        <f>LN(Sheet1!D86/Sheet1!D85)</f>
        <v>5.3619725894385219E-2</v>
      </c>
      <c r="E101" s="8">
        <f>LN(Sheet1!E86/Sheet1!E85)</f>
        <v>-2.6921433165837144E-2</v>
      </c>
      <c r="F101" s="8">
        <f>LN(Sheet1!F86/Sheet1!F85)</f>
        <v>1.5454119123760405E-2</v>
      </c>
      <c r="G101" s="8">
        <f>LN(Sheet1!G86/Sheet1!G85)</f>
        <v>0.10912828856863302</v>
      </c>
      <c r="H101" s="8">
        <f>LN(Sheet1!H86/Sheet1!H85)</f>
        <v>1.4513790646467639E-3</v>
      </c>
      <c r="I101" s="8">
        <f>LN(Sheet1!I86/Sheet1!I85)</f>
        <v>5.2916625931585519E-2</v>
      </c>
      <c r="J101" s="8">
        <f>LN(Sheet1!J86/Sheet1!J85)</f>
        <v>2.7936886686861288E-2</v>
      </c>
      <c r="K101" s="8">
        <f>LN(Sheet1!K86/Sheet1!K85)</f>
        <v>8.2434207204971646E-2</v>
      </c>
      <c r="L101" s="8">
        <f>LN(Sheet1!L86/Sheet1!L85)</f>
        <v>4.6296626825743238E-2</v>
      </c>
      <c r="M101" s="8">
        <f>LN(Sheet1!M86/Sheet1!M85)</f>
        <v>2.5981976138122635E-2</v>
      </c>
      <c r="N101" s="8">
        <f>LN(Sheet1!N86/Sheet1!N85)</f>
        <v>-1.7647516813578002E-2</v>
      </c>
      <c r="O101" s="8">
        <f>LN(Sheet1!O86/Sheet1!O85)</f>
        <v>8.3128492440832036E-2</v>
      </c>
      <c r="P101" s="8">
        <f>LN(Sheet1!P86/Sheet1!P85)</f>
        <v>-2.9382979024468688E-3</v>
      </c>
      <c r="Q101" s="8">
        <f>LN(Sheet1!Q86/Sheet1!Q85)</f>
        <v>-5.0324876530185893E-3</v>
      </c>
      <c r="R101" s="8">
        <f>LN(Sheet1!R86/Sheet1!R85)</f>
        <v>-3.3622890766203464E-2</v>
      </c>
      <c r="S101" s="8">
        <f>LN(Sheet1!S86/Sheet1!S85)</f>
        <v>-1.9155253386790114E-4</v>
      </c>
      <c r="T101" s="8">
        <f>LN(Sheet1!T86/Sheet1!T85)</f>
        <v>5.1066133518819112E-2</v>
      </c>
      <c r="U101" s="8">
        <f>LN(Sheet1!U86/Sheet1!U85)</f>
        <v>-1.2154963594879423E-2</v>
      </c>
      <c r="V101" s="8">
        <f>LN(Sheet1!V86/Sheet1!V85)</f>
        <v>-1.5037877364540446E-2</v>
      </c>
      <c r="W101" s="8">
        <f>LN(Sheet1!W86/Sheet1!W85)</f>
        <v>6.2451431868441772E-2</v>
      </c>
      <c r="X101" s="8">
        <f>LN(Sheet1!X86/Sheet1!X85)</f>
        <v>5.6586433700663796E-2</v>
      </c>
      <c r="Y101" s="8">
        <f>LN(Sheet1!Y86/Sheet1!Y85)</f>
        <v>1.2036736561825159E-2</v>
      </c>
      <c r="Z101" s="8">
        <f>LN(Sheet1!Z86/Sheet1!Z85)</f>
        <v>8.5247708102132932E-2</v>
      </c>
      <c r="AA101" s="8">
        <f>LN(Sheet1!AA86/Sheet1!AA85)</f>
        <v>-3.01658053233573E-2</v>
      </c>
      <c r="AB101" s="8">
        <f>LN(Sheet1!AB86/Sheet1!AB85)</f>
        <v>9.8040000966208348E-3</v>
      </c>
      <c r="AC101" s="8">
        <f>LN(Sheet1!AC86/Sheet1!AC85)</f>
        <v>2.3155882663020193E-2</v>
      </c>
      <c r="AD101" s="8">
        <f>LN(Sheet1!AD86/Sheet1!AD85)</f>
        <v>7.7998752387399339E-2</v>
      </c>
      <c r="AE101" s="8">
        <f>LN(Sheet1!AE86/Sheet1!AE85)</f>
        <v>4.5317369669132405E-2</v>
      </c>
      <c r="AF101" s="8">
        <f>LN(Sheet1!AF86/Sheet1!AF85)</f>
        <v>-5.9713481309278227E-2</v>
      </c>
      <c r="AG101" s="8">
        <f>LN(Sheet1!AG86/Sheet1!AG85)</f>
        <v>2.6384200186691457E-2</v>
      </c>
    </row>
    <row r="102" spans="1:33" x14ac:dyDescent="0.25">
      <c r="A102" s="7">
        <v>38169</v>
      </c>
      <c r="B102" s="8">
        <f>LN(Sheet1!B87/Sheet1!B86)</f>
        <v>-3.4892238215330364E-2</v>
      </c>
      <c r="C102" s="8">
        <f>LN(Sheet1!C87/Sheet1!C86)</f>
        <v>-2.875214036438933E-2</v>
      </c>
      <c r="D102" s="8">
        <f>LN(Sheet1!D87/Sheet1!D86)</f>
        <v>-3.0761587818335056E-2</v>
      </c>
      <c r="E102" s="8">
        <f>LN(Sheet1!E87/Sheet1!E86)</f>
        <v>-8.7991912845980427E-3</v>
      </c>
      <c r="F102" s="8">
        <f>LN(Sheet1!F87/Sheet1!F86)</f>
        <v>-2.2217993307410963E-2</v>
      </c>
      <c r="G102" s="8">
        <f>LN(Sheet1!G87/Sheet1!G86)</f>
        <v>-6.5857410287184113E-3</v>
      </c>
      <c r="H102" s="8">
        <f>LN(Sheet1!H87/Sheet1!H86)</f>
        <v>-4.423204029890046E-2</v>
      </c>
      <c r="I102" s="8">
        <f>LN(Sheet1!I87/Sheet1!I86)</f>
        <v>-7.2719253227765179E-2</v>
      </c>
      <c r="J102" s="8">
        <f>LN(Sheet1!J87/Sheet1!J86)</f>
        <v>-3.562331961101748E-2</v>
      </c>
      <c r="K102" s="8">
        <f>LN(Sheet1!K87/Sheet1!K86)</f>
        <v>-9.8788162846772498E-2</v>
      </c>
      <c r="L102" s="8">
        <f>LN(Sheet1!L87/Sheet1!L86)</f>
        <v>2.5803614893977558E-2</v>
      </c>
      <c r="M102" s="8">
        <f>LN(Sheet1!M87/Sheet1!M86)</f>
        <v>-7.686240235127817E-2</v>
      </c>
      <c r="N102" s="8">
        <f>LN(Sheet1!N87/Sheet1!N86)</f>
        <v>-4.3049993956568028E-2</v>
      </c>
      <c r="O102" s="8">
        <f>LN(Sheet1!O87/Sheet1!O86)</f>
        <v>2.6430725579602313E-2</v>
      </c>
      <c r="P102" s="8">
        <f>LN(Sheet1!P87/Sheet1!P86)</f>
        <v>-4.6169765202255596E-2</v>
      </c>
      <c r="Q102" s="8">
        <f>LN(Sheet1!Q87/Sheet1!Q86)</f>
        <v>-1.2277335184633696E-2</v>
      </c>
      <c r="R102" s="8">
        <f>LN(Sheet1!R87/Sheet1!R86)</f>
        <v>-0.12402397442375113</v>
      </c>
      <c r="S102" s="8">
        <f>LN(Sheet1!S87/Sheet1!S86)</f>
        <v>-7.8854144527929632E-3</v>
      </c>
      <c r="T102" s="8">
        <f>LN(Sheet1!T87/Sheet1!T86)</f>
        <v>-2.8902902283044814E-2</v>
      </c>
      <c r="U102" s="8">
        <f>LN(Sheet1!U87/Sheet1!U86)</f>
        <v>-0.14051313627215606</v>
      </c>
      <c r="V102" s="8">
        <f>LN(Sheet1!V87/Sheet1!V86)</f>
        <v>5.6134138425190404E-2</v>
      </c>
      <c r="W102" s="8">
        <f>LN(Sheet1!W87/Sheet1!W86)</f>
        <v>-8.8826024279554439E-2</v>
      </c>
      <c r="X102" s="8">
        <f>LN(Sheet1!X87/Sheet1!X86)</f>
        <v>-5.0174100090535453E-2</v>
      </c>
      <c r="Y102" s="8">
        <f>LN(Sheet1!Y87/Sheet1!Y86)</f>
        <v>-4.6531410542508714E-2</v>
      </c>
      <c r="Z102" s="8">
        <f>LN(Sheet1!Z87/Sheet1!Z86)</f>
        <v>-2.8357321007908888E-3</v>
      </c>
      <c r="AA102" s="8">
        <f>LN(Sheet1!AA87/Sheet1!AA86)</f>
        <v>-7.0098760457828785E-2</v>
      </c>
      <c r="AB102" s="8">
        <f>LN(Sheet1!AB87/Sheet1!AB86)</f>
        <v>-3.8385939722374043E-2</v>
      </c>
      <c r="AC102" s="8">
        <f>LN(Sheet1!AC87/Sheet1!AC86)</f>
        <v>5.6999443964405115E-2</v>
      </c>
      <c r="AD102" s="8">
        <f>LN(Sheet1!AD87/Sheet1!AD86)</f>
        <v>2.1789332312747822E-2</v>
      </c>
      <c r="AE102" s="8">
        <f>LN(Sheet1!AE87/Sheet1!AE86)</f>
        <v>7.3685922392480313E-2</v>
      </c>
      <c r="AF102" s="8">
        <f>LN(Sheet1!AF87/Sheet1!AF86)</f>
        <v>9.679087910209435E-3</v>
      </c>
      <c r="AG102" s="8">
        <f>LN(Sheet1!AG87/Sheet1!AG86)</f>
        <v>4.1643443947016398E-2</v>
      </c>
    </row>
    <row r="103" spans="1:33" x14ac:dyDescent="0.25">
      <c r="A103" s="7">
        <v>38201</v>
      </c>
      <c r="B103" s="8">
        <f>LN(Sheet1!B88/Sheet1!B87)</f>
        <v>2.284720571713859E-3</v>
      </c>
      <c r="C103" s="8">
        <f>LN(Sheet1!C88/Sheet1!C87)</f>
        <v>3.3681850404639209E-3</v>
      </c>
      <c r="D103" s="8">
        <f>LN(Sheet1!D88/Sheet1!D87)</f>
        <v>1.5826245260789358E-2</v>
      </c>
      <c r="E103" s="8">
        <f>LN(Sheet1!E88/Sheet1!E87)</f>
        <v>8.2245611869014527E-3</v>
      </c>
      <c r="F103" s="8">
        <f>LN(Sheet1!F88/Sheet1!F87)</f>
        <v>-4.6915403903913522E-3</v>
      </c>
      <c r="G103" s="8">
        <f>LN(Sheet1!G88/Sheet1!G87)</f>
        <v>3.2503369084975982E-2</v>
      </c>
      <c r="H103" s="8">
        <f>LN(Sheet1!H88/Sheet1!H87)</f>
        <v>5.505075382606793E-2</v>
      </c>
      <c r="I103" s="8">
        <f>LN(Sheet1!I88/Sheet1!I87)</f>
        <v>-1.0627703075082968E-2</v>
      </c>
      <c r="J103" s="8">
        <f>LN(Sheet1!J88/Sheet1!J87)</f>
        <v>-5.9332045588074778E-3</v>
      </c>
      <c r="K103" s="8">
        <f>LN(Sheet1!K88/Sheet1!K87)</f>
        <v>-2.8018100249570882E-2</v>
      </c>
      <c r="L103" s="8">
        <f>LN(Sheet1!L88/Sheet1!L87)</f>
        <v>-1.3811465848713839E-2</v>
      </c>
      <c r="M103" s="8">
        <f>LN(Sheet1!M88/Sheet1!M87)</f>
        <v>-3.1379366586075194E-2</v>
      </c>
      <c r="N103" s="8">
        <f>LN(Sheet1!N88/Sheet1!N87)</f>
        <v>8.3183324102234224E-2</v>
      </c>
      <c r="O103" s="8">
        <f>LN(Sheet1!O88/Sheet1!O87)</f>
        <v>-3.8733165451821948E-2</v>
      </c>
      <c r="P103" s="8">
        <f>LN(Sheet1!P88/Sheet1!P87)</f>
        <v>-0.11874651968890919</v>
      </c>
      <c r="Q103" s="8">
        <f>LN(Sheet1!Q88/Sheet1!Q87)</f>
        <v>-2.5625462335532569E-2</v>
      </c>
      <c r="R103" s="8">
        <f>LN(Sheet1!R88/Sheet1!R87)</f>
        <v>-0.13420750439311019</v>
      </c>
      <c r="S103" s="8">
        <f>LN(Sheet1!S88/Sheet1!S87)</f>
        <v>5.5032192878494882E-2</v>
      </c>
      <c r="T103" s="8">
        <f>LN(Sheet1!T88/Sheet1!T87)</f>
        <v>5.8391855050178208E-2</v>
      </c>
      <c r="U103" s="8">
        <f>LN(Sheet1!U88/Sheet1!U87)</f>
        <v>1.9076147060813887E-2</v>
      </c>
      <c r="V103" s="8">
        <f>LN(Sheet1!V88/Sheet1!V87)</f>
        <v>-1.7969233496558507E-2</v>
      </c>
      <c r="W103" s="8">
        <f>LN(Sheet1!W88/Sheet1!W87)</f>
        <v>4.5304588524666123E-3</v>
      </c>
      <c r="X103" s="8">
        <f>LN(Sheet1!X88/Sheet1!X87)</f>
        <v>2.7735783570144192E-2</v>
      </c>
      <c r="Y103" s="8">
        <f>LN(Sheet1!Y88/Sheet1!Y87)</f>
        <v>-8.3071591628037945E-3</v>
      </c>
      <c r="Z103" s="8">
        <f>LN(Sheet1!Z88/Sheet1!Z87)</f>
        <v>-3.9723882318004902E-2</v>
      </c>
      <c r="AA103" s="8">
        <f>LN(Sheet1!AA88/Sheet1!AA87)</f>
        <v>2.7286822558994381E-2</v>
      </c>
      <c r="AB103" s="8">
        <f>LN(Sheet1!AB88/Sheet1!AB87)</f>
        <v>7.0829518502811592E-2</v>
      </c>
      <c r="AC103" s="8">
        <f>LN(Sheet1!AC88/Sheet1!AC87)</f>
        <v>1.7415041601678071E-2</v>
      </c>
      <c r="AD103" s="8">
        <f>LN(Sheet1!AD88/Sheet1!AD87)</f>
        <v>8.2728252704250219E-3</v>
      </c>
      <c r="AE103" s="8">
        <f>LN(Sheet1!AE88/Sheet1!AE87)</f>
        <v>1.8426740978567079E-2</v>
      </c>
      <c r="AF103" s="8">
        <f>LN(Sheet1!AF88/Sheet1!AF87)</f>
        <v>-4.1367142611445189E-3</v>
      </c>
      <c r="AG103" s="8">
        <f>LN(Sheet1!AG88/Sheet1!AG87)</f>
        <v>1.6027479103530621E-3</v>
      </c>
    </row>
    <row r="104" spans="1:33" x14ac:dyDescent="0.25">
      <c r="A104" s="7">
        <v>38231</v>
      </c>
      <c r="B104" s="8">
        <f>LN(Sheet1!B89/Sheet1!B88)</f>
        <v>9.3203368022064838E-3</v>
      </c>
      <c r="C104" s="8">
        <f>LN(Sheet1!C89/Sheet1!C88)</f>
        <v>-9.247535190224216E-3</v>
      </c>
      <c r="D104" s="8">
        <f>LN(Sheet1!D89/Sheet1!D88)</f>
        <v>3.6612952647512791E-2</v>
      </c>
      <c r="E104" s="8">
        <f>LN(Sheet1!E89/Sheet1!E88)</f>
        <v>-4.5569318442395187E-2</v>
      </c>
      <c r="F104" s="8">
        <f>LN(Sheet1!F89/Sheet1!F88)</f>
        <v>2.8281903538081191E-2</v>
      </c>
      <c r="G104" s="8">
        <f>LN(Sheet1!G89/Sheet1!G88)</f>
        <v>-1.1458563406843574E-2</v>
      </c>
      <c r="H104" s="8">
        <f>LN(Sheet1!H89/Sheet1!H88)</f>
        <v>-5.4293082366662249E-2</v>
      </c>
      <c r="I104" s="8">
        <f>LN(Sheet1!I89/Sheet1!I88)</f>
        <v>0.10125159468832919</v>
      </c>
      <c r="J104" s="8">
        <f>LN(Sheet1!J89/Sheet1!J88)</f>
        <v>1.2598186934499239E-2</v>
      </c>
      <c r="K104" s="8">
        <f>LN(Sheet1!K89/Sheet1!K88)</f>
        <v>4.572481674890049E-3</v>
      </c>
      <c r="L104" s="8">
        <f>LN(Sheet1!L89/Sheet1!L88)</f>
        <v>2.9687386528721642E-2</v>
      </c>
      <c r="M104" s="8">
        <f>LN(Sheet1!M89/Sheet1!M88)</f>
        <v>2.7911309221875173E-2</v>
      </c>
      <c r="N104" s="8">
        <f>LN(Sheet1!N89/Sheet1!N88)</f>
        <v>6.9638804978262664E-2</v>
      </c>
      <c r="O104" s="8">
        <f>LN(Sheet1!O89/Sheet1!O88)</f>
        <v>-3.5429620763441066E-3</v>
      </c>
      <c r="P104" s="8">
        <f>LN(Sheet1!P89/Sheet1!P88)</f>
        <v>5.1293294387550481E-2</v>
      </c>
      <c r="Q104" s="8">
        <f>LN(Sheet1!Q89/Sheet1!Q88)</f>
        <v>1.2353311993871418E-2</v>
      </c>
      <c r="R104" s="8">
        <f>LN(Sheet1!R89/Sheet1!R88)</f>
        <v>-5.9272855097540683E-2</v>
      </c>
      <c r="S104" s="8">
        <f>LN(Sheet1!S89/Sheet1!S88)</f>
        <v>-3.0805924604701402E-2</v>
      </c>
      <c r="T104" s="8">
        <f>LN(Sheet1!T89/Sheet1!T88)</f>
        <v>3.9040763474929964E-3</v>
      </c>
      <c r="U104" s="8">
        <f>LN(Sheet1!U89/Sheet1!U88)</f>
        <v>-0.10433821323632875</v>
      </c>
      <c r="V104" s="8">
        <f>LN(Sheet1!V89/Sheet1!V88)</f>
        <v>3.676173284592596E-2</v>
      </c>
      <c r="W104" s="8">
        <f>LN(Sheet1!W89/Sheet1!W88)</f>
        <v>-2.9489064262600308E-2</v>
      </c>
      <c r="X104" s="8">
        <f>LN(Sheet1!X89/Sheet1!X88)</f>
        <v>-2.4863593946048475E-2</v>
      </c>
      <c r="Y104" s="8">
        <f>LN(Sheet1!Y89/Sheet1!Y88)</f>
        <v>-0.30091381766140052</v>
      </c>
      <c r="Z104" s="8">
        <f>LN(Sheet1!Z89/Sheet1!Z88)</f>
        <v>1.3000812177251454E-2</v>
      </c>
      <c r="AA104" s="8">
        <f>LN(Sheet1!AA89/Sheet1!AA88)</f>
        <v>-6.5346384383339465E-2</v>
      </c>
      <c r="AB104" s="8">
        <f>LN(Sheet1!AB89/Sheet1!AB88)</f>
        <v>-3.3614996329463284E-2</v>
      </c>
      <c r="AC104" s="8">
        <f>LN(Sheet1!AC89/Sheet1!AC88)</f>
        <v>6.1783073845398575E-3</v>
      </c>
      <c r="AD104" s="8">
        <f>LN(Sheet1!AD89/Sheet1!AD88)</f>
        <v>-5.8061797771386198E-3</v>
      </c>
      <c r="AE104" s="8">
        <f>LN(Sheet1!AE89/Sheet1!AE88)</f>
        <v>3.2870192452173347E-3</v>
      </c>
      <c r="AF104" s="8">
        <f>LN(Sheet1!AF89/Sheet1!AF88)</f>
        <v>1.0016778243471429E-2</v>
      </c>
      <c r="AG104" s="8">
        <f>LN(Sheet1!AG89/Sheet1!AG88)</f>
        <v>4.7361989645809413E-2</v>
      </c>
    </row>
    <row r="105" spans="1:33" x14ac:dyDescent="0.25">
      <c r="A105" s="7">
        <v>38261</v>
      </c>
      <c r="B105" s="8">
        <f>LN(Sheet1!B90/Sheet1!B89)</f>
        <v>1.391695587821374E-2</v>
      </c>
      <c r="C105" s="8">
        <f>LN(Sheet1!C90/Sheet1!C89)</f>
        <v>-5.2517211138072856E-3</v>
      </c>
      <c r="D105" s="8">
        <f>LN(Sheet1!D90/Sheet1!D89)</f>
        <v>-3.3021112051200563E-2</v>
      </c>
      <c r="E105" s="8">
        <f>LN(Sheet1!E90/Sheet1!E89)</f>
        <v>-0.11326251213177946</v>
      </c>
      <c r="F105" s="8">
        <f>LN(Sheet1!F90/Sheet1!F89)</f>
        <v>3.3268970686128246E-2</v>
      </c>
      <c r="G105" s="8">
        <f>LN(Sheet1!G90/Sheet1!G89)</f>
        <v>-3.392943945525808E-2</v>
      </c>
      <c r="H105" s="8">
        <f>LN(Sheet1!H90/Sheet1!H89)</f>
        <v>1.4785383991150279E-2</v>
      </c>
      <c r="I105" s="8">
        <f>LN(Sheet1!I90/Sheet1!I89)</f>
        <v>6.2435166396850204E-3</v>
      </c>
      <c r="J105" s="8">
        <f>LN(Sheet1!J90/Sheet1!J89)</f>
        <v>1.7868543363101796E-3</v>
      </c>
      <c r="K105" s="8">
        <f>LN(Sheet1!K90/Sheet1!K89)</f>
        <v>0.11168173546020645</v>
      </c>
      <c r="L105" s="8">
        <f>LN(Sheet1!L90/Sheet1!L89)</f>
        <v>1.5944215317980712E-2</v>
      </c>
      <c r="M105" s="8">
        <f>LN(Sheet1!M90/Sheet1!M89)</f>
        <v>-9.7316466841238403E-2</v>
      </c>
      <c r="N105" s="8">
        <f>LN(Sheet1!N90/Sheet1!N89)</f>
        <v>4.7003329242329084E-2</v>
      </c>
      <c r="O105" s="8">
        <f>LN(Sheet1!O90/Sheet1!O89)</f>
        <v>-6.2548980340859733E-2</v>
      </c>
      <c r="P105" s="8">
        <f>LN(Sheet1!P90/Sheet1!P89)</f>
        <v>-4.9573221874276352E-3</v>
      </c>
      <c r="Q105" s="8">
        <f>LN(Sheet1!Q90/Sheet1!Q89)</f>
        <v>4.5759232593762231E-2</v>
      </c>
      <c r="R105" s="8">
        <f>LN(Sheet1!R90/Sheet1!R89)</f>
        <v>0.1040026003710874</v>
      </c>
      <c r="S105" s="8">
        <f>LN(Sheet1!S90/Sheet1!S89)</f>
        <v>3.5728001810129709E-2</v>
      </c>
      <c r="T105" s="8">
        <f>LN(Sheet1!T90/Sheet1!T89)</f>
        <v>-2.0526518521375884E-2</v>
      </c>
      <c r="U105" s="8">
        <f>LN(Sheet1!U90/Sheet1!U89)</f>
        <v>1.5210433340321268E-2</v>
      </c>
      <c r="V105" s="8">
        <f>LN(Sheet1!V90/Sheet1!V89)</f>
        <v>3.9483713403186377E-2</v>
      </c>
      <c r="W105" s="8">
        <f>LN(Sheet1!W90/Sheet1!W89)</f>
        <v>-3.0385161139890295E-2</v>
      </c>
      <c r="X105" s="8">
        <f>LN(Sheet1!X90/Sheet1!X89)</f>
        <v>2.9515486348008053E-2</v>
      </c>
      <c r="Y105" s="8">
        <f>LN(Sheet1!Y90/Sheet1!Y89)</f>
        <v>-5.2588351766913136E-2</v>
      </c>
      <c r="Z105" s="8">
        <f>LN(Sheet1!Z90/Sheet1!Z89)</f>
        <v>1.159913584335194E-2</v>
      </c>
      <c r="AA105" s="8">
        <f>LN(Sheet1!AA90/Sheet1!AA89)</f>
        <v>-5.5764861958000948E-2</v>
      </c>
      <c r="AB105" s="8">
        <f>LN(Sheet1!AB90/Sheet1!AB89)</f>
        <v>-5.109796281158023E-2</v>
      </c>
      <c r="AC105" s="8">
        <f>LN(Sheet1!AC90/Sheet1!AC89)</f>
        <v>-1.5517934980672736E-2</v>
      </c>
      <c r="AD105" s="8">
        <f>LN(Sheet1!AD90/Sheet1!AD89)</f>
        <v>-5.8400884765641634E-3</v>
      </c>
      <c r="AE105" s="8">
        <f>LN(Sheet1!AE90/Sheet1!AE89)</f>
        <v>2.0861280103191431E-3</v>
      </c>
      <c r="AF105" s="8">
        <f>LN(Sheet1!AF90/Sheet1!AF89)</f>
        <v>1.3587165546308356E-2</v>
      </c>
      <c r="AG105" s="8">
        <f>LN(Sheet1!AG90/Sheet1!AG89)</f>
        <v>1.8162661440691671E-2</v>
      </c>
    </row>
    <row r="106" spans="1:33" x14ac:dyDescent="0.25">
      <c r="A106" s="7">
        <v>38292</v>
      </c>
      <c r="B106" s="8">
        <f>LN(Sheet1!B91/Sheet1!B90)</f>
        <v>3.7868779461133012E-2</v>
      </c>
      <c r="C106" s="8">
        <f>LN(Sheet1!C91/Sheet1!C90)</f>
        <v>3.9168087097756384E-2</v>
      </c>
      <c r="D106" s="8">
        <f>LN(Sheet1!D91/Sheet1!D90)</f>
        <v>4.928671932829095E-2</v>
      </c>
      <c r="E106" s="8">
        <f>LN(Sheet1!E91/Sheet1!E90)</f>
        <v>4.2538559792567418E-2</v>
      </c>
      <c r="F106" s="8">
        <f>LN(Sheet1!F91/Sheet1!F90)</f>
        <v>4.8547986251715608E-2</v>
      </c>
      <c r="G106" s="8">
        <f>LN(Sheet1!G91/Sheet1!G90)</f>
        <v>7.4929339702120831E-2</v>
      </c>
      <c r="H106" s="8">
        <f>LN(Sheet1!H91/Sheet1!H90)</f>
        <v>8.4221453988784865E-3</v>
      </c>
      <c r="I106" s="8">
        <f>LN(Sheet1!I91/Sheet1!I90)</f>
        <v>0.12810304468837291</v>
      </c>
      <c r="J106" s="8">
        <f>LN(Sheet1!J91/Sheet1!J90)</f>
        <v>6.3485939824179369E-2</v>
      </c>
      <c r="K106" s="8">
        <f>LN(Sheet1!K91/Sheet1!K90)</f>
        <v>6.4002881992499858E-2</v>
      </c>
      <c r="L106" s="8">
        <f>LN(Sheet1!L91/Sheet1!L90)</f>
        <v>3.5734732757342326E-2</v>
      </c>
      <c r="M106" s="8">
        <f>LN(Sheet1!M91/Sheet1!M90)</f>
        <v>1.403942334572721E-2</v>
      </c>
      <c r="N106" s="8">
        <f>LN(Sheet1!N91/Sheet1!N90)</f>
        <v>1.8100041643617937E-2</v>
      </c>
      <c r="O106" s="8">
        <f>LN(Sheet1!O91/Sheet1!O90)</f>
        <v>5.3039250427178254E-2</v>
      </c>
      <c r="P106" s="8">
        <f>LN(Sheet1!P91/Sheet1!P90)</f>
        <v>6.9324125285596824E-2</v>
      </c>
      <c r="Q106" s="8">
        <f>LN(Sheet1!Q91/Sheet1!Q90)</f>
        <v>5.0666445089770057E-2</v>
      </c>
      <c r="R106" s="8">
        <f>LN(Sheet1!R91/Sheet1!R90)</f>
        <v>7.0307296877894559E-3</v>
      </c>
      <c r="S106" s="8">
        <f>LN(Sheet1!S91/Sheet1!S90)</f>
        <v>3.7302442088912174E-2</v>
      </c>
      <c r="T106" s="8">
        <f>LN(Sheet1!T91/Sheet1!T90)</f>
        <v>-2.5026475134450894E-2</v>
      </c>
      <c r="U106" s="8">
        <f>LN(Sheet1!U91/Sheet1!U90)</f>
        <v>-2.7384261490320243E-2</v>
      </c>
      <c r="V106" s="8">
        <f>LN(Sheet1!V91/Sheet1!V90)</f>
        <v>7.1181854484333187E-2</v>
      </c>
      <c r="W106" s="8">
        <f>LN(Sheet1!W91/Sheet1!W90)</f>
        <v>3.0119097549122797E-2</v>
      </c>
      <c r="X106" s="8">
        <f>LN(Sheet1!X91/Sheet1!X90)</f>
        <v>0.17106829416037053</v>
      </c>
      <c r="Y106" s="8">
        <f>LN(Sheet1!Y91/Sheet1!Y90)</f>
        <v>-0.11105625124363276</v>
      </c>
      <c r="Z106" s="8">
        <f>LN(Sheet1!Z91/Sheet1!Z90)</f>
        <v>6.5747633359275401E-2</v>
      </c>
      <c r="AA106" s="8">
        <f>LN(Sheet1!AA91/Sheet1!AA90)</f>
        <v>-3.5566176176145242E-2</v>
      </c>
      <c r="AB106" s="8">
        <f>LN(Sheet1!AB91/Sheet1!AB90)</f>
        <v>4.38437402341064E-2</v>
      </c>
      <c r="AC106" s="8">
        <f>LN(Sheet1!AC91/Sheet1!AC90)</f>
        <v>-3.5810244177060277E-3</v>
      </c>
      <c r="AD106" s="8">
        <f>LN(Sheet1!AD91/Sheet1!AD90)</f>
        <v>5.3509804349506453E-2</v>
      </c>
      <c r="AE106" s="8">
        <f>LN(Sheet1!AE91/Sheet1!AE90)</f>
        <v>5.3048228730486036E-2</v>
      </c>
      <c r="AF106" s="8">
        <f>LN(Sheet1!AF91/Sheet1!AF90)</f>
        <v>-3.5118861571465716E-2</v>
      </c>
      <c r="AG106" s="8">
        <f>LN(Sheet1!AG91/Sheet1!AG90)</f>
        <v>4.585750586787013E-2</v>
      </c>
    </row>
    <row r="107" spans="1:33" x14ac:dyDescent="0.25">
      <c r="A107" s="7">
        <v>38322</v>
      </c>
      <c r="B107" s="8">
        <f>LN(Sheet1!B92/Sheet1!B91)</f>
        <v>3.1942491193192112E-2</v>
      </c>
      <c r="C107" s="8">
        <f>LN(Sheet1!C92/Sheet1!C91)</f>
        <v>3.3475333302478455E-2</v>
      </c>
      <c r="D107" s="8">
        <f>LN(Sheet1!D92/Sheet1!D91)</f>
        <v>-7.8724929102155519E-2</v>
      </c>
      <c r="E107" s="8">
        <f>LN(Sheet1!E92/Sheet1!E91)</f>
        <v>3.7232023168422203E-2</v>
      </c>
      <c r="F107" s="8">
        <f>LN(Sheet1!F92/Sheet1!F91)</f>
        <v>1.1725427470315507E-2</v>
      </c>
      <c r="G107" s="8">
        <f>LN(Sheet1!G92/Sheet1!G91)</f>
        <v>-3.4350001686041576E-2</v>
      </c>
      <c r="H107" s="8">
        <f>LN(Sheet1!H92/Sheet1!H91)</f>
        <v>7.3914141261757216E-2</v>
      </c>
      <c r="I107" s="8">
        <f>LN(Sheet1!I92/Sheet1!I91)</f>
        <v>6.2997292987637524E-2</v>
      </c>
      <c r="J107" s="8">
        <f>LN(Sheet1!J92/Sheet1!J91)</f>
        <v>7.8900545178094056E-2</v>
      </c>
      <c r="K107" s="8">
        <f>LN(Sheet1!K92/Sheet1!K91)</f>
        <v>4.2336346735865518E-2</v>
      </c>
      <c r="L107" s="8">
        <f>LN(Sheet1!L92/Sheet1!L91)</f>
        <v>3.7446340034235498E-2</v>
      </c>
      <c r="M107" s="8">
        <f>LN(Sheet1!M92/Sheet1!M91)</f>
        <v>3.7621991789584322E-2</v>
      </c>
      <c r="N107" s="8">
        <f>LN(Sheet1!N92/Sheet1!N91)</f>
        <v>2.3391439527126429E-2</v>
      </c>
      <c r="O107" s="8">
        <f>LN(Sheet1!O92/Sheet1!O91)</f>
        <v>2.3859241858302138E-3</v>
      </c>
      <c r="P107" s="8">
        <f>LN(Sheet1!P92/Sheet1!P91)</f>
        <v>5.1216011648611795E-2</v>
      </c>
      <c r="Q107" s="8">
        <f>LN(Sheet1!Q92/Sheet1!Q91)</f>
        <v>4.5093109516371112E-2</v>
      </c>
      <c r="R107" s="8">
        <f>LN(Sheet1!R92/Sheet1!R91)</f>
        <v>4.4309600282187778E-2</v>
      </c>
      <c r="S107" s="8">
        <f>LN(Sheet1!S92/Sheet1!S91)</f>
        <v>5.0224047403585395E-2</v>
      </c>
      <c r="T107" s="8">
        <f>LN(Sheet1!T92/Sheet1!T91)</f>
        <v>3.5482978490763192E-2</v>
      </c>
      <c r="U107" s="8">
        <f>LN(Sheet1!U92/Sheet1!U91)</f>
        <v>5.7385207209482439E-2</v>
      </c>
      <c r="V107" s="8">
        <f>LN(Sheet1!V92/Sheet1!V91)</f>
        <v>4.2290303781524277E-2</v>
      </c>
      <c r="W107" s="8">
        <f>LN(Sheet1!W92/Sheet1!W91)</f>
        <v>3.0658761814036841E-2</v>
      </c>
      <c r="X107" s="8">
        <f>LN(Sheet1!X92/Sheet1!X91)</f>
        <v>7.2896584967424669E-2</v>
      </c>
      <c r="Y107" s="8">
        <f>LN(Sheet1!Y92/Sheet1!Y91)</f>
        <v>0.15092746994568976</v>
      </c>
      <c r="Z107" s="8">
        <f>LN(Sheet1!Z92/Sheet1!Z91)</f>
        <v>-3.0899985961347957E-3</v>
      </c>
      <c r="AA107" s="8">
        <f>LN(Sheet1!AA92/Sheet1!AA91)</f>
        <v>-3.1989932929108289E-2</v>
      </c>
      <c r="AB107" s="8">
        <f>LN(Sheet1!AB92/Sheet1!AB91)</f>
        <v>2.9470919209981791E-2</v>
      </c>
      <c r="AC107" s="8">
        <f>LN(Sheet1!AC92/Sheet1!AC91)</f>
        <v>2.3488782075630956E-2</v>
      </c>
      <c r="AD107" s="8">
        <f>LN(Sheet1!AD92/Sheet1!AD91)</f>
        <v>5.7466810535431401E-2</v>
      </c>
      <c r="AE107" s="8">
        <f>LN(Sheet1!AE92/Sheet1!AE91)</f>
        <v>-1.7659245574258901E-2</v>
      </c>
      <c r="AF107" s="8">
        <f>LN(Sheet1!AF92/Sheet1!AF91)</f>
        <v>1.6830414104670156E-2</v>
      </c>
      <c r="AG107" s="8">
        <f>LN(Sheet1!AG92/Sheet1!AG91)</f>
        <v>2.0464545246893189E-4</v>
      </c>
    </row>
    <row r="108" spans="1:33" x14ac:dyDescent="0.25">
      <c r="A108" s="7">
        <v>38355</v>
      </c>
      <c r="B108" s="8">
        <f>LN(Sheet1!B93/Sheet1!B92)</f>
        <v>-2.5615747968515911E-2</v>
      </c>
      <c r="C108" s="8">
        <f>LN(Sheet1!C93/Sheet1!C92)</f>
        <v>-2.7555044626436032E-2</v>
      </c>
      <c r="D108" s="8">
        <f>LN(Sheet1!D93/Sheet1!D92)</f>
        <v>-6.232546319782882E-2</v>
      </c>
      <c r="E108" s="8">
        <f>LN(Sheet1!E93/Sheet1!E92)</f>
        <v>9.2879924664707215E-3</v>
      </c>
      <c r="F108" s="8">
        <f>LN(Sheet1!F93/Sheet1!F92)</f>
        <v>-5.3003858632801305E-2</v>
      </c>
      <c r="G108" s="8">
        <f>LN(Sheet1!G93/Sheet1!G92)</f>
        <v>-2.2751336808728397E-2</v>
      </c>
      <c r="H108" s="8">
        <f>LN(Sheet1!H93/Sheet1!H92)</f>
        <v>1.7936682485817972E-2</v>
      </c>
      <c r="I108" s="8">
        <f>LN(Sheet1!I93/Sheet1!I92)</f>
        <v>-8.5843561838807134E-2</v>
      </c>
      <c r="J108" s="8">
        <f>LN(Sheet1!J93/Sheet1!J92)</f>
        <v>-3.077165866675366E-2</v>
      </c>
      <c r="K108" s="8">
        <f>LN(Sheet1!K93/Sheet1!K92)</f>
        <v>2.9280964105404463E-2</v>
      </c>
      <c r="L108" s="8">
        <f>LN(Sheet1!L93/Sheet1!L92)</f>
        <v>-1.0047365846120877E-2</v>
      </c>
      <c r="M108" s="8">
        <f>LN(Sheet1!M93/Sheet1!M92)</f>
        <v>-8.4598524209397119E-2</v>
      </c>
      <c r="N108" s="8">
        <f>LN(Sheet1!N93/Sheet1!N92)</f>
        <v>-3.5169548369079658E-2</v>
      </c>
      <c r="O108" s="8">
        <f>LN(Sheet1!O93/Sheet1!O92)</f>
        <v>1.5957785438610816E-2</v>
      </c>
      <c r="P108" s="8">
        <f>LN(Sheet1!P93/Sheet1!P92)</f>
        <v>-6.7839771091874473E-2</v>
      </c>
      <c r="Q108" s="8">
        <f>LN(Sheet1!Q93/Sheet1!Q92)</f>
        <v>-5.3765429086724104E-2</v>
      </c>
      <c r="R108" s="8">
        <f>LN(Sheet1!R93/Sheet1!R92)</f>
        <v>-4.1045433243115145E-2</v>
      </c>
      <c r="S108" s="8">
        <f>LN(Sheet1!S93/Sheet1!S92)</f>
        <v>1.9959425477641977E-2</v>
      </c>
      <c r="T108" s="8">
        <f>LN(Sheet1!T93/Sheet1!T92)</f>
        <v>-3.5191730491034225E-2</v>
      </c>
      <c r="U108" s="8">
        <f>LN(Sheet1!U93/Sheet1!U92)</f>
        <v>-3.6045353136243308E-3</v>
      </c>
      <c r="V108" s="8">
        <f>LN(Sheet1!V93/Sheet1!V92)</f>
        <v>1.0056856862562285E-2</v>
      </c>
      <c r="W108" s="8">
        <f>LN(Sheet1!W93/Sheet1!W92)</f>
        <v>2.748964139419691E-2</v>
      </c>
      <c r="X108" s="8">
        <f>LN(Sheet1!X93/Sheet1!X92)</f>
        <v>4.3639838847056793E-2</v>
      </c>
      <c r="Y108" s="8">
        <f>LN(Sheet1!Y93/Sheet1!Y92)</f>
        <v>-0.13615379337528827</v>
      </c>
      <c r="Z108" s="8">
        <f>LN(Sheet1!Z93/Sheet1!Z92)</f>
        <v>-1.6774335193130138E-2</v>
      </c>
      <c r="AA108" s="8">
        <f>LN(Sheet1!AA93/Sheet1!AA92)</f>
        <v>-0.10712286953360961</v>
      </c>
      <c r="AB108" s="8">
        <f>LN(Sheet1!AB93/Sheet1!AB92)</f>
        <v>-2.9667711496359335E-2</v>
      </c>
      <c r="AC108" s="8">
        <f>LN(Sheet1!AC93/Sheet1!AC92)</f>
        <v>-6.8429861244060294E-2</v>
      </c>
      <c r="AD108" s="8">
        <f>LN(Sheet1!AD93/Sheet1!AD92)</f>
        <v>-2.614528010432236E-2</v>
      </c>
      <c r="AE108" s="8">
        <f>LN(Sheet1!AE93/Sheet1!AE92)</f>
        <v>-0.11983254826636064</v>
      </c>
      <c r="AF108" s="8">
        <f>LN(Sheet1!AF93/Sheet1!AF92)</f>
        <v>-7.8849215926959926E-3</v>
      </c>
      <c r="AG108" s="8">
        <f>LN(Sheet1!AG93/Sheet1!AG92)</f>
        <v>6.5266395251850455E-3</v>
      </c>
    </row>
    <row r="109" spans="1:33" x14ac:dyDescent="0.25">
      <c r="A109" s="7">
        <v>38384</v>
      </c>
      <c r="B109" s="8">
        <f>LN(Sheet1!B94/Sheet1!B93)</f>
        <v>1.8726934874337724E-2</v>
      </c>
      <c r="C109" s="8">
        <f>LN(Sheet1!C94/Sheet1!C93)</f>
        <v>2.5997680803721876E-2</v>
      </c>
      <c r="D109" s="8">
        <f>LN(Sheet1!D94/Sheet1!D93)</f>
        <v>8.9806086702175686E-2</v>
      </c>
      <c r="E109" s="8">
        <f>LN(Sheet1!E94/Sheet1!E93)</f>
        <v>7.6746347531086662E-3</v>
      </c>
      <c r="F109" s="8">
        <f>LN(Sheet1!F94/Sheet1!F93)</f>
        <v>1.5031325379452728E-2</v>
      </c>
      <c r="G109" s="8">
        <f>LN(Sheet1!G94/Sheet1!G93)</f>
        <v>8.7490681322815456E-2</v>
      </c>
      <c r="H109" s="8">
        <f>LN(Sheet1!H94/Sheet1!H93)</f>
        <v>-1.8624203997946273E-2</v>
      </c>
      <c r="I109" s="8">
        <f>LN(Sheet1!I94/Sheet1!I93)</f>
        <v>6.4626052320610985E-2</v>
      </c>
      <c r="J109" s="8">
        <f>LN(Sheet1!J94/Sheet1!J93)</f>
        <v>0.12081978259985712</v>
      </c>
      <c r="K109" s="8">
        <f>LN(Sheet1!K94/Sheet1!K93)</f>
        <v>-2.4158376979766669E-2</v>
      </c>
      <c r="L109" s="8">
        <f>LN(Sheet1!L94/Sheet1!L93)</f>
        <v>-1.9796687307881554E-2</v>
      </c>
      <c r="M109" s="8">
        <f>LN(Sheet1!M94/Sheet1!M93)</f>
        <v>-1.8743827292191987E-2</v>
      </c>
      <c r="N109" s="8">
        <f>LN(Sheet1!N94/Sheet1!N93)</f>
        <v>-3.0456608728733185E-2</v>
      </c>
      <c r="O109" s="8">
        <f>LN(Sheet1!O94/Sheet1!O93)</f>
        <v>5.8915883536594785E-2</v>
      </c>
      <c r="P109" s="8">
        <f>LN(Sheet1!P94/Sheet1!P93)</f>
        <v>5.9483861082881236E-2</v>
      </c>
      <c r="Q109" s="8">
        <f>LN(Sheet1!Q94/Sheet1!Q93)</f>
        <v>-7.1922854991258974E-3</v>
      </c>
      <c r="R109" s="8">
        <f>LN(Sheet1!R94/Sheet1!R93)</f>
        <v>7.0109566187026531E-2</v>
      </c>
      <c r="S109" s="8">
        <f>LN(Sheet1!S94/Sheet1!S93)</f>
        <v>1.812640663618232E-2</v>
      </c>
      <c r="T109" s="8">
        <f>LN(Sheet1!T94/Sheet1!T93)</f>
        <v>-2.1189727488860135E-2</v>
      </c>
      <c r="U109" s="8">
        <f>LN(Sheet1!U94/Sheet1!U93)</f>
        <v>3.1232702431098373E-2</v>
      </c>
      <c r="V109" s="8">
        <f>LN(Sheet1!V94/Sheet1!V93)</f>
        <v>2.1080307910730536E-2</v>
      </c>
      <c r="W109" s="8">
        <f>LN(Sheet1!W94/Sheet1!W93)</f>
        <v>0</v>
      </c>
      <c r="X109" s="8">
        <f>LN(Sheet1!X94/Sheet1!X93)</f>
        <v>2.8145090811281682E-2</v>
      </c>
      <c r="Y109" s="8">
        <f>LN(Sheet1!Y94/Sheet1!Y93)</f>
        <v>0.12222114027161432</v>
      </c>
      <c r="Z109" s="8">
        <f>LN(Sheet1!Z94/Sheet1!Z93)</f>
        <v>-4.0543381356439347E-2</v>
      </c>
      <c r="AA109" s="8">
        <f>LN(Sheet1!AA94/Sheet1!AA93)</f>
        <v>9.1974166331758686E-2</v>
      </c>
      <c r="AB109" s="8">
        <f>LN(Sheet1!AB94/Sheet1!AB93)</f>
        <v>-2.5618301527022603E-3</v>
      </c>
      <c r="AC109" s="8">
        <f>LN(Sheet1!AC94/Sheet1!AC93)</f>
        <v>1.2584645229072274E-2</v>
      </c>
      <c r="AD109" s="8">
        <f>LN(Sheet1!AD94/Sheet1!AD93)</f>
        <v>-3.7321212716336211E-3</v>
      </c>
      <c r="AE109" s="8">
        <f>LN(Sheet1!AE94/Sheet1!AE93)</f>
        <v>1.063325630136866E-2</v>
      </c>
      <c r="AF109" s="8">
        <f>LN(Sheet1!AF94/Sheet1!AF93)</f>
        <v>-1.5154826433354364E-2</v>
      </c>
      <c r="AG109" s="8">
        <f>LN(Sheet1!AG94/Sheet1!AG93)</f>
        <v>0.20942928458281071</v>
      </c>
    </row>
    <row r="110" spans="1:33" x14ac:dyDescent="0.25">
      <c r="A110" s="7">
        <v>38412</v>
      </c>
      <c r="B110" s="8">
        <f>LN(Sheet1!B95/Sheet1!B94)</f>
        <v>-1.930275225452871E-2</v>
      </c>
      <c r="C110" s="8">
        <f>LN(Sheet1!C95/Sheet1!C94)</f>
        <v>-2.4681095161715294E-2</v>
      </c>
      <c r="D110" s="8">
        <f>LN(Sheet1!D95/Sheet1!D94)</f>
        <v>-5.539257844827878E-2</v>
      </c>
      <c r="E110" s="8">
        <f>LN(Sheet1!E95/Sheet1!E94)</f>
        <v>-0.18507764489593456</v>
      </c>
      <c r="F110" s="8">
        <f>LN(Sheet1!F95/Sheet1!F94)</f>
        <v>-5.0326478831819108E-2</v>
      </c>
      <c r="G110" s="8">
        <f>LN(Sheet1!G95/Sheet1!G94)</f>
        <v>6.1510126168992305E-2</v>
      </c>
      <c r="H110" s="8">
        <f>LN(Sheet1!H95/Sheet1!H94)</f>
        <v>-5.9994375713125513E-2</v>
      </c>
      <c r="I110" s="8">
        <f>LN(Sheet1!I95/Sheet1!I94)</f>
        <v>-3.8590714707440313E-2</v>
      </c>
      <c r="J110" s="8">
        <f>LN(Sheet1!J95/Sheet1!J94)</f>
        <v>-3.9374353417036115E-2</v>
      </c>
      <c r="K110" s="8">
        <f>LN(Sheet1!K95/Sheet1!K94)</f>
        <v>2.7714568494256867E-2</v>
      </c>
      <c r="L110" s="8">
        <f>LN(Sheet1!L95/Sheet1!L94)</f>
        <v>2.3946070854693025E-2</v>
      </c>
      <c r="M110" s="8">
        <f>LN(Sheet1!M95/Sheet1!M94)</f>
        <v>-0.19304886435332835</v>
      </c>
      <c r="N110" s="8">
        <f>LN(Sheet1!N95/Sheet1!N94)</f>
        <v>-4.3011673555828508E-2</v>
      </c>
      <c r="O110" s="8">
        <f>LN(Sheet1!O95/Sheet1!O94)</f>
        <v>-2.0101179321087265E-2</v>
      </c>
      <c r="P110" s="8">
        <f>LN(Sheet1!P95/Sheet1!P94)</f>
        <v>5.7542238382015047E-2</v>
      </c>
      <c r="Q110" s="8">
        <f>LN(Sheet1!Q95/Sheet1!Q94)</f>
        <v>-1.2965421368381531E-2</v>
      </c>
      <c r="R110" s="8">
        <f>LN(Sheet1!R95/Sheet1!R94)</f>
        <v>-3.219682738324936E-2</v>
      </c>
      <c r="S110" s="8">
        <f>LN(Sheet1!S95/Sheet1!S94)</f>
        <v>2.3459627141920434E-2</v>
      </c>
      <c r="T110" s="8">
        <f>LN(Sheet1!T95/Sheet1!T94)</f>
        <v>-5.4711886686468029E-2</v>
      </c>
      <c r="U110" s="8">
        <f>LN(Sheet1!U95/Sheet1!U94)</f>
        <v>-2.0202707317519355E-2</v>
      </c>
      <c r="V110" s="8">
        <f>LN(Sheet1!V95/Sheet1!V94)</f>
        <v>-6.0249376174262313E-2</v>
      </c>
      <c r="W110" s="8">
        <f>LN(Sheet1!W95/Sheet1!W94)</f>
        <v>2.0624411006647584E-2</v>
      </c>
      <c r="X110" s="8">
        <f>LN(Sheet1!X95/Sheet1!X94)</f>
        <v>7.1942756340272309E-3</v>
      </c>
      <c r="Y110" s="8">
        <f>LN(Sheet1!Y95/Sheet1!Y94)</f>
        <v>3.2778508109903473E-2</v>
      </c>
      <c r="Z110" s="8">
        <f>LN(Sheet1!Z95/Sheet1!Z94)</f>
        <v>-4.0122389512580334E-2</v>
      </c>
      <c r="AA110" s="8">
        <f>LN(Sheet1!AA95/Sheet1!AA94)</f>
        <v>-8.2542307616754681E-4</v>
      </c>
      <c r="AB110" s="8">
        <f>LN(Sheet1!AB95/Sheet1!AB94)</f>
        <v>-1.7774271490935052E-3</v>
      </c>
      <c r="AC110" s="8">
        <f>LN(Sheet1!AC95/Sheet1!AC94)</f>
        <v>-1.5402871612913989E-2</v>
      </c>
      <c r="AD110" s="8">
        <f>LN(Sheet1!AD95/Sheet1!AD94)</f>
        <v>1.7706865755700754E-2</v>
      </c>
      <c r="AE110" s="8">
        <f>LN(Sheet1!AE95/Sheet1!AE94)</f>
        <v>-1.2903404835907841E-2</v>
      </c>
      <c r="AF110" s="8">
        <f>LN(Sheet1!AF95/Sheet1!AF94)</f>
        <v>-2.6673677482083241E-2</v>
      </c>
      <c r="AG110" s="8">
        <f>LN(Sheet1!AG95/Sheet1!AG94)</f>
        <v>-6.0315518728094597E-2</v>
      </c>
    </row>
    <row r="111" spans="1:33" x14ac:dyDescent="0.25">
      <c r="A111" s="7">
        <v>38443</v>
      </c>
      <c r="B111" s="8">
        <f>LN(Sheet1!B96/Sheet1!B95)</f>
        <v>-2.031351934767037E-2</v>
      </c>
      <c r="C111" s="8">
        <f>LN(Sheet1!C96/Sheet1!C95)</f>
        <v>-3.0080151476421436E-2</v>
      </c>
      <c r="D111" s="8">
        <f>LN(Sheet1!D96/Sheet1!D95)</f>
        <v>-4.5912017982424343E-2</v>
      </c>
      <c r="E111" s="8">
        <f>LN(Sheet1!E96/Sheet1!E95)</f>
        <v>-8.5824492755382731E-2</v>
      </c>
      <c r="F111" s="8">
        <f>LN(Sheet1!F96/Sheet1!F95)</f>
        <v>2.5590622063188361E-2</v>
      </c>
      <c r="G111" s="8">
        <f>LN(Sheet1!G96/Sheet1!G95)</f>
        <v>1.8069082075620576E-2</v>
      </c>
      <c r="H111" s="8">
        <f>LN(Sheet1!H96/Sheet1!H95)</f>
        <v>5.332385069146061E-2</v>
      </c>
      <c r="I111" s="8">
        <f>LN(Sheet1!I96/Sheet1!I95)</f>
        <v>-3.3062773420627585E-2</v>
      </c>
      <c r="J111" s="8">
        <f>LN(Sheet1!J96/Sheet1!J95)</f>
        <v>-8.3957706397752033E-2</v>
      </c>
      <c r="K111" s="8">
        <f>LN(Sheet1!K96/Sheet1!K95)</f>
        <v>-8.4400788124835063E-2</v>
      </c>
      <c r="L111" s="8">
        <f>LN(Sheet1!L96/Sheet1!L95)</f>
        <v>3.8376430862855498E-3</v>
      </c>
      <c r="M111" s="8">
        <f>LN(Sheet1!M96/Sheet1!M95)</f>
        <v>-9.6703173648158863E-2</v>
      </c>
      <c r="N111" s="8">
        <f>LN(Sheet1!N96/Sheet1!N95)</f>
        <v>-7.8122866091865403E-2</v>
      </c>
      <c r="O111" s="8">
        <f>LN(Sheet1!O96/Sheet1!O95)</f>
        <v>-3.9694598684946895E-2</v>
      </c>
      <c r="P111" s="8">
        <f>LN(Sheet1!P96/Sheet1!P95)</f>
        <v>-6.9458963315478003E-2</v>
      </c>
      <c r="Q111" s="8">
        <f>LN(Sheet1!Q96/Sheet1!Q95)</f>
        <v>-0.17942329708986865</v>
      </c>
      <c r="R111" s="8">
        <f>LN(Sheet1!R96/Sheet1!R95)</f>
        <v>1.2029550277074695E-2</v>
      </c>
      <c r="S111" s="8">
        <f>LN(Sheet1!S96/Sheet1!S95)</f>
        <v>2.1696186540038756E-2</v>
      </c>
      <c r="T111" s="8">
        <f>LN(Sheet1!T96/Sheet1!T95)</f>
        <v>3.5492075837451245E-2</v>
      </c>
      <c r="U111" s="8">
        <f>LN(Sheet1!U96/Sheet1!U95)</f>
        <v>4.1474842593059155E-2</v>
      </c>
      <c r="V111" s="8">
        <f>LN(Sheet1!V96/Sheet1!V95)</f>
        <v>-6.0540704558801582E-2</v>
      </c>
      <c r="W111" s="8">
        <f>LN(Sheet1!W96/Sheet1!W95)</f>
        <v>-0.11384037547010033</v>
      </c>
      <c r="X111" s="8">
        <f>LN(Sheet1!X96/Sheet1!X95)</f>
        <v>-6.0667526822374262E-3</v>
      </c>
      <c r="Y111" s="8">
        <f>LN(Sheet1!Y96/Sheet1!Y95)</f>
        <v>4.6103339316912705E-2</v>
      </c>
      <c r="Z111" s="8">
        <f>LN(Sheet1!Z96/Sheet1!Z95)</f>
        <v>4.5841359348241281E-2</v>
      </c>
      <c r="AA111" s="8">
        <f>LN(Sheet1!AA96/Sheet1!AA95)</f>
        <v>3.3695089405927747E-2</v>
      </c>
      <c r="AB111" s="8">
        <f>LN(Sheet1!AB96/Sheet1!AB95)</f>
        <v>2.6720263498553973E-2</v>
      </c>
      <c r="AC111" s="8">
        <f>LN(Sheet1!AC96/Sheet1!AC95)</f>
        <v>1.8178081534696806E-2</v>
      </c>
      <c r="AD111" s="8">
        <f>LN(Sheet1!AD96/Sheet1!AD95)</f>
        <v>6.1205755251539146E-4</v>
      </c>
      <c r="AE111" s="8">
        <f>LN(Sheet1!AE96/Sheet1!AE95)</f>
        <v>1.9611623571026304E-2</v>
      </c>
      <c r="AF111" s="8">
        <f>LN(Sheet1!AF96/Sheet1!AF95)</f>
        <v>-6.105032116302956E-2</v>
      </c>
      <c r="AG111" s="8">
        <f>LN(Sheet1!AG96/Sheet1!AG95)</f>
        <v>-4.4037901399429952E-2</v>
      </c>
    </row>
    <row r="112" spans="1:33" x14ac:dyDescent="0.25">
      <c r="A112" s="7">
        <v>38474</v>
      </c>
      <c r="B112" s="8">
        <f>LN(Sheet1!B97/Sheet1!B96)</f>
        <v>2.9512223385105795E-2</v>
      </c>
      <c r="C112" s="8">
        <f>LN(Sheet1!C97/Sheet1!C96)</f>
        <v>2.6620171409080403E-2</v>
      </c>
      <c r="D112" s="8">
        <f>LN(Sheet1!D97/Sheet1!D96)</f>
        <v>-6.3406768124177615E-2</v>
      </c>
      <c r="E112" s="8">
        <f>LN(Sheet1!E97/Sheet1!E96)</f>
        <v>8.8397077783171338E-2</v>
      </c>
      <c r="F112" s="8">
        <f>LN(Sheet1!F97/Sheet1!F96)</f>
        <v>2.1487342812799511E-2</v>
      </c>
      <c r="G112" s="8">
        <f>LN(Sheet1!G97/Sheet1!G96)</f>
        <v>7.500167163230026E-2</v>
      </c>
      <c r="H112" s="8">
        <f>LN(Sheet1!H97/Sheet1!H96)</f>
        <v>3.2258092488825687E-3</v>
      </c>
      <c r="I112" s="8">
        <f>LN(Sheet1!I97/Sheet1!I96)</f>
        <v>6.6388008652306124E-2</v>
      </c>
      <c r="J112" s="8">
        <f>LN(Sheet1!J97/Sheet1!J96)</f>
        <v>-5.043568692240436E-3</v>
      </c>
      <c r="K112" s="8">
        <f>LN(Sheet1!K97/Sheet1!K96)</f>
        <v>3.8641170975368073E-2</v>
      </c>
      <c r="L112" s="8">
        <f>LN(Sheet1!L97/Sheet1!L96)</f>
        <v>7.9237391834330942E-3</v>
      </c>
      <c r="M112" s="8">
        <f>LN(Sheet1!M97/Sheet1!M96)</f>
        <v>0.18315005725559597</v>
      </c>
      <c r="N112" s="8">
        <f>LN(Sheet1!N97/Sheet1!N96)</f>
        <v>0.10673826955099577</v>
      </c>
      <c r="O112" s="8">
        <f>LN(Sheet1!O97/Sheet1!O96)</f>
        <v>1.8605187831034486E-2</v>
      </c>
      <c r="P112" s="8">
        <f>LN(Sheet1!P97/Sheet1!P96)</f>
        <v>9.5219357407459335E-2</v>
      </c>
      <c r="Q112" s="8">
        <f>LN(Sheet1!Q97/Sheet1!Q96)</f>
        <v>-8.2449612166634705E-3</v>
      </c>
      <c r="R112" s="8">
        <f>LN(Sheet1!R97/Sheet1!R96)</f>
        <v>0.13987746695314104</v>
      </c>
      <c r="S112" s="8">
        <f>LN(Sheet1!S97/Sheet1!S96)</f>
        <v>-1.7631140291869119E-2</v>
      </c>
      <c r="T112" s="8">
        <f>LN(Sheet1!T97/Sheet1!T96)</f>
        <v>7.2507870536959451E-3</v>
      </c>
      <c r="U112" s="8">
        <f>LN(Sheet1!U97/Sheet1!U96)</f>
        <v>2.7041725003010778E-2</v>
      </c>
      <c r="V112" s="8">
        <f>LN(Sheet1!V97/Sheet1!V96)</f>
        <v>5.4142299163625458E-2</v>
      </c>
      <c r="W112" s="8">
        <f>LN(Sheet1!W97/Sheet1!W96)</f>
        <v>7.8237994311896996E-3</v>
      </c>
      <c r="X112" s="8">
        <f>LN(Sheet1!X97/Sheet1!X96)</f>
        <v>3.2593507015666094E-2</v>
      </c>
      <c r="Y112" s="8">
        <f>LN(Sheet1!Y97/Sheet1!Y96)</f>
        <v>-4.3730054595565587E-2</v>
      </c>
      <c r="Z112" s="8">
        <f>LN(Sheet1!Z97/Sheet1!Z96)</f>
        <v>2.2554318928963979E-2</v>
      </c>
      <c r="AA112" s="8">
        <f>LN(Sheet1!AA97/Sheet1!AA96)</f>
        <v>3.3369141174618269E-2</v>
      </c>
      <c r="AB112" s="8">
        <f>LN(Sheet1!AB97/Sheet1!AB96)</f>
        <v>1.830714744435611E-2</v>
      </c>
      <c r="AC112" s="8">
        <f>LN(Sheet1!AC97/Sheet1!AC96)</f>
        <v>-1.7707825236353007E-2</v>
      </c>
      <c r="AD112" s="8">
        <f>LN(Sheet1!AD97/Sheet1!AD96)</f>
        <v>5.1864210315299829E-2</v>
      </c>
      <c r="AE112" s="8">
        <f>LN(Sheet1!AE97/Sheet1!AE96)</f>
        <v>-1.184961823553724E-2</v>
      </c>
      <c r="AF112" s="8">
        <f>LN(Sheet1!AF97/Sheet1!AF96)</f>
        <v>5.0322827999994416E-3</v>
      </c>
      <c r="AG112" s="8">
        <f>LN(Sheet1!AG97/Sheet1!AG96)</f>
        <v>-9.7472036078907285E-3</v>
      </c>
    </row>
    <row r="113" spans="1:33" x14ac:dyDescent="0.25">
      <c r="A113" s="7">
        <v>38504</v>
      </c>
      <c r="B113" s="8">
        <f>LN(Sheet1!B98/Sheet1!B97)</f>
        <v>-1.4268747689802155E-4</v>
      </c>
      <c r="C113" s="8">
        <f>LN(Sheet1!C98/Sheet1!C97)</f>
        <v>-1.856246756342772E-2</v>
      </c>
      <c r="D113" s="8">
        <f>LN(Sheet1!D98/Sheet1!D97)</f>
        <v>-3.6467479442759257E-2</v>
      </c>
      <c r="E113" s="8">
        <f>LN(Sheet1!E98/Sheet1!E97)</f>
        <v>4.7137119436321831E-2</v>
      </c>
      <c r="F113" s="8">
        <f>LN(Sheet1!F98/Sheet1!F97)</f>
        <v>-9.3713228056952272E-3</v>
      </c>
      <c r="G113" s="8">
        <f>LN(Sheet1!G98/Sheet1!G97)</f>
        <v>3.2373503083422434E-2</v>
      </c>
      <c r="H113" s="8">
        <f>LN(Sheet1!H98/Sheet1!H97)</f>
        <v>-1.8809331957496227E-2</v>
      </c>
      <c r="I113" s="8">
        <f>LN(Sheet1!I98/Sheet1!I97)</f>
        <v>1.26777654292847E-2</v>
      </c>
      <c r="J113" s="8">
        <f>LN(Sheet1!J98/Sheet1!J97)</f>
        <v>-7.8129270941104861E-2</v>
      </c>
      <c r="K113" s="8">
        <f>LN(Sheet1!K98/Sheet1!K97)</f>
        <v>-8.6099661381726283E-2</v>
      </c>
      <c r="L113" s="8">
        <f>LN(Sheet1!L98/Sheet1!L97)</f>
        <v>-4.5448778253394106E-2</v>
      </c>
      <c r="M113" s="8">
        <f>LN(Sheet1!M98/Sheet1!M97)</f>
        <v>7.5413439289874207E-2</v>
      </c>
      <c r="N113" s="8">
        <f>LN(Sheet1!N98/Sheet1!N97)</f>
        <v>-9.0042981247208161E-3</v>
      </c>
      <c r="O113" s="8">
        <f>LN(Sheet1!O98/Sheet1!O97)</f>
        <v>1.1170100388191578E-2</v>
      </c>
      <c r="P113" s="8">
        <f>LN(Sheet1!P98/Sheet1!P97)</f>
        <v>4.7015310345364845E-2</v>
      </c>
      <c r="Q113" s="8">
        <f>LN(Sheet1!Q98/Sheet1!Q97)</f>
        <v>-1.7939543069015147E-2</v>
      </c>
      <c r="R113" s="8">
        <f>LN(Sheet1!R98/Sheet1!R97)</f>
        <v>-3.527011350445499E-2</v>
      </c>
      <c r="S113" s="8">
        <f>LN(Sheet1!S98/Sheet1!S97)</f>
        <v>-3.1864469641172233E-2</v>
      </c>
      <c r="T113" s="8">
        <f>LN(Sheet1!T98/Sheet1!T97)</f>
        <v>-1.2114018523203896E-2</v>
      </c>
      <c r="U113" s="8">
        <f>LN(Sheet1!U98/Sheet1!U97)</f>
        <v>-6.0386441512819702E-2</v>
      </c>
      <c r="V113" s="8">
        <f>LN(Sheet1!V98/Sheet1!V97)</f>
        <v>-0.10912133242595336</v>
      </c>
      <c r="W113" s="8">
        <f>LN(Sheet1!W98/Sheet1!W97)</f>
        <v>-5.8413846163217945E-2</v>
      </c>
      <c r="X113" s="8">
        <f>LN(Sheet1!X98/Sheet1!X97)</f>
        <v>-2.7199023266310834E-2</v>
      </c>
      <c r="Y113" s="8">
        <f>LN(Sheet1!Y98/Sheet1!Y97)</f>
        <v>-4.0074446935071277E-2</v>
      </c>
      <c r="Z113" s="8">
        <f>LN(Sheet1!Z98/Sheet1!Z97)</f>
        <v>-3.7740327982846968E-2</v>
      </c>
      <c r="AA113" s="8">
        <f>LN(Sheet1!AA98/Sheet1!AA97)</f>
        <v>-1.1650617219975139E-2</v>
      </c>
      <c r="AB113" s="8">
        <f>LN(Sheet1!AB98/Sheet1!AB97)</f>
        <v>-4.463215402076838E-2</v>
      </c>
      <c r="AC113" s="8">
        <f>LN(Sheet1!AC98/Sheet1!AC97)</f>
        <v>1.5395685477973691E-2</v>
      </c>
      <c r="AD113" s="8">
        <f>LN(Sheet1!AD98/Sheet1!AD97)</f>
        <v>-3.809044587186055E-2</v>
      </c>
      <c r="AE113" s="8">
        <f>LN(Sheet1!AE98/Sheet1!AE97)</f>
        <v>-2.3469134540847009E-2</v>
      </c>
      <c r="AF113" s="8">
        <f>LN(Sheet1!AF98/Sheet1!AF97)</f>
        <v>2.0307459578518181E-2</v>
      </c>
      <c r="AG113" s="8">
        <f>LN(Sheet1!AG98/Sheet1!AG97)</f>
        <v>2.2476962704135996E-2</v>
      </c>
    </row>
    <row r="114" spans="1:33" x14ac:dyDescent="0.25">
      <c r="A114" s="7">
        <v>38534</v>
      </c>
      <c r="B114" s="8">
        <f>LN(Sheet1!B99/Sheet1!B98)</f>
        <v>3.5336451864729147E-2</v>
      </c>
      <c r="C114" s="8">
        <f>LN(Sheet1!C99/Sheet1!C98)</f>
        <v>3.4995165902114225E-2</v>
      </c>
      <c r="D114" s="8">
        <f>LN(Sheet1!D99/Sheet1!D98)</f>
        <v>7.0907969423050971E-2</v>
      </c>
      <c r="E114" s="8">
        <f>LN(Sheet1!E99/Sheet1!E98)</f>
        <v>3.5429328940734736E-2</v>
      </c>
      <c r="F114" s="8">
        <f>LN(Sheet1!F99/Sheet1!F98)</f>
        <v>3.2740378541388504E-2</v>
      </c>
      <c r="G114" s="8">
        <f>LN(Sheet1!G99/Sheet1!G98)</f>
        <v>1.5614021422914945E-4</v>
      </c>
      <c r="H114" s="8">
        <f>LN(Sheet1!H99/Sheet1!H98)</f>
        <v>-5.0972572019350425E-2</v>
      </c>
      <c r="I114" s="8">
        <f>LN(Sheet1!I99/Sheet1!I98)</f>
        <v>0.12805923653043449</v>
      </c>
      <c r="J114" s="8">
        <f>LN(Sheet1!J99/Sheet1!J98)</f>
        <v>-7.7336047163538684E-3</v>
      </c>
      <c r="K114" s="8">
        <f>LN(Sheet1!K99/Sheet1!K98)</f>
        <v>1.8061899805013295E-2</v>
      </c>
      <c r="L114" s="8">
        <f>LN(Sheet1!L99/Sheet1!L98)</f>
        <v>-4.2918520815410323E-3</v>
      </c>
      <c r="M114" s="8">
        <f>LN(Sheet1!M99/Sheet1!M98)</f>
        <v>7.9624158555612085E-2</v>
      </c>
      <c r="N114" s="8">
        <f>LN(Sheet1!N99/Sheet1!N98)</f>
        <v>0.11188348843266363</v>
      </c>
      <c r="O114" s="8">
        <f>LN(Sheet1!O99/Sheet1!O98)</f>
        <v>6.9846964065561595E-2</v>
      </c>
      <c r="P114" s="8">
        <f>LN(Sheet1!P99/Sheet1!P98)</f>
        <v>4.6145753075492978E-2</v>
      </c>
      <c r="Q114" s="8">
        <f>LN(Sheet1!Q99/Sheet1!Q98)</f>
        <v>0.11758342413045826</v>
      </c>
      <c r="R114" s="8">
        <f>LN(Sheet1!R99/Sheet1!R98)</f>
        <v>4.2177278340729894E-2</v>
      </c>
      <c r="S114" s="8">
        <f>LN(Sheet1!S99/Sheet1!S98)</f>
        <v>-1.6075689213287621E-2</v>
      </c>
      <c r="T114" s="8">
        <f>LN(Sheet1!T99/Sheet1!T98)</f>
        <v>4.55997142169484E-3</v>
      </c>
      <c r="U114" s="8">
        <f>LN(Sheet1!U99/Sheet1!U98)</f>
        <v>4.7198383209643299E-2</v>
      </c>
      <c r="V114" s="8">
        <f>LN(Sheet1!V99/Sheet1!V98)</f>
        <v>0.11652628043253087</v>
      </c>
      <c r="W114" s="8">
        <f>LN(Sheet1!W99/Sheet1!W98)</f>
        <v>3.6714425192488707E-2</v>
      </c>
      <c r="X114" s="8">
        <f>LN(Sheet1!X99/Sheet1!X98)</f>
        <v>3.502174894751995E-2</v>
      </c>
      <c r="Y114" s="8">
        <f>LN(Sheet1!Y99/Sheet1!Y98)</f>
        <v>8.0744690050469515E-3</v>
      </c>
      <c r="Z114" s="8">
        <f>LN(Sheet1!Z99/Sheet1!Z98)</f>
        <v>3.0546052348819807E-2</v>
      </c>
      <c r="AA114" s="8">
        <f>LN(Sheet1!AA99/Sheet1!AA98)</f>
        <v>-3.9845908547199674E-2</v>
      </c>
      <c r="AB114" s="8">
        <f>LN(Sheet1!AB99/Sheet1!AB98)</f>
        <v>5.833228385072086E-2</v>
      </c>
      <c r="AC114" s="8">
        <f>LN(Sheet1!AC99/Sheet1!AC98)</f>
        <v>4.2598193921510916E-2</v>
      </c>
      <c r="AD114" s="8">
        <f>LN(Sheet1!AD99/Sheet1!AD98)</f>
        <v>-1.2754500263870617E-2</v>
      </c>
      <c r="AE114" s="8">
        <f>LN(Sheet1!AE99/Sheet1!AE98)</f>
        <v>2.3060461545308976E-3</v>
      </c>
      <c r="AF114" s="8">
        <f>LN(Sheet1!AF99/Sheet1!AF98)</f>
        <v>2.3669744085904922E-2</v>
      </c>
      <c r="AG114" s="8">
        <f>LN(Sheet1!AG99/Sheet1!AG98)</f>
        <v>2.1982834996284409E-2</v>
      </c>
    </row>
    <row r="115" spans="1:33" x14ac:dyDescent="0.25">
      <c r="A115" s="7">
        <v>38565</v>
      </c>
      <c r="B115" s="8">
        <f>LN(Sheet1!B100/Sheet1!B99)</f>
        <v>-1.1285467972359155E-2</v>
      </c>
      <c r="C115" s="8">
        <f>LN(Sheet1!C100/Sheet1!C99)</f>
        <v>-1.5084667576646086E-2</v>
      </c>
      <c r="D115" s="8">
        <f>LN(Sheet1!D100/Sheet1!D99)</f>
        <v>-4.0620501924426351E-2</v>
      </c>
      <c r="E115" s="8">
        <f>LN(Sheet1!E100/Sheet1!E99)</f>
        <v>-1.4124288239498611E-2</v>
      </c>
      <c r="F115" s="8">
        <f>LN(Sheet1!F100/Sheet1!F99)</f>
        <v>4.4402229627347849E-3</v>
      </c>
      <c r="G115" s="8">
        <f>LN(Sheet1!G100/Sheet1!G99)</f>
        <v>1.8868484304382736E-2</v>
      </c>
      <c r="H115" s="8">
        <f>LN(Sheet1!H100/Sheet1!H99)</f>
        <v>6.1478123056131588E-3</v>
      </c>
      <c r="I115" s="8">
        <f>LN(Sheet1!I100/Sheet1!I99)</f>
        <v>2.9003916308325928E-2</v>
      </c>
      <c r="J115" s="8">
        <f>LN(Sheet1!J100/Sheet1!J99)</f>
        <v>-6.7062782961553352E-2</v>
      </c>
      <c r="K115" s="8">
        <f>LN(Sheet1!K100/Sheet1!K99)</f>
        <v>-1.7656959528169883E-2</v>
      </c>
      <c r="L115" s="8">
        <f>LN(Sheet1!L100/Sheet1!L99)</f>
        <v>-2.6145280104322131E-2</v>
      </c>
      <c r="M115" s="8">
        <f>LN(Sheet1!M100/Sheet1!M99)</f>
        <v>-5.9664680816008391E-2</v>
      </c>
      <c r="N115" s="8">
        <f>LN(Sheet1!N100/Sheet1!N99)</f>
        <v>-7.3522620560217439E-2</v>
      </c>
      <c r="O115" s="8">
        <f>LN(Sheet1!O100/Sheet1!O99)</f>
        <v>-2.0392442637318233E-2</v>
      </c>
      <c r="P115" s="8">
        <f>LN(Sheet1!P100/Sheet1!P99)</f>
        <v>0.11994132639386131</v>
      </c>
      <c r="Q115" s="8">
        <f>LN(Sheet1!Q100/Sheet1!Q99)</f>
        <v>-3.220850124163719E-2</v>
      </c>
      <c r="R115" s="8">
        <f>LN(Sheet1!R100/Sheet1!R99)</f>
        <v>-5.0991437968294064E-2</v>
      </c>
      <c r="S115" s="8">
        <f>LN(Sheet1!S100/Sheet1!S99)</f>
        <v>-3.7720421928505998E-3</v>
      </c>
      <c r="T115" s="8">
        <f>LN(Sheet1!T100/Sheet1!T99)</f>
        <v>-3.6446282160928357E-2</v>
      </c>
      <c r="U115" s="8">
        <f>LN(Sheet1!U100/Sheet1!U99)</f>
        <v>5.2961125235411839E-3</v>
      </c>
      <c r="V115" s="8">
        <f>LN(Sheet1!V100/Sheet1!V99)</f>
        <v>4.0097385978425507E-2</v>
      </c>
      <c r="W115" s="8">
        <f>LN(Sheet1!W100/Sheet1!W99)</f>
        <v>-4.676622517376175E-2</v>
      </c>
      <c r="X115" s="8">
        <f>LN(Sheet1!X100/Sheet1!X99)</f>
        <v>5.434059470008102E-2</v>
      </c>
      <c r="Y115" s="8">
        <f>LN(Sheet1!Y100/Sheet1!Y99)</f>
        <v>-8.1938442838435543E-2</v>
      </c>
      <c r="Z115" s="8">
        <f>LN(Sheet1!Z100/Sheet1!Z99)</f>
        <v>6.9714632615361247E-2</v>
      </c>
      <c r="AA115" s="8">
        <f>LN(Sheet1!AA100/Sheet1!AA99)</f>
        <v>-3.2220879011163106E-2</v>
      </c>
      <c r="AB115" s="8">
        <f>LN(Sheet1!AB100/Sheet1!AB99)</f>
        <v>-2.6129167534942885E-3</v>
      </c>
      <c r="AC115" s="8">
        <f>LN(Sheet1!AC100/Sheet1!AC99)</f>
        <v>-1.519921973339643E-2</v>
      </c>
      <c r="AD115" s="8">
        <f>LN(Sheet1!AD100/Sheet1!AD99)</f>
        <v>-9.6223487853465111E-3</v>
      </c>
      <c r="AE115" s="8">
        <f>LN(Sheet1!AE100/Sheet1!AE99)</f>
        <v>-4.5439416972106447E-2</v>
      </c>
      <c r="AF115" s="8">
        <f>LN(Sheet1!AF100/Sheet1!AF99)</f>
        <v>-8.9977722576046693E-2</v>
      </c>
      <c r="AG115" s="8">
        <f>LN(Sheet1!AG100/Sheet1!AG99)</f>
        <v>2.4274308097417232E-2</v>
      </c>
    </row>
    <row r="116" spans="1:33" x14ac:dyDescent="0.25">
      <c r="A116" s="7">
        <v>38596</v>
      </c>
      <c r="B116" s="8">
        <f>LN(Sheet1!B101/Sheet1!B100)</f>
        <v>6.9249074268589216E-3</v>
      </c>
      <c r="C116" s="8">
        <f>LN(Sheet1!C101/Sheet1!C100)</f>
        <v>8.275463729642973E-3</v>
      </c>
      <c r="D116" s="8">
        <f>LN(Sheet1!D101/Sheet1!D100)</f>
        <v>-9.2910890700096352E-2</v>
      </c>
      <c r="E116" s="8">
        <f>LN(Sheet1!E101/Sheet1!E100)</f>
        <v>4.5561388502478421E-2</v>
      </c>
      <c r="F116" s="8">
        <f>LN(Sheet1!F101/Sheet1!F100)</f>
        <v>3.8896090524233658E-2</v>
      </c>
      <c r="G116" s="8">
        <f>LN(Sheet1!G101/Sheet1!G100)</f>
        <v>1.3845789846340127E-2</v>
      </c>
      <c r="H116" s="8">
        <f>LN(Sheet1!H101/Sheet1!H100)</f>
        <v>3.9182995807069299E-2</v>
      </c>
      <c r="I116" s="8">
        <f>LN(Sheet1!I101/Sheet1!I100)</f>
        <v>5.7003708476005124E-2</v>
      </c>
      <c r="J116" s="8">
        <f>LN(Sheet1!J101/Sheet1!J100)</f>
        <v>-9.9583651650361239E-3</v>
      </c>
      <c r="K116" s="8">
        <f>LN(Sheet1!K101/Sheet1!K100)</f>
        <v>-4.3017385083690816E-2</v>
      </c>
      <c r="L116" s="8">
        <f>LN(Sheet1!L101/Sheet1!L100)</f>
        <v>8.4786188555521953E-3</v>
      </c>
      <c r="M116" s="8">
        <f>LN(Sheet1!M101/Sheet1!M100)</f>
        <v>-0.11067224187332392</v>
      </c>
      <c r="N116" s="8">
        <f>LN(Sheet1!N101/Sheet1!N100)</f>
        <v>-5.5803950677439131E-2</v>
      </c>
      <c r="O116" s="8">
        <f>LN(Sheet1!O101/Sheet1!O100)</f>
        <v>-2.0540226444501798E-2</v>
      </c>
      <c r="P116" s="8">
        <f>LN(Sheet1!P101/Sheet1!P100)</f>
        <v>5.3236359541625818E-2</v>
      </c>
      <c r="Q116" s="8">
        <f>LN(Sheet1!Q101/Sheet1!Q100)</f>
        <v>-4.9602645422823525E-3</v>
      </c>
      <c r="R116" s="8">
        <f>LN(Sheet1!R101/Sheet1!R100)</f>
        <v>-4.2332188615483761E-2</v>
      </c>
      <c r="S116" s="8">
        <f>LN(Sheet1!S101/Sheet1!S100)</f>
        <v>-1.8090622481671435E-3</v>
      </c>
      <c r="T116" s="8">
        <f>LN(Sheet1!T101/Sheet1!T100)</f>
        <v>1.2574663712901009E-3</v>
      </c>
      <c r="U116" s="8">
        <f>LN(Sheet1!U101/Sheet1!U100)</f>
        <v>-1.2077441489772932E-2</v>
      </c>
      <c r="V116" s="8">
        <f>LN(Sheet1!V101/Sheet1!V100)</f>
        <v>3.1396268306048775E-2</v>
      </c>
      <c r="W116" s="8">
        <f>LN(Sheet1!W101/Sheet1!W100)</f>
        <v>3.0567547150162085E-2</v>
      </c>
      <c r="X116" s="8">
        <f>LN(Sheet1!X101/Sheet1!X100)</f>
        <v>5.2706809049969133E-2</v>
      </c>
      <c r="Y116" s="8">
        <f>LN(Sheet1!Y101/Sheet1!Y100)</f>
        <v>-3.6719100962880509E-2</v>
      </c>
      <c r="Z116" s="8">
        <f>LN(Sheet1!Z101/Sheet1!Z100)</f>
        <v>-6.2122188550829648E-2</v>
      </c>
      <c r="AA116" s="8">
        <f>LN(Sheet1!AA101/Sheet1!AA100)</f>
        <v>-1.9928579812247715E-2</v>
      </c>
      <c r="AB116" s="8">
        <f>LN(Sheet1!AB101/Sheet1!AB100)</f>
        <v>6.9129908132010587E-2</v>
      </c>
      <c r="AC116" s="8">
        <f>LN(Sheet1!AC101/Sheet1!AC100)</f>
        <v>-4.5146803545265827E-3</v>
      </c>
      <c r="AD116" s="8">
        <f>LN(Sheet1!AD101/Sheet1!AD100)</f>
        <v>3.6161904019958814E-2</v>
      </c>
      <c r="AE116" s="8">
        <f>LN(Sheet1!AE101/Sheet1!AE100)</f>
        <v>-6.8894250055353103E-4</v>
      </c>
      <c r="AF116" s="8">
        <f>LN(Sheet1!AF101/Sheet1!AF100)</f>
        <v>-2.5692884176037677E-2</v>
      </c>
      <c r="AG116" s="8">
        <f>LN(Sheet1!AG101/Sheet1!AG100)</f>
        <v>5.8958801217913498E-2</v>
      </c>
    </row>
    <row r="117" spans="1:33" x14ac:dyDescent="0.25">
      <c r="A117" s="7">
        <v>38628</v>
      </c>
      <c r="B117" s="8">
        <f>LN(Sheet1!B102/Sheet1!B101)</f>
        <v>-1.7899994313773929E-2</v>
      </c>
      <c r="C117" s="8">
        <f>LN(Sheet1!C102/Sheet1!C101)</f>
        <v>-1.224551531226062E-2</v>
      </c>
      <c r="D117" s="8">
        <f>LN(Sheet1!D102/Sheet1!D101)</f>
        <v>-5.1151006667704887E-3</v>
      </c>
      <c r="E117" s="8">
        <f>LN(Sheet1!E102/Sheet1!E101)</f>
        <v>4.482902033845431E-2</v>
      </c>
      <c r="F117" s="8">
        <f>LN(Sheet1!F102/Sheet1!F101)</f>
        <v>-7.7409227444380094E-3</v>
      </c>
      <c r="G117" s="8">
        <f>LN(Sheet1!G102/Sheet1!G101)</f>
        <v>-4.9878698384318451E-2</v>
      </c>
      <c r="H117" s="8">
        <f>LN(Sheet1!H102/Sheet1!H101)</f>
        <v>5.8761480633720995E-3</v>
      </c>
      <c r="I117" s="8">
        <f>LN(Sheet1!I102/Sheet1!I101)</f>
        <v>-0.10627663255603287</v>
      </c>
      <c r="J117" s="8">
        <f>LN(Sheet1!J102/Sheet1!J101)</f>
        <v>6.2135040012372605E-2</v>
      </c>
      <c r="K117" s="8">
        <f>LN(Sheet1!K102/Sheet1!K101)</f>
        <v>1.0092600387224128E-2</v>
      </c>
      <c r="L117" s="8">
        <f>LN(Sheet1!L102/Sheet1!L101)</f>
        <v>7.1662559372993031E-3</v>
      </c>
      <c r="M117" s="8">
        <f>LN(Sheet1!M102/Sheet1!M101)</f>
        <v>-0.11066929539897687</v>
      </c>
      <c r="N117" s="8">
        <f>LN(Sheet1!N102/Sheet1!N101)</f>
        <v>7.3314866329247011E-2</v>
      </c>
      <c r="O117" s="8">
        <f>LN(Sheet1!O102/Sheet1!O101)</f>
        <v>-9.2105580122811448E-2</v>
      </c>
      <c r="P117" s="8">
        <f>LN(Sheet1!P102/Sheet1!P101)</f>
        <v>-4.047410792777445E-2</v>
      </c>
      <c r="Q117" s="8">
        <f>LN(Sheet1!Q102/Sheet1!Q101)</f>
        <v>2.0444932218148505E-2</v>
      </c>
      <c r="R117" s="8">
        <f>LN(Sheet1!R102/Sheet1!R101)</f>
        <v>-4.7720207809686964E-2</v>
      </c>
      <c r="S117" s="8">
        <f>LN(Sheet1!S102/Sheet1!S101)</f>
        <v>-1.0424517335884091E-2</v>
      </c>
      <c r="T117" s="8">
        <f>LN(Sheet1!T102/Sheet1!T101)</f>
        <v>8.6330445658812163E-2</v>
      </c>
      <c r="U117" s="8">
        <f>LN(Sheet1!U102/Sheet1!U101)</f>
        <v>-9.5227187685547714E-3</v>
      </c>
      <c r="V117" s="8">
        <f>LN(Sheet1!V102/Sheet1!V101)</f>
        <v>-5.7838154829700089E-2</v>
      </c>
      <c r="W117" s="8">
        <f>LN(Sheet1!W102/Sheet1!W101)</f>
        <v>3.5022763269235403E-2</v>
      </c>
      <c r="X117" s="8">
        <f>LN(Sheet1!X102/Sheet1!X101)</f>
        <v>1.8115739203955636E-2</v>
      </c>
      <c r="Y117" s="8">
        <f>LN(Sheet1!Y102/Sheet1!Y101)</f>
        <v>3.6339522290644063E-2</v>
      </c>
      <c r="Z117" s="8">
        <f>LN(Sheet1!Z102/Sheet1!Z101)</f>
        <v>-1.1949812216671043E-3</v>
      </c>
      <c r="AA117" s="8">
        <f>LN(Sheet1!AA102/Sheet1!AA101)</f>
        <v>-0.13849935647465114</v>
      </c>
      <c r="AB117" s="8">
        <f>LN(Sheet1!AB102/Sheet1!AB101)</f>
        <v>-5.5026872379910267E-2</v>
      </c>
      <c r="AC117" s="8">
        <f>LN(Sheet1!AC102/Sheet1!AC101)</f>
        <v>8.560538874070326E-3</v>
      </c>
      <c r="AD117" s="8">
        <f>LN(Sheet1!AD102/Sheet1!AD101)</f>
        <v>-1.0972678669475556E-2</v>
      </c>
      <c r="AE117" s="8">
        <f>LN(Sheet1!AE102/Sheet1!AE101)</f>
        <v>-2.4063933613616605E-2</v>
      </c>
      <c r="AF117" s="8">
        <f>LN(Sheet1!AF102/Sheet1!AF101)</f>
        <v>7.648330991599385E-2</v>
      </c>
      <c r="AG117" s="8">
        <f>LN(Sheet1!AG102/Sheet1!AG101)</f>
        <v>-0.12381943541995431</v>
      </c>
    </row>
    <row r="118" spans="1:33" x14ac:dyDescent="0.25">
      <c r="A118" s="7">
        <v>38657</v>
      </c>
      <c r="B118" s="8">
        <f>LN(Sheet1!B103/Sheet1!B102)</f>
        <v>3.4581237676988605E-2</v>
      </c>
      <c r="C118" s="8">
        <f>LN(Sheet1!C103/Sheet1!C102)</f>
        <v>3.4438217583144241E-2</v>
      </c>
      <c r="D118" s="8">
        <f>LN(Sheet1!D103/Sheet1!D102)</f>
        <v>0.12667030224457732</v>
      </c>
      <c r="E118" s="8">
        <f>LN(Sheet1!E103/Sheet1!E102)</f>
        <v>3.5528534919968387E-2</v>
      </c>
      <c r="F118" s="8">
        <f>LN(Sheet1!F103/Sheet1!F102)</f>
        <v>3.2591901001464051E-2</v>
      </c>
      <c r="G118" s="8">
        <f>LN(Sheet1!G103/Sheet1!G102)</f>
        <v>5.7255472520820853E-2</v>
      </c>
      <c r="H118" s="8">
        <f>LN(Sheet1!H103/Sheet1!H102)</f>
        <v>6.8383358375271541E-2</v>
      </c>
      <c r="I118" s="8">
        <f>LN(Sheet1!I103/Sheet1!I102)</f>
        <v>9.4103949835811967E-2</v>
      </c>
      <c r="J118" s="8">
        <f>LN(Sheet1!J103/Sheet1!J102)</f>
        <v>3.398627948763628E-2</v>
      </c>
      <c r="K118" s="8">
        <f>LN(Sheet1!K103/Sheet1!K102)</f>
        <v>2.2751756983416027E-2</v>
      </c>
      <c r="L118" s="8">
        <f>LN(Sheet1!L103/Sheet1!L102)</f>
        <v>5.1727847580594885E-2</v>
      </c>
      <c r="M118" s="8">
        <f>LN(Sheet1!M103/Sheet1!M102)</f>
        <v>-0.20568432994244121</v>
      </c>
      <c r="N118" s="8">
        <f>LN(Sheet1!N103/Sheet1!N102)</f>
        <v>2.0419036118014867E-2</v>
      </c>
      <c r="O118" s="8">
        <f>LN(Sheet1!O103/Sheet1!O102)</f>
        <v>7.1699561082541219E-2</v>
      </c>
      <c r="P118" s="8">
        <f>LN(Sheet1!P103/Sheet1!P102)</f>
        <v>5.6695343676545294E-2</v>
      </c>
      <c r="Q118" s="8">
        <f>LN(Sheet1!Q103/Sheet1!Q102)</f>
        <v>8.4635039181981328E-2</v>
      </c>
      <c r="R118" s="8">
        <f>LN(Sheet1!R103/Sheet1!R102)</f>
        <v>0.13027864008047058</v>
      </c>
      <c r="S118" s="8">
        <f>LN(Sheet1!S103/Sheet1!S102)</f>
        <v>-8.8547901258861621E-3</v>
      </c>
      <c r="T118" s="8">
        <f>LN(Sheet1!T103/Sheet1!T102)</f>
        <v>4.3699694347870278E-2</v>
      </c>
      <c r="U118" s="8">
        <f>LN(Sheet1!U103/Sheet1!U102)</f>
        <v>4.4063718786193614E-3</v>
      </c>
      <c r="V118" s="8">
        <f>LN(Sheet1!V103/Sheet1!V102)</f>
        <v>8.8884139861410597E-2</v>
      </c>
      <c r="W118" s="8">
        <f>LN(Sheet1!W103/Sheet1!W102)</f>
        <v>3.767430612958967E-2</v>
      </c>
      <c r="X118" s="8">
        <f>LN(Sheet1!X103/Sheet1!X102)</f>
        <v>-3.0640364765166798E-2</v>
      </c>
      <c r="Y118" s="8">
        <f>LN(Sheet1!Y103/Sheet1!Y102)</f>
        <v>5.3947324381456385E-2</v>
      </c>
      <c r="Z118" s="8">
        <f>LN(Sheet1!Z103/Sheet1!Z102)</f>
        <v>7.7064367507324427E-2</v>
      </c>
      <c r="AA118" s="8">
        <f>LN(Sheet1!AA103/Sheet1!AA102)</f>
        <v>-1.6865479127946517E-2</v>
      </c>
      <c r="AB118" s="8">
        <f>LN(Sheet1!AB103/Sheet1!AB102)</f>
        <v>2.1149375356399765E-2</v>
      </c>
      <c r="AC118" s="8">
        <f>LN(Sheet1!AC103/Sheet1!AC102)</f>
        <v>4.3456475465459769E-2</v>
      </c>
      <c r="AD118" s="8">
        <f>LN(Sheet1!AD103/Sheet1!AD102)</f>
        <v>5.2936877768507855E-2</v>
      </c>
      <c r="AE118" s="8">
        <f>LN(Sheet1!AE103/Sheet1!AE102)</f>
        <v>1.4716453400934247E-2</v>
      </c>
      <c r="AF118" s="8">
        <f>LN(Sheet1!AF103/Sheet1!AF102)</f>
        <v>2.6153687905079843E-2</v>
      </c>
      <c r="AG118" s="8">
        <f>LN(Sheet1!AG103/Sheet1!AG102)</f>
        <v>3.8285643734172432E-2</v>
      </c>
    </row>
    <row r="119" spans="1:33" x14ac:dyDescent="0.25">
      <c r="A119" s="7">
        <v>38687</v>
      </c>
      <c r="B119" s="8">
        <f>LN(Sheet1!B104/Sheet1!B103)</f>
        <v>-9.528500142413687E-4</v>
      </c>
      <c r="C119" s="8">
        <f>LN(Sheet1!C104/Sheet1!C103)</f>
        <v>-8.2115855060064507E-3</v>
      </c>
      <c r="D119" s="8">
        <f>LN(Sheet1!D104/Sheet1!D103)</f>
        <v>7.6096097791792675E-2</v>
      </c>
      <c r="E119" s="8">
        <f>LN(Sheet1!E104/Sheet1!E103)</f>
        <v>1.603871598848226E-2</v>
      </c>
      <c r="F119" s="8">
        <f>LN(Sheet1!F104/Sheet1!F103)</f>
        <v>7.9145235631155155E-4</v>
      </c>
      <c r="G119" s="8">
        <f>LN(Sheet1!G104/Sheet1!G103)</f>
        <v>2.9557346002616388E-2</v>
      </c>
      <c r="H119" s="8">
        <f>LN(Sheet1!H104/Sheet1!H103)</f>
        <v>-4.3782837827246703E-4</v>
      </c>
      <c r="I119" s="8">
        <f>LN(Sheet1!I104/Sheet1!I103)</f>
        <v>-1.7750954160398674E-4</v>
      </c>
      <c r="J119" s="8">
        <f>LN(Sheet1!J104/Sheet1!J103)</f>
        <v>-5.9142607089499692E-3</v>
      </c>
      <c r="K119" s="8">
        <f>LN(Sheet1!K104/Sheet1!K103)</f>
        <v>-2.90476854402308E-2</v>
      </c>
      <c r="L119" s="8">
        <f>LN(Sheet1!L104/Sheet1!L103)</f>
        <v>-1.1564250445565187E-2</v>
      </c>
      <c r="M119" s="8">
        <f>LN(Sheet1!M104/Sheet1!M103)</f>
        <v>-0.12043076857882444</v>
      </c>
      <c r="N119" s="8">
        <f>LN(Sheet1!N104/Sheet1!N103)</f>
        <v>-3.1549937784586896E-2</v>
      </c>
      <c r="O119" s="8">
        <f>LN(Sheet1!O104/Sheet1!O103)</f>
        <v>1.9298599215023093E-2</v>
      </c>
      <c r="P119" s="8">
        <f>LN(Sheet1!P104/Sheet1!P103)</f>
        <v>-3.3063739143268225E-2</v>
      </c>
      <c r="Q119" s="8">
        <f>LN(Sheet1!Q104/Sheet1!Q103)</f>
        <v>-7.8408369001721698E-2</v>
      </c>
      <c r="R119" s="8">
        <f>LN(Sheet1!R104/Sheet1!R103)</f>
        <v>-6.6731363035297142E-2</v>
      </c>
      <c r="S119" s="8">
        <f>LN(Sheet1!S104/Sheet1!S103)</f>
        <v>-2.7044764212468295E-2</v>
      </c>
      <c r="T119" s="8">
        <f>LN(Sheet1!T104/Sheet1!T103)</f>
        <v>3.6830591181561234E-2</v>
      </c>
      <c r="U119" s="8">
        <f>LN(Sheet1!U104/Sheet1!U103)</f>
        <v>-5.730210645295869E-2</v>
      </c>
      <c r="V119" s="8">
        <f>LN(Sheet1!V104/Sheet1!V103)</f>
        <v>-3.63857284390818E-3</v>
      </c>
      <c r="W119" s="8">
        <f>LN(Sheet1!W104/Sheet1!W103)</f>
        <v>-1.249019692215503E-2</v>
      </c>
      <c r="X119" s="8">
        <f>LN(Sheet1!X104/Sheet1!X103)</f>
        <v>3.6733300598547881E-2</v>
      </c>
      <c r="Y119" s="8">
        <f>LN(Sheet1!Y104/Sheet1!Y103)</f>
        <v>7.8491976303846217E-2</v>
      </c>
      <c r="Z119" s="8">
        <f>LN(Sheet1!Z104/Sheet1!Z103)</f>
        <v>-5.6550827674221378E-2</v>
      </c>
      <c r="AA119" s="8">
        <f>LN(Sheet1!AA104/Sheet1!AA103)</f>
        <v>9.5355656054361124E-2</v>
      </c>
      <c r="AB119" s="8">
        <f>LN(Sheet1!AB104/Sheet1!AB103)</f>
        <v>1.2014849096937329E-2</v>
      </c>
      <c r="AC119" s="8">
        <f>LN(Sheet1!AC104/Sheet1!AC103)</f>
        <v>-1.6894488898761797E-2</v>
      </c>
      <c r="AD119" s="8">
        <f>LN(Sheet1!AD104/Sheet1!AD103)</f>
        <v>3.7712141103837193E-2</v>
      </c>
      <c r="AE119" s="8">
        <f>LN(Sheet1!AE104/Sheet1!AE103)</f>
        <v>-5.9842319199285308E-2</v>
      </c>
      <c r="AF119" s="8">
        <f>LN(Sheet1!AF104/Sheet1!AF103)</f>
        <v>-3.3784816183581652E-2</v>
      </c>
      <c r="AG119" s="8">
        <f>LN(Sheet1!AG104/Sheet1!AG103)</f>
        <v>-3.259494457698689E-2</v>
      </c>
    </row>
    <row r="120" spans="1:33" x14ac:dyDescent="0.25">
      <c r="A120" s="7">
        <v>38720</v>
      </c>
      <c r="B120" s="8">
        <f>LN(Sheet1!B105/Sheet1!B104)</f>
        <v>2.5147961230518261E-2</v>
      </c>
      <c r="C120" s="8">
        <f>LN(Sheet1!C105/Sheet1!C104)</f>
        <v>1.3655808723507195E-2</v>
      </c>
      <c r="D120" s="8">
        <f>LN(Sheet1!D105/Sheet1!D104)</f>
        <v>6.3207384346760653E-2</v>
      </c>
      <c r="E120" s="8">
        <f>LN(Sheet1!E105/Sheet1!E104)</f>
        <v>-4.1441765224940481E-2</v>
      </c>
      <c r="F120" s="8">
        <f>LN(Sheet1!F105/Sheet1!F104)</f>
        <v>2.132944572704544E-2</v>
      </c>
      <c r="G120" s="8">
        <f>LN(Sheet1!G105/Sheet1!G104)</f>
        <v>-2.7908788117076616E-2</v>
      </c>
      <c r="H120" s="8">
        <f>LN(Sheet1!H105/Sheet1!H104)</f>
        <v>-4.0894984557147504E-2</v>
      </c>
      <c r="I120" s="8">
        <f>LN(Sheet1!I105/Sheet1!I104)</f>
        <v>0.16552346514686783</v>
      </c>
      <c r="J120" s="8">
        <f>LN(Sheet1!J105/Sheet1!J104)</f>
        <v>-8.2125118248432313E-2</v>
      </c>
      <c r="K120" s="8">
        <f>LN(Sheet1!K105/Sheet1!K104)</f>
        <v>5.4488185284069568E-2</v>
      </c>
      <c r="L120" s="8">
        <f>LN(Sheet1!L105/Sheet1!L104)</f>
        <v>-6.7864455514036928E-2</v>
      </c>
      <c r="M120" s="8">
        <f>LN(Sheet1!M105/Sheet1!M104)</f>
        <v>0.21442889921176592</v>
      </c>
      <c r="N120" s="8">
        <f>LN(Sheet1!N105/Sheet1!N104)</f>
        <v>1.5251655218771396E-3</v>
      </c>
      <c r="O120" s="8">
        <f>LN(Sheet1!O105/Sheet1!O104)</f>
        <v>3.0822022545790244E-2</v>
      </c>
      <c r="P120" s="8">
        <f>LN(Sheet1!P105/Sheet1!P104)</f>
        <v>8.5092812077569024E-2</v>
      </c>
      <c r="Q120" s="8">
        <f>LN(Sheet1!Q105/Sheet1!Q104)</f>
        <v>-1.0985006230708697E-2</v>
      </c>
      <c r="R120" s="8">
        <f>LN(Sheet1!R105/Sheet1!R104)</f>
        <v>-0.16057623826027301</v>
      </c>
      <c r="S120" s="8">
        <f>LN(Sheet1!S105/Sheet1!S104)</f>
        <v>-4.3519595292903467E-2</v>
      </c>
      <c r="T120" s="8">
        <f>LN(Sheet1!T105/Sheet1!T104)</f>
        <v>1.0052994717289338E-2</v>
      </c>
      <c r="U120" s="8">
        <f>LN(Sheet1!U105/Sheet1!U104)</f>
        <v>2.6041808636487283E-2</v>
      </c>
      <c r="V120" s="8">
        <f>LN(Sheet1!V105/Sheet1!V104)</f>
        <v>3.7560301878575605E-2</v>
      </c>
      <c r="W120" s="8">
        <f>LN(Sheet1!W105/Sheet1!W104)</f>
        <v>-6.3335875171810871E-2</v>
      </c>
      <c r="X120" s="8">
        <f>LN(Sheet1!X105/Sheet1!X104)</f>
        <v>-3.241024415075449E-2</v>
      </c>
      <c r="Y120" s="8">
        <f>LN(Sheet1!Y105/Sheet1!Y104)</f>
        <v>8.1397600192429975E-2</v>
      </c>
      <c r="Z120" s="8">
        <f>LN(Sheet1!Z105/Sheet1!Z104)</f>
        <v>7.3382545934023852E-2</v>
      </c>
      <c r="AA120" s="8">
        <f>LN(Sheet1!AA105/Sheet1!AA104)</f>
        <v>9.6590933558276498E-2</v>
      </c>
      <c r="AB120" s="8">
        <f>LN(Sheet1!AB105/Sheet1!AB104)</f>
        <v>2.7948035740147405E-2</v>
      </c>
      <c r="AC120" s="8">
        <f>LN(Sheet1!AC105/Sheet1!AC104)</f>
        <v>7.1232970173413304E-2</v>
      </c>
      <c r="AD120" s="8">
        <f>LN(Sheet1!AD105/Sheet1!AD104)</f>
        <v>4.3032813789569718E-2</v>
      </c>
      <c r="AE120" s="8">
        <f>LN(Sheet1!AE105/Sheet1!AE104)</f>
        <v>6.2621063606236593E-2</v>
      </c>
      <c r="AF120" s="8">
        <f>LN(Sheet1!AF105/Sheet1!AF104)</f>
        <v>-1.4994768270338771E-2</v>
      </c>
      <c r="AG120" s="8">
        <f>LN(Sheet1!AG105/Sheet1!AG104)</f>
        <v>0.11078236414877719</v>
      </c>
    </row>
    <row r="121" spans="1:33" x14ac:dyDescent="0.25">
      <c r="A121" s="7">
        <v>38749</v>
      </c>
      <c r="B121" s="8">
        <f>LN(Sheet1!B106/Sheet1!B105)</f>
        <v>4.529940641520396E-4</v>
      </c>
      <c r="C121" s="8">
        <f>LN(Sheet1!C106/Sheet1!C105)</f>
        <v>1.1762274149113126E-2</v>
      </c>
      <c r="D121" s="8">
        <f>LN(Sheet1!D106/Sheet1!D105)</f>
        <v>-6.7052870644767226E-2</v>
      </c>
      <c r="E121" s="8">
        <f>LN(Sheet1!E106/Sheet1!E105)</f>
        <v>1.3699898716113313E-2</v>
      </c>
      <c r="F121" s="8">
        <f>LN(Sheet1!F106/Sheet1!F105)</f>
        <v>2.6933153143946072E-2</v>
      </c>
      <c r="G121" s="8">
        <f>LN(Sheet1!G106/Sheet1!G105)</f>
        <v>6.6473978467467568E-2</v>
      </c>
      <c r="H121" s="8">
        <f>LN(Sheet1!H106/Sheet1!H105)</f>
        <v>5.9131398130401452E-3</v>
      </c>
      <c r="I121" s="8">
        <f>LN(Sheet1!I106/Sheet1!I105)</f>
        <v>7.3645787948969449E-2</v>
      </c>
      <c r="J121" s="8">
        <f>LN(Sheet1!J106/Sheet1!J105)</f>
        <v>3.6616760289017669E-2</v>
      </c>
      <c r="K121" s="8">
        <f>LN(Sheet1!K106/Sheet1!K105)</f>
        <v>0.1008046991219655</v>
      </c>
      <c r="L121" s="8">
        <f>LN(Sheet1!L106/Sheet1!L105)</f>
        <v>1.1109461982124704E-2</v>
      </c>
      <c r="M121" s="8">
        <f>LN(Sheet1!M106/Sheet1!M105)</f>
        <v>-0.15802396270519384</v>
      </c>
      <c r="N121" s="8">
        <f>LN(Sheet1!N106/Sheet1!N105)</f>
        <v>3.8859185548665569E-2</v>
      </c>
      <c r="O121" s="8">
        <f>LN(Sheet1!O106/Sheet1!O105)</f>
        <v>6.9261436011192307E-2</v>
      </c>
      <c r="P121" s="8">
        <f>LN(Sheet1!P106/Sheet1!P105)</f>
        <v>5.1000758915538666E-2</v>
      </c>
      <c r="Q121" s="8">
        <f>LN(Sheet1!Q106/Sheet1!Q105)</f>
        <v>-1.0599468320457798E-2</v>
      </c>
      <c r="R121" s="8">
        <f>LN(Sheet1!R106/Sheet1!R105)</f>
        <v>-2.655023209412084E-2</v>
      </c>
      <c r="S121" s="8">
        <f>LN(Sheet1!S106/Sheet1!S105)</f>
        <v>7.5350195044184224E-3</v>
      </c>
      <c r="T121" s="8">
        <f>LN(Sheet1!T106/Sheet1!T105)</f>
        <v>3.44103280794315E-2</v>
      </c>
      <c r="U121" s="8">
        <f>LN(Sheet1!U106/Sheet1!U105)</f>
        <v>1.4262721447900369E-2</v>
      </c>
      <c r="V121" s="8">
        <f>LN(Sheet1!V106/Sheet1!V105)</f>
        <v>-2.9299757263299415E-3</v>
      </c>
      <c r="W121" s="8">
        <f>LN(Sheet1!W106/Sheet1!W105)</f>
        <v>1.778954156349824E-2</v>
      </c>
      <c r="X121" s="8">
        <f>LN(Sheet1!X106/Sheet1!X105)</f>
        <v>-6.0969802400678026E-3</v>
      </c>
      <c r="Y121" s="8">
        <f>LN(Sheet1!Y106/Sheet1!Y105)</f>
        <v>1.0369107848403253E-2</v>
      </c>
      <c r="Z121" s="8">
        <f>LN(Sheet1!Z106/Sheet1!Z105)</f>
        <v>-4.3001435993187342E-2</v>
      </c>
      <c r="AA121" s="8">
        <f>LN(Sheet1!AA106/Sheet1!AA105)</f>
        <v>2.929420212694437E-2</v>
      </c>
      <c r="AB121" s="8">
        <f>LN(Sheet1!AB106/Sheet1!AB105)</f>
        <v>1.171821094690164E-2</v>
      </c>
      <c r="AC121" s="8">
        <f>LN(Sheet1!AC106/Sheet1!AC105)</f>
        <v>6.1150975394632358E-2</v>
      </c>
      <c r="AD121" s="8">
        <f>LN(Sheet1!AD106/Sheet1!AD105)</f>
        <v>5.949273890208954E-3</v>
      </c>
      <c r="AE121" s="8">
        <f>LN(Sheet1!AE106/Sheet1!AE105)</f>
        <v>6.2520356981334138E-2</v>
      </c>
      <c r="AF121" s="8">
        <f>LN(Sheet1!AF106/Sheet1!AF105)</f>
        <v>-1.6351579464405071E-2</v>
      </c>
      <c r="AG121" s="8">
        <f>LN(Sheet1!AG106/Sheet1!AG105)</f>
        <v>-5.0060838412503188E-2</v>
      </c>
    </row>
    <row r="122" spans="1:33" x14ac:dyDescent="0.25">
      <c r="A122" s="7">
        <v>38777</v>
      </c>
      <c r="B122" s="8">
        <f>LN(Sheet1!B107/Sheet1!B106)</f>
        <v>1.1034733969458945E-2</v>
      </c>
      <c r="C122" s="8">
        <f>LN(Sheet1!C107/Sheet1!C106)</f>
        <v>1.0488393295140046E-2</v>
      </c>
      <c r="D122" s="8">
        <f>LN(Sheet1!D107/Sheet1!D106)</f>
        <v>4.1508273862871946E-2</v>
      </c>
      <c r="E122" s="8">
        <f>LN(Sheet1!E107/Sheet1!E106)</f>
        <v>-1.8362667745791162E-3</v>
      </c>
      <c r="F122" s="8">
        <f>LN(Sheet1!F107/Sheet1!F106)</f>
        <v>-2.4998916564115178E-2</v>
      </c>
      <c r="G122" s="8">
        <f>LN(Sheet1!G107/Sheet1!G106)</f>
        <v>6.9543838260784557E-2</v>
      </c>
      <c r="H122" s="8">
        <f>LN(Sheet1!H107/Sheet1!H106)</f>
        <v>1.8423347417442025E-2</v>
      </c>
      <c r="I122" s="8">
        <f>LN(Sheet1!I107/Sheet1!I106)</f>
        <v>-1.7624707185840704E-2</v>
      </c>
      <c r="J122" s="8">
        <f>LN(Sheet1!J107/Sheet1!J106)</f>
        <v>4.7976885502743011E-2</v>
      </c>
      <c r="K122" s="8">
        <f>LN(Sheet1!K107/Sheet1!K106)</f>
        <v>-3.6114159872163271E-3</v>
      </c>
      <c r="L122" s="8">
        <f>LN(Sheet1!L107/Sheet1!L106)</f>
        <v>5.6456708667657278E-2</v>
      </c>
      <c r="M122" s="8">
        <f>LN(Sheet1!M107/Sheet1!M106)</f>
        <v>4.6077254194510725E-2</v>
      </c>
      <c r="N122" s="8">
        <f>LN(Sheet1!N107/Sheet1!N106)</f>
        <v>7.0602849580012981E-3</v>
      </c>
      <c r="O122" s="8">
        <f>LN(Sheet1!O107/Sheet1!O106)</f>
        <v>4.3405121538544478E-2</v>
      </c>
      <c r="P122" s="8">
        <f>LN(Sheet1!P107/Sheet1!P106)</f>
        <v>5.2364204050889792E-3</v>
      </c>
      <c r="Q122" s="8">
        <f>LN(Sheet1!Q107/Sheet1!Q106)</f>
        <v>2.7402402702727629E-2</v>
      </c>
      <c r="R122" s="8">
        <f>LN(Sheet1!R107/Sheet1!R106)</f>
        <v>-5.6894665981371037E-2</v>
      </c>
      <c r="S122" s="8">
        <f>LN(Sheet1!S107/Sheet1!S106)</f>
        <v>2.680463776171578E-2</v>
      </c>
      <c r="T122" s="8">
        <f>LN(Sheet1!T107/Sheet1!T106)</f>
        <v>1.2133617011426161E-2</v>
      </c>
      <c r="U122" s="8">
        <f>LN(Sheet1!U107/Sheet1!U106)</f>
        <v>4.9566396399284163E-3</v>
      </c>
      <c r="V122" s="8">
        <f>LN(Sheet1!V107/Sheet1!V106)</f>
        <v>-1.5971945566052113E-2</v>
      </c>
      <c r="W122" s="8">
        <f>LN(Sheet1!W107/Sheet1!W106)</f>
        <v>2.8147553623527406E-2</v>
      </c>
      <c r="X122" s="8">
        <f>LN(Sheet1!X107/Sheet1!X106)</f>
        <v>-3.7553162029438517E-3</v>
      </c>
      <c r="Y122" s="8">
        <f>LN(Sheet1!Y107/Sheet1!Y106)</f>
        <v>2.1312528131712173E-2</v>
      </c>
      <c r="Z122" s="8">
        <f>LN(Sheet1!Z107/Sheet1!Z106)</f>
        <v>1.2422519998557329E-2</v>
      </c>
      <c r="AA122" s="8">
        <f>LN(Sheet1!AA107/Sheet1!AA106)</f>
        <v>-4.9732869804218247E-2</v>
      </c>
      <c r="AB122" s="8">
        <f>LN(Sheet1!AB107/Sheet1!AB106)</f>
        <v>-3.9131630261591596E-2</v>
      </c>
      <c r="AC122" s="8">
        <f>LN(Sheet1!AC107/Sheet1!AC106)</f>
        <v>-2.0101179321087265E-2</v>
      </c>
      <c r="AD122" s="8">
        <f>LN(Sheet1!AD107/Sheet1!AD106)</f>
        <v>-8.9372363909355351E-3</v>
      </c>
      <c r="AE122" s="8">
        <f>LN(Sheet1!AE107/Sheet1!AE106)</f>
        <v>1.069528911674795E-2</v>
      </c>
      <c r="AF122" s="8">
        <f>LN(Sheet1!AF107/Sheet1!AF106)</f>
        <v>4.4392847202742981E-2</v>
      </c>
      <c r="AG122" s="8">
        <f>LN(Sheet1!AG107/Sheet1!AG106)</f>
        <v>2.4671604407683519E-2</v>
      </c>
    </row>
    <row r="123" spans="1:33" x14ac:dyDescent="0.25">
      <c r="A123" s="7">
        <v>38810</v>
      </c>
      <c r="B123" s="8">
        <f>LN(Sheet1!B108/Sheet1!B107)</f>
        <v>1.2082373675144375E-2</v>
      </c>
      <c r="C123" s="8">
        <f>LN(Sheet1!C108/Sheet1!C107)</f>
        <v>2.294234132533125E-2</v>
      </c>
      <c r="D123" s="8">
        <f>LN(Sheet1!D108/Sheet1!D107)</f>
        <v>0.10000345023607453</v>
      </c>
      <c r="E123" s="8">
        <f>LN(Sheet1!E108/Sheet1!E107)</f>
        <v>-1.279400881125055E-2</v>
      </c>
      <c r="F123" s="8">
        <f>LN(Sheet1!F108/Sheet1!F107)</f>
        <v>2.5940802288829289E-2</v>
      </c>
      <c r="G123" s="8">
        <f>LN(Sheet1!G108/Sheet1!G107)</f>
        <v>6.8443772909962799E-2</v>
      </c>
      <c r="H123" s="8">
        <f>LN(Sheet1!H108/Sheet1!H107)</f>
        <v>6.6317881037648505E-2</v>
      </c>
      <c r="I123" s="8">
        <f>LN(Sheet1!I108/Sheet1!I107)</f>
        <v>5.654972538663082E-2</v>
      </c>
      <c r="J123" s="8">
        <f>LN(Sheet1!J108/Sheet1!J107)</f>
        <v>4.3658205355540103E-2</v>
      </c>
      <c r="K123" s="8">
        <f>LN(Sheet1!K108/Sheet1!K107)</f>
        <v>2.5293599754178655E-3</v>
      </c>
      <c r="L123" s="8">
        <f>LN(Sheet1!L108/Sheet1!L107)</f>
        <v>-5.6843832942341608E-3</v>
      </c>
      <c r="M123" s="8">
        <f>LN(Sheet1!M108/Sheet1!M107)</f>
        <v>7.3128540145944609E-2</v>
      </c>
      <c r="N123" s="8">
        <f>LN(Sheet1!N108/Sheet1!N107)</f>
        <v>-5.7672288465850888E-2</v>
      </c>
      <c r="O123" s="8">
        <f>LN(Sheet1!O108/Sheet1!O107)</f>
        <v>-6.2590478768863632E-3</v>
      </c>
      <c r="P123" s="8">
        <f>LN(Sheet1!P108/Sheet1!P107)</f>
        <v>-1.2987195526810966E-2</v>
      </c>
      <c r="Q123" s="8">
        <f>LN(Sheet1!Q108/Sheet1!Q107)</f>
        <v>-1.6058307446832538E-3</v>
      </c>
      <c r="R123" s="8">
        <f>LN(Sheet1!R108/Sheet1!R107)</f>
        <v>2.6029579930983322E-2</v>
      </c>
      <c r="S123" s="8">
        <f>LN(Sheet1!S108/Sheet1!S107)</f>
        <v>-1.0319287024664659E-2</v>
      </c>
      <c r="T123" s="8">
        <f>LN(Sheet1!T108/Sheet1!T107)</f>
        <v>9.3938751017945937E-2</v>
      </c>
      <c r="U123" s="8">
        <f>LN(Sheet1!U108/Sheet1!U107)</f>
        <v>1.9757971357164724E-3</v>
      </c>
      <c r="V123" s="8">
        <f>LN(Sheet1!V108/Sheet1!V107)</f>
        <v>6.2416609234761337E-3</v>
      </c>
      <c r="W123" s="8">
        <f>LN(Sheet1!W108/Sheet1!W107)</f>
        <v>0.12107315770248075</v>
      </c>
      <c r="X123" s="8">
        <f>LN(Sheet1!X108/Sheet1!X107)</f>
        <v>3.1959072224041554E-2</v>
      </c>
      <c r="Y123" s="8">
        <f>LN(Sheet1!Y108/Sheet1!Y107)</f>
        <v>-2.3134575401656969E-2</v>
      </c>
      <c r="Z123" s="8">
        <f>LN(Sheet1!Z108/Sheet1!Z107)</f>
        <v>-0.11904645970315549</v>
      </c>
      <c r="AA123" s="8">
        <f>LN(Sheet1!AA108/Sheet1!AA107)</f>
        <v>1.6301301411312585E-2</v>
      </c>
      <c r="AB123" s="8">
        <f>LN(Sheet1!AB108/Sheet1!AB107)</f>
        <v>1.5556262089382411E-2</v>
      </c>
      <c r="AC123" s="8">
        <f>LN(Sheet1!AC108/Sheet1!AC107)</f>
        <v>-1.8522697049332435E-2</v>
      </c>
      <c r="AD123" s="8">
        <f>LN(Sheet1!AD108/Sheet1!AD107)</f>
        <v>8.0137486061426857E-2</v>
      </c>
      <c r="AE123" s="8">
        <f>LN(Sheet1!AE108/Sheet1!AE107)</f>
        <v>-1.8874624754907612E-2</v>
      </c>
      <c r="AF123" s="8">
        <f>LN(Sheet1!AF108/Sheet1!AF107)</f>
        <v>-4.8012760657877497E-2</v>
      </c>
      <c r="AG123" s="8">
        <f>LN(Sheet1!AG108/Sheet1!AG107)</f>
        <v>3.5821276451817499E-2</v>
      </c>
    </row>
    <row r="124" spans="1:33" x14ac:dyDescent="0.25">
      <c r="A124" s="7">
        <v>38838</v>
      </c>
      <c r="B124" s="8">
        <f>LN(Sheet1!B109/Sheet1!B108)</f>
        <v>-3.1404913585891703E-2</v>
      </c>
      <c r="C124" s="8">
        <f>LN(Sheet1!C109/Sheet1!C108)</f>
        <v>-1.7646433468656835E-2</v>
      </c>
      <c r="D124" s="8">
        <f>LN(Sheet1!D109/Sheet1!D108)</f>
        <v>-5.8536502452572914E-2</v>
      </c>
      <c r="E124" s="8">
        <f>LN(Sheet1!E109/Sheet1!E108)</f>
        <v>-6.8206424910935259E-2</v>
      </c>
      <c r="F124" s="8">
        <f>LN(Sheet1!F109/Sheet1!F108)</f>
        <v>1.0116234642399734E-2</v>
      </c>
      <c r="G124" s="8">
        <f>LN(Sheet1!G109/Sheet1!G108)</f>
        <v>9.7596689459650775E-4</v>
      </c>
      <c r="H124" s="8">
        <f>LN(Sheet1!H109/Sheet1!H108)</f>
        <v>-1.3000812177251434E-2</v>
      </c>
      <c r="I124" s="8">
        <f>LN(Sheet1!I109/Sheet1!I108)</f>
        <v>-3.7667947010738966E-2</v>
      </c>
      <c r="J124" s="8">
        <f>LN(Sheet1!J109/Sheet1!J108)</f>
        <v>-2.8002308282986967E-2</v>
      </c>
      <c r="K124" s="8">
        <f>LN(Sheet1!K109/Sheet1!K108)</f>
        <v>8.7041449916479524E-2</v>
      </c>
      <c r="L124" s="8">
        <f>LN(Sheet1!L109/Sheet1!L108)</f>
        <v>-9.3444538276662072E-3</v>
      </c>
      <c r="M124" s="8">
        <f>LN(Sheet1!M109/Sheet1!M108)</f>
        <v>0.17256835543275501</v>
      </c>
      <c r="N124" s="8">
        <f>LN(Sheet1!N109/Sheet1!N108)</f>
        <v>-4.6287515832693998E-2</v>
      </c>
      <c r="O124" s="8">
        <f>LN(Sheet1!O109/Sheet1!O108)</f>
        <v>-2.6178865031409967E-2</v>
      </c>
      <c r="P124" s="8">
        <f>LN(Sheet1!P109/Sheet1!P108)</f>
        <v>-2.8050509276087211E-3</v>
      </c>
      <c r="Q124" s="8">
        <f>LN(Sheet1!Q109/Sheet1!Q108)</f>
        <v>-2.6431049487101434E-2</v>
      </c>
      <c r="R124" s="8">
        <f>LN(Sheet1!R109/Sheet1!R108)</f>
        <v>-9.8192026179213729E-2</v>
      </c>
      <c r="S124" s="8">
        <f>LN(Sheet1!S109/Sheet1!S108)</f>
        <v>3.3368122976879154E-2</v>
      </c>
      <c r="T124" s="8">
        <f>LN(Sheet1!T109/Sheet1!T108)</f>
        <v>-6.2284278247980301E-2</v>
      </c>
      <c r="U124" s="8">
        <f>LN(Sheet1!U109/Sheet1!U108)</f>
        <v>4.8167268625324902E-2</v>
      </c>
      <c r="V124" s="8">
        <f>LN(Sheet1!V109/Sheet1!V108)</f>
        <v>-4.1439469069049675E-2</v>
      </c>
      <c r="W124" s="8">
        <f>LN(Sheet1!W109/Sheet1!W108)</f>
        <v>-1.5671826551087443E-2</v>
      </c>
      <c r="X124" s="8">
        <f>LN(Sheet1!X109/Sheet1!X108)</f>
        <v>-1.1186230434368987E-2</v>
      </c>
      <c r="Y124" s="8">
        <f>LN(Sheet1!Y109/Sheet1!Y108)</f>
        <v>-2.1816812460609451E-2</v>
      </c>
      <c r="Z124" s="8">
        <f>LN(Sheet1!Z109/Sheet1!Z108)</f>
        <v>-6.0361276806617549E-2</v>
      </c>
      <c r="AA124" s="8">
        <f>LN(Sheet1!AA109/Sheet1!AA108)</f>
        <v>-5.8915883536594847E-2</v>
      </c>
      <c r="AB124" s="8">
        <f>LN(Sheet1!AB109/Sheet1!AB108)</f>
        <v>-7.0484950580638514E-2</v>
      </c>
      <c r="AC124" s="8">
        <f>LN(Sheet1!AC109/Sheet1!AC108)</f>
        <v>-5.9844583152404186E-3</v>
      </c>
      <c r="AD124" s="8">
        <f>LN(Sheet1!AD109/Sheet1!AD108)</f>
        <v>-6.500894101855618E-4</v>
      </c>
      <c r="AE124" s="8">
        <f>LN(Sheet1!AE109/Sheet1!AE108)</f>
        <v>-5.6772000140639163E-2</v>
      </c>
      <c r="AF124" s="8">
        <f>LN(Sheet1!AF109/Sheet1!AF108)</f>
        <v>7.6759550101797761E-2</v>
      </c>
      <c r="AG124" s="8">
        <f>LN(Sheet1!AG109/Sheet1!AG108)</f>
        <v>-2.9956156999419347E-2</v>
      </c>
    </row>
    <row r="125" spans="1:33" x14ac:dyDescent="0.25">
      <c r="A125" s="7">
        <v>38869</v>
      </c>
      <c r="B125" s="8">
        <f>LN(Sheet1!B110/Sheet1!B109)</f>
        <v>8.6604285391806066E-5</v>
      </c>
      <c r="C125" s="8">
        <f>LN(Sheet1!C110/Sheet1!C109)</f>
        <v>-1.6210748612506519E-3</v>
      </c>
      <c r="D125" s="8">
        <f>LN(Sheet1!D110/Sheet1!D109)</f>
        <v>2.0105990841792383E-2</v>
      </c>
      <c r="E125" s="8">
        <f>LN(Sheet1!E110/Sheet1!E109)</f>
        <v>-2.9153636034833466E-2</v>
      </c>
      <c r="F125" s="8">
        <f>LN(Sheet1!F110/Sheet1!F109)</f>
        <v>-2.1097034110837271E-2</v>
      </c>
      <c r="G125" s="8">
        <f>LN(Sheet1!G110/Sheet1!G109)</f>
        <v>-1.6226539187904732E-2</v>
      </c>
      <c r="H125" s="8">
        <f>LN(Sheet1!H110/Sheet1!H109)</f>
        <v>-2.1547500327270021E-2</v>
      </c>
      <c r="I125" s="8">
        <f>LN(Sheet1!I110/Sheet1!I109)</f>
        <v>2.0858550273622451E-2</v>
      </c>
      <c r="J125" s="8">
        <f>LN(Sheet1!J110/Sheet1!J109)</f>
        <v>-2.2086787402843512E-2</v>
      </c>
      <c r="K125" s="8">
        <f>LN(Sheet1!K110/Sheet1!K109)</f>
        <v>-1.6678171781360347E-2</v>
      </c>
      <c r="L125" s="8">
        <f>LN(Sheet1!L110/Sheet1!L109)</f>
        <v>-3.1377535692255452E-2</v>
      </c>
      <c r="M125" s="8">
        <f>LN(Sheet1!M110/Sheet1!M109)</f>
        <v>0.10114029071015609</v>
      </c>
      <c r="N125" s="8">
        <f>LN(Sheet1!N110/Sheet1!N109)</f>
        <v>-5.9044444306062267E-2</v>
      </c>
      <c r="O125" s="8">
        <f>LN(Sheet1!O110/Sheet1!O109)</f>
        <v>-2.1802642851310103E-2</v>
      </c>
      <c r="P125" s="8">
        <f>LN(Sheet1!P110/Sheet1!P109)</f>
        <v>-1.9222271390682232E-2</v>
      </c>
      <c r="Q125" s="8">
        <f>LN(Sheet1!Q110/Sheet1!Q109)</f>
        <v>-3.9352735069111175E-2</v>
      </c>
      <c r="R125" s="8">
        <f>LN(Sheet1!R110/Sheet1!R109)</f>
        <v>5.2992530140510377E-2</v>
      </c>
      <c r="S125" s="8">
        <f>LN(Sheet1!S110/Sheet1!S109)</f>
        <v>-5.1142286717199602E-3</v>
      </c>
      <c r="T125" s="8">
        <f>LN(Sheet1!T110/Sheet1!T109)</f>
        <v>-1.4960426172583261E-2</v>
      </c>
      <c r="U125" s="8">
        <f>LN(Sheet1!U110/Sheet1!U109)</f>
        <v>-1.5878992247688517E-2</v>
      </c>
      <c r="V125" s="8">
        <f>LN(Sheet1!V110/Sheet1!V109)</f>
        <v>1.288756714060884E-2</v>
      </c>
      <c r="W125" s="8">
        <f>LN(Sheet1!W110/Sheet1!W109)</f>
        <v>-3.5139423961137048E-2</v>
      </c>
      <c r="X125" s="8">
        <f>LN(Sheet1!X110/Sheet1!X109)</f>
        <v>2.6224107798909591E-2</v>
      </c>
      <c r="Y125" s="8">
        <f>LN(Sheet1!Y110/Sheet1!Y109)</f>
        <v>9.0242147042429541E-2</v>
      </c>
      <c r="Z125" s="8">
        <f>LN(Sheet1!Z110/Sheet1!Z109)</f>
        <v>2.8245478779554994E-2</v>
      </c>
      <c r="AA125" s="8">
        <f>LN(Sheet1!AA110/Sheet1!AA109)</f>
        <v>-7.947061692531834E-3</v>
      </c>
      <c r="AB125" s="8">
        <f>LN(Sheet1!AB110/Sheet1!AB109)</f>
        <v>2.454110891611766E-2</v>
      </c>
      <c r="AC125" s="8">
        <f>LN(Sheet1!AC110/Sheet1!AC109)</f>
        <v>6.8058728495154666E-2</v>
      </c>
      <c r="AD125" s="8">
        <f>LN(Sheet1!AD110/Sheet1!AD109)</f>
        <v>1.4365512155105176E-2</v>
      </c>
      <c r="AE125" s="8">
        <f>LN(Sheet1!AE110/Sheet1!AE109)</f>
        <v>7.0475314082168714E-2</v>
      </c>
      <c r="AF125" s="8">
        <f>LN(Sheet1!AF110/Sheet1!AF109)</f>
        <v>-5.8947539113491116E-3</v>
      </c>
      <c r="AG125" s="8">
        <f>LN(Sheet1!AG110/Sheet1!AG109)</f>
        <v>7.1589417543125883E-3</v>
      </c>
    </row>
    <row r="126" spans="1:33" x14ac:dyDescent="0.25">
      <c r="A126" s="7">
        <v>38901</v>
      </c>
      <c r="B126" s="8">
        <f>LN(Sheet1!B111/Sheet1!B110)</f>
        <v>5.072924191958309E-3</v>
      </c>
      <c r="C126" s="8">
        <f>LN(Sheet1!C111/Sheet1!C110)</f>
        <v>3.175160149467708E-3</v>
      </c>
      <c r="D126" s="8">
        <f>LN(Sheet1!D111/Sheet1!D110)</f>
        <v>-7.7491987750543112E-2</v>
      </c>
      <c r="E126" s="8">
        <f>LN(Sheet1!E111/Sheet1!E110)</f>
        <v>2.6992192014356185E-2</v>
      </c>
      <c r="F126" s="8">
        <f>LN(Sheet1!F111/Sheet1!F110)</f>
        <v>-1.9220272625737275E-2</v>
      </c>
      <c r="G126" s="8">
        <f>LN(Sheet1!G111/Sheet1!G110)</f>
        <v>-5.6334975684267992E-2</v>
      </c>
      <c r="H126" s="8">
        <f>LN(Sheet1!H111/Sheet1!H110)</f>
        <v>1.2931036284609511E-3</v>
      </c>
      <c r="I126" s="8">
        <f>LN(Sheet1!I111/Sheet1!I110)</f>
        <v>-4.5303426942239683E-2</v>
      </c>
      <c r="J126" s="8">
        <f>LN(Sheet1!J111/Sheet1!J110)</f>
        <v>-4.7773311612226567E-2</v>
      </c>
      <c r="K126" s="8">
        <f>LN(Sheet1!K111/Sheet1!K110)</f>
        <v>-1.0481921836714819E-2</v>
      </c>
      <c r="L126" s="8">
        <f>LN(Sheet1!L111/Sheet1!L110)</f>
        <v>-8.1581877014635824E-3</v>
      </c>
      <c r="M126" s="8">
        <f>LN(Sheet1!M111/Sheet1!M110)</f>
        <v>7.8817576351363466E-2</v>
      </c>
      <c r="N126" s="8">
        <f>LN(Sheet1!N111/Sheet1!N110)</f>
        <v>-3.0735965414559294E-2</v>
      </c>
      <c r="O126" s="8">
        <f>LN(Sheet1!O111/Sheet1!O110)</f>
        <v>-4.0325960146512276E-2</v>
      </c>
      <c r="P126" s="8">
        <f>LN(Sheet1!P111/Sheet1!P110)</f>
        <v>7.2912036433897933E-3</v>
      </c>
      <c r="Q126" s="8">
        <f>LN(Sheet1!Q111/Sheet1!Q110)</f>
        <v>7.7596233367303192E-3</v>
      </c>
      <c r="R126" s="8">
        <f>LN(Sheet1!R111/Sheet1!R110)</f>
        <v>-5.3559584309376795E-2</v>
      </c>
      <c r="S126" s="8">
        <f>LN(Sheet1!S111/Sheet1!S110)</f>
        <v>4.2986800550286988E-2</v>
      </c>
      <c r="T126" s="8">
        <f>LN(Sheet1!T111/Sheet1!T110)</f>
        <v>9.0649426323624022E-2</v>
      </c>
      <c r="U126" s="8">
        <f>LN(Sheet1!U111/Sheet1!U110)</f>
        <v>3.3821917990590436E-2</v>
      </c>
      <c r="V126" s="8">
        <f>LN(Sheet1!V111/Sheet1!V110)</f>
        <v>5.1979034823580954E-2</v>
      </c>
      <c r="W126" s="8">
        <f>LN(Sheet1!W111/Sheet1!W110)</f>
        <v>-0.13736152827553341</v>
      </c>
      <c r="X126" s="8">
        <f>LN(Sheet1!X111/Sheet1!X110)</f>
        <v>8.5246485261425142E-2</v>
      </c>
      <c r="Y126" s="8">
        <f>LN(Sheet1!Y111/Sheet1!Y110)</f>
        <v>0.10012400759090735</v>
      </c>
      <c r="Z126" s="8">
        <f>LN(Sheet1!Z111/Sheet1!Z110)</f>
        <v>3.2115798027062568E-2</v>
      </c>
      <c r="AA126" s="8">
        <f>LN(Sheet1!AA111/Sheet1!AA110)</f>
        <v>0.10189707806757349</v>
      </c>
      <c r="AB126" s="8">
        <f>LN(Sheet1!AB111/Sheet1!AB110)</f>
        <v>1.6393809775676352E-2</v>
      </c>
      <c r="AC126" s="8">
        <f>LN(Sheet1!AC111/Sheet1!AC110)</f>
        <v>8.4547284415516261E-2</v>
      </c>
      <c r="AD126" s="8">
        <f>LN(Sheet1!AD111/Sheet1!AD110)</f>
        <v>-1.958149790093287E-2</v>
      </c>
      <c r="AE126" s="8">
        <f>LN(Sheet1!AE111/Sheet1!AE110)</f>
        <v>2.2112742052207431E-2</v>
      </c>
      <c r="AF126" s="8">
        <f>LN(Sheet1!AF111/Sheet1!AF110)</f>
        <v>-7.9057832462024566E-2</v>
      </c>
      <c r="AG126" s="8">
        <f>LN(Sheet1!AG111/Sheet1!AG110)</f>
        <v>9.9103422754658471E-2</v>
      </c>
    </row>
    <row r="127" spans="1:33" x14ac:dyDescent="0.25">
      <c r="A127" s="7">
        <v>38930</v>
      </c>
      <c r="B127" s="8">
        <f>LN(Sheet1!B112/Sheet1!B111)</f>
        <v>2.105112458799209E-2</v>
      </c>
      <c r="C127" s="8">
        <f>LN(Sheet1!C112/Sheet1!C111)</f>
        <v>1.7324089271424339E-2</v>
      </c>
      <c r="D127" s="8">
        <f>LN(Sheet1!D112/Sheet1!D111)</f>
        <v>-4.1120775921201592E-2</v>
      </c>
      <c r="E127" s="8">
        <f>LN(Sheet1!E112/Sheet1!E111)</f>
        <v>5.3313555879546316E-2</v>
      </c>
      <c r="F127" s="8">
        <f>LN(Sheet1!F112/Sheet1!F111)</f>
        <v>9.0795562412944661E-3</v>
      </c>
      <c r="G127" s="8">
        <f>LN(Sheet1!G112/Sheet1!G111)</f>
        <v>-2.9269084150949431E-2</v>
      </c>
      <c r="H127" s="8">
        <f>LN(Sheet1!H112/Sheet1!H111)</f>
        <v>3.1378448863200251E-2</v>
      </c>
      <c r="I127" s="8">
        <f>LN(Sheet1!I112/Sheet1!I111)</f>
        <v>-6.5922208167984775E-2</v>
      </c>
      <c r="J127" s="8">
        <f>LN(Sheet1!J112/Sheet1!J111)</f>
        <v>1.7032669834171413E-2</v>
      </c>
      <c r="K127" s="8">
        <f>LN(Sheet1!K112/Sheet1!K111)</f>
        <v>-1.3605444275602884E-3</v>
      </c>
      <c r="L127" s="8">
        <f>LN(Sheet1!L112/Sheet1!L111)</f>
        <v>4.1048811895438395E-2</v>
      </c>
      <c r="M127" s="8">
        <f>LN(Sheet1!M112/Sheet1!M111)</f>
        <v>-9.1352559421059534E-2</v>
      </c>
      <c r="N127" s="8">
        <f>LN(Sheet1!N112/Sheet1!N111)</f>
        <v>-1.2146498025455855E-2</v>
      </c>
      <c r="O127" s="8">
        <f>LN(Sheet1!O112/Sheet1!O111)</f>
        <v>6.3108282022226762E-3</v>
      </c>
      <c r="P127" s="8">
        <f>LN(Sheet1!P112/Sheet1!P111)</f>
        <v>0.13593689884194501</v>
      </c>
      <c r="Q127" s="8">
        <f>LN(Sheet1!Q112/Sheet1!Q111)</f>
        <v>4.8833833245183075E-2</v>
      </c>
      <c r="R127" s="8">
        <f>LN(Sheet1!R112/Sheet1!R111)</f>
        <v>8.8947486016496116E-2</v>
      </c>
      <c r="S127" s="8">
        <f>LN(Sheet1!S112/Sheet1!S111)</f>
        <v>3.9012893464451699E-2</v>
      </c>
      <c r="T127" s="8">
        <f>LN(Sheet1!T112/Sheet1!T111)</f>
        <v>9.0232354419040315E-4</v>
      </c>
      <c r="U127" s="8">
        <f>LN(Sheet1!U112/Sheet1!U111)</f>
        <v>6.9045153465444858E-3</v>
      </c>
      <c r="V127" s="8">
        <f>LN(Sheet1!V112/Sheet1!V111)</f>
        <v>1.4082715854511953E-2</v>
      </c>
      <c r="W127" s="8">
        <f>LN(Sheet1!W112/Sheet1!W111)</f>
        <v>2.4717453211175411E-2</v>
      </c>
      <c r="X127" s="8">
        <f>LN(Sheet1!X112/Sheet1!X111)</f>
        <v>4.3621680345035128E-2</v>
      </c>
      <c r="Y127" s="8">
        <f>LN(Sheet1!Y112/Sheet1!Y111)</f>
        <v>1.6049255453279451E-2</v>
      </c>
      <c r="Z127" s="8">
        <f>LN(Sheet1!Z112/Sheet1!Z111)</f>
        <v>6.9582668024249242E-2</v>
      </c>
      <c r="AA127" s="8">
        <f>LN(Sheet1!AA112/Sheet1!AA111)</f>
        <v>6.8085066976365391E-2</v>
      </c>
      <c r="AB127" s="8">
        <f>LN(Sheet1!AB112/Sheet1!AB111)</f>
        <v>9.6541252223744989E-2</v>
      </c>
      <c r="AC127" s="8">
        <f>LN(Sheet1!AC112/Sheet1!AC111)</f>
        <v>3.7422199087061583E-2</v>
      </c>
      <c r="AD127" s="8">
        <f>LN(Sheet1!AD112/Sheet1!AD111)</f>
        <v>1.2666619499566985E-2</v>
      </c>
      <c r="AE127" s="8">
        <f>LN(Sheet1!AE112/Sheet1!AE111)</f>
        <v>3.9464496674722599E-2</v>
      </c>
      <c r="AF127" s="8">
        <f>LN(Sheet1!AF112/Sheet1!AF111)</f>
        <v>8.6462427148646277E-3</v>
      </c>
      <c r="AG127" s="8">
        <f>LN(Sheet1!AG112/Sheet1!AG111)</f>
        <v>3.5992840296468214E-3</v>
      </c>
    </row>
    <row r="128" spans="1:33" x14ac:dyDescent="0.25">
      <c r="A128" s="7">
        <v>38961</v>
      </c>
      <c r="B128" s="8">
        <f>LN(Sheet1!B113/Sheet1!B112)</f>
        <v>2.4269376195304011E-2</v>
      </c>
      <c r="C128" s="8">
        <f>LN(Sheet1!C113/Sheet1!C112)</f>
        <v>2.5839872868236302E-2</v>
      </c>
      <c r="D128" s="8">
        <f>LN(Sheet1!D113/Sheet1!D112)</f>
        <v>-1.9397159882735084E-2</v>
      </c>
      <c r="E128" s="8">
        <f>LN(Sheet1!E113/Sheet1!E112)</f>
        <v>3.7477287762481097E-2</v>
      </c>
      <c r="F128" s="8">
        <f>LN(Sheet1!F113/Sheet1!F112)</f>
        <v>6.5319466120642461E-2</v>
      </c>
      <c r="G128" s="8">
        <f>LN(Sheet1!G113/Sheet1!G112)</f>
        <v>5.1441791529253662E-2</v>
      </c>
      <c r="H128" s="8">
        <f>LN(Sheet1!H113/Sheet1!H112)</f>
        <v>6.4496218579942269E-3</v>
      </c>
      <c r="I128" s="8">
        <f>LN(Sheet1!I113/Sheet1!I112)</f>
        <v>-8.4388686458645949E-3</v>
      </c>
      <c r="J128" s="8">
        <f>LN(Sheet1!J113/Sheet1!J112)</f>
        <v>6.9436307784361675E-2</v>
      </c>
      <c r="K128" s="8">
        <f>LN(Sheet1!K113/Sheet1!K112)</f>
        <v>4.1665750098952542E-2</v>
      </c>
      <c r="L128" s="8">
        <f>LN(Sheet1!L113/Sheet1!L112)</f>
        <v>4.2912339221525805E-2</v>
      </c>
      <c r="M128" s="8">
        <f>LN(Sheet1!M113/Sheet1!M112)</f>
        <v>0.13085612843656988</v>
      </c>
      <c r="N128" s="8">
        <f>LN(Sheet1!N113/Sheet1!N112)</f>
        <v>6.0431739184917871E-2</v>
      </c>
      <c r="O128" s="8">
        <f>LN(Sheet1!O113/Sheet1!O112)</f>
        <v>5.4825711222171204E-2</v>
      </c>
      <c r="P128" s="8">
        <f>LN(Sheet1!P113/Sheet1!P112)</f>
        <v>5.7732119113193666E-3</v>
      </c>
      <c r="Q128" s="8">
        <f>LN(Sheet1!Q113/Sheet1!Q112)</f>
        <v>1.1906379026691321E-2</v>
      </c>
      <c r="R128" s="8">
        <f>LN(Sheet1!R113/Sheet1!R112)</f>
        <v>5.0099016394262313E-2</v>
      </c>
      <c r="S128" s="8">
        <f>LN(Sheet1!S113/Sheet1!S112)</f>
        <v>4.2422877670281901E-3</v>
      </c>
      <c r="T128" s="8">
        <f>LN(Sheet1!T113/Sheet1!T112)</f>
        <v>2.8233508100653414E-2</v>
      </c>
      <c r="U128" s="8">
        <f>LN(Sheet1!U113/Sheet1!U112)</f>
        <v>4.119941739728343E-3</v>
      </c>
      <c r="V128" s="8">
        <f>LN(Sheet1!V113/Sheet1!V112)</f>
        <v>8.6083435169234043E-2</v>
      </c>
      <c r="W128" s="8">
        <f>LN(Sheet1!W113/Sheet1!W112)</f>
        <v>3.7335440938170511E-2</v>
      </c>
      <c r="X128" s="8">
        <f>LN(Sheet1!X113/Sheet1!X112)</f>
        <v>-7.6781685024088123E-2</v>
      </c>
      <c r="Y128" s="8">
        <f>LN(Sheet1!Y113/Sheet1!Y112)</f>
        <v>3.2814278979218105E-2</v>
      </c>
      <c r="Z128" s="8">
        <f>LN(Sheet1!Z113/Sheet1!Z112)</f>
        <v>6.2103365154288367E-2</v>
      </c>
      <c r="AA128" s="8">
        <f>LN(Sheet1!AA113/Sheet1!AA112)</f>
        <v>2.8389003262686108E-2</v>
      </c>
      <c r="AB128" s="8">
        <f>LN(Sheet1!AB113/Sheet1!AB112)</f>
        <v>1.3114755978106555E-3</v>
      </c>
      <c r="AC128" s="8">
        <f>LN(Sheet1!AC113/Sheet1!AC112)</f>
        <v>4.4653163748273099E-2</v>
      </c>
      <c r="AD128" s="8">
        <f>LN(Sheet1!AD113/Sheet1!AD112)</f>
        <v>1.0114881132036761E-2</v>
      </c>
      <c r="AE128" s="8">
        <f>LN(Sheet1!AE113/Sheet1!AE112)</f>
        <v>5.3970998032289608E-2</v>
      </c>
      <c r="AF128" s="8">
        <f>LN(Sheet1!AF113/Sheet1!AF112)</f>
        <v>9.790186729073605E-2</v>
      </c>
      <c r="AG128" s="8">
        <f>LN(Sheet1!AG113/Sheet1!AG112)</f>
        <v>-8.4185704655957896E-3</v>
      </c>
    </row>
    <row r="129" spans="1:33" x14ac:dyDescent="0.25">
      <c r="A129" s="7">
        <v>38992</v>
      </c>
      <c r="B129" s="8">
        <f>LN(Sheet1!B114/Sheet1!B113)</f>
        <v>3.1021836917226073E-2</v>
      </c>
      <c r="C129" s="8">
        <f>LN(Sheet1!C114/Sheet1!C113)</f>
        <v>3.3813270202090621E-2</v>
      </c>
      <c r="D129" s="8">
        <f>LN(Sheet1!D114/Sheet1!D113)</f>
        <v>3.0364897633249233E-2</v>
      </c>
      <c r="E129" s="8">
        <f>LN(Sheet1!E114/Sheet1!E113)</f>
        <v>1.3587165546308356E-2</v>
      </c>
      <c r="F129" s="8">
        <f>LN(Sheet1!F114/Sheet1!F113)</f>
        <v>3.295833391170986E-2</v>
      </c>
      <c r="G129" s="8">
        <f>LN(Sheet1!G114/Sheet1!G113)</f>
        <v>1.2742272304052105E-2</v>
      </c>
      <c r="H129" s="8">
        <f>LN(Sheet1!H114/Sheet1!H113)</f>
        <v>9.6997974415844561E-3</v>
      </c>
      <c r="I129" s="8">
        <f>LN(Sheet1!I114/Sheet1!I113)</f>
        <v>-7.6172446149661413E-2</v>
      </c>
      <c r="J129" s="8">
        <f>LN(Sheet1!J114/Sheet1!J113)</f>
        <v>6.6714476211665194E-2</v>
      </c>
      <c r="K129" s="8">
        <f>LN(Sheet1!K114/Sheet1!K113)</f>
        <v>1.7796942784946628E-2</v>
      </c>
      <c r="L129" s="8">
        <f>LN(Sheet1!L114/Sheet1!L113)</f>
        <v>-5.5192587456266489E-3</v>
      </c>
      <c r="M129" s="8">
        <f>LN(Sheet1!M114/Sheet1!M113)</f>
        <v>4.8599845531538871E-2</v>
      </c>
      <c r="N129" s="8">
        <f>LN(Sheet1!N114/Sheet1!N113)</f>
        <v>2.876304478565541E-2</v>
      </c>
      <c r="O129" s="8">
        <f>LN(Sheet1!O114/Sheet1!O113)</f>
        <v>2.9341958284015375E-2</v>
      </c>
      <c r="P129" s="8">
        <f>LN(Sheet1!P114/Sheet1!P113)</f>
        <v>5.441342172379441E-2</v>
      </c>
      <c r="Q129" s="8">
        <f>LN(Sheet1!Q114/Sheet1!Q113)</f>
        <v>0.11943922037785105</v>
      </c>
      <c r="R129" s="8">
        <f>LN(Sheet1!R114/Sheet1!R113)</f>
        <v>3.6350016036371807E-2</v>
      </c>
      <c r="S129" s="8">
        <f>LN(Sheet1!S114/Sheet1!S113)</f>
        <v>3.7240801361050985E-2</v>
      </c>
      <c r="T129" s="8">
        <f>LN(Sheet1!T114/Sheet1!T113)</f>
        <v>1.7168736396842361E-2</v>
      </c>
      <c r="U129" s="8">
        <f>LN(Sheet1!U114/Sheet1!U113)</f>
        <v>4.4451762570833796E-2</v>
      </c>
      <c r="V129" s="8">
        <f>LN(Sheet1!V114/Sheet1!V113)</f>
        <v>6.9045239846001E-2</v>
      </c>
      <c r="W129" s="8">
        <f>LN(Sheet1!W114/Sheet1!W113)</f>
        <v>5.7652085360951302E-2</v>
      </c>
      <c r="X129" s="8">
        <f>LN(Sheet1!X114/Sheet1!X113)</f>
        <v>6.0540222947329664E-2</v>
      </c>
      <c r="Y129" s="8">
        <f>LN(Sheet1!Y114/Sheet1!Y113)</f>
        <v>8.0776114380411254E-2</v>
      </c>
      <c r="Z129" s="8">
        <f>LN(Sheet1!Z114/Sheet1!Z113)</f>
        <v>4.8667019042744876E-2</v>
      </c>
      <c r="AA129" s="8">
        <f>LN(Sheet1!AA114/Sheet1!AA113)</f>
        <v>-6.2238973982045039E-2</v>
      </c>
      <c r="AB129" s="8">
        <f>LN(Sheet1!AB114/Sheet1!AB113)</f>
        <v>2.7469815786330478E-2</v>
      </c>
      <c r="AC129" s="8">
        <f>LN(Sheet1!AC114/Sheet1!AC113)</f>
        <v>6.1071283031335057E-2</v>
      </c>
      <c r="AD129" s="8">
        <f>LN(Sheet1!AD114/Sheet1!AD113)</f>
        <v>3.6698488568647082E-2</v>
      </c>
      <c r="AE129" s="8">
        <f>LN(Sheet1!AE114/Sheet1!AE113)</f>
        <v>7.1911715044483369E-3</v>
      </c>
      <c r="AF129" s="8">
        <f>LN(Sheet1!AF114/Sheet1!AF113)</f>
        <v>-8.2203046141487491E-4</v>
      </c>
      <c r="AG129" s="8">
        <f>LN(Sheet1!AG114/Sheet1!AG113)</f>
        <v>6.2470033653945205E-2</v>
      </c>
    </row>
    <row r="130" spans="1:33" x14ac:dyDescent="0.25">
      <c r="A130" s="7">
        <v>39022</v>
      </c>
      <c r="B130" s="8">
        <f>LN(Sheet1!B115/Sheet1!B114)</f>
        <v>1.6332505122359679E-2</v>
      </c>
      <c r="C130" s="8">
        <f>LN(Sheet1!C115/Sheet1!C114)</f>
        <v>1.1620257935062776E-2</v>
      </c>
      <c r="D130" s="8">
        <f>LN(Sheet1!D115/Sheet1!D114)</f>
        <v>8.0421567310574218E-2</v>
      </c>
      <c r="E130" s="8">
        <f>LN(Sheet1!E115/Sheet1!E114)</f>
        <v>4.8297358057233411E-2</v>
      </c>
      <c r="F130" s="8">
        <f>LN(Sheet1!F115/Sheet1!F114)</f>
        <v>1.5737462713224532E-2</v>
      </c>
      <c r="G130" s="8">
        <f>LN(Sheet1!G115/Sheet1!G114)</f>
        <v>0.10654998268913006</v>
      </c>
      <c r="H130" s="8">
        <f>LN(Sheet1!H115/Sheet1!H114)</f>
        <v>-1.4387013066321911E-3</v>
      </c>
      <c r="I130" s="8">
        <f>LN(Sheet1!I115/Sheet1!I114)</f>
        <v>2.1548658451660926E-2</v>
      </c>
      <c r="J130" s="8">
        <f>LN(Sheet1!J115/Sheet1!J114)</f>
        <v>3.2299852787825427E-2</v>
      </c>
      <c r="K130" s="8">
        <f>LN(Sheet1!K115/Sheet1!K114)</f>
        <v>4.9126098451630476E-2</v>
      </c>
      <c r="L130" s="8">
        <f>LN(Sheet1!L115/Sheet1!L114)</f>
        <v>4.9397165677134225E-3</v>
      </c>
      <c r="M130" s="8">
        <f>LN(Sheet1!M115/Sheet1!M114)</f>
        <v>-0.17073448139271452</v>
      </c>
      <c r="N130" s="8">
        <f>LN(Sheet1!N115/Sheet1!N114)</f>
        <v>2.3175383770098583E-2</v>
      </c>
      <c r="O130" s="8">
        <f>LN(Sheet1!O115/Sheet1!O114)</f>
        <v>2.5456352603408429E-2</v>
      </c>
      <c r="P130" s="8">
        <f>LN(Sheet1!P115/Sheet1!P114)</f>
        <v>1.8264173291536182E-2</v>
      </c>
      <c r="Q130" s="8">
        <f>LN(Sheet1!Q115/Sheet1!Q114)</f>
        <v>-1.2042258831149733E-3</v>
      </c>
      <c r="R130" s="8">
        <f>LN(Sheet1!R115/Sheet1!R114)</f>
        <v>8.0588253163512338E-3</v>
      </c>
      <c r="S130" s="8">
        <f>LN(Sheet1!S115/Sheet1!S114)</f>
        <v>-1.6755913728439108E-2</v>
      </c>
      <c r="T130" s="8">
        <f>LN(Sheet1!T115/Sheet1!T114)</f>
        <v>-2.4649519358156863E-2</v>
      </c>
      <c r="U130" s="8">
        <f>LN(Sheet1!U115/Sheet1!U114)</f>
        <v>9.1344697769631771E-3</v>
      </c>
      <c r="V130" s="8">
        <f>LN(Sheet1!V115/Sheet1!V114)</f>
        <v>2.5336136262073743E-2</v>
      </c>
      <c r="W130" s="8">
        <f>LN(Sheet1!W115/Sheet1!W114)</f>
        <v>3.8366419780706491E-2</v>
      </c>
      <c r="X130" s="8">
        <f>LN(Sheet1!X115/Sheet1!X114)</f>
        <v>3.467213023829431E-2</v>
      </c>
      <c r="Y130" s="8">
        <f>LN(Sheet1!Y115/Sheet1!Y114)</f>
        <v>-2.0280973131282166E-2</v>
      </c>
      <c r="Z130" s="8">
        <f>LN(Sheet1!Z115/Sheet1!Z114)</f>
        <v>2.5704784471502776E-2</v>
      </c>
      <c r="AA130" s="8">
        <f>LN(Sheet1!AA115/Sheet1!AA114)</f>
        <v>3.9815685653355193E-2</v>
      </c>
      <c r="AB130" s="8">
        <f>LN(Sheet1!AB115/Sheet1!AB114)</f>
        <v>-9.4483848058120184E-3</v>
      </c>
      <c r="AC130" s="8">
        <f>LN(Sheet1!AC115/Sheet1!AC114)</f>
        <v>-1.0173636522338322E-2</v>
      </c>
      <c r="AD130" s="8">
        <f>LN(Sheet1!AD115/Sheet1!AD114)</f>
        <v>-1.4112043143989042E-2</v>
      </c>
      <c r="AE130" s="8">
        <f>LN(Sheet1!AE115/Sheet1!AE114)</f>
        <v>-2.0267051547472881E-2</v>
      </c>
      <c r="AF130" s="8">
        <f>LN(Sheet1!AF115/Sheet1!AF114)</f>
        <v>-6.6733911701006898E-2</v>
      </c>
      <c r="AG130" s="8">
        <f>LN(Sheet1!AG115/Sheet1!AG114)</f>
        <v>7.7081846752160579E-2</v>
      </c>
    </row>
    <row r="131" spans="1:33" x14ac:dyDescent="0.25">
      <c r="A131" s="7">
        <v>39052</v>
      </c>
      <c r="B131" s="8">
        <f>LN(Sheet1!B116/Sheet1!B115)</f>
        <v>1.2536835916847028E-2</v>
      </c>
      <c r="C131" s="8">
        <f>LN(Sheet1!C116/Sheet1!C115)</f>
        <v>1.9544411317802667E-2</v>
      </c>
      <c r="D131" s="8">
        <f>LN(Sheet1!D116/Sheet1!D115)</f>
        <v>-3.6031000505012539E-2</v>
      </c>
      <c r="E131" s="8">
        <f>LN(Sheet1!E116/Sheet1!E115)</f>
        <v>1.8824418293491345E-2</v>
      </c>
      <c r="F131" s="8">
        <f>LN(Sheet1!F116/Sheet1!F115)</f>
        <v>3.2579470149352308E-2</v>
      </c>
      <c r="G131" s="8">
        <f>LN(Sheet1!G116/Sheet1!G115)</f>
        <v>3.522130551302152E-3</v>
      </c>
      <c r="H131" s="8">
        <f>LN(Sheet1!H116/Sheet1!H115)</f>
        <v>0.11618204727608498</v>
      </c>
      <c r="I131" s="8">
        <f>LN(Sheet1!I116/Sheet1!I115)</f>
        <v>-1.1292158284471854E-2</v>
      </c>
      <c r="J131" s="8">
        <f>LN(Sheet1!J116/Sheet1!J115)</f>
        <v>3.7139546949456786E-2</v>
      </c>
      <c r="K131" s="8">
        <f>LN(Sheet1!K116/Sheet1!K115)</f>
        <v>4.5367373805256635E-2</v>
      </c>
      <c r="L131" s="8">
        <f>LN(Sheet1!L116/Sheet1!L115)</f>
        <v>6.0726918374244834E-2</v>
      </c>
      <c r="M131" s="8">
        <f>LN(Sheet1!M116/Sheet1!M115)</f>
        <v>4.9798603736125366E-2</v>
      </c>
      <c r="N131" s="8">
        <f>LN(Sheet1!N116/Sheet1!N115)</f>
        <v>5.5944156534782151E-2</v>
      </c>
      <c r="O131" s="8">
        <f>LN(Sheet1!O116/Sheet1!O115)</f>
        <v>5.1281548957990794E-2</v>
      </c>
      <c r="P131" s="8">
        <f>LN(Sheet1!P116/Sheet1!P115)</f>
        <v>4.510544064105286E-2</v>
      </c>
      <c r="Q131" s="8">
        <f>LN(Sheet1!Q116/Sheet1!Q115)</f>
        <v>5.5294480401885809E-2</v>
      </c>
      <c r="R131" s="8">
        <f>LN(Sheet1!R116/Sheet1!R115)</f>
        <v>-5.5327063956596416E-2</v>
      </c>
      <c r="S131" s="8">
        <f>LN(Sheet1!S116/Sheet1!S115)</f>
        <v>1.6882821905872759E-3</v>
      </c>
      <c r="T131" s="8">
        <f>LN(Sheet1!T116/Sheet1!T115)</f>
        <v>4.2587220044824139E-2</v>
      </c>
      <c r="U131" s="8">
        <f>LN(Sheet1!U116/Sheet1!U115)</f>
        <v>2.9859330690505125E-2</v>
      </c>
      <c r="V131" s="8">
        <f>LN(Sheet1!V116/Sheet1!V115)</f>
        <v>5.4706571411462721E-2</v>
      </c>
      <c r="W131" s="8">
        <f>LN(Sheet1!W116/Sheet1!W115)</f>
        <v>-4.4321900873358855E-2</v>
      </c>
      <c r="X131" s="8">
        <f>LN(Sheet1!X116/Sheet1!X115)</f>
        <v>2.9085363491953335E-2</v>
      </c>
      <c r="Y131" s="8">
        <f>LN(Sheet1!Y116/Sheet1!Y115)</f>
        <v>-1.2275776622246701E-2</v>
      </c>
      <c r="Z131" s="8">
        <f>LN(Sheet1!Z116/Sheet1!Z115)</f>
        <v>1.7001429569328541E-2</v>
      </c>
      <c r="AA131" s="8">
        <f>LN(Sheet1!AA116/Sheet1!AA115)</f>
        <v>-5.9347556570601152E-2</v>
      </c>
      <c r="AB131" s="8">
        <f>LN(Sheet1!AB116/Sheet1!AB115)</f>
        <v>2.3219872733992737E-2</v>
      </c>
      <c r="AC131" s="8">
        <f>LN(Sheet1!AC116/Sheet1!AC115)</f>
        <v>5.3006112391225435E-2</v>
      </c>
      <c r="AD131" s="8">
        <f>LN(Sheet1!AD116/Sheet1!AD115)</f>
        <v>-3.1733584545684597E-2</v>
      </c>
      <c r="AE131" s="8">
        <f>LN(Sheet1!AE116/Sheet1!AE115)</f>
        <v>6.3733868740547678E-2</v>
      </c>
      <c r="AF131" s="8">
        <f>LN(Sheet1!AF116/Sheet1!AF115)</f>
        <v>5.4794657646255705E-3</v>
      </c>
      <c r="AG131" s="8">
        <f>LN(Sheet1!AG116/Sheet1!AG115)</f>
        <v>-2.3662427236302414E-3</v>
      </c>
    </row>
    <row r="132" spans="1:33" x14ac:dyDescent="0.25">
      <c r="A132" s="7">
        <v>39085</v>
      </c>
      <c r="B132" s="8">
        <f>LN(Sheet1!B117/Sheet1!B116)</f>
        <v>1.3961172524527271E-2</v>
      </c>
      <c r="C132" s="8">
        <f>LN(Sheet1!C117/Sheet1!C116)</f>
        <v>1.2640472171621012E-2</v>
      </c>
      <c r="D132" s="8">
        <f>LN(Sheet1!D117/Sheet1!D116)</f>
        <v>7.8617670834850231E-2</v>
      </c>
      <c r="E132" s="8">
        <f>LN(Sheet1!E117/Sheet1!E116)</f>
        <v>-4.5905937200451934E-2</v>
      </c>
      <c r="F132" s="8">
        <f>LN(Sheet1!F117/Sheet1!F116)</f>
        <v>-3.8775703398895536E-2</v>
      </c>
      <c r="G132" s="8">
        <f>LN(Sheet1!G117/Sheet1!G116)</f>
        <v>8.0203762324387098E-3</v>
      </c>
      <c r="H132" s="8">
        <f>LN(Sheet1!H117/Sheet1!H116)</f>
        <v>-1.0307472078845045E-2</v>
      </c>
      <c r="I132" s="8">
        <f>LN(Sheet1!I117/Sheet1!I116)</f>
        <v>4.866476052629181E-2</v>
      </c>
      <c r="J132" s="8">
        <f>LN(Sheet1!J117/Sheet1!J116)</f>
        <v>1.7348638334613073E-2</v>
      </c>
      <c r="K132" s="8">
        <f>LN(Sheet1!K117/Sheet1!K116)</f>
        <v>2.5923110599373501E-2</v>
      </c>
      <c r="L132" s="8">
        <f>LN(Sheet1!L117/Sheet1!L116)</f>
        <v>-3.1871895456562396E-2</v>
      </c>
      <c r="M132" s="8">
        <f>LN(Sheet1!M117/Sheet1!M116)</f>
        <v>6.6478145788751025E-2</v>
      </c>
      <c r="N132" s="8">
        <f>LN(Sheet1!N117/Sheet1!N116)</f>
        <v>1.425558717021814E-2</v>
      </c>
      <c r="O132" s="8">
        <f>LN(Sheet1!O117/Sheet1!O116)</f>
        <v>9.9923114073395044E-3</v>
      </c>
      <c r="P132" s="8">
        <f>LN(Sheet1!P117/Sheet1!P116)</f>
        <v>4.9439725738227511E-2</v>
      </c>
      <c r="Q132" s="8">
        <f>LN(Sheet1!Q117/Sheet1!Q116)</f>
        <v>2.0416200280835389E-2</v>
      </c>
      <c r="R132" s="8">
        <f>LN(Sheet1!R117/Sheet1!R116)</f>
        <v>3.433392658471715E-2</v>
      </c>
      <c r="S132" s="8">
        <f>LN(Sheet1!S117/Sheet1!S116)</f>
        <v>1.1738834395324525E-2</v>
      </c>
      <c r="T132" s="8">
        <f>LN(Sheet1!T117/Sheet1!T116)</f>
        <v>6.0163886998524527E-2</v>
      </c>
      <c r="U132" s="8">
        <f>LN(Sheet1!U117/Sheet1!U116)</f>
        <v>-7.8051234756523445E-3</v>
      </c>
      <c r="V132" s="8">
        <f>LN(Sheet1!V117/Sheet1!V116)</f>
        <v>4.5105999862642392E-4</v>
      </c>
      <c r="W132" s="8">
        <f>LN(Sheet1!W117/Sheet1!W116)</f>
        <v>-4.7738905482470576E-2</v>
      </c>
      <c r="X132" s="8">
        <f>LN(Sheet1!X117/Sheet1!X116)</f>
        <v>1.8205148113727962E-2</v>
      </c>
      <c r="Y132" s="8">
        <f>LN(Sheet1!Y117/Sheet1!Y116)</f>
        <v>2.5993412851046008E-2</v>
      </c>
      <c r="Z132" s="8">
        <f>LN(Sheet1!Z117/Sheet1!Z116)</f>
        <v>3.2833325672434341E-2</v>
      </c>
      <c r="AA132" s="8">
        <f>LN(Sheet1!AA117/Sheet1!AA116)</f>
        <v>1.2933748784568277E-2</v>
      </c>
      <c r="AB132" s="8">
        <f>LN(Sheet1!AB117/Sheet1!AB116)</f>
        <v>1.4049559853437437E-2</v>
      </c>
      <c r="AC132" s="8">
        <f>LN(Sheet1!AC117/Sheet1!AC116)</f>
        <v>6.1664314697640825E-2</v>
      </c>
      <c r="AD132" s="8">
        <f>LN(Sheet1!AD117/Sheet1!AD116)</f>
        <v>8.4361299770288944E-2</v>
      </c>
      <c r="AE132" s="8">
        <f>LN(Sheet1!AE117/Sheet1!AE116)</f>
        <v>4.4809642494011322E-2</v>
      </c>
      <c r="AF132" s="8">
        <f>LN(Sheet1!AF117/Sheet1!AF116)</f>
        <v>3.2049199607631244E-2</v>
      </c>
      <c r="AG132" s="8">
        <f>LN(Sheet1!AG117/Sheet1!AG116)</f>
        <v>-3.3592988127293562E-2</v>
      </c>
    </row>
    <row r="133" spans="1:33" x14ac:dyDescent="0.25">
      <c r="A133" s="7">
        <v>39114</v>
      </c>
      <c r="B133" s="8">
        <f>LN(Sheet1!B118/Sheet1!B117)</f>
        <v>-2.2088305664389823E-2</v>
      </c>
      <c r="C133" s="8">
        <f>LN(Sheet1!C118/Sheet1!C117)</f>
        <v>-2.8371164521613451E-2</v>
      </c>
      <c r="D133" s="8">
        <f>LN(Sheet1!D118/Sheet1!D117)</f>
        <v>3.3953406792496497E-2</v>
      </c>
      <c r="E133" s="8">
        <f>LN(Sheet1!E118/Sheet1!E117)</f>
        <v>-1.7175429613267811E-2</v>
      </c>
      <c r="F133" s="8">
        <f>LN(Sheet1!F118/Sheet1!F117)</f>
        <v>-2.340718220403986E-2</v>
      </c>
      <c r="G133" s="8">
        <f>LN(Sheet1!G118/Sheet1!G117)</f>
        <v>-2.2068919770728491E-2</v>
      </c>
      <c r="H133" s="8">
        <f>LN(Sheet1!H118/Sheet1!H117)</f>
        <v>-8.0489924527186077E-2</v>
      </c>
      <c r="I133" s="8">
        <f>LN(Sheet1!I118/Sheet1!I117)</f>
        <v>5.6276528077816327E-3</v>
      </c>
      <c r="J133" s="8">
        <f>LN(Sheet1!J118/Sheet1!J117)</f>
        <v>3.0647559933642415E-2</v>
      </c>
      <c r="K133" s="8">
        <f>LN(Sheet1!K118/Sheet1!K117)</f>
        <v>-2.6506881777656803E-2</v>
      </c>
      <c r="L133" s="8">
        <f>LN(Sheet1!L118/Sheet1!L117)</f>
        <v>-2.4228062667536552E-2</v>
      </c>
      <c r="M133" s="8">
        <f>LN(Sheet1!M118/Sheet1!M117)</f>
        <v>-2.2198816831403421E-2</v>
      </c>
      <c r="N133" s="8">
        <f>LN(Sheet1!N118/Sheet1!N117)</f>
        <v>-2.8461812895432745E-2</v>
      </c>
      <c r="O133" s="8">
        <f>LN(Sheet1!O118/Sheet1!O117)</f>
        <v>2.0556157882301924E-2</v>
      </c>
      <c r="P133" s="8">
        <f>LN(Sheet1!P118/Sheet1!P117)</f>
        <v>-9.5310179804324768E-2</v>
      </c>
      <c r="Q133" s="8">
        <f>LN(Sheet1!Q118/Sheet1!Q117)</f>
        <v>-6.1678797656586196E-2</v>
      </c>
      <c r="R133" s="8">
        <f>LN(Sheet1!R118/Sheet1!R117)</f>
        <v>-4.840451048165937E-2</v>
      </c>
      <c r="S133" s="8">
        <f>LN(Sheet1!S118/Sheet1!S117)</f>
        <v>-5.3865160247159524E-2</v>
      </c>
      <c r="T133" s="8">
        <f>LN(Sheet1!T118/Sheet1!T117)</f>
        <v>-3.0759203582899797E-2</v>
      </c>
      <c r="U133" s="8">
        <f>LN(Sheet1!U118/Sheet1!U117)</f>
        <v>-2.5306947803684948E-2</v>
      </c>
      <c r="V133" s="8">
        <f>LN(Sheet1!V118/Sheet1!V117)</f>
        <v>-1.4993465792244113E-2</v>
      </c>
      <c r="W133" s="8">
        <f>LN(Sheet1!W118/Sheet1!W117)</f>
        <v>3.3992826260340805E-3</v>
      </c>
      <c r="X133" s="8">
        <f>LN(Sheet1!X118/Sheet1!X117)</f>
        <v>-3.6263968881787075E-2</v>
      </c>
      <c r="Y133" s="8">
        <f>LN(Sheet1!Y118/Sheet1!Y117)</f>
        <v>-1.348746014307806E-2</v>
      </c>
      <c r="Z133" s="8">
        <f>LN(Sheet1!Z118/Sheet1!Z117)</f>
        <v>-8.7575083224610079E-2</v>
      </c>
      <c r="AA133" s="8">
        <f>LN(Sheet1!AA118/Sheet1!AA117)</f>
        <v>-3.8909235187828892E-2</v>
      </c>
      <c r="AB133" s="8">
        <f>LN(Sheet1!AB118/Sheet1!AB117)</f>
        <v>-2.1465767414304809E-2</v>
      </c>
      <c r="AC133" s="8">
        <f>LN(Sheet1!AC118/Sheet1!AC117)</f>
        <v>-2.2235189370140577E-2</v>
      </c>
      <c r="AD133" s="8">
        <f>LN(Sheet1!AD118/Sheet1!AD117)</f>
        <v>-3.1610097182130474E-2</v>
      </c>
      <c r="AE133" s="8">
        <f>LN(Sheet1!AE118/Sheet1!AE117)</f>
        <v>-2.9558802241544391E-2</v>
      </c>
      <c r="AF133" s="8">
        <f>LN(Sheet1!AF118/Sheet1!AF117)</f>
        <v>1.3039091151065718E-2</v>
      </c>
      <c r="AG133" s="8">
        <f>LN(Sheet1!AG118/Sheet1!AG117)</f>
        <v>-2.8999546649209996E-2</v>
      </c>
    </row>
    <row r="134" spans="1:33" x14ac:dyDescent="0.25">
      <c r="A134" s="7">
        <v>39142</v>
      </c>
      <c r="B134" s="8">
        <f>LN(Sheet1!B119/Sheet1!B118)</f>
        <v>9.9304839152859412E-3</v>
      </c>
      <c r="C134" s="8">
        <f>LN(Sheet1!C119/Sheet1!C118)</f>
        <v>6.9626297300940379E-3</v>
      </c>
      <c r="D134" s="8">
        <f>LN(Sheet1!D119/Sheet1!D118)</f>
        <v>1.4332881971695624E-2</v>
      </c>
      <c r="E134" s="8">
        <f>LN(Sheet1!E119/Sheet1!E118)</f>
        <v>1.6414239304259899E-3</v>
      </c>
      <c r="F134" s="8">
        <f>LN(Sheet1!F119/Sheet1!F118)</f>
        <v>-8.3415161105404832E-3</v>
      </c>
      <c r="G134" s="8">
        <f>LN(Sheet1!G119/Sheet1!G118)</f>
        <v>1.8687872934406175E-2</v>
      </c>
      <c r="H134" s="8">
        <f>LN(Sheet1!H119/Sheet1!H118)</f>
        <v>1.9067111900780059E-2</v>
      </c>
      <c r="I134" s="8">
        <f>LN(Sheet1!I119/Sheet1!I118)</f>
        <v>3.9580382261582364E-2</v>
      </c>
      <c r="J134" s="8">
        <f>LN(Sheet1!J119/Sheet1!J118)</f>
        <v>-2.5949359074334353E-2</v>
      </c>
      <c r="K134" s="8">
        <f>LN(Sheet1!K119/Sheet1!K118)</f>
        <v>5.2417126421981609E-3</v>
      </c>
      <c r="L134" s="8">
        <f>LN(Sheet1!L119/Sheet1!L118)</f>
        <v>1.2899705892880833E-2</v>
      </c>
      <c r="M134" s="8">
        <f>LN(Sheet1!M119/Sheet1!M118)</f>
        <v>-4.0321540149930689E-2</v>
      </c>
      <c r="N134" s="8">
        <f>LN(Sheet1!N119/Sheet1!N118)</f>
        <v>-6.901112116073907E-2</v>
      </c>
      <c r="O134" s="8">
        <f>LN(Sheet1!O119/Sheet1!O118)</f>
        <v>-7.3865206579348799E-3</v>
      </c>
      <c r="P134" s="8">
        <f>LN(Sheet1!P119/Sheet1!P118)</f>
        <v>2.1951177851636351E-2</v>
      </c>
      <c r="Q134" s="8">
        <f>LN(Sheet1!Q119/Sheet1!Q118)</f>
        <v>1.4050748667331572E-2</v>
      </c>
      <c r="R134" s="8">
        <f>LN(Sheet1!R119/Sheet1!R118)</f>
        <v>-3.7643011011663605E-2</v>
      </c>
      <c r="S134" s="8">
        <f>LN(Sheet1!S119/Sheet1!S118)</f>
        <v>-4.3310960616015311E-2</v>
      </c>
      <c r="T134" s="8">
        <f>LN(Sheet1!T119/Sheet1!T118)</f>
        <v>-2.0555068138642104E-2</v>
      </c>
      <c r="U134" s="8">
        <f>LN(Sheet1!U119/Sheet1!U118)</f>
        <v>3.5001438903412535E-2</v>
      </c>
      <c r="V134" s="8">
        <f>LN(Sheet1!V119/Sheet1!V118)</f>
        <v>3.0653741091002305E-2</v>
      </c>
      <c r="W134" s="8">
        <f>LN(Sheet1!W119/Sheet1!W118)</f>
        <v>3.1137679591608753E-2</v>
      </c>
      <c r="X134" s="8">
        <f>LN(Sheet1!X119/Sheet1!X118)</f>
        <v>5.0930383841016294E-2</v>
      </c>
      <c r="Y134" s="8">
        <f>LN(Sheet1!Y119/Sheet1!Y118)</f>
        <v>8.9357909283591577E-3</v>
      </c>
      <c r="Z134" s="8">
        <f>LN(Sheet1!Z119/Sheet1!Z118)</f>
        <v>-1.0741241831412514E-2</v>
      </c>
      <c r="AA134" s="8">
        <f>LN(Sheet1!AA119/Sheet1!AA118)</f>
        <v>1.1672501212929403E-2</v>
      </c>
      <c r="AB134" s="8">
        <f>LN(Sheet1!AB119/Sheet1!AB118)</f>
        <v>-5.2401866635561588E-3</v>
      </c>
      <c r="AC134" s="8">
        <f>LN(Sheet1!AC119/Sheet1!AC118)</f>
        <v>6.8864904246390399E-2</v>
      </c>
      <c r="AD134" s="8">
        <f>LN(Sheet1!AD119/Sheet1!AD118)</f>
        <v>-9.8356409935374499E-3</v>
      </c>
      <c r="AE134" s="8">
        <f>LN(Sheet1!AE119/Sheet1!AE118)</f>
        <v>1.3956211493799558E-2</v>
      </c>
      <c r="AF134" s="8">
        <f>LN(Sheet1!AF119/Sheet1!AF118)</f>
        <v>-2.389372576789256E-2</v>
      </c>
      <c r="AG134" s="8">
        <f>LN(Sheet1!AG119/Sheet1!AG118)</f>
        <v>5.1342333398093125E-2</v>
      </c>
    </row>
    <row r="135" spans="1:33" x14ac:dyDescent="0.25">
      <c r="A135" s="7">
        <v>39174</v>
      </c>
      <c r="B135" s="8">
        <f>LN(Sheet1!B120/Sheet1!B119)</f>
        <v>4.2379836237605301E-2</v>
      </c>
      <c r="C135" s="8">
        <f>LN(Sheet1!C120/Sheet1!C119)</f>
        <v>5.5768689014894304E-2</v>
      </c>
      <c r="D135" s="8">
        <f>LN(Sheet1!D120/Sheet1!D119)</f>
        <v>4.6061726662200549E-2</v>
      </c>
      <c r="E135" s="8">
        <f>LN(Sheet1!E120/Sheet1!E119)</f>
        <v>3.9180570589829343E-2</v>
      </c>
      <c r="F135" s="8">
        <f>LN(Sheet1!F120/Sheet1!F119)</f>
        <v>7.56598391572747E-2</v>
      </c>
      <c r="G135" s="8">
        <f>LN(Sheet1!G120/Sheet1!G119)</f>
        <v>4.4922854236316714E-2</v>
      </c>
      <c r="H135" s="8">
        <f>LN(Sheet1!H120/Sheet1!H119)</f>
        <v>4.3501855136768977E-2</v>
      </c>
      <c r="I135" s="8">
        <f>LN(Sheet1!I120/Sheet1!I119)</f>
        <v>8.4435892662961948E-2</v>
      </c>
      <c r="J135" s="8">
        <f>LN(Sheet1!J120/Sheet1!J119)</f>
        <v>-5.3126402027558854E-3</v>
      </c>
      <c r="K135" s="8">
        <f>LN(Sheet1!K120/Sheet1!K119)</f>
        <v>1.5848192240023495E-2</v>
      </c>
      <c r="L135" s="8">
        <f>LN(Sheet1!L120/Sheet1!L119)</f>
        <v>4.1562250226979729E-2</v>
      </c>
      <c r="M135" s="8">
        <f>LN(Sheet1!M120/Sheet1!M119)</f>
        <v>1.9234496817484709E-2</v>
      </c>
      <c r="N135" s="8">
        <f>LN(Sheet1!N120/Sheet1!N119)</f>
        <v>3.0464682421815083E-2</v>
      </c>
      <c r="O135" s="8">
        <f>LN(Sheet1!O120/Sheet1!O119)</f>
        <v>0.16246441427438538</v>
      </c>
      <c r="P135" s="8">
        <f>LN(Sheet1!P120/Sheet1!P119)</f>
        <v>4.8706972954376308E-2</v>
      </c>
      <c r="Q135" s="8">
        <f>LN(Sheet1!Q120/Sheet1!Q119)</f>
        <v>8.0984446848648306E-2</v>
      </c>
      <c r="R135" s="8">
        <f>LN(Sheet1!R120/Sheet1!R119)</f>
        <v>0.11690684178625611</v>
      </c>
      <c r="S135" s="8">
        <f>LN(Sheet1!S120/Sheet1!S119)</f>
        <v>6.3577645413483472E-2</v>
      </c>
      <c r="T135" s="8">
        <f>LN(Sheet1!T120/Sheet1!T119)</f>
        <v>8.1155512297649224E-2</v>
      </c>
      <c r="U135" s="8">
        <f>LN(Sheet1!U120/Sheet1!U119)</f>
        <v>8.3650029286924915E-2</v>
      </c>
      <c r="V135" s="8">
        <f>LN(Sheet1!V120/Sheet1!V119)</f>
        <v>6.924441217498381E-2</v>
      </c>
      <c r="W135" s="8">
        <f>LN(Sheet1!W120/Sheet1!W119)</f>
        <v>7.9759266698221573E-2</v>
      </c>
      <c r="X135" s="8">
        <f>LN(Sheet1!X120/Sheet1!X119)</f>
        <v>4.4804856980620783E-2</v>
      </c>
      <c r="Y135" s="8">
        <f>LN(Sheet1!Y120/Sheet1!Y119)</f>
        <v>0.15245476917357756</v>
      </c>
      <c r="Z135" s="8">
        <f>LN(Sheet1!Z120/Sheet1!Z119)</f>
        <v>7.1533438009362349E-2</v>
      </c>
      <c r="AA135" s="8">
        <f>LN(Sheet1!AA120/Sheet1!AA119)</f>
        <v>4.6520015634892907E-2</v>
      </c>
      <c r="AB135" s="8">
        <f>LN(Sheet1!AB120/Sheet1!AB119)</f>
        <v>2.4999336644018568E-2</v>
      </c>
      <c r="AC135" s="8">
        <f>LN(Sheet1!AC120/Sheet1!AC119)</f>
        <v>-8.9986466586029334E-3</v>
      </c>
      <c r="AD135" s="8">
        <f>LN(Sheet1!AD120/Sheet1!AD119)</f>
        <v>3.2216735486240065E-2</v>
      </c>
      <c r="AE135" s="8">
        <f>LN(Sheet1!AE120/Sheet1!AE119)</f>
        <v>1.7437694159577438E-2</v>
      </c>
      <c r="AF135" s="8">
        <f>LN(Sheet1!AF120/Sheet1!AF119)</f>
        <v>2.0545041181960856E-2</v>
      </c>
      <c r="AG135" s="8">
        <f>LN(Sheet1!AG120/Sheet1!AG119)</f>
        <v>5.0734107058543372E-2</v>
      </c>
    </row>
    <row r="136" spans="1:33" x14ac:dyDescent="0.25">
      <c r="A136" s="7">
        <v>39203</v>
      </c>
      <c r="B136" s="8">
        <f>LN(Sheet1!B121/Sheet1!B120)</f>
        <v>3.2030723748061214E-2</v>
      </c>
      <c r="C136" s="8">
        <f>LN(Sheet1!C121/Sheet1!C120)</f>
        <v>4.2323166455609726E-2</v>
      </c>
      <c r="D136" s="8">
        <f>LN(Sheet1!D121/Sheet1!D120)</f>
        <v>0.15592874543754803</v>
      </c>
      <c r="E136" s="8">
        <f>LN(Sheet1!E121/Sheet1!E120)</f>
        <v>3.6459805822476932E-2</v>
      </c>
      <c r="F136" s="8">
        <f>LN(Sheet1!F121/Sheet1!F120)</f>
        <v>6.8640308793245994E-2</v>
      </c>
      <c r="G136" s="8">
        <f>LN(Sheet1!G121/Sheet1!G120)</f>
        <v>8.2223896414878081E-2</v>
      </c>
      <c r="H136" s="8">
        <f>LN(Sheet1!H121/Sheet1!H120)</f>
        <v>2.6028611999426833E-2</v>
      </c>
      <c r="I136" s="8">
        <f>LN(Sheet1!I121/Sheet1!I120)</f>
        <v>7.8876848144123907E-2</v>
      </c>
      <c r="J136" s="8">
        <f>LN(Sheet1!J121/Sheet1!J120)</f>
        <v>6.9443497249887187E-2</v>
      </c>
      <c r="K136" s="8">
        <f>LN(Sheet1!K121/Sheet1!K120)</f>
        <v>1.3064656146424304E-2</v>
      </c>
      <c r="L136" s="8">
        <f>LN(Sheet1!L121/Sheet1!L120)</f>
        <v>1.9213146825745965E-2</v>
      </c>
      <c r="M136" s="8">
        <f>LN(Sheet1!M121/Sheet1!M120)</f>
        <v>-3.215500122419368E-2</v>
      </c>
      <c r="N136" s="8">
        <f>LN(Sheet1!N121/Sheet1!N120)</f>
        <v>2.5948251804424612E-2</v>
      </c>
      <c r="O136" s="8">
        <f>LN(Sheet1!O121/Sheet1!O120)</f>
        <v>7.083238953355471E-2</v>
      </c>
      <c r="P136" s="8">
        <f>LN(Sheet1!P121/Sheet1!P120)</f>
        <v>8.1230497336881646E-2</v>
      </c>
      <c r="Q136" s="8">
        <f>LN(Sheet1!Q121/Sheet1!Q120)</f>
        <v>4.5975180612639645E-2</v>
      </c>
      <c r="R136" s="8">
        <f>LN(Sheet1!R121/Sheet1!R120)</f>
        <v>3.626745882790678E-2</v>
      </c>
      <c r="S136" s="8">
        <f>LN(Sheet1!S121/Sheet1!S120)</f>
        <v>-8.3419071919511364E-3</v>
      </c>
      <c r="T136" s="8">
        <f>LN(Sheet1!T121/Sheet1!T120)</f>
        <v>-5.2361217275586971E-3</v>
      </c>
      <c r="U136" s="8">
        <f>LN(Sheet1!U121/Sheet1!U120)</f>
        <v>1.5314234973042356E-2</v>
      </c>
      <c r="V136" s="8">
        <f>LN(Sheet1!V121/Sheet1!V120)</f>
        <v>4.5945549237149656E-2</v>
      </c>
      <c r="W136" s="8">
        <f>LN(Sheet1!W121/Sheet1!W120)</f>
        <v>6.6389558702007745E-2</v>
      </c>
      <c r="X136" s="8">
        <f>LN(Sheet1!X121/Sheet1!X120)</f>
        <v>3.1162359980573151E-2</v>
      </c>
      <c r="Y136" s="8">
        <f>LN(Sheet1!Y121/Sheet1!Y120)</f>
        <v>1.93954877530816E-2</v>
      </c>
      <c r="Z136" s="8">
        <f>LN(Sheet1!Z121/Sheet1!Z120)</f>
        <v>2.8087093296084855E-2</v>
      </c>
      <c r="AA136" s="8">
        <f>LN(Sheet1!AA121/Sheet1!AA120)</f>
        <v>4.8826541695400363E-2</v>
      </c>
      <c r="AB136" s="8">
        <f>LN(Sheet1!AB121/Sheet1!AB120)</f>
        <v>-1.3286635474844998E-2</v>
      </c>
      <c r="AC136" s="8">
        <f>LN(Sheet1!AC121/Sheet1!AC120)</f>
        <v>6.5474291845246002E-2</v>
      </c>
      <c r="AD136" s="8">
        <f>LN(Sheet1!AD121/Sheet1!AD120)</f>
        <v>5.3571242232935724E-2</v>
      </c>
      <c r="AE136" s="8">
        <f>LN(Sheet1!AE121/Sheet1!AE120)</f>
        <v>0.13113853726660468</v>
      </c>
      <c r="AF136" s="8">
        <f>LN(Sheet1!AF121/Sheet1!AF120)</f>
        <v>-2.0986366569212492E-3</v>
      </c>
      <c r="AG136" s="8">
        <f>LN(Sheet1!AG121/Sheet1!AG120)</f>
        <v>5.0932652440983682E-2</v>
      </c>
    </row>
    <row r="137" spans="1:33" x14ac:dyDescent="0.25">
      <c r="A137" s="7">
        <v>39234</v>
      </c>
      <c r="B137" s="8">
        <f>LN(Sheet1!B122/Sheet1!B121)</f>
        <v>-1.7976930819991094E-2</v>
      </c>
      <c r="C137" s="8">
        <f>LN(Sheet1!C122/Sheet1!C121)</f>
        <v>-1.6202299527106664E-2</v>
      </c>
      <c r="D137" s="8">
        <f>LN(Sheet1!D122/Sheet1!D121)</f>
        <v>-1.8335680533090089E-2</v>
      </c>
      <c r="E137" s="8">
        <f>LN(Sheet1!E122/Sheet1!E121)</f>
        <v>-3.2453504856525574E-2</v>
      </c>
      <c r="F137" s="8">
        <f>LN(Sheet1!F122/Sheet1!F121)</f>
        <v>-6.0248651156997624E-2</v>
      </c>
      <c r="G137" s="8">
        <f>LN(Sheet1!G122/Sheet1!G121)</f>
        <v>-4.5039378359349513E-2</v>
      </c>
      <c r="H137" s="8">
        <f>LN(Sheet1!H122/Sheet1!H121)</f>
        <v>-6.0521397193829915E-2</v>
      </c>
      <c r="I137" s="8">
        <f>LN(Sheet1!I122/Sheet1!I121)</f>
        <v>-3.5696111335562762E-3</v>
      </c>
      <c r="J137" s="8">
        <f>LN(Sheet1!J122/Sheet1!J121)</f>
        <v>-2.8695260827689882E-2</v>
      </c>
      <c r="K137" s="8">
        <f>LN(Sheet1!K122/Sheet1!K121)</f>
        <v>-3.7371408370585599E-2</v>
      </c>
      <c r="L137" s="8">
        <f>LN(Sheet1!L122/Sheet1!L121)</f>
        <v>2.5666179351686979E-2</v>
      </c>
      <c r="M137" s="8">
        <f>LN(Sheet1!M122/Sheet1!M121)</f>
        <v>0.23144510986462422</v>
      </c>
      <c r="N137" s="8">
        <f>LN(Sheet1!N122/Sheet1!N121)</f>
        <v>1.7949199829981284E-2</v>
      </c>
      <c r="O137" s="8">
        <f>LN(Sheet1!O122/Sheet1!O121)</f>
        <v>-2.855084899151001E-2</v>
      </c>
      <c r="P137" s="8">
        <f>LN(Sheet1!P122/Sheet1!P121)</f>
        <v>-2.2383205934924866E-2</v>
      </c>
      <c r="Q137" s="8">
        <f>LN(Sheet1!Q122/Sheet1!Q121)</f>
        <v>-1.2745039169253335E-2</v>
      </c>
      <c r="R137" s="8">
        <f>LN(Sheet1!R122/Sheet1!R121)</f>
        <v>6.7970407259300883E-2</v>
      </c>
      <c r="S137" s="8">
        <f>LN(Sheet1!S122/Sheet1!S121)</f>
        <v>-2.6424789990271147E-2</v>
      </c>
      <c r="T137" s="8">
        <f>LN(Sheet1!T122/Sheet1!T121)</f>
        <v>-6.7355369559872758E-2</v>
      </c>
      <c r="U137" s="8">
        <f>LN(Sheet1!U122/Sheet1!U121)</f>
        <v>-6.2887296345420663E-3</v>
      </c>
      <c r="V137" s="8">
        <f>LN(Sheet1!V122/Sheet1!V121)</f>
        <v>4.1456973797065659E-3</v>
      </c>
      <c r="W137" s="8">
        <f>LN(Sheet1!W122/Sheet1!W121)</f>
        <v>-1.3390758030406872E-2</v>
      </c>
      <c r="X137" s="8">
        <f>LN(Sheet1!X122/Sheet1!X121)</f>
        <v>-3.7000184519647545E-3</v>
      </c>
      <c r="Y137" s="8">
        <f>LN(Sheet1!Y122/Sheet1!Y121)</f>
        <v>-4.4381915535812222E-2</v>
      </c>
      <c r="Z137" s="8">
        <f>LN(Sheet1!Z122/Sheet1!Z121)</f>
        <v>-4.0564071882041565E-2</v>
      </c>
      <c r="AA137" s="8">
        <f>LN(Sheet1!AA122/Sheet1!AA121)</f>
        <v>-7.2402512874058994E-2</v>
      </c>
      <c r="AB137" s="8">
        <f>LN(Sheet1!AB122/Sheet1!AB121)</f>
        <v>-3.784322016101388E-2</v>
      </c>
      <c r="AC137" s="8">
        <f>LN(Sheet1!AC122/Sheet1!AC121)</f>
        <v>3.862872983030393E-3</v>
      </c>
      <c r="AD137" s="8">
        <f>LN(Sheet1!AD122/Sheet1!AD121)</f>
        <v>5.3717969151724602E-3</v>
      </c>
      <c r="AE137" s="8">
        <f>LN(Sheet1!AE122/Sheet1!AE121)</f>
        <v>-5.5740519782392868E-2</v>
      </c>
      <c r="AF137" s="8">
        <f>LN(Sheet1!AF122/Sheet1!AF121)</f>
        <v>1.0657294473987979E-2</v>
      </c>
      <c r="AG137" s="8">
        <f>LN(Sheet1!AG122/Sheet1!AG121)</f>
        <v>8.5005001531230397E-3</v>
      </c>
    </row>
    <row r="138" spans="1:33" x14ac:dyDescent="0.25">
      <c r="A138" s="7">
        <v>39265</v>
      </c>
      <c r="B138" s="8">
        <f>LN(Sheet1!B123/Sheet1!B122)</f>
        <v>1.7859324500476035E-2</v>
      </c>
      <c r="C138" s="8">
        <f>LN(Sheet1!C123/Sheet1!C122)</f>
        <v>1.1657084542212728E-2</v>
      </c>
      <c r="D138" s="8">
        <f>LN(Sheet1!D123/Sheet1!D122)</f>
        <v>2.0029980829483159E-2</v>
      </c>
      <c r="E138" s="8">
        <f>LN(Sheet1!E123/Sheet1!E122)</f>
        <v>3.4212435366799444E-3</v>
      </c>
      <c r="F138" s="8">
        <f>LN(Sheet1!F123/Sheet1!F122)</f>
        <v>5.7185026351865599E-3</v>
      </c>
      <c r="G138" s="8">
        <f>LN(Sheet1!G123/Sheet1!G122)</f>
        <v>2.2620746561094349E-2</v>
      </c>
      <c r="H138" s="8">
        <f>LN(Sheet1!H123/Sheet1!H122)</f>
        <v>4.0860062685134108E-3</v>
      </c>
      <c r="I138" s="8">
        <f>LN(Sheet1!I123/Sheet1!I122)</f>
        <v>-1.0398707220898622E-2</v>
      </c>
      <c r="J138" s="8">
        <f>LN(Sheet1!J123/Sheet1!J122)</f>
        <v>2.3713453245165952E-2</v>
      </c>
      <c r="K138" s="8">
        <f>LN(Sheet1!K123/Sheet1!K122)</f>
        <v>1.4250641048036103E-2</v>
      </c>
      <c r="L138" s="8">
        <f>LN(Sheet1!L123/Sheet1!L122)</f>
        <v>6.7690964014668351E-3</v>
      </c>
      <c r="M138" s="8">
        <f>LN(Sheet1!M123/Sheet1!M122)</f>
        <v>-2.789880513805568E-2</v>
      </c>
      <c r="N138" s="8">
        <f>LN(Sheet1!N123/Sheet1!N122)</f>
        <v>1.2124422330140465E-2</v>
      </c>
      <c r="O138" s="8">
        <f>LN(Sheet1!O123/Sheet1!O122)</f>
        <v>3.6291491408396485E-2</v>
      </c>
      <c r="P138" s="8">
        <f>LN(Sheet1!P123/Sheet1!P122)</f>
        <v>2.8282928062113011E-2</v>
      </c>
      <c r="Q138" s="8">
        <f>LN(Sheet1!Q123/Sheet1!Q122)</f>
        <v>2.6255610390404225E-2</v>
      </c>
      <c r="R138" s="8">
        <f>LN(Sheet1!R123/Sheet1!R122)</f>
        <v>3.5585053756795264E-2</v>
      </c>
      <c r="S138" s="8">
        <f>LN(Sheet1!S123/Sheet1!S122)</f>
        <v>1.0653853797275807E-2</v>
      </c>
      <c r="T138" s="8">
        <f>LN(Sheet1!T123/Sheet1!T122)</f>
        <v>1.4659083600793777E-2</v>
      </c>
      <c r="U138" s="8">
        <f>LN(Sheet1!U123/Sheet1!U122)</f>
        <v>6.8584761127783002E-3</v>
      </c>
      <c r="V138" s="8">
        <f>LN(Sheet1!V123/Sheet1!V122)</f>
        <v>8.8261826282721185E-3</v>
      </c>
      <c r="W138" s="8">
        <f>LN(Sheet1!W123/Sheet1!W122)</f>
        <v>1.1114408310821465E-2</v>
      </c>
      <c r="X138" s="8">
        <f>LN(Sheet1!X123/Sheet1!X122)</f>
        <v>1.4437618085602259E-2</v>
      </c>
      <c r="Y138" s="8">
        <f>LN(Sheet1!Y123/Sheet1!Y122)</f>
        <v>4.0152580342717143E-4</v>
      </c>
      <c r="Z138" s="8">
        <f>LN(Sheet1!Z123/Sheet1!Z122)</f>
        <v>1.749119601131436E-2</v>
      </c>
      <c r="AA138" s="8">
        <f>LN(Sheet1!AA123/Sheet1!AA122)</f>
        <v>1.2823179402396681E-2</v>
      </c>
      <c r="AB138" s="8">
        <f>LN(Sheet1!AB123/Sheet1!AB122)</f>
        <v>7.8138115289524239E-3</v>
      </c>
      <c r="AC138" s="8">
        <f>LN(Sheet1!AC123/Sheet1!AC122)</f>
        <v>-1.3097446505400203E-2</v>
      </c>
      <c r="AD138" s="8">
        <f>LN(Sheet1!AD123/Sheet1!AD122)</f>
        <v>1.6637923121121181E-2</v>
      </c>
      <c r="AE138" s="8">
        <f>LN(Sheet1!AE123/Sheet1!AE122)</f>
        <v>1.9483478610673583E-2</v>
      </c>
      <c r="AF138" s="8">
        <f>LN(Sheet1!AF123/Sheet1!AF122)</f>
        <v>-4.1580042179093879E-4</v>
      </c>
      <c r="AG138" s="8">
        <f>LN(Sheet1!AG123/Sheet1!AG122)</f>
        <v>1.5144633991559487E-2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G124"/>
  <sheetViews>
    <sheetView workbookViewId="0">
      <selection activeCell="A12" sqref="A2:A12"/>
    </sheetView>
  </sheetViews>
  <sheetFormatPr defaultRowHeight="13.8" x14ac:dyDescent="0.25"/>
  <cols>
    <col min="1" max="1" width="13.88671875" style="2" bestFit="1" customWidth="1"/>
    <col min="2" max="2" width="9.33203125" style="2" bestFit="1" customWidth="1"/>
    <col min="3" max="3" width="11.33203125" style="2" customWidth="1"/>
    <col min="4" max="4" width="9.33203125" style="2" bestFit="1" customWidth="1"/>
    <col min="5" max="5" width="11.5546875" style="2" customWidth="1"/>
    <col min="6" max="19" width="9.33203125" style="2" bestFit="1" customWidth="1"/>
    <col min="20" max="20" width="10.88671875" style="2" customWidth="1"/>
    <col min="21" max="31" width="9.33203125" style="2" bestFit="1" customWidth="1"/>
    <col min="32" max="33" width="8.88671875" style="2"/>
  </cols>
  <sheetData>
    <row r="1" spans="1:33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33" ht="55.2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</row>
    <row r="3" spans="1:33" x14ac:dyDescent="0.25">
      <c r="A3" s="4">
        <v>35612</v>
      </c>
      <c r="B3" s="5">
        <v>954.31</v>
      </c>
      <c r="C3" s="5">
        <v>8222.61</v>
      </c>
      <c r="D3" s="5">
        <v>18.38</v>
      </c>
      <c r="E3" s="5">
        <v>36.31</v>
      </c>
      <c r="F3" s="5">
        <v>22.38</v>
      </c>
      <c r="G3" s="5">
        <v>50.44</v>
      </c>
      <c r="H3" s="5">
        <v>17.87</v>
      </c>
      <c r="I3" s="5">
        <v>22.22</v>
      </c>
      <c r="J3" s="5">
        <v>49.92</v>
      </c>
      <c r="K3" s="5">
        <v>24.71</v>
      </c>
      <c r="L3" s="5">
        <v>18.97</v>
      </c>
      <c r="M3" s="5">
        <v>32.51</v>
      </c>
      <c r="N3" s="5">
        <v>15.37</v>
      </c>
      <c r="O3" s="5">
        <v>37.83</v>
      </c>
      <c r="P3" s="5">
        <v>24.24</v>
      </c>
      <c r="Q3" s="5">
        <v>48.94</v>
      </c>
      <c r="R3" s="5">
        <v>21.5</v>
      </c>
      <c r="S3" s="5">
        <v>26.34</v>
      </c>
      <c r="T3" s="5">
        <v>27.22</v>
      </c>
      <c r="U3" s="5">
        <v>58.09</v>
      </c>
      <c r="V3" s="5">
        <v>23.79</v>
      </c>
      <c r="W3" s="5">
        <v>37.9</v>
      </c>
      <c r="X3" s="5">
        <v>20.75</v>
      </c>
      <c r="Y3" s="5">
        <v>37.31</v>
      </c>
      <c r="Z3" s="5">
        <v>15.16</v>
      </c>
      <c r="AA3" s="5">
        <v>16.600000000000001</v>
      </c>
      <c r="AB3" s="5">
        <v>31.62</v>
      </c>
      <c r="AC3" s="5">
        <v>20.8</v>
      </c>
      <c r="AD3" s="5">
        <v>18.239999999999998</v>
      </c>
      <c r="AE3" s="5">
        <v>24.39</v>
      </c>
      <c r="AF3" s="5">
        <v>17.29</v>
      </c>
      <c r="AG3" s="5">
        <v>25.62</v>
      </c>
    </row>
    <row r="4" spans="1:33" x14ac:dyDescent="0.25">
      <c r="A4" s="4">
        <v>35643</v>
      </c>
      <c r="B4" s="5">
        <v>899.47</v>
      </c>
      <c r="C4" s="5">
        <v>7622.42</v>
      </c>
      <c r="D4" s="5">
        <v>17.13</v>
      </c>
      <c r="E4" s="5">
        <v>32.18</v>
      </c>
      <c r="F4" s="5">
        <v>20.78</v>
      </c>
      <c r="G4" s="5">
        <v>46.96</v>
      </c>
      <c r="H4" s="5">
        <v>15.78</v>
      </c>
      <c r="I4" s="5">
        <v>23.04</v>
      </c>
      <c r="J4" s="5">
        <v>46.61</v>
      </c>
      <c r="K4" s="5">
        <v>23.49</v>
      </c>
      <c r="L4" s="5">
        <v>16.93</v>
      </c>
      <c r="M4" s="5">
        <v>33.24</v>
      </c>
      <c r="N4" s="5">
        <v>14.56</v>
      </c>
      <c r="O4" s="5">
        <v>33.96</v>
      </c>
      <c r="P4" s="5">
        <v>21.29</v>
      </c>
      <c r="Q4" s="5">
        <v>47</v>
      </c>
      <c r="R4" s="5">
        <v>21.58</v>
      </c>
      <c r="S4" s="5">
        <v>24.12</v>
      </c>
      <c r="T4" s="5">
        <v>26.65</v>
      </c>
      <c r="U4" s="5">
        <v>48.17</v>
      </c>
      <c r="V4" s="5">
        <v>20.98</v>
      </c>
      <c r="W4" s="5">
        <v>36.15</v>
      </c>
      <c r="X4" s="5">
        <v>20.09</v>
      </c>
      <c r="Y4" s="5">
        <v>32.979999999999997</v>
      </c>
      <c r="Z4" s="5">
        <v>14.17</v>
      </c>
      <c r="AA4" s="5">
        <v>15.44</v>
      </c>
      <c r="AB4" s="5">
        <v>27.67</v>
      </c>
      <c r="AC4" s="5">
        <v>19.11</v>
      </c>
      <c r="AD4" s="5">
        <v>16.899999999999999</v>
      </c>
      <c r="AE4" s="5">
        <v>24.32</v>
      </c>
      <c r="AF4" s="5">
        <v>16.37</v>
      </c>
      <c r="AG4" s="5">
        <v>24.56</v>
      </c>
    </row>
    <row r="5" spans="1:33" x14ac:dyDescent="0.25">
      <c r="A5" s="4">
        <v>35675</v>
      </c>
      <c r="B5" s="5">
        <v>947.28</v>
      </c>
      <c r="C5" s="5">
        <v>7945.26</v>
      </c>
      <c r="D5" s="5">
        <v>17.079999999999998</v>
      </c>
      <c r="E5" s="5">
        <v>35.21</v>
      </c>
      <c r="F5" s="5">
        <v>21.88</v>
      </c>
      <c r="G5" s="5">
        <v>46.91</v>
      </c>
      <c r="H5" s="5">
        <v>16.97</v>
      </c>
      <c r="I5" s="5">
        <v>21.41</v>
      </c>
      <c r="J5" s="5">
        <v>46.05</v>
      </c>
      <c r="K5" s="5">
        <v>24.65</v>
      </c>
      <c r="L5" s="5">
        <v>18.489999999999998</v>
      </c>
      <c r="M5" s="5">
        <v>35.46</v>
      </c>
      <c r="N5" s="5">
        <v>16.100000000000001</v>
      </c>
      <c r="O5" s="5">
        <v>34.96</v>
      </c>
      <c r="P5" s="5">
        <v>24.13</v>
      </c>
      <c r="Q5" s="5">
        <v>49.14</v>
      </c>
      <c r="R5" s="5">
        <v>21.62</v>
      </c>
      <c r="S5" s="5">
        <v>24.55</v>
      </c>
      <c r="T5" s="5">
        <v>28.28</v>
      </c>
      <c r="U5" s="5">
        <v>51.39</v>
      </c>
      <c r="V5" s="5">
        <v>21.12</v>
      </c>
      <c r="W5" s="5">
        <v>37.19</v>
      </c>
      <c r="X5" s="5">
        <v>19.29</v>
      </c>
      <c r="Y5" s="5">
        <v>36.07</v>
      </c>
      <c r="Z5" s="5">
        <v>14.19</v>
      </c>
      <c r="AA5" s="5">
        <v>16.739999999999998</v>
      </c>
      <c r="AB5" s="5">
        <v>28.71</v>
      </c>
      <c r="AC5" s="5">
        <v>21.59</v>
      </c>
      <c r="AD5" s="5">
        <v>17.54</v>
      </c>
      <c r="AE5" s="5">
        <v>27.03</v>
      </c>
      <c r="AF5" s="5">
        <v>16.920000000000002</v>
      </c>
      <c r="AG5" s="5">
        <v>25.71</v>
      </c>
    </row>
    <row r="6" spans="1:33" x14ac:dyDescent="0.25">
      <c r="A6" s="4">
        <v>35704</v>
      </c>
      <c r="B6" s="5">
        <v>914.62</v>
      </c>
      <c r="C6" s="5">
        <v>7442.08</v>
      </c>
      <c r="D6" s="5">
        <v>15.2</v>
      </c>
      <c r="E6" s="5">
        <v>34.83</v>
      </c>
      <c r="F6" s="5">
        <v>20.9</v>
      </c>
      <c r="G6" s="5">
        <v>41.36</v>
      </c>
      <c r="H6" s="5">
        <v>17.43</v>
      </c>
      <c r="I6" s="5">
        <v>20.420000000000002</v>
      </c>
      <c r="J6" s="5">
        <v>42.55</v>
      </c>
      <c r="K6" s="5">
        <v>25.23</v>
      </c>
      <c r="L6" s="5">
        <v>17.55</v>
      </c>
      <c r="M6" s="5">
        <v>34</v>
      </c>
      <c r="N6" s="5">
        <v>17.22</v>
      </c>
      <c r="O6" s="5">
        <v>29.62</v>
      </c>
      <c r="P6" s="5">
        <v>21.38</v>
      </c>
      <c r="Q6" s="5">
        <v>45.67</v>
      </c>
      <c r="R6" s="5">
        <v>18.04</v>
      </c>
      <c r="S6" s="5">
        <v>24.41</v>
      </c>
      <c r="T6" s="5">
        <v>27.81</v>
      </c>
      <c r="U6" s="5">
        <v>47.71</v>
      </c>
      <c r="V6" s="5">
        <v>19.87</v>
      </c>
      <c r="W6" s="5">
        <v>36.81</v>
      </c>
      <c r="X6" s="5">
        <v>18.39</v>
      </c>
      <c r="Y6" s="5">
        <v>32.21</v>
      </c>
      <c r="Z6" s="5">
        <v>13.94</v>
      </c>
      <c r="AA6" s="5">
        <v>19.77</v>
      </c>
      <c r="AB6" s="5">
        <v>28.36</v>
      </c>
      <c r="AC6" s="5">
        <v>22.52</v>
      </c>
      <c r="AD6" s="5">
        <v>15.16</v>
      </c>
      <c r="AE6" s="5">
        <v>27.13</v>
      </c>
      <c r="AF6" s="5">
        <v>16.170000000000002</v>
      </c>
      <c r="AG6" s="5">
        <v>24.66</v>
      </c>
    </row>
    <row r="7" spans="1:33" x14ac:dyDescent="0.25">
      <c r="A7" s="4">
        <v>35737</v>
      </c>
      <c r="B7" s="5">
        <v>955.4</v>
      </c>
      <c r="C7" s="5">
        <v>7823.13</v>
      </c>
      <c r="D7" s="5">
        <v>14.05</v>
      </c>
      <c r="E7" s="5">
        <v>34.4</v>
      </c>
      <c r="F7" s="5">
        <v>21.14</v>
      </c>
      <c r="G7" s="5">
        <v>45.92</v>
      </c>
      <c r="H7" s="5">
        <v>19</v>
      </c>
      <c r="I7" s="5">
        <v>19.100000000000001</v>
      </c>
      <c r="J7" s="5">
        <v>45.54</v>
      </c>
      <c r="K7" s="5">
        <v>29.08</v>
      </c>
      <c r="L7" s="5">
        <v>20.059999999999999</v>
      </c>
      <c r="M7" s="5">
        <v>32.53</v>
      </c>
      <c r="N7" s="5">
        <v>17.32</v>
      </c>
      <c r="O7" s="5">
        <v>30.66</v>
      </c>
      <c r="P7" s="5">
        <v>21.21</v>
      </c>
      <c r="Q7" s="5">
        <v>50.87</v>
      </c>
      <c r="R7" s="5">
        <v>18.190000000000001</v>
      </c>
      <c r="S7" s="5">
        <v>26.88</v>
      </c>
      <c r="T7" s="5">
        <v>26.2</v>
      </c>
      <c r="U7" s="5">
        <v>52.77</v>
      </c>
      <c r="V7" s="5">
        <v>21.54</v>
      </c>
      <c r="W7" s="5">
        <v>39.42</v>
      </c>
      <c r="X7" s="5">
        <v>20.190000000000001</v>
      </c>
      <c r="Y7" s="5">
        <v>34.22</v>
      </c>
      <c r="Z7" s="5">
        <v>15.17</v>
      </c>
      <c r="AA7" s="5">
        <v>20.309999999999999</v>
      </c>
      <c r="AB7" s="5">
        <v>31.78</v>
      </c>
      <c r="AC7" s="5">
        <v>25.7</v>
      </c>
      <c r="AD7" s="5">
        <v>16.3</v>
      </c>
      <c r="AE7" s="5">
        <v>30.27</v>
      </c>
      <c r="AF7" s="5">
        <v>18.510000000000002</v>
      </c>
      <c r="AG7" s="5">
        <v>24.65</v>
      </c>
    </row>
    <row r="8" spans="1:33" x14ac:dyDescent="0.25">
      <c r="A8" s="4">
        <v>35765</v>
      </c>
      <c r="B8" s="5">
        <v>970.43</v>
      </c>
      <c r="C8" s="5">
        <v>7908.25</v>
      </c>
      <c r="D8" s="5">
        <v>14.71</v>
      </c>
      <c r="E8" s="5">
        <v>37.130000000000003</v>
      </c>
      <c r="F8" s="5">
        <v>23.98</v>
      </c>
      <c r="G8" s="5">
        <v>42.3</v>
      </c>
      <c r="H8" s="5">
        <v>20.12</v>
      </c>
      <c r="I8" s="5">
        <v>19.329999999999998</v>
      </c>
      <c r="J8" s="5">
        <v>45.16</v>
      </c>
      <c r="K8" s="5">
        <v>30.32</v>
      </c>
      <c r="L8" s="5">
        <v>20.010000000000002</v>
      </c>
      <c r="M8" s="5">
        <v>34.369999999999997</v>
      </c>
      <c r="N8" s="5">
        <v>18.2</v>
      </c>
      <c r="O8" s="5">
        <v>32.049999999999997</v>
      </c>
      <c r="P8" s="5">
        <v>21.69</v>
      </c>
      <c r="Q8" s="5">
        <v>48.6</v>
      </c>
      <c r="R8" s="5">
        <v>16.46</v>
      </c>
      <c r="S8" s="5">
        <v>28.13</v>
      </c>
      <c r="T8" s="5">
        <v>26.38</v>
      </c>
      <c r="U8" s="5">
        <v>56.31</v>
      </c>
      <c r="V8" s="5">
        <v>21.21</v>
      </c>
      <c r="W8" s="5">
        <v>33.200000000000003</v>
      </c>
      <c r="X8" s="5">
        <v>21.19</v>
      </c>
      <c r="Y8" s="5">
        <v>38.44</v>
      </c>
      <c r="Z8" s="5">
        <v>13.86</v>
      </c>
      <c r="AA8" s="5">
        <v>20.81</v>
      </c>
      <c r="AB8" s="5">
        <v>33.29</v>
      </c>
      <c r="AC8" s="5">
        <v>25.93</v>
      </c>
      <c r="AD8" s="5">
        <v>15.83</v>
      </c>
      <c r="AE8" s="5">
        <v>30.86</v>
      </c>
      <c r="AF8" s="5">
        <v>18.25</v>
      </c>
      <c r="AG8" s="5">
        <v>24.73</v>
      </c>
    </row>
    <row r="9" spans="1:33" x14ac:dyDescent="0.25">
      <c r="A9" s="4">
        <v>35797</v>
      </c>
      <c r="B9" s="5">
        <v>980.28</v>
      </c>
      <c r="C9" s="5">
        <v>7906.5</v>
      </c>
      <c r="D9" s="5">
        <v>15.96</v>
      </c>
      <c r="E9" s="5">
        <v>37.67</v>
      </c>
      <c r="F9" s="5">
        <v>22.49</v>
      </c>
      <c r="G9" s="5">
        <v>41.16</v>
      </c>
      <c r="H9" s="5">
        <v>18.510000000000002</v>
      </c>
      <c r="I9" s="5">
        <v>19.23</v>
      </c>
      <c r="J9" s="5">
        <v>42.58</v>
      </c>
      <c r="K9" s="5">
        <v>32.770000000000003</v>
      </c>
      <c r="L9" s="5">
        <v>21.14</v>
      </c>
      <c r="M9" s="5">
        <v>32.78</v>
      </c>
      <c r="N9" s="5">
        <v>18.7</v>
      </c>
      <c r="O9" s="5">
        <v>32.15</v>
      </c>
      <c r="P9" s="5">
        <v>20.91</v>
      </c>
      <c r="Q9" s="5">
        <v>45.87</v>
      </c>
      <c r="R9" s="5">
        <v>18.989999999999998</v>
      </c>
      <c r="S9" s="5">
        <v>28.59</v>
      </c>
      <c r="T9" s="5">
        <v>25.97</v>
      </c>
      <c r="U9" s="5">
        <v>54.67</v>
      </c>
      <c r="V9" s="5">
        <v>20.93</v>
      </c>
      <c r="W9" s="5">
        <v>33.78</v>
      </c>
      <c r="X9" s="5">
        <v>19.43</v>
      </c>
      <c r="Y9" s="5">
        <v>42.56</v>
      </c>
      <c r="Z9" s="5">
        <v>16</v>
      </c>
      <c r="AA9" s="5">
        <v>22.82</v>
      </c>
      <c r="AB9" s="5">
        <v>32.79</v>
      </c>
      <c r="AC9" s="5">
        <v>27.69</v>
      </c>
      <c r="AD9" s="5">
        <v>17.670000000000002</v>
      </c>
      <c r="AE9" s="5">
        <v>31.66</v>
      </c>
      <c r="AF9" s="5">
        <v>18.420000000000002</v>
      </c>
      <c r="AG9" s="5">
        <v>23.97</v>
      </c>
    </row>
    <row r="10" spans="1:33" x14ac:dyDescent="0.25">
      <c r="A10" s="4">
        <v>35828</v>
      </c>
      <c r="B10" s="5">
        <v>1049.3399999999999</v>
      </c>
      <c r="C10" s="5">
        <v>8545.7199999999993</v>
      </c>
      <c r="D10" s="5">
        <v>15.41</v>
      </c>
      <c r="E10" s="5">
        <v>41.04</v>
      </c>
      <c r="F10" s="5">
        <v>24.2</v>
      </c>
      <c r="G10" s="5">
        <v>47.02</v>
      </c>
      <c r="H10" s="5">
        <v>20.83</v>
      </c>
      <c r="I10" s="5">
        <v>21.86</v>
      </c>
      <c r="J10" s="5">
        <v>46.33</v>
      </c>
      <c r="K10" s="5">
        <v>34.33</v>
      </c>
      <c r="L10" s="5">
        <v>21.21</v>
      </c>
      <c r="M10" s="5">
        <v>39.32</v>
      </c>
      <c r="N10" s="5">
        <v>19.75</v>
      </c>
      <c r="O10" s="5">
        <v>35.270000000000003</v>
      </c>
      <c r="P10" s="5">
        <v>23.3</v>
      </c>
      <c r="Q10" s="5">
        <v>48.61</v>
      </c>
      <c r="R10" s="5">
        <v>21.02</v>
      </c>
      <c r="S10" s="5">
        <v>32.29</v>
      </c>
      <c r="T10" s="5">
        <v>30.06</v>
      </c>
      <c r="U10" s="5">
        <v>57.94</v>
      </c>
      <c r="V10" s="5">
        <v>24.27</v>
      </c>
      <c r="W10" s="5">
        <v>34.729999999999997</v>
      </c>
      <c r="X10" s="5">
        <v>20.37</v>
      </c>
      <c r="Y10" s="5">
        <v>46.26</v>
      </c>
      <c r="Z10" s="5">
        <v>18.170000000000002</v>
      </c>
      <c r="AA10" s="5">
        <v>24.76</v>
      </c>
      <c r="AB10" s="5">
        <v>35.51</v>
      </c>
      <c r="AC10" s="5">
        <v>26.93</v>
      </c>
      <c r="AD10" s="5">
        <v>19.489999999999998</v>
      </c>
      <c r="AE10" s="5">
        <v>30.7</v>
      </c>
      <c r="AF10" s="5">
        <v>21.43</v>
      </c>
      <c r="AG10" s="5">
        <v>25.93</v>
      </c>
    </row>
    <row r="11" spans="1:33" x14ac:dyDescent="0.25">
      <c r="A11" s="4">
        <v>35856</v>
      </c>
      <c r="B11" s="5">
        <v>1101.75</v>
      </c>
      <c r="C11" s="5">
        <v>8799.81</v>
      </c>
      <c r="D11" s="5">
        <v>14.45</v>
      </c>
      <c r="E11" s="5">
        <v>43.03</v>
      </c>
      <c r="F11" s="5">
        <v>24.67</v>
      </c>
      <c r="G11" s="5">
        <v>45.18</v>
      </c>
      <c r="H11" s="5">
        <v>22.46</v>
      </c>
      <c r="I11" s="5">
        <v>22.06</v>
      </c>
      <c r="J11" s="5">
        <v>51.39</v>
      </c>
      <c r="K11" s="5">
        <v>32.74</v>
      </c>
      <c r="L11" s="5">
        <v>23.6</v>
      </c>
      <c r="M11" s="5">
        <v>38.64</v>
      </c>
      <c r="N11" s="5">
        <v>20.92</v>
      </c>
      <c r="O11" s="5">
        <v>34.799999999999997</v>
      </c>
      <c r="P11" s="5">
        <v>22.09</v>
      </c>
      <c r="Q11" s="5">
        <v>48.35</v>
      </c>
      <c r="R11" s="5">
        <v>18.3</v>
      </c>
      <c r="S11" s="5">
        <v>31.46</v>
      </c>
      <c r="T11" s="5">
        <v>32.68</v>
      </c>
      <c r="U11" s="5">
        <v>65.52</v>
      </c>
      <c r="V11" s="5">
        <v>26.69</v>
      </c>
      <c r="W11" s="5">
        <v>37.049999999999997</v>
      </c>
      <c r="X11" s="5">
        <v>19.7</v>
      </c>
      <c r="Y11" s="5">
        <v>46.65</v>
      </c>
      <c r="Z11" s="5">
        <v>19.190000000000001</v>
      </c>
      <c r="AA11" s="5">
        <v>27.89</v>
      </c>
      <c r="AB11" s="5">
        <v>35.299999999999997</v>
      </c>
      <c r="AC11" s="5">
        <v>30.88</v>
      </c>
      <c r="AD11" s="5">
        <v>20.14</v>
      </c>
      <c r="AE11" s="5">
        <v>34.979999999999997</v>
      </c>
      <c r="AF11" s="5">
        <v>23.55</v>
      </c>
      <c r="AG11" s="5">
        <v>27.51</v>
      </c>
    </row>
    <row r="12" spans="1:33" x14ac:dyDescent="0.25">
      <c r="A12" s="4">
        <v>35886</v>
      </c>
      <c r="B12" s="5">
        <v>1111.75</v>
      </c>
      <c r="C12" s="5">
        <v>9063.3700000000008</v>
      </c>
      <c r="D12" s="5">
        <v>16.27</v>
      </c>
      <c r="E12" s="5">
        <v>44.95</v>
      </c>
      <c r="F12" s="5">
        <v>27.52</v>
      </c>
      <c r="G12" s="5">
        <v>43.39</v>
      </c>
      <c r="H12" s="5">
        <v>22.95</v>
      </c>
      <c r="I12" s="5">
        <v>22.91</v>
      </c>
      <c r="J12" s="5">
        <v>55.02</v>
      </c>
      <c r="K12" s="5">
        <v>38.25</v>
      </c>
      <c r="L12" s="5">
        <v>23.33</v>
      </c>
      <c r="M12" s="5">
        <v>38.42</v>
      </c>
      <c r="N12" s="5">
        <v>21.56</v>
      </c>
      <c r="O12" s="5">
        <v>36.299999999999997</v>
      </c>
      <c r="P12" s="5">
        <v>26.27</v>
      </c>
      <c r="Q12" s="5">
        <v>53.93</v>
      </c>
      <c r="R12" s="5">
        <v>18.95</v>
      </c>
      <c r="S12" s="5">
        <v>30.63</v>
      </c>
      <c r="T12" s="5">
        <v>33.75</v>
      </c>
      <c r="U12" s="5">
        <v>64.2</v>
      </c>
      <c r="V12" s="5">
        <v>27.53</v>
      </c>
      <c r="W12" s="5">
        <v>38.42</v>
      </c>
      <c r="X12" s="5">
        <v>17.54</v>
      </c>
      <c r="Y12" s="5">
        <v>43.85</v>
      </c>
      <c r="Z12" s="5">
        <v>19.329999999999998</v>
      </c>
      <c r="AA12" s="5">
        <v>31.84</v>
      </c>
      <c r="AB12" s="5">
        <v>34.49</v>
      </c>
      <c r="AC12" s="5">
        <v>29.67</v>
      </c>
      <c r="AD12" s="5">
        <v>21.48</v>
      </c>
      <c r="AE12" s="5">
        <v>32.25</v>
      </c>
      <c r="AF12" s="5">
        <v>23.43</v>
      </c>
      <c r="AG12" s="5">
        <v>29.72</v>
      </c>
    </row>
    <row r="13" spans="1:33" x14ac:dyDescent="0.25">
      <c r="A13" s="4">
        <v>35916</v>
      </c>
      <c r="B13" s="5">
        <v>1090.82</v>
      </c>
      <c r="C13" s="5">
        <v>8899.9500000000007</v>
      </c>
      <c r="D13" s="5">
        <v>14.61</v>
      </c>
      <c r="E13" s="5">
        <v>42.3</v>
      </c>
      <c r="F13" s="5">
        <v>27.63</v>
      </c>
      <c r="G13" s="5">
        <v>41.5</v>
      </c>
      <c r="H13" s="5">
        <v>22.98</v>
      </c>
      <c r="I13" s="5">
        <v>22.11</v>
      </c>
      <c r="J13" s="5">
        <v>58.59</v>
      </c>
      <c r="K13" s="5">
        <v>34.78</v>
      </c>
      <c r="L13" s="5">
        <v>22.83</v>
      </c>
      <c r="M13" s="5">
        <v>41.28</v>
      </c>
      <c r="N13" s="5">
        <v>24.31</v>
      </c>
      <c r="O13" s="5">
        <v>35.549999999999997</v>
      </c>
      <c r="P13" s="5">
        <v>21.72</v>
      </c>
      <c r="Q13" s="5">
        <v>54.79</v>
      </c>
      <c r="R13" s="5">
        <v>16.75</v>
      </c>
      <c r="S13" s="5">
        <v>29.69</v>
      </c>
      <c r="T13" s="5">
        <v>33.11</v>
      </c>
      <c r="U13" s="5">
        <v>66.31</v>
      </c>
      <c r="V13" s="5">
        <v>29.23</v>
      </c>
      <c r="W13" s="5">
        <v>37.92</v>
      </c>
      <c r="X13" s="5">
        <v>17.66</v>
      </c>
      <c r="Y13" s="5">
        <v>42.58</v>
      </c>
      <c r="Z13" s="5">
        <v>18.190000000000001</v>
      </c>
      <c r="AA13" s="5">
        <v>29.37</v>
      </c>
      <c r="AB13" s="5">
        <v>35.200000000000003</v>
      </c>
      <c r="AC13" s="5">
        <v>27.84</v>
      </c>
      <c r="AD13" s="5">
        <v>20.59</v>
      </c>
      <c r="AE13" s="5">
        <v>31.58</v>
      </c>
      <c r="AF13" s="5">
        <v>25.55</v>
      </c>
      <c r="AG13" s="5">
        <v>28.84</v>
      </c>
    </row>
    <row r="14" spans="1:33" x14ac:dyDescent="0.25">
      <c r="A14" s="4">
        <v>35947</v>
      </c>
      <c r="B14" s="5">
        <v>1133.8399999999999</v>
      </c>
      <c r="C14" s="5">
        <v>8952.02</v>
      </c>
      <c r="D14" s="5">
        <v>13.89</v>
      </c>
      <c r="E14" s="5">
        <v>49.92</v>
      </c>
      <c r="F14" s="5">
        <v>30.69</v>
      </c>
      <c r="G14" s="5">
        <v>38.729999999999997</v>
      </c>
      <c r="H14" s="5">
        <v>22.74</v>
      </c>
      <c r="I14" s="5">
        <v>21.29</v>
      </c>
      <c r="J14" s="5">
        <v>56.69</v>
      </c>
      <c r="K14" s="5">
        <v>32.26</v>
      </c>
      <c r="L14" s="5">
        <v>24.88</v>
      </c>
      <c r="M14" s="5">
        <v>38.369999999999997</v>
      </c>
      <c r="N14" s="5">
        <v>25.72</v>
      </c>
      <c r="O14" s="5">
        <v>36.9</v>
      </c>
      <c r="P14" s="5">
        <v>20.93</v>
      </c>
      <c r="Q14" s="5">
        <v>53.54</v>
      </c>
      <c r="R14" s="5">
        <v>17.38</v>
      </c>
      <c r="S14" s="5">
        <v>31.81</v>
      </c>
      <c r="T14" s="5">
        <v>36.78</v>
      </c>
      <c r="U14" s="5">
        <v>72.48</v>
      </c>
      <c r="V14" s="5">
        <v>30.74</v>
      </c>
      <c r="W14" s="5">
        <v>33.65</v>
      </c>
      <c r="X14" s="5">
        <v>18.8</v>
      </c>
      <c r="Y14" s="5">
        <v>48.86</v>
      </c>
      <c r="Z14" s="5">
        <v>23.24</v>
      </c>
      <c r="AA14" s="5">
        <v>30.46</v>
      </c>
      <c r="AB14" s="5">
        <v>38.22</v>
      </c>
      <c r="AC14" s="5">
        <v>28.64</v>
      </c>
      <c r="AD14" s="5">
        <v>20.260000000000002</v>
      </c>
      <c r="AE14" s="5">
        <v>31.46</v>
      </c>
      <c r="AF14" s="5">
        <v>28.19</v>
      </c>
      <c r="AG14" s="5">
        <v>29.2</v>
      </c>
    </row>
    <row r="15" spans="1:33" x14ac:dyDescent="0.25">
      <c r="A15" s="4">
        <v>35977</v>
      </c>
      <c r="B15" s="5">
        <v>1120.67</v>
      </c>
      <c r="C15" s="5">
        <v>8883.2900000000009</v>
      </c>
      <c r="D15" s="5">
        <v>14.6</v>
      </c>
      <c r="E15" s="5">
        <v>51.56</v>
      </c>
      <c r="F15" s="5">
        <v>29.78</v>
      </c>
      <c r="G15" s="5">
        <v>33.729999999999997</v>
      </c>
      <c r="H15" s="5">
        <v>25.28</v>
      </c>
      <c r="I15" s="5">
        <v>19.63</v>
      </c>
      <c r="J15" s="5">
        <v>47.06</v>
      </c>
      <c r="K15" s="5">
        <v>31.77</v>
      </c>
      <c r="L15" s="5">
        <v>24.57</v>
      </c>
      <c r="M15" s="5">
        <v>41.53</v>
      </c>
      <c r="N15" s="5">
        <v>25.93</v>
      </c>
      <c r="O15" s="5">
        <v>36.17</v>
      </c>
      <c r="P15" s="5">
        <v>19.399999999999999</v>
      </c>
      <c r="Q15" s="5">
        <v>61.79</v>
      </c>
      <c r="R15" s="5">
        <v>19.8</v>
      </c>
      <c r="S15" s="5">
        <v>33.21</v>
      </c>
      <c r="T15" s="5">
        <v>37.01</v>
      </c>
      <c r="U15" s="5">
        <v>68.239999999999995</v>
      </c>
      <c r="V15" s="5">
        <v>29.76</v>
      </c>
      <c r="W15" s="5">
        <v>30.76</v>
      </c>
      <c r="X15" s="5">
        <v>20.92</v>
      </c>
      <c r="Y15" s="5">
        <v>45.14</v>
      </c>
      <c r="Z15" s="5">
        <v>23.58</v>
      </c>
      <c r="AA15" s="5">
        <v>30.77</v>
      </c>
      <c r="AB15" s="5">
        <v>33.42</v>
      </c>
      <c r="AC15" s="5">
        <v>29.49</v>
      </c>
      <c r="AD15" s="5">
        <v>21</v>
      </c>
      <c r="AE15" s="5">
        <v>31.52</v>
      </c>
      <c r="AF15" s="5">
        <v>29.3</v>
      </c>
      <c r="AG15" s="5">
        <v>28.74</v>
      </c>
    </row>
    <row r="16" spans="1:33" x14ac:dyDescent="0.25">
      <c r="A16" s="4">
        <v>36010</v>
      </c>
      <c r="B16" s="5">
        <v>957.28</v>
      </c>
      <c r="C16" s="5">
        <v>7539.07</v>
      </c>
      <c r="D16" s="5">
        <v>12.66</v>
      </c>
      <c r="E16" s="5">
        <v>39.65</v>
      </c>
      <c r="F16" s="5">
        <v>21.05</v>
      </c>
      <c r="G16" s="5">
        <v>26.99</v>
      </c>
      <c r="H16" s="5">
        <v>16.68</v>
      </c>
      <c r="I16" s="5">
        <v>17</v>
      </c>
      <c r="J16" s="5">
        <v>44.19</v>
      </c>
      <c r="K16" s="5">
        <v>25.32</v>
      </c>
      <c r="L16" s="5">
        <v>21.98</v>
      </c>
      <c r="M16" s="5">
        <v>33.619999999999997</v>
      </c>
      <c r="N16" s="5">
        <v>23.61</v>
      </c>
      <c r="O16" s="5">
        <v>28.64</v>
      </c>
      <c r="P16" s="5">
        <v>16.97</v>
      </c>
      <c r="Q16" s="5">
        <v>52.61</v>
      </c>
      <c r="R16" s="5">
        <v>16.7</v>
      </c>
      <c r="S16" s="5">
        <v>29.76</v>
      </c>
      <c r="T16" s="5">
        <v>25.7</v>
      </c>
      <c r="U16" s="5">
        <v>55.2</v>
      </c>
      <c r="V16" s="5">
        <v>25.15</v>
      </c>
      <c r="W16" s="5">
        <v>28.25</v>
      </c>
      <c r="X16" s="5">
        <v>19.84</v>
      </c>
      <c r="Y16" s="5">
        <v>42.36</v>
      </c>
      <c r="Z16" s="5">
        <v>20.57</v>
      </c>
      <c r="AA16" s="5">
        <v>26.11</v>
      </c>
      <c r="AB16" s="5">
        <v>32.21</v>
      </c>
      <c r="AC16" s="5">
        <v>27.41</v>
      </c>
      <c r="AD16" s="5">
        <v>15.96</v>
      </c>
      <c r="AE16" s="5">
        <v>30.68</v>
      </c>
      <c r="AF16" s="5">
        <v>27.38</v>
      </c>
      <c r="AG16" s="5">
        <v>26.93</v>
      </c>
    </row>
    <row r="17" spans="1:33" x14ac:dyDescent="0.25">
      <c r="A17" s="4">
        <v>36039</v>
      </c>
      <c r="B17" s="5">
        <v>1017.01</v>
      </c>
      <c r="C17" s="5">
        <v>7842.62</v>
      </c>
      <c r="D17" s="5">
        <v>15.02</v>
      </c>
      <c r="E17" s="5">
        <v>40.22</v>
      </c>
      <c r="F17" s="5">
        <v>20.94</v>
      </c>
      <c r="G17" s="5">
        <v>29.93</v>
      </c>
      <c r="H17" s="5">
        <v>14.09</v>
      </c>
      <c r="I17" s="5">
        <v>18.010000000000002</v>
      </c>
      <c r="J17" s="5">
        <v>42.95</v>
      </c>
      <c r="K17" s="5">
        <v>23.41</v>
      </c>
      <c r="L17" s="5">
        <v>21.94</v>
      </c>
      <c r="M17" s="5">
        <v>31.74</v>
      </c>
      <c r="N17" s="5">
        <v>24.48</v>
      </c>
      <c r="O17" s="5">
        <v>29.54</v>
      </c>
      <c r="P17" s="5">
        <v>18.559999999999999</v>
      </c>
      <c r="Q17" s="5">
        <v>60.03</v>
      </c>
      <c r="R17" s="5">
        <v>20.11</v>
      </c>
      <c r="S17" s="5">
        <v>33.75</v>
      </c>
      <c r="T17" s="5">
        <v>21.11</v>
      </c>
      <c r="U17" s="5">
        <v>48.97</v>
      </c>
      <c r="V17" s="5">
        <v>26.63</v>
      </c>
      <c r="W17" s="5">
        <v>30.39</v>
      </c>
      <c r="X17" s="5">
        <v>22.31</v>
      </c>
      <c r="Y17" s="5">
        <v>47.54</v>
      </c>
      <c r="Z17" s="5">
        <v>23.6</v>
      </c>
      <c r="AA17" s="5">
        <v>29.69</v>
      </c>
      <c r="AB17" s="5">
        <v>29.95</v>
      </c>
      <c r="AC17" s="5">
        <v>31.96</v>
      </c>
      <c r="AD17" s="5">
        <v>16.809999999999999</v>
      </c>
      <c r="AE17" s="5">
        <v>33.67</v>
      </c>
      <c r="AF17" s="5">
        <v>25.38</v>
      </c>
      <c r="AG17" s="5">
        <v>29.07</v>
      </c>
    </row>
    <row r="18" spans="1:33" x14ac:dyDescent="0.25">
      <c r="A18" s="4">
        <v>36069</v>
      </c>
      <c r="B18" s="5">
        <v>1098.67</v>
      </c>
      <c r="C18" s="5">
        <v>8592.1</v>
      </c>
      <c r="D18" s="5">
        <v>16.760000000000002</v>
      </c>
      <c r="E18" s="5">
        <v>43.78</v>
      </c>
      <c r="F18" s="5">
        <v>23.84</v>
      </c>
      <c r="G18" s="5">
        <v>32.770000000000003</v>
      </c>
      <c r="H18" s="5">
        <v>17.739999999999998</v>
      </c>
      <c r="I18" s="5">
        <v>18.309999999999999</v>
      </c>
      <c r="J18" s="5">
        <v>44.09</v>
      </c>
      <c r="K18" s="5">
        <v>24.91</v>
      </c>
      <c r="L18" s="5">
        <v>24.13</v>
      </c>
      <c r="M18" s="5">
        <v>36.549999999999997</v>
      </c>
      <c r="N18" s="5">
        <v>27</v>
      </c>
      <c r="O18" s="5">
        <v>32.51</v>
      </c>
      <c r="P18" s="5">
        <v>21.12</v>
      </c>
      <c r="Q18" s="5">
        <v>69.37</v>
      </c>
      <c r="R18" s="5">
        <v>20.92</v>
      </c>
      <c r="S18" s="5">
        <v>35.15</v>
      </c>
      <c r="T18" s="5">
        <v>28.05</v>
      </c>
      <c r="U18" s="5">
        <v>57.41</v>
      </c>
      <c r="V18" s="5">
        <v>29.91</v>
      </c>
      <c r="W18" s="5">
        <v>32.83</v>
      </c>
      <c r="X18" s="5">
        <v>24.67</v>
      </c>
      <c r="Y18" s="5">
        <v>49.56</v>
      </c>
      <c r="Z18" s="5">
        <v>22.7</v>
      </c>
      <c r="AA18" s="5">
        <v>30.13</v>
      </c>
      <c r="AB18" s="5">
        <v>37.47</v>
      </c>
      <c r="AC18" s="5">
        <v>33.520000000000003</v>
      </c>
      <c r="AD18" s="5">
        <v>20.95</v>
      </c>
      <c r="AE18" s="5">
        <v>37.25</v>
      </c>
      <c r="AF18" s="5">
        <v>32.090000000000003</v>
      </c>
      <c r="AG18" s="5">
        <v>29.48</v>
      </c>
    </row>
    <row r="19" spans="1:33" x14ac:dyDescent="0.25">
      <c r="A19" s="4">
        <v>36101</v>
      </c>
      <c r="B19" s="5">
        <v>1163.6300000000001</v>
      </c>
      <c r="C19" s="5">
        <v>9116.5499999999993</v>
      </c>
      <c r="D19" s="5">
        <v>15.75</v>
      </c>
      <c r="E19" s="5">
        <v>48.24</v>
      </c>
      <c r="F19" s="5">
        <v>27.08</v>
      </c>
      <c r="G19" s="5">
        <v>35.56</v>
      </c>
      <c r="H19" s="5">
        <v>18.96</v>
      </c>
      <c r="I19" s="5">
        <v>20.14</v>
      </c>
      <c r="J19" s="5">
        <v>45.21</v>
      </c>
      <c r="K19" s="5">
        <v>29.76</v>
      </c>
      <c r="L19" s="5">
        <v>24.92</v>
      </c>
      <c r="M19" s="5">
        <v>40.72</v>
      </c>
      <c r="N19" s="5">
        <v>30.83</v>
      </c>
      <c r="O19" s="5">
        <v>36.86</v>
      </c>
      <c r="P19" s="5">
        <v>21.93</v>
      </c>
      <c r="Q19" s="5">
        <v>77.25</v>
      </c>
      <c r="R19" s="5">
        <v>25.26</v>
      </c>
      <c r="S19" s="5">
        <v>35.15</v>
      </c>
      <c r="T19" s="5">
        <v>31.33</v>
      </c>
      <c r="U19" s="5">
        <v>59.66</v>
      </c>
      <c r="V19" s="5">
        <v>31.29</v>
      </c>
      <c r="W19" s="5">
        <v>33.43</v>
      </c>
      <c r="X19" s="5">
        <v>26.99</v>
      </c>
      <c r="Y19" s="5">
        <v>56.93</v>
      </c>
      <c r="Z19" s="5">
        <v>26.16</v>
      </c>
      <c r="AA19" s="5">
        <v>31.48</v>
      </c>
      <c r="AB19" s="5">
        <v>37.020000000000003</v>
      </c>
      <c r="AC19" s="5">
        <v>34.700000000000003</v>
      </c>
      <c r="AD19" s="5">
        <v>23.66</v>
      </c>
      <c r="AE19" s="5">
        <v>38.96</v>
      </c>
      <c r="AF19" s="5">
        <v>34.99</v>
      </c>
      <c r="AG19" s="5">
        <v>31.04</v>
      </c>
    </row>
    <row r="20" spans="1:33" x14ac:dyDescent="0.25">
      <c r="A20" s="4">
        <v>36130</v>
      </c>
      <c r="B20" s="5">
        <v>1229.23</v>
      </c>
      <c r="C20" s="5">
        <v>9181.43</v>
      </c>
      <c r="D20" s="5">
        <v>15.82</v>
      </c>
      <c r="E20" s="5">
        <v>49.62</v>
      </c>
      <c r="F20" s="5">
        <v>27.75</v>
      </c>
      <c r="G20" s="5">
        <v>28.56</v>
      </c>
      <c r="H20" s="5">
        <v>18.75</v>
      </c>
      <c r="I20" s="5">
        <v>18.739999999999998</v>
      </c>
      <c r="J20" s="5">
        <v>40.74</v>
      </c>
      <c r="K20" s="5">
        <v>27.73</v>
      </c>
      <c r="L20" s="5">
        <v>28.22</v>
      </c>
      <c r="M20" s="5">
        <v>41.7</v>
      </c>
      <c r="N20" s="5">
        <v>37.94</v>
      </c>
      <c r="O20" s="5">
        <v>37.119999999999997</v>
      </c>
      <c r="P20" s="5">
        <v>24.01</v>
      </c>
      <c r="Q20" s="5">
        <v>86.26</v>
      </c>
      <c r="R20" s="5">
        <v>27.82</v>
      </c>
      <c r="S20" s="5">
        <v>36.28</v>
      </c>
      <c r="T20" s="5">
        <v>35.06</v>
      </c>
      <c r="U20" s="5">
        <v>57.05</v>
      </c>
      <c r="V20" s="5">
        <v>34.299999999999997</v>
      </c>
      <c r="W20" s="5">
        <v>29.53</v>
      </c>
      <c r="X20" s="5">
        <v>26.03</v>
      </c>
      <c r="Y20" s="5">
        <v>54.31</v>
      </c>
      <c r="Z20" s="5">
        <v>29.74</v>
      </c>
      <c r="AA20" s="5">
        <v>35.15</v>
      </c>
      <c r="AB20" s="5">
        <v>38.58</v>
      </c>
      <c r="AC20" s="5">
        <v>38.82</v>
      </c>
      <c r="AD20" s="5">
        <v>24.01</v>
      </c>
      <c r="AE20" s="5">
        <v>37.82</v>
      </c>
      <c r="AF20" s="5">
        <v>37.880000000000003</v>
      </c>
      <c r="AG20" s="5">
        <v>30.26</v>
      </c>
    </row>
    <row r="21" spans="1:33" x14ac:dyDescent="0.25">
      <c r="A21" s="4">
        <v>36164</v>
      </c>
      <c r="B21" s="5">
        <v>1279.6400000000001</v>
      </c>
      <c r="C21" s="5">
        <v>9358.83</v>
      </c>
      <c r="D21" s="5">
        <v>17.73</v>
      </c>
      <c r="E21" s="5">
        <v>52.86</v>
      </c>
      <c r="F21" s="5">
        <v>27.91</v>
      </c>
      <c r="G21" s="5">
        <v>30.36</v>
      </c>
      <c r="H21" s="5">
        <v>21.23</v>
      </c>
      <c r="I21" s="5">
        <v>17.760000000000002</v>
      </c>
      <c r="J21" s="5">
        <v>39.31</v>
      </c>
      <c r="K21" s="5">
        <v>30.51</v>
      </c>
      <c r="L21" s="5">
        <v>29.02</v>
      </c>
      <c r="M21" s="5">
        <v>52.3</v>
      </c>
      <c r="N21" s="5">
        <v>37.520000000000003</v>
      </c>
      <c r="O21" s="5">
        <v>32.67</v>
      </c>
      <c r="P21" s="5">
        <v>27.55</v>
      </c>
      <c r="Q21" s="5">
        <v>85.73</v>
      </c>
      <c r="R21" s="5">
        <v>33.08</v>
      </c>
      <c r="S21" s="5">
        <v>36.82</v>
      </c>
      <c r="T21" s="5">
        <v>38.19</v>
      </c>
      <c r="U21" s="5">
        <v>55.61</v>
      </c>
      <c r="V21" s="5">
        <v>35.200000000000003</v>
      </c>
      <c r="W21" s="5">
        <v>32.229999999999997</v>
      </c>
      <c r="X21" s="5">
        <v>22.81</v>
      </c>
      <c r="Y21" s="5">
        <v>54.04</v>
      </c>
      <c r="Z21" s="5">
        <v>37.53</v>
      </c>
      <c r="AA21" s="5">
        <v>36.18</v>
      </c>
      <c r="AB21" s="5">
        <v>38.520000000000003</v>
      </c>
      <c r="AC21" s="5">
        <v>39.26</v>
      </c>
      <c r="AD21" s="5">
        <v>26.37</v>
      </c>
      <c r="AE21" s="5">
        <v>42.31</v>
      </c>
      <c r="AF21" s="5">
        <v>40</v>
      </c>
      <c r="AG21" s="5">
        <v>29.08</v>
      </c>
    </row>
    <row r="22" spans="1:33" x14ac:dyDescent="0.25">
      <c r="A22" s="4">
        <v>36192</v>
      </c>
      <c r="B22" s="5">
        <v>1238.33</v>
      </c>
      <c r="C22" s="5">
        <v>9306.58</v>
      </c>
      <c r="D22" s="5">
        <v>17.27</v>
      </c>
      <c r="E22" s="5">
        <v>58.51</v>
      </c>
      <c r="F22" s="5">
        <v>29.44</v>
      </c>
      <c r="G22" s="5">
        <v>31.3</v>
      </c>
      <c r="H22" s="5">
        <v>22.25</v>
      </c>
      <c r="I22" s="5">
        <v>18.68</v>
      </c>
      <c r="J22" s="5">
        <v>39.659999999999997</v>
      </c>
      <c r="K22" s="5">
        <v>32.53</v>
      </c>
      <c r="L22" s="5">
        <v>27.75</v>
      </c>
      <c r="M22" s="5">
        <v>48.37</v>
      </c>
      <c r="N22" s="5">
        <v>37.01</v>
      </c>
      <c r="O22" s="5">
        <v>34.799999999999997</v>
      </c>
      <c r="P22" s="5">
        <v>23.35</v>
      </c>
      <c r="Q22" s="5">
        <v>79.52</v>
      </c>
      <c r="R22" s="5">
        <v>28.16</v>
      </c>
      <c r="S22" s="5">
        <v>37.04</v>
      </c>
      <c r="T22" s="5">
        <v>39.520000000000003</v>
      </c>
      <c r="U22" s="5">
        <v>54.4</v>
      </c>
      <c r="V22" s="5">
        <v>37.96</v>
      </c>
      <c r="W22" s="5">
        <v>30.98</v>
      </c>
      <c r="X22" s="5">
        <v>19.04</v>
      </c>
      <c r="Y22" s="5">
        <v>60.02</v>
      </c>
      <c r="Z22" s="5">
        <v>32.200000000000003</v>
      </c>
      <c r="AA22" s="5">
        <v>37.17</v>
      </c>
      <c r="AB22" s="5">
        <v>37.94</v>
      </c>
      <c r="AC22" s="5">
        <v>38.44</v>
      </c>
      <c r="AD22" s="5">
        <v>27.42</v>
      </c>
      <c r="AE22" s="5">
        <v>40.64</v>
      </c>
      <c r="AF22" s="5">
        <v>40.06</v>
      </c>
      <c r="AG22" s="5">
        <v>27.71</v>
      </c>
    </row>
    <row r="23" spans="1:33" x14ac:dyDescent="0.25">
      <c r="A23" s="4">
        <v>36220</v>
      </c>
      <c r="B23" s="5">
        <v>1286.3699999999999</v>
      </c>
      <c r="C23" s="5">
        <v>9786.16</v>
      </c>
      <c r="D23" s="5">
        <v>17.559999999999999</v>
      </c>
      <c r="E23" s="5">
        <v>61.97</v>
      </c>
      <c r="F23" s="5">
        <v>32</v>
      </c>
      <c r="G23" s="5">
        <v>29.87</v>
      </c>
      <c r="H23" s="5">
        <v>24.19</v>
      </c>
      <c r="I23" s="5">
        <v>18.829999999999998</v>
      </c>
      <c r="J23" s="5">
        <v>44.87</v>
      </c>
      <c r="K23" s="5">
        <v>28.77</v>
      </c>
      <c r="L23" s="5">
        <v>30.72</v>
      </c>
      <c r="M23" s="5">
        <v>50.97</v>
      </c>
      <c r="N23" s="5">
        <v>38.619999999999997</v>
      </c>
      <c r="O23" s="5">
        <v>41.37</v>
      </c>
      <c r="P23" s="5">
        <v>23.89</v>
      </c>
      <c r="Q23" s="5">
        <v>83.03</v>
      </c>
      <c r="R23" s="5">
        <v>27.91</v>
      </c>
      <c r="S23" s="5">
        <v>40.57</v>
      </c>
      <c r="T23" s="5">
        <v>40.39</v>
      </c>
      <c r="U23" s="5">
        <v>52.4</v>
      </c>
      <c r="V23" s="5">
        <v>40.520000000000003</v>
      </c>
      <c r="W23" s="5">
        <v>29.59</v>
      </c>
      <c r="X23" s="5">
        <v>17.309999999999999</v>
      </c>
      <c r="Y23" s="5">
        <v>59.21</v>
      </c>
      <c r="Z23" s="5">
        <v>38.44</v>
      </c>
      <c r="AA23" s="5">
        <v>39.090000000000003</v>
      </c>
      <c r="AB23" s="5">
        <v>41.52</v>
      </c>
      <c r="AC23" s="5">
        <v>34.31</v>
      </c>
      <c r="AD23" s="5">
        <v>29.99</v>
      </c>
      <c r="AE23" s="5">
        <v>36.450000000000003</v>
      </c>
      <c r="AF23" s="5">
        <v>42.93</v>
      </c>
      <c r="AG23" s="5">
        <v>29.37</v>
      </c>
    </row>
    <row r="24" spans="1:33" x14ac:dyDescent="0.25">
      <c r="A24" s="4">
        <v>36251</v>
      </c>
      <c r="B24" s="5">
        <v>1335.18</v>
      </c>
      <c r="C24" s="5">
        <v>10789.04</v>
      </c>
      <c r="D24" s="5">
        <v>26.54</v>
      </c>
      <c r="E24" s="5">
        <v>60.11</v>
      </c>
      <c r="F24" s="5">
        <v>35.520000000000003</v>
      </c>
      <c r="G24" s="5">
        <v>35.700000000000003</v>
      </c>
      <c r="H24" s="5">
        <v>28.43</v>
      </c>
      <c r="I24" s="5">
        <v>26.52</v>
      </c>
      <c r="J24" s="5">
        <v>54.63</v>
      </c>
      <c r="K24" s="5">
        <v>29.35</v>
      </c>
      <c r="L24" s="5">
        <v>29.26</v>
      </c>
      <c r="M24" s="5">
        <v>52.18</v>
      </c>
      <c r="N24" s="5">
        <v>37.07</v>
      </c>
      <c r="O24" s="5">
        <v>49.41</v>
      </c>
      <c r="P24" s="5">
        <v>27.78</v>
      </c>
      <c r="Q24" s="5">
        <v>97.99</v>
      </c>
      <c r="R24" s="5">
        <v>28.73</v>
      </c>
      <c r="S24" s="5">
        <v>42.3</v>
      </c>
      <c r="T24" s="5">
        <v>41.16</v>
      </c>
      <c r="U24" s="5">
        <v>58.1</v>
      </c>
      <c r="V24" s="5">
        <v>37.9</v>
      </c>
      <c r="W24" s="5">
        <v>37.229999999999997</v>
      </c>
      <c r="X24" s="5">
        <v>17.25</v>
      </c>
      <c r="Y24" s="5">
        <v>52</v>
      </c>
      <c r="Z24" s="5">
        <v>34.869999999999997</v>
      </c>
      <c r="AA24" s="5">
        <v>32.42</v>
      </c>
      <c r="AB24" s="5">
        <v>39.89</v>
      </c>
      <c r="AC24" s="5">
        <v>40.72</v>
      </c>
      <c r="AD24" s="5">
        <v>32.08</v>
      </c>
      <c r="AE24" s="5">
        <v>40.94</v>
      </c>
      <c r="AF24" s="5">
        <v>42.84</v>
      </c>
      <c r="AG24" s="5">
        <v>34.58</v>
      </c>
    </row>
    <row r="25" spans="1:33" x14ac:dyDescent="0.25">
      <c r="A25" s="4">
        <v>36283</v>
      </c>
      <c r="B25" s="5">
        <v>1301.8399999999999</v>
      </c>
      <c r="C25" s="5">
        <v>10559.74</v>
      </c>
      <c r="D25" s="5">
        <v>23.53</v>
      </c>
      <c r="E25" s="5">
        <v>58.73</v>
      </c>
      <c r="F25" s="5">
        <v>32.9</v>
      </c>
      <c r="G25" s="5">
        <v>37.07</v>
      </c>
      <c r="H25" s="5">
        <v>25.16</v>
      </c>
      <c r="I25" s="5">
        <v>22.61</v>
      </c>
      <c r="J25" s="5">
        <v>50.81</v>
      </c>
      <c r="K25" s="5">
        <v>26.92</v>
      </c>
      <c r="L25" s="5">
        <v>28.24</v>
      </c>
      <c r="M25" s="5">
        <v>49.16</v>
      </c>
      <c r="N25" s="5">
        <v>35.090000000000003</v>
      </c>
      <c r="O25" s="5">
        <v>48.97</v>
      </c>
      <c r="P25" s="5">
        <v>33.22</v>
      </c>
      <c r="Q25" s="5">
        <v>108.8</v>
      </c>
      <c r="R25" s="5">
        <v>25.4</v>
      </c>
      <c r="S25" s="5">
        <v>40.31</v>
      </c>
      <c r="T25" s="5">
        <v>36.1</v>
      </c>
      <c r="U25" s="5">
        <v>58.48</v>
      </c>
      <c r="V25" s="5">
        <v>34.47</v>
      </c>
      <c r="W25" s="5">
        <v>36.1</v>
      </c>
      <c r="X25" s="5">
        <v>18.97</v>
      </c>
      <c r="Y25" s="5">
        <v>49.97</v>
      </c>
      <c r="Z25" s="5">
        <v>34.61</v>
      </c>
      <c r="AA25" s="5">
        <v>30.2</v>
      </c>
      <c r="AB25" s="5">
        <v>39.700000000000003</v>
      </c>
      <c r="AC25" s="5">
        <v>37.35</v>
      </c>
      <c r="AD25" s="5">
        <v>27.55</v>
      </c>
      <c r="AE25" s="5">
        <v>38.9</v>
      </c>
      <c r="AF25" s="5">
        <v>39.700000000000003</v>
      </c>
      <c r="AG25" s="5">
        <v>33.409999999999997</v>
      </c>
    </row>
    <row r="26" spans="1:33" x14ac:dyDescent="0.25">
      <c r="A26" s="4">
        <v>36312</v>
      </c>
      <c r="B26" s="5">
        <v>1372.71</v>
      </c>
      <c r="C26" s="5">
        <v>10970.8</v>
      </c>
      <c r="D26" s="5">
        <v>26.47</v>
      </c>
      <c r="E26" s="5">
        <v>60.27</v>
      </c>
      <c r="F26" s="5">
        <v>35.43</v>
      </c>
      <c r="G26" s="5">
        <v>38.78</v>
      </c>
      <c r="H26" s="5">
        <v>27.05</v>
      </c>
      <c r="I26" s="5">
        <v>24.72</v>
      </c>
      <c r="J26" s="5">
        <v>53.04</v>
      </c>
      <c r="K26" s="5">
        <v>28.48</v>
      </c>
      <c r="L26" s="5">
        <v>31.38</v>
      </c>
      <c r="M26" s="5">
        <v>47.03</v>
      </c>
      <c r="N26" s="5">
        <v>40.01</v>
      </c>
      <c r="O26" s="5">
        <v>53.14</v>
      </c>
      <c r="P26" s="5">
        <v>35.46</v>
      </c>
      <c r="Q26" s="5">
        <v>121.23</v>
      </c>
      <c r="R26" s="5">
        <v>27.95</v>
      </c>
      <c r="S26" s="5">
        <v>42.65</v>
      </c>
      <c r="T26" s="5">
        <v>43.15</v>
      </c>
      <c r="U26" s="5">
        <v>53.06</v>
      </c>
      <c r="V26" s="5">
        <v>36.83</v>
      </c>
      <c r="W26" s="5">
        <v>36.6</v>
      </c>
      <c r="X26" s="5">
        <v>19.98</v>
      </c>
      <c r="Y26" s="5">
        <v>54.62</v>
      </c>
      <c r="Z26" s="5">
        <v>38.68</v>
      </c>
      <c r="AA26" s="5">
        <v>30.77</v>
      </c>
      <c r="AB26" s="5">
        <v>37.47</v>
      </c>
      <c r="AC26" s="5">
        <v>42.37</v>
      </c>
      <c r="AD26" s="5">
        <v>31.96</v>
      </c>
      <c r="AE26" s="5">
        <v>46.44</v>
      </c>
      <c r="AF26" s="5">
        <v>44.99</v>
      </c>
      <c r="AG26" s="5">
        <v>32.26</v>
      </c>
    </row>
    <row r="27" spans="1:33" x14ac:dyDescent="0.25">
      <c r="A27" s="4">
        <v>36342</v>
      </c>
      <c r="B27" s="5">
        <v>1328.72</v>
      </c>
      <c r="C27" s="5">
        <v>10655.15</v>
      </c>
      <c r="D27" s="5">
        <v>25.62</v>
      </c>
      <c r="E27" s="5">
        <v>59.69</v>
      </c>
      <c r="F27" s="5">
        <v>35.869999999999997</v>
      </c>
      <c r="G27" s="5">
        <v>40</v>
      </c>
      <c r="H27" s="5">
        <v>25.45</v>
      </c>
      <c r="I27" s="5">
        <v>24.29</v>
      </c>
      <c r="J27" s="5">
        <v>56</v>
      </c>
      <c r="K27" s="5">
        <v>25.48</v>
      </c>
      <c r="L27" s="5">
        <v>30.36</v>
      </c>
      <c r="M27" s="5">
        <v>43.56</v>
      </c>
      <c r="N27" s="5">
        <v>39.619999999999997</v>
      </c>
      <c r="O27" s="5">
        <v>54.56</v>
      </c>
      <c r="P27" s="5">
        <v>36.94</v>
      </c>
      <c r="Q27" s="5">
        <v>117.89</v>
      </c>
      <c r="R27" s="5">
        <v>32.42</v>
      </c>
      <c r="S27" s="5">
        <v>39.630000000000003</v>
      </c>
      <c r="T27" s="5">
        <v>38.630000000000003</v>
      </c>
      <c r="U27" s="5">
        <v>51.83</v>
      </c>
      <c r="V27" s="5">
        <v>37.33</v>
      </c>
      <c r="W27" s="5">
        <v>37.020000000000003</v>
      </c>
      <c r="X27" s="5">
        <v>18.52</v>
      </c>
      <c r="Y27" s="5">
        <v>50.17</v>
      </c>
      <c r="Z27" s="5">
        <v>36.799999999999997</v>
      </c>
      <c r="AA27" s="5">
        <v>28.69</v>
      </c>
      <c r="AB27" s="5">
        <v>38.64</v>
      </c>
      <c r="AC27" s="5">
        <v>41.91</v>
      </c>
      <c r="AD27" s="5">
        <v>29.6</v>
      </c>
      <c r="AE27" s="5">
        <v>45.75</v>
      </c>
      <c r="AF27" s="5">
        <v>39.39</v>
      </c>
      <c r="AG27" s="5">
        <v>33.200000000000003</v>
      </c>
    </row>
    <row r="28" spans="1:33" x14ac:dyDescent="0.25">
      <c r="A28" s="4">
        <v>36374</v>
      </c>
      <c r="B28" s="5">
        <v>1320.41</v>
      </c>
      <c r="C28" s="5">
        <v>10829.28</v>
      </c>
      <c r="D28" s="5">
        <v>27.71</v>
      </c>
      <c r="E28" s="5">
        <v>59.56</v>
      </c>
      <c r="F28" s="5">
        <v>37.44</v>
      </c>
      <c r="G28" s="5">
        <v>40.06</v>
      </c>
      <c r="H28" s="5">
        <v>25.39</v>
      </c>
      <c r="I28" s="5">
        <v>23.46</v>
      </c>
      <c r="J28" s="5">
        <v>49.46</v>
      </c>
      <c r="K28" s="5">
        <v>25.65</v>
      </c>
      <c r="L28" s="5">
        <v>31.28</v>
      </c>
      <c r="M28" s="5">
        <v>47.58</v>
      </c>
      <c r="N28" s="5">
        <v>38.21</v>
      </c>
      <c r="O28" s="5">
        <v>51.96</v>
      </c>
      <c r="P28" s="5">
        <v>37.18</v>
      </c>
      <c r="Q28" s="5">
        <v>116.95</v>
      </c>
      <c r="R28" s="5">
        <v>38.630000000000003</v>
      </c>
      <c r="S28" s="5">
        <v>44.63</v>
      </c>
      <c r="T28" s="5">
        <v>41.95</v>
      </c>
      <c r="U28" s="5">
        <v>51.18</v>
      </c>
      <c r="V28" s="5">
        <v>37.1</v>
      </c>
      <c r="W28" s="5">
        <v>40.01</v>
      </c>
      <c r="X28" s="5">
        <v>18.61</v>
      </c>
      <c r="Y28" s="5">
        <v>49.85</v>
      </c>
      <c r="Z28" s="5">
        <v>39.700000000000003</v>
      </c>
      <c r="AA28" s="5">
        <v>32.04</v>
      </c>
      <c r="AB28" s="5">
        <v>42.35</v>
      </c>
      <c r="AC28" s="5">
        <v>35.26</v>
      </c>
      <c r="AD28" s="5">
        <v>29.43</v>
      </c>
      <c r="AE28" s="5">
        <v>43.83</v>
      </c>
      <c r="AF28" s="5">
        <v>41.31</v>
      </c>
      <c r="AG28" s="5">
        <v>33.159999999999997</v>
      </c>
    </row>
    <row r="29" spans="1:33" x14ac:dyDescent="0.25">
      <c r="A29" s="4">
        <v>36404</v>
      </c>
      <c r="B29" s="5">
        <v>1282.71</v>
      </c>
      <c r="C29" s="5">
        <v>10336.950000000001</v>
      </c>
      <c r="D29" s="5">
        <v>26.63</v>
      </c>
      <c r="E29" s="5">
        <v>55.89</v>
      </c>
      <c r="F29" s="5">
        <v>36.76</v>
      </c>
      <c r="G29" s="5">
        <v>37.69</v>
      </c>
      <c r="H29" s="5">
        <v>25.14</v>
      </c>
      <c r="I29" s="5">
        <v>22.7</v>
      </c>
      <c r="J29" s="5">
        <v>47.21</v>
      </c>
      <c r="K29" s="5">
        <v>24.04</v>
      </c>
      <c r="L29" s="5">
        <v>33.119999999999997</v>
      </c>
      <c r="M29" s="5">
        <v>45.21</v>
      </c>
      <c r="N29" s="5">
        <v>42.63</v>
      </c>
      <c r="O29" s="5">
        <v>50.69</v>
      </c>
      <c r="P29" s="5">
        <v>32.08</v>
      </c>
      <c r="Q29" s="5">
        <v>113.6</v>
      </c>
      <c r="R29" s="5">
        <v>34.92</v>
      </c>
      <c r="S29" s="5">
        <v>40.1</v>
      </c>
      <c r="T29" s="5">
        <v>37.78</v>
      </c>
      <c r="U29" s="5">
        <v>41.41</v>
      </c>
      <c r="V29" s="5">
        <v>38.770000000000003</v>
      </c>
      <c r="W29" s="5">
        <v>40.67</v>
      </c>
      <c r="X29" s="5">
        <v>17.21</v>
      </c>
      <c r="Y29" s="5">
        <v>48.29</v>
      </c>
      <c r="Z29" s="5">
        <v>38.840000000000003</v>
      </c>
      <c r="AA29" s="5">
        <v>30.46</v>
      </c>
      <c r="AB29" s="5">
        <v>40</v>
      </c>
      <c r="AC29" s="5">
        <v>37.65</v>
      </c>
      <c r="AD29" s="5">
        <v>26.39</v>
      </c>
      <c r="AE29" s="5">
        <v>48.12</v>
      </c>
      <c r="AF29" s="5">
        <v>44.39</v>
      </c>
      <c r="AG29" s="5">
        <v>31.96</v>
      </c>
    </row>
    <row r="30" spans="1:33" x14ac:dyDescent="0.25">
      <c r="A30" s="4">
        <v>36434</v>
      </c>
      <c r="B30" s="5">
        <v>1362.93</v>
      </c>
      <c r="C30" s="5">
        <v>10729.86</v>
      </c>
      <c r="D30" s="5">
        <v>26.07</v>
      </c>
      <c r="E30" s="5">
        <v>66.180000000000007</v>
      </c>
      <c r="F30" s="5">
        <v>42</v>
      </c>
      <c r="G30" s="5">
        <v>40.72</v>
      </c>
      <c r="H30" s="5">
        <v>31.08</v>
      </c>
      <c r="I30" s="5">
        <v>23.05</v>
      </c>
      <c r="J30" s="5">
        <v>50.29</v>
      </c>
      <c r="K30" s="5">
        <v>24.55</v>
      </c>
      <c r="L30" s="5">
        <v>37.85</v>
      </c>
      <c r="M30" s="5">
        <v>50.59</v>
      </c>
      <c r="N30" s="5">
        <v>47.06</v>
      </c>
      <c r="O30" s="5">
        <v>48.15</v>
      </c>
      <c r="P30" s="5">
        <v>26.22</v>
      </c>
      <c r="Q30" s="5">
        <v>92.24</v>
      </c>
      <c r="R30" s="5">
        <v>36.4</v>
      </c>
      <c r="S30" s="5">
        <v>45.72</v>
      </c>
      <c r="T30" s="5">
        <v>43.98</v>
      </c>
      <c r="U30" s="5">
        <v>50.64</v>
      </c>
      <c r="V30" s="5">
        <v>36.979999999999997</v>
      </c>
      <c r="W30" s="5">
        <v>40.25</v>
      </c>
      <c r="X30" s="5">
        <v>13.27</v>
      </c>
      <c r="Y30" s="5">
        <v>59.28</v>
      </c>
      <c r="Z30" s="5">
        <v>39.700000000000003</v>
      </c>
      <c r="AA30" s="5">
        <v>33.69</v>
      </c>
      <c r="AB30" s="5">
        <v>44.89</v>
      </c>
      <c r="AC30" s="5">
        <v>38.9</v>
      </c>
      <c r="AD30" s="5">
        <v>26.92</v>
      </c>
      <c r="AE30" s="5">
        <v>46.7</v>
      </c>
      <c r="AF30" s="5">
        <v>52.56</v>
      </c>
      <c r="AG30" s="5">
        <v>31.14</v>
      </c>
    </row>
    <row r="31" spans="1:33" x14ac:dyDescent="0.25">
      <c r="A31" s="4">
        <v>36465</v>
      </c>
      <c r="B31" s="5">
        <v>1388.91</v>
      </c>
      <c r="C31" s="5">
        <v>10877.81</v>
      </c>
      <c r="D31" s="5">
        <v>28.2</v>
      </c>
      <c r="E31" s="5">
        <v>66.73</v>
      </c>
      <c r="F31" s="5">
        <v>41.2</v>
      </c>
      <c r="G31" s="5">
        <v>36.04</v>
      </c>
      <c r="H31" s="5">
        <v>30.86</v>
      </c>
      <c r="I31" s="5">
        <v>19.329999999999998</v>
      </c>
      <c r="J31" s="5">
        <v>46.65</v>
      </c>
      <c r="K31" s="5">
        <v>26.04</v>
      </c>
      <c r="L31" s="5">
        <v>36.35</v>
      </c>
      <c r="M31" s="5">
        <v>53.39</v>
      </c>
      <c r="N31" s="5">
        <v>49.23</v>
      </c>
      <c r="O31" s="5">
        <v>50.88</v>
      </c>
      <c r="P31" s="5">
        <v>33.53</v>
      </c>
      <c r="Q31" s="5">
        <v>96.89</v>
      </c>
      <c r="R31" s="5">
        <v>36.06</v>
      </c>
      <c r="S31" s="5">
        <v>45.41</v>
      </c>
      <c r="T31" s="5">
        <v>38.94</v>
      </c>
      <c r="U31" s="5">
        <v>57.91</v>
      </c>
      <c r="V31" s="5">
        <v>41.06</v>
      </c>
      <c r="W31" s="5">
        <v>40.68</v>
      </c>
      <c r="X31" s="5">
        <v>13.21</v>
      </c>
      <c r="Y31" s="5">
        <v>58.63</v>
      </c>
      <c r="Z31" s="5">
        <v>39.049999999999997</v>
      </c>
      <c r="AA31" s="5">
        <v>31.16</v>
      </c>
      <c r="AB31" s="5">
        <v>46.23</v>
      </c>
      <c r="AC31" s="5">
        <v>38.82</v>
      </c>
      <c r="AD31" s="5">
        <v>25.23</v>
      </c>
      <c r="AE31" s="5">
        <v>45.86</v>
      </c>
      <c r="AF31" s="5">
        <v>53.79</v>
      </c>
      <c r="AG31" s="5">
        <v>33.549999999999997</v>
      </c>
    </row>
    <row r="32" spans="1:33" x14ac:dyDescent="0.25">
      <c r="A32" s="4">
        <v>36495</v>
      </c>
      <c r="B32" s="5">
        <v>1469.25</v>
      </c>
      <c r="C32" s="5">
        <v>11497.12</v>
      </c>
      <c r="D32" s="5">
        <v>35.74</v>
      </c>
      <c r="E32" s="5">
        <v>69.540000000000006</v>
      </c>
      <c r="F32" s="5">
        <v>45.34</v>
      </c>
      <c r="G32" s="5">
        <v>36.75</v>
      </c>
      <c r="H32" s="5">
        <v>31.9</v>
      </c>
      <c r="I32" s="5">
        <v>19.61</v>
      </c>
      <c r="J32" s="5">
        <v>51.7</v>
      </c>
      <c r="K32" s="5">
        <v>27.33</v>
      </c>
      <c r="L32" s="5">
        <v>43.34</v>
      </c>
      <c r="M32" s="5">
        <v>52.59</v>
      </c>
      <c r="N32" s="5">
        <v>64.11</v>
      </c>
      <c r="O32" s="5">
        <v>48.92</v>
      </c>
      <c r="P32" s="5">
        <v>40.270000000000003</v>
      </c>
      <c r="Q32" s="5">
        <v>101.41</v>
      </c>
      <c r="R32" s="5">
        <v>38.700000000000003</v>
      </c>
      <c r="S32" s="5">
        <v>40.81</v>
      </c>
      <c r="T32" s="5">
        <v>39.159999999999997</v>
      </c>
      <c r="U32" s="5">
        <v>50.11</v>
      </c>
      <c r="V32" s="5">
        <v>36.18</v>
      </c>
      <c r="W32" s="5">
        <v>41.67</v>
      </c>
      <c r="X32" s="5">
        <v>11.8</v>
      </c>
      <c r="Y32" s="5">
        <v>50.25</v>
      </c>
      <c r="Z32" s="5">
        <v>50.07</v>
      </c>
      <c r="AA32" s="5">
        <v>27.6</v>
      </c>
      <c r="AB32" s="5">
        <v>46.9</v>
      </c>
      <c r="AC32" s="5">
        <v>35.950000000000003</v>
      </c>
      <c r="AD32" s="5">
        <v>29.03</v>
      </c>
      <c r="AE32" s="5">
        <v>44.27</v>
      </c>
      <c r="AF32" s="5">
        <v>64.56</v>
      </c>
      <c r="AG32" s="5">
        <v>34.08</v>
      </c>
    </row>
    <row r="33" spans="1:33" x14ac:dyDescent="0.25">
      <c r="A33" s="4">
        <v>36528</v>
      </c>
      <c r="B33" s="5">
        <v>1394.46</v>
      </c>
      <c r="C33" s="5">
        <v>10940.53</v>
      </c>
      <c r="D33" s="5">
        <v>30.01</v>
      </c>
      <c r="E33" s="5">
        <v>67.13</v>
      </c>
      <c r="F33" s="5">
        <v>45</v>
      </c>
      <c r="G33" s="5">
        <v>39.47</v>
      </c>
      <c r="H33" s="5">
        <v>32.65</v>
      </c>
      <c r="I33" s="5">
        <v>17.8</v>
      </c>
      <c r="J33" s="5">
        <v>46.31</v>
      </c>
      <c r="K33" s="5">
        <v>33.93</v>
      </c>
      <c r="L33" s="5">
        <v>37.53</v>
      </c>
      <c r="M33" s="5">
        <v>58.29</v>
      </c>
      <c r="N33" s="5">
        <v>52.81</v>
      </c>
      <c r="O33" s="5">
        <v>40.71</v>
      </c>
      <c r="P33" s="5">
        <v>38.32</v>
      </c>
      <c r="Q33" s="5">
        <v>105.53</v>
      </c>
      <c r="R33" s="5">
        <v>46.52</v>
      </c>
      <c r="S33" s="5">
        <v>37.659999999999997</v>
      </c>
      <c r="T33" s="5">
        <v>40.9</v>
      </c>
      <c r="U33" s="5">
        <v>49.42</v>
      </c>
      <c r="V33" s="5">
        <v>33.549999999999997</v>
      </c>
      <c r="W33" s="5">
        <v>39.86</v>
      </c>
      <c r="X33" s="5">
        <v>10.71</v>
      </c>
      <c r="Y33" s="5">
        <v>58.8</v>
      </c>
      <c r="Z33" s="5">
        <v>41.98</v>
      </c>
      <c r="AA33" s="5">
        <v>30.79</v>
      </c>
      <c r="AB33" s="5">
        <v>43.38</v>
      </c>
      <c r="AC33" s="5">
        <v>31.79</v>
      </c>
      <c r="AD33" s="5">
        <v>23.64</v>
      </c>
      <c r="AE33" s="5">
        <v>44.83</v>
      </c>
      <c r="AF33" s="5">
        <v>51.14</v>
      </c>
      <c r="AG33" s="5">
        <v>35.049999999999997</v>
      </c>
    </row>
    <row r="34" spans="1:33" x14ac:dyDescent="0.25">
      <c r="A34" s="4">
        <v>36557</v>
      </c>
      <c r="B34" s="5">
        <v>1366.42</v>
      </c>
      <c r="C34" s="5">
        <v>10128.31</v>
      </c>
      <c r="D34" s="5">
        <v>29.6</v>
      </c>
      <c r="E34" s="5">
        <v>56.88</v>
      </c>
      <c r="F34" s="5">
        <v>36.65</v>
      </c>
      <c r="G34" s="5">
        <v>32.880000000000003</v>
      </c>
      <c r="H34" s="5">
        <v>29.73</v>
      </c>
      <c r="I34" s="5">
        <v>14.7</v>
      </c>
      <c r="J34" s="5">
        <v>39.89</v>
      </c>
      <c r="K34" s="5">
        <v>31.77</v>
      </c>
      <c r="L34" s="5">
        <v>37.08</v>
      </c>
      <c r="M34" s="5">
        <v>55.38</v>
      </c>
      <c r="N34" s="5">
        <v>53.62</v>
      </c>
      <c r="O34" s="5">
        <v>40.98</v>
      </c>
      <c r="P34" s="5">
        <v>47.61</v>
      </c>
      <c r="Q34" s="5">
        <v>96.7</v>
      </c>
      <c r="R34" s="5">
        <v>53.14</v>
      </c>
      <c r="S34" s="5">
        <v>31.62</v>
      </c>
      <c r="T34" s="5">
        <v>40.36</v>
      </c>
      <c r="U34" s="5">
        <v>41.84</v>
      </c>
      <c r="V34" s="5">
        <v>28.49</v>
      </c>
      <c r="W34" s="5">
        <v>37.79</v>
      </c>
      <c r="X34" s="5">
        <v>10.36</v>
      </c>
      <c r="Y34" s="5">
        <v>46.04</v>
      </c>
      <c r="Z34" s="5">
        <v>38.33</v>
      </c>
      <c r="AA34" s="5">
        <v>27.4</v>
      </c>
      <c r="AB34" s="5">
        <v>37.72</v>
      </c>
      <c r="AC34" s="5">
        <v>27.99</v>
      </c>
      <c r="AD34" s="5">
        <v>22.84</v>
      </c>
      <c r="AE34" s="5">
        <v>35.42</v>
      </c>
      <c r="AF34" s="5">
        <v>45.53</v>
      </c>
      <c r="AG34" s="5">
        <v>32.03</v>
      </c>
    </row>
    <row r="35" spans="1:33" x14ac:dyDescent="0.25">
      <c r="A35" s="4">
        <v>36586</v>
      </c>
      <c r="B35" s="5">
        <v>1498.58</v>
      </c>
      <c r="C35" s="5">
        <v>10921.92</v>
      </c>
      <c r="D35" s="5">
        <v>30.35</v>
      </c>
      <c r="E35" s="5">
        <v>70.47</v>
      </c>
      <c r="F35" s="5">
        <v>40.68</v>
      </c>
      <c r="G35" s="5">
        <v>33.65</v>
      </c>
      <c r="H35" s="5">
        <v>34.4</v>
      </c>
      <c r="I35" s="5">
        <v>16.54</v>
      </c>
      <c r="J35" s="5">
        <v>41.82</v>
      </c>
      <c r="K35" s="5">
        <v>38.549999999999997</v>
      </c>
      <c r="L35" s="5">
        <v>43.72</v>
      </c>
      <c r="M35" s="5">
        <v>60.29</v>
      </c>
      <c r="N35" s="5">
        <v>60.19</v>
      </c>
      <c r="O35" s="5">
        <v>44.86</v>
      </c>
      <c r="P35" s="5">
        <v>46.98</v>
      </c>
      <c r="Q35" s="5">
        <v>111.4</v>
      </c>
      <c r="R35" s="5">
        <v>62.05</v>
      </c>
      <c r="S35" s="5">
        <v>30.85</v>
      </c>
      <c r="T35" s="5">
        <v>44.19</v>
      </c>
      <c r="U35" s="5">
        <v>40.54</v>
      </c>
      <c r="V35" s="5">
        <v>33.549999999999997</v>
      </c>
      <c r="W35" s="5">
        <v>37.950000000000003</v>
      </c>
      <c r="X35" s="5">
        <v>10.9</v>
      </c>
      <c r="Y35" s="5">
        <v>46.69</v>
      </c>
      <c r="Z35" s="5">
        <v>45.57</v>
      </c>
      <c r="AA35" s="5">
        <v>31.18</v>
      </c>
      <c r="AB35" s="5">
        <v>24.36</v>
      </c>
      <c r="AC35" s="5">
        <v>31.24</v>
      </c>
      <c r="AD35" s="5">
        <v>28.33</v>
      </c>
      <c r="AE35" s="5">
        <v>44.24</v>
      </c>
      <c r="AF35" s="5">
        <v>52.84</v>
      </c>
      <c r="AG35" s="5">
        <v>33.18</v>
      </c>
    </row>
    <row r="36" spans="1:33" x14ac:dyDescent="0.25">
      <c r="A36" s="4">
        <v>36619</v>
      </c>
      <c r="B36" s="5">
        <v>1452.43</v>
      </c>
      <c r="C36" s="5">
        <v>10733.91</v>
      </c>
      <c r="D36" s="5">
        <v>28.03</v>
      </c>
      <c r="E36" s="5">
        <v>70.59</v>
      </c>
      <c r="F36" s="5">
        <v>40.9</v>
      </c>
      <c r="G36" s="5">
        <v>35.32</v>
      </c>
      <c r="H36" s="5">
        <v>33.979999999999997</v>
      </c>
      <c r="I36" s="5">
        <v>16.670000000000002</v>
      </c>
      <c r="J36" s="5">
        <v>37.479999999999997</v>
      </c>
      <c r="K36" s="5">
        <v>40.770000000000003</v>
      </c>
      <c r="L36" s="5">
        <v>44.17</v>
      </c>
      <c r="M36" s="5">
        <v>68.16</v>
      </c>
      <c r="N36" s="5">
        <v>52.73</v>
      </c>
      <c r="O36" s="5">
        <v>47.68</v>
      </c>
      <c r="P36" s="5">
        <v>47.84</v>
      </c>
      <c r="Q36" s="5">
        <v>104.93</v>
      </c>
      <c r="R36" s="5">
        <v>59.64</v>
      </c>
      <c r="S36" s="5">
        <v>36.24</v>
      </c>
      <c r="T36" s="5">
        <v>36.75</v>
      </c>
      <c r="U36" s="5">
        <v>40.799999999999997</v>
      </c>
      <c r="V36" s="5">
        <v>34.159999999999997</v>
      </c>
      <c r="W36" s="5">
        <v>37.119999999999997</v>
      </c>
      <c r="X36" s="5">
        <v>11.49</v>
      </c>
      <c r="Y36" s="5">
        <v>52.22</v>
      </c>
      <c r="Z36" s="5">
        <v>29.92</v>
      </c>
      <c r="AA36" s="5">
        <v>35.93</v>
      </c>
      <c r="AB36" s="5">
        <v>25.77</v>
      </c>
      <c r="AC36" s="5">
        <v>32.659999999999997</v>
      </c>
      <c r="AD36" s="5">
        <v>27.88</v>
      </c>
      <c r="AE36" s="5">
        <v>43.69</v>
      </c>
      <c r="AF36" s="5">
        <v>51.79</v>
      </c>
      <c r="AG36" s="5">
        <v>33.049999999999997</v>
      </c>
    </row>
    <row r="37" spans="1:33" x14ac:dyDescent="0.25">
      <c r="A37" s="4">
        <v>36647</v>
      </c>
      <c r="B37" s="5">
        <v>1420.6</v>
      </c>
      <c r="C37" s="5">
        <v>10522.33</v>
      </c>
      <c r="D37" s="5">
        <v>25.35</v>
      </c>
      <c r="E37" s="5">
        <v>72.47</v>
      </c>
      <c r="F37" s="5">
        <v>44.32</v>
      </c>
      <c r="G37" s="5">
        <v>34.89</v>
      </c>
      <c r="H37" s="5">
        <v>35.81</v>
      </c>
      <c r="I37" s="5">
        <v>16.170000000000002</v>
      </c>
      <c r="J37" s="5">
        <v>38.979999999999997</v>
      </c>
      <c r="K37" s="5">
        <v>39.43</v>
      </c>
      <c r="L37" s="5">
        <v>44.35</v>
      </c>
      <c r="M37" s="5">
        <v>51.72</v>
      </c>
      <c r="N37" s="5">
        <v>45.73</v>
      </c>
      <c r="O37" s="5">
        <v>46.72</v>
      </c>
      <c r="P37" s="5">
        <v>42.59</v>
      </c>
      <c r="Q37" s="5">
        <v>101.11</v>
      </c>
      <c r="R37" s="5">
        <v>58.66</v>
      </c>
      <c r="S37" s="5">
        <v>39.450000000000003</v>
      </c>
      <c r="T37" s="5">
        <v>38.06</v>
      </c>
      <c r="U37" s="5">
        <v>46.1</v>
      </c>
      <c r="V37" s="5">
        <v>32.14</v>
      </c>
      <c r="W37" s="5">
        <v>36.979999999999997</v>
      </c>
      <c r="X37" s="5">
        <v>13.73</v>
      </c>
      <c r="Y37" s="5">
        <v>56.29</v>
      </c>
      <c r="Z37" s="5">
        <v>26.83</v>
      </c>
      <c r="AA37" s="5">
        <v>38.03</v>
      </c>
      <c r="AB37" s="5">
        <v>28.68</v>
      </c>
      <c r="AC37" s="5">
        <v>32.57</v>
      </c>
      <c r="AD37" s="5">
        <v>27.18</v>
      </c>
      <c r="AE37" s="5">
        <v>38.5</v>
      </c>
      <c r="AF37" s="5">
        <v>53.9</v>
      </c>
      <c r="AG37" s="5">
        <v>35.630000000000003</v>
      </c>
    </row>
    <row r="38" spans="1:33" x14ac:dyDescent="0.25">
      <c r="A38" s="4">
        <v>36678</v>
      </c>
      <c r="B38" s="5">
        <v>1454.6</v>
      </c>
      <c r="C38" s="5">
        <v>10447.89</v>
      </c>
      <c r="D38" s="5">
        <v>25.16</v>
      </c>
      <c r="E38" s="5">
        <v>75.650000000000006</v>
      </c>
      <c r="F38" s="5">
        <v>42.79</v>
      </c>
      <c r="G38" s="5">
        <v>37.35</v>
      </c>
      <c r="H38" s="5">
        <v>34.700000000000003</v>
      </c>
      <c r="I38" s="5">
        <v>14.32</v>
      </c>
      <c r="J38" s="5">
        <v>34.81</v>
      </c>
      <c r="K38" s="5">
        <v>36.270000000000003</v>
      </c>
      <c r="L38" s="5">
        <v>44.66</v>
      </c>
      <c r="M38" s="5">
        <v>42.52</v>
      </c>
      <c r="N38" s="5">
        <v>46.65</v>
      </c>
      <c r="O38" s="5">
        <v>28.78</v>
      </c>
      <c r="P38" s="5">
        <v>56.77</v>
      </c>
      <c r="Q38" s="5">
        <v>103.23</v>
      </c>
      <c r="R38" s="5">
        <v>62.89</v>
      </c>
      <c r="S38" s="5">
        <v>44.91</v>
      </c>
      <c r="T38" s="5">
        <v>35.200000000000003</v>
      </c>
      <c r="U38" s="5">
        <v>49.76</v>
      </c>
      <c r="V38" s="5">
        <v>29.56</v>
      </c>
      <c r="W38" s="5">
        <v>35.799999999999997</v>
      </c>
      <c r="X38" s="5">
        <v>14.21</v>
      </c>
      <c r="Y38" s="5">
        <v>57.8</v>
      </c>
      <c r="Z38" s="5">
        <v>34.31</v>
      </c>
      <c r="AA38" s="5">
        <v>41.02</v>
      </c>
      <c r="AB38" s="5">
        <v>24.47</v>
      </c>
      <c r="AC38" s="5">
        <v>32.799999999999997</v>
      </c>
      <c r="AD38" s="5">
        <v>26.48</v>
      </c>
      <c r="AE38" s="5">
        <v>37</v>
      </c>
      <c r="AF38" s="5">
        <v>53.96</v>
      </c>
      <c r="AG38" s="5">
        <v>33.57</v>
      </c>
    </row>
    <row r="39" spans="1:33" x14ac:dyDescent="0.25">
      <c r="A39" s="4">
        <v>36710</v>
      </c>
      <c r="B39" s="5">
        <v>1430.83</v>
      </c>
      <c r="C39" s="5">
        <v>10521.98</v>
      </c>
      <c r="D39" s="5">
        <v>26.24</v>
      </c>
      <c r="E39" s="5">
        <v>84.69</v>
      </c>
      <c r="F39" s="5">
        <v>46.6</v>
      </c>
      <c r="G39" s="5">
        <v>43.6</v>
      </c>
      <c r="H39" s="5">
        <v>40.6</v>
      </c>
      <c r="I39" s="5">
        <v>14.54</v>
      </c>
      <c r="J39" s="5">
        <v>36.049999999999997</v>
      </c>
      <c r="K39" s="5">
        <v>36.03</v>
      </c>
      <c r="L39" s="5">
        <v>43.67</v>
      </c>
      <c r="M39" s="5">
        <v>41.7</v>
      </c>
      <c r="N39" s="5">
        <v>48.34</v>
      </c>
      <c r="O39" s="5">
        <v>29.05</v>
      </c>
      <c r="P39" s="5">
        <v>49.67</v>
      </c>
      <c r="Q39" s="5">
        <v>105.77</v>
      </c>
      <c r="R39" s="5">
        <v>62.8</v>
      </c>
      <c r="S39" s="5">
        <v>41.02</v>
      </c>
      <c r="T39" s="5">
        <v>38.340000000000003</v>
      </c>
      <c r="U39" s="5">
        <v>53.12</v>
      </c>
      <c r="V39" s="5">
        <v>28.44</v>
      </c>
      <c r="W39" s="5">
        <v>38.840000000000003</v>
      </c>
      <c r="X39" s="5">
        <v>13.5</v>
      </c>
      <c r="Y39" s="5">
        <v>54.06</v>
      </c>
      <c r="Z39" s="5">
        <v>29.94</v>
      </c>
      <c r="AA39" s="5">
        <v>37.07</v>
      </c>
      <c r="AB39" s="5">
        <v>24.73</v>
      </c>
      <c r="AC39" s="5">
        <v>31.91</v>
      </c>
      <c r="AD39" s="5">
        <v>26.25</v>
      </c>
      <c r="AE39" s="5">
        <v>34.33</v>
      </c>
      <c r="AF39" s="5">
        <v>51.73</v>
      </c>
      <c r="AG39" s="5">
        <v>34.29</v>
      </c>
    </row>
    <row r="40" spans="1:33" x14ac:dyDescent="0.25">
      <c r="A40" s="4">
        <v>36739</v>
      </c>
      <c r="B40" s="5">
        <v>1517.68</v>
      </c>
      <c r="C40" s="5">
        <v>11215.1</v>
      </c>
      <c r="D40" s="5">
        <v>28.98</v>
      </c>
      <c r="E40" s="5">
        <v>86.12</v>
      </c>
      <c r="F40" s="5">
        <v>48.52</v>
      </c>
      <c r="G40" s="5">
        <v>48.05</v>
      </c>
      <c r="H40" s="5">
        <v>44.95</v>
      </c>
      <c r="I40" s="5">
        <v>15.69</v>
      </c>
      <c r="J40" s="5">
        <v>35.979999999999997</v>
      </c>
      <c r="K40" s="5">
        <v>36.4</v>
      </c>
      <c r="L40" s="5">
        <v>49.54</v>
      </c>
      <c r="M40" s="5">
        <v>51.68</v>
      </c>
      <c r="N40" s="5">
        <v>44.93</v>
      </c>
      <c r="O40" s="5">
        <v>33.39</v>
      </c>
      <c r="P40" s="5">
        <v>54.85</v>
      </c>
      <c r="Q40" s="5">
        <v>124.53</v>
      </c>
      <c r="R40" s="5">
        <v>70.459999999999994</v>
      </c>
      <c r="S40" s="5">
        <v>40.67</v>
      </c>
      <c r="T40" s="5">
        <v>43.01</v>
      </c>
      <c r="U40" s="5">
        <v>45.61</v>
      </c>
      <c r="V40" s="5">
        <v>26.82</v>
      </c>
      <c r="W40" s="5">
        <v>40.36</v>
      </c>
      <c r="X40" s="5">
        <v>15.91</v>
      </c>
      <c r="Y40" s="5">
        <v>52.97</v>
      </c>
      <c r="Z40" s="5">
        <v>29.94</v>
      </c>
      <c r="AA40" s="5">
        <v>36.950000000000003</v>
      </c>
      <c r="AB40" s="5">
        <v>26.83</v>
      </c>
      <c r="AC40" s="5">
        <v>31.31</v>
      </c>
      <c r="AD40" s="5">
        <v>28.17</v>
      </c>
      <c r="AE40" s="5">
        <v>31.96</v>
      </c>
      <c r="AF40" s="5">
        <v>44.59</v>
      </c>
      <c r="AG40" s="5">
        <v>35.1</v>
      </c>
    </row>
    <row r="41" spans="1:33" x14ac:dyDescent="0.25">
      <c r="A41" s="4">
        <v>36770</v>
      </c>
      <c r="B41" s="5">
        <v>1436.51</v>
      </c>
      <c r="C41" s="5">
        <v>10650.92</v>
      </c>
      <c r="D41" s="5">
        <v>22.05</v>
      </c>
      <c r="E41" s="5">
        <v>92.45</v>
      </c>
      <c r="F41" s="5">
        <v>49.94</v>
      </c>
      <c r="G41" s="5">
        <v>57.78</v>
      </c>
      <c r="H41" s="5">
        <v>41.62</v>
      </c>
      <c r="I41" s="5">
        <v>13.23</v>
      </c>
      <c r="J41" s="5">
        <v>32.770000000000003</v>
      </c>
      <c r="K41" s="5">
        <v>35.74</v>
      </c>
      <c r="L41" s="5">
        <v>48.96</v>
      </c>
      <c r="M41" s="5">
        <v>47.99</v>
      </c>
      <c r="N41" s="5">
        <v>49.49</v>
      </c>
      <c r="O41" s="5">
        <v>30.6</v>
      </c>
      <c r="P41" s="5">
        <v>44.17</v>
      </c>
      <c r="Q41" s="5">
        <v>106.23</v>
      </c>
      <c r="R41" s="5">
        <v>39.11</v>
      </c>
      <c r="S41" s="5">
        <v>41.55</v>
      </c>
      <c r="T41" s="5">
        <v>35.549999999999997</v>
      </c>
      <c r="U41" s="5">
        <v>47.91</v>
      </c>
      <c r="V41" s="5">
        <v>27.09</v>
      </c>
      <c r="W41" s="5">
        <v>39.54</v>
      </c>
      <c r="X41" s="5">
        <v>16.03</v>
      </c>
      <c r="Y41" s="5">
        <v>56.42</v>
      </c>
      <c r="Z41" s="5">
        <v>25.87</v>
      </c>
      <c r="AA41" s="5">
        <v>38.47</v>
      </c>
      <c r="AB41" s="5">
        <v>29.07</v>
      </c>
      <c r="AC41" s="5">
        <v>37.39</v>
      </c>
      <c r="AD41" s="5">
        <v>31.29</v>
      </c>
      <c r="AE41" s="5">
        <v>35.57</v>
      </c>
      <c r="AF41" s="5">
        <v>45.11</v>
      </c>
      <c r="AG41" s="5">
        <v>38.32</v>
      </c>
    </row>
    <row r="42" spans="1:33" x14ac:dyDescent="0.25">
      <c r="A42" s="4">
        <v>36801</v>
      </c>
      <c r="B42" s="5">
        <v>1429.4</v>
      </c>
      <c r="C42" s="5">
        <v>10971.14</v>
      </c>
      <c r="D42" s="5">
        <v>24.99</v>
      </c>
      <c r="E42" s="5">
        <v>94.68</v>
      </c>
      <c r="F42" s="5">
        <v>49.39</v>
      </c>
      <c r="G42" s="5">
        <v>60.75</v>
      </c>
      <c r="H42" s="5">
        <v>40.520000000000003</v>
      </c>
      <c r="I42" s="5">
        <v>15.13</v>
      </c>
      <c r="J42" s="5">
        <v>36.369999999999997</v>
      </c>
      <c r="K42" s="5">
        <v>33.46</v>
      </c>
      <c r="L42" s="5">
        <v>46.42</v>
      </c>
      <c r="M42" s="5">
        <v>45.87</v>
      </c>
      <c r="N42" s="5">
        <v>40.200000000000003</v>
      </c>
      <c r="O42" s="5">
        <v>46.22</v>
      </c>
      <c r="P42" s="5">
        <v>42.35</v>
      </c>
      <c r="Q42" s="5">
        <v>92.92</v>
      </c>
      <c r="R42" s="5">
        <v>42.35</v>
      </c>
      <c r="S42" s="5">
        <v>40.74</v>
      </c>
      <c r="T42" s="5">
        <v>35.26</v>
      </c>
      <c r="U42" s="5">
        <v>52.48</v>
      </c>
      <c r="V42" s="5">
        <v>27.82</v>
      </c>
      <c r="W42" s="5">
        <v>41.92</v>
      </c>
      <c r="X42" s="5">
        <v>19.95</v>
      </c>
      <c r="Y42" s="5">
        <v>68.17</v>
      </c>
      <c r="Z42" s="5">
        <v>29.54</v>
      </c>
      <c r="AA42" s="5">
        <v>36.99</v>
      </c>
      <c r="AB42" s="5">
        <v>31.14</v>
      </c>
      <c r="AC42" s="5">
        <v>43.46</v>
      </c>
      <c r="AD42" s="5">
        <v>31.49</v>
      </c>
      <c r="AE42" s="5">
        <v>42.79</v>
      </c>
      <c r="AF42" s="5">
        <v>42.53</v>
      </c>
      <c r="AG42" s="5">
        <v>38.35</v>
      </c>
    </row>
    <row r="43" spans="1:33" x14ac:dyDescent="0.25">
      <c r="A43" s="4">
        <v>36831</v>
      </c>
      <c r="B43" s="5">
        <v>1314.95</v>
      </c>
      <c r="C43" s="5">
        <v>10414.49</v>
      </c>
      <c r="D43" s="5">
        <v>24.66</v>
      </c>
      <c r="E43" s="5">
        <v>93.7</v>
      </c>
      <c r="F43" s="5">
        <v>45.22</v>
      </c>
      <c r="G43" s="5">
        <v>62</v>
      </c>
      <c r="H43" s="5">
        <v>38.450000000000003</v>
      </c>
      <c r="I43" s="5">
        <v>16.97</v>
      </c>
      <c r="J43" s="5">
        <v>34.19</v>
      </c>
      <c r="K43" s="5">
        <v>27.04</v>
      </c>
      <c r="L43" s="5">
        <v>41.97</v>
      </c>
      <c r="M43" s="5">
        <v>36.869999999999997</v>
      </c>
      <c r="N43" s="5">
        <v>36.67</v>
      </c>
      <c r="O43" s="5">
        <v>42.03</v>
      </c>
      <c r="P43" s="5">
        <v>28.79</v>
      </c>
      <c r="Q43" s="5">
        <v>88.31</v>
      </c>
      <c r="R43" s="5">
        <v>35.840000000000003</v>
      </c>
      <c r="S43" s="5">
        <v>44.38</v>
      </c>
      <c r="T43" s="5">
        <v>28.58</v>
      </c>
      <c r="U43" s="5">
        <v>54.59</v>
      </c>
      <c r="V43" s="5">
        <v>28.79</v>
      </c>
      <c r="W43" s="5">
        <v>43.6</v>
      </c>
      <c r="X43" s="5">
        <v>20.8</v>
      </c>
      <c r="Y43" s="5">
        <v>70.25</v>
      </c>
      <c r="Z43" s="5">
        <v>24.61</v>
      </c>
      <c r="AA43" s="5">
        <v>38.03</v>
      </c>
      <c r="AB43" s="5">
        <v>32.64</v>
      </c>
      <c r="AC43" s="5">
        <v>41.39</v>
      </c>
      <c r="AD43" s="5">
        <v>32.049999999999997</v>
      </c>
      <c r="AE43" s="5">
        <v>41.59</v>
      </c>
      <c r="AF43" s="5">
        <v>48.92</v>
      </c>
      <c r="AG43" s="5">
        <v>38.020000000000003</v>
      </c>
    </row>
    <row r="44" spans="1:33" x14ac:dyDescent="0.25">
      <c r="A44" s="4">
        <v>36861</v>
      </c>
      <c r="B44" s="5">
        <v>1320.28</v>
      </c>
      <c r="C44" s="5">
        <v>10787.99</v>
      </c>
      <c r="D44" s="5">
        <v>29.31</v>
      </c>
      <c r="E44" s="5">
        <v>95.26</v>
      </c>
      <c r="F44" s="5">
        <v>45.22</v>
      </c>
      <c r="G44" s="5">
        <v>59.25</v>
      </c>
      <c r="H44" s="5">
        <v>39.42</v>
      </c>
      <c r="I44" s="5">
        <v>20.420000000000002</v>
      </c>
      <c r="J44" s="5">
        <v>39.04</v>
      </c>
      <c r="K44" s="5">
        <v>27.23</v>
      </c>
      <c r="L44" s="5">
        <v>40.729999999999997</v>
      </c>
      <c r="M44" s="5">
        <v>37.950000000000003</v>
      </c>
      <c r="N44" s="5">
        <v>42.76</v>
      </c>
      <c r="O44" s="5">
        <v>40.78</v>
      </c>
      <c r="P44" s="5">
        <v>28.81</v>
      </c>
      <c r="Q44" s="5">
        <v>80.28</v>
      </c>
      <c r="R44" s="5">
        <v>28.3</v>
      </c>
      <c r="S44" s="5">
        <v>46.62</v>
      </c>
      <c r="T44" s="5">
        <v>35.21</v>
      </c>
      <c r="U44" s="5">
        <v>53.11</v>
      </c>
      <c r="V44" s="5">
        <v>30.71</v>
      </c>
      <c r="W44" s="5">
        <v>52.61</v>
      </c>
      <c r="X44" s="5">
        <v>24.29</v>
      </c>
      <c r="Y44" s="5">
        <v>71.23</v>
      </c>
      <c r="Z44" s="5">
        <v>18.61</v>
      </c>
      <c r="AA44" s="5">
        <v>39.479999999999997</v>
      </c>
      <c r="AB44" s="5">
        <v>34.200000000000003</v>
      </c>
      <c r="AC44" s="5">
        <v>35.97</v>
      </c>
      <c r="AD44" s="5">
        <v>35.58</v>
      </c>
      <c r="AE44" s="5">
        <v>37.1</v>
      </c>
      <c r="AF44" s="5">
        <v>49.86</v>
      </c>
      <c r="AG44" s="5">
        <v>37.57</v>
      </c>
    </row>
    <row r="45" spans="1:33" x14ac:dyDescent="0.25">
      <c r="A45" s="4">
        <v>36893</v>
      </c>
      <c r="B45" s="5">
        <v>1366.01</v>
      </c>
      <c r="C45" s="5">
        <v>10887.36</v>
      </c>
      <c r="D45" s="5">
        <v>32.28</v>
      </c>
      <c r="E45" s="5">
        <v>82.18</v>
      </c>
      <c r="F45" s="5">
        <v>38.83</v>
      </c>
      <c r="G45" s="5">
        <v>52.52</v>
      </c>
      <c r="H45" s="5">
        <v>43.21</v>
      </c>
      <c r="I45" s="5">
        <v>19.23</v>
      </c>
      <c r="J45" s="5">
        <v>35.32</v>
      </c>
      <c r="K45" s="5">
        <v>28.65</v>
      </c>
      <c r="L45" s="5">
        <v>39.07</v>
      </c>
      <c r="M45" s="5">
        <v>40</v>
      </c>
      <c r="N45" s="5">
        <v>45.1</v>
      </c>
      <c r="O45" s="5">
        <v>40.729999999999997</v>
      </c>
      <c r="P45" s="5">
        <v>33.64</v>
      </c>
      <c r="Q45" s="5">
        <v>105.78</v>
      </c>
      <c r="R45" s="5">
        <v>34.840000000000003</v>
      </c>
      <c r="S45" s="5">
        <v>41.33</v>
      </c>
      <c r="T45" s="5">
        <v>42.93</v>
      </c>
      <c r="U45" s="5">
        <v>50.55</v>
      </c>
      <c r="V45" s="5">
        <v>26.51</v>
      </c>
      <c r="W45" s="5">
        <v>48.31</v>
      </c>
      <c r="X45" s="5">
        <v>24.29</v>
      </c>
      <c r="Y45" s="5">
        <v>62.52</v>
      </c>
      <c r="Z45" s="5">
        <v>26.19</v>
      </c>
      <c r="AA45" s="5">
        <v>38.75</v>
      </c>
      <c r="AB45" s="5">
        <v>31.47</v>
      </c>
      <c r="AC45" s="5">
        <v>36.61</v>
      </c>
      <c r="AD45" s="5">
        <v>33.94</v>
      </c>
      <c r="AE45" s="5">
        <v>40.96</v>
      </c>
      <c r="AF45" s="5">
        <v>53.3</v>
      </c>
      <c r="AG45" s="5">
        <v>36.36</v>
      </c>
    </row>
    <row r="46" spans="1:33" x14ac:dyDescent="0.25">
      <c r="A46" s="4">
        <v>36923</v>
      </c>
      <c r="B46" s="5">
        <v>1239.94</v>
      </c>
      <c r="C46" s="5">
        <v>10495.28</v>
      </c>
      <c r="D46" s="5">
        <v>31.42</v>
      </c>
      <c r="E46" s="5">
        <v>79.099999999999994</v>
      </c>
      <c r="F46" s="5">
        <v>36.17</v>
      </c>
      <c r="G46" s="5">
        <v>56.01</v>
      </c>
      <c r="H46" s="5">
        <v>38.06</v>
      </c>
      <c r="I46" s="5">
        <v>18.09</v>
      </c>
      <c r="J46" s="5">
        <v>35.6</v>
      </c>
      <c r="K46" s="5">
        <v>29.12</v>
      </c>
      <c r="L46" s="5">
        <v>39.51</v>
      </c>
      <c r="M46" s="5">
        <v>40.08</v>
      </c>
      <c r="N46" s="5">
        <v>39.770000000000003</v>
      </c>
      <c r="O46" s="5">
        <v>40.44</v>
      </c>
      <c r="P46" s="5">
        <v>26.34</v>
      </c>
      <c r="Q46" s="5">
        <v>94.46</v>
      </c>
      <c r="R46" s="5">
        <v>26.91</v>
      </c>
      <c r="S46" s="5">
        <v>43.34</v>
      </c>
      <c r="T46" s="5">
        <v>36.42</v>
      </c>
      <c r="U46" s="5">
        <v>46.22</v>
      </c>
      <c r="V46" s="5">
        <v>26.56</v>
      </c>
      <c r="W46" s="5">
        <v>49.48</v>
      </c>
      <c r="X46" s="5">
        <v>26.6</v>
      </c>
      <c r="Y46" s="5">
        <v>61.02</v>
      </c>
      <c r="Z46" s="5">
        <v>25.31</v>
      </c>
      <c r="AA46" s="5">
        <v>38.71</v>
      </c>
      <c r="AB46" s="5">
        <v>30.88</v>
      </c>
      <c r="AC46" s="5">
        <v>36.119999999999997</v>
      </c>
      <c r="AD46" s="5">
        <v>35.369999999999997</v>
      </c>
      <c r="AE46" s="5">
        <v>36.9</v>
      </c>
      <c r="AF46" s="5">
        <v>47.01</v>
      </c>
      <c r="AG46" s="5">
        <v>35.200000000000003</v>
      </c>
    </row>
    <row r="47" spans="1:33" x14ac:dyDescent="0.25">
      <c r="A47" s="4">
        <v>36951</v>
      </c>
      <c r="B47" s="5">
        <v>1160.33</v>
      </c>
      <c r="C47" s="5">
        <v>9878.7800000000007</v>
      </c>
      <c r="D47" s="5">
        <v>31.59</v>
      </c>
      <c r="E47" s="5">
        <v>77.84</v>
      </c>
      <c r="F47" s="5">
        <v>34.049999999999997</v>
      </c>
      <c r="G47" s="5">
        <v>50.16</v>
      </c>
      <c r="H47" s="5">
        <v>34.81</v>
      </c>
      <c r="I47" s="5">
        <v>19.3</v>
      </c>
      <c r="J47" s="5">
        <v>33.159999999999997</v>
      </c>
      <c r="K47" s="5">
        <v>26.91</v>
      </c>
      <c r="L47" s="5">
        <v>35.69</v>
      </c>
      <c r="M47" s="5">
        <v>38.97</v>
      </c>
      <c r="N47" s="5">
        <v>40.369999999999997</v>
      </c>
      <c r="O47" s="5">
        <v>35.31</v>
      </c>
      <c r="P47" s="5">
        <v>28.63</v>
      </c>
      <c r="Q47" s="5">
        <v>90.95</v>
      </c>
      <c r="R47" s="5">
        <v>24.79</v>
      </c>
      <c r="S47" s="5">
        <v>38.950000000000003</v>
      </c>
      <c r="T47" s="5">
        <v>35.049999999999997</v>
      </c>
      <c r="U47" s="5">
        <v>39.5</v>
      </c>
      <c r="V47" s="5">
        <v>23.98</v>
      </c>
      <c r="W47" s="5">
        <v>45.6</v>
      </c>
      <c r="X47" s="5">
        <v>26.48</v>
      </c>
      <c r="Y47" s="5">
        <v>58</v>
      </c>
      <c r="Z47" s="5">
        <v>23.46</v>
      </c>
      <c r="AA47" s="5">
        <v>35.229999999999997</v>
      </c>
      <c r="AB47" s="5">
        <v>27.42</v>
      </c>
      <c r="AC47" s="5">
        <v>33.79</v>
      </c>
      <c r="AD47" s="5">
        <v>33.270000000000003</v>
      </c>
      <c r="AE47" s="5">
        <v>36.75</v>
      </c>
      <c r="AF47" s="5">
        <v>47.46</v>
      </c>
      <c r="AG47" s="5">
        <v>35.18</v>
      </c>
    </row>
    <row r="48" spans="1:33" x14ac:dyDescent="0.25">
      <c r="A48" s="4">
        <v>36983</v>
      </c>
      <c r="B48" s="5">
        <v>1249.46</v>
      </c>
      <c r="C48" s="5">
        <v>10734.97</v>
      </c>
      <c r="D48" s="5">
        <v>36.369999999999997</v>
      </c>
      <c r="E48" s="5">
        <v>79.099999999999994</v>
      </c>
      <c r="F48" s="5">
        <v>35.06</v>
      </c>
      <c r="G48" s="5">
        <v>55.65</v>
      </c>
      <c r="H48" s="5">
        <v>38.04</v>
      </c>
      <c r="I48" s="5">
        <v>21.99</v>
      </c>
      <c r="J48" s="5">
        <v>36.82</v>
      </c>
      <c r="K48" s="5">
        <v>28.46</v>
      </c>
      <c r="L48" s="5">
        <v>41.38</v>
      </c>
      <c r="M48" s="5">
        <v>41.2</v>
      </c>
      <c r="N48" s="5">
        <v>44.12</v>
      </c>
      <c r="O48" s="5">
        <v>42.3</v>
      </c>
      <c r="P48" s="5">
        <v>26.03</v>
      </c>
      <c r="Q48" s="5">
        <v>108.87</v>
      </c>
      <c r="R48" s="5">
        <v>29.12</v>
      </c>
      <c r="S48" s="5">
        <v>42.96</v>
      </c>
      <c r="T48" s="5">
        <v>37.76</v>
      </c>
      <c r="U48" s="5">
        <v>40.4</v>
      </c>
      <c r="V48" s="5">
        <v>24.84</v>
      </c>
      <c r="W48" s="5">
        <v>52.23</v>
      </c>
      <c r="X48" s="5">
        <v>27.96</v>
      </c>
      <c r="Y48" s="5">
        <v>58.05</v>
      </c>
      <c r="Z48" s="5">
        <v>29.06</v>
      </c>
      <c r="AA48" s="5">
        <v>37.25</v>
      </c>
      <c r="AB48" s="5">
        <v>26.47</v>
      </c>
      <c r="AC48" s="5">
        <v>31.42</v>
      </c>
      <c r="AD48" s="5">
        <v>35.44</v>
      </c>
      <c r="AE48" s="5">
        <v>41.37</v>
      </c>
      <c r="AF48" s="5">
        <v>48.63</v>
      </c>
      <c r="AG48" s="5">
        <v>38.479999999999997</v>
      </c>
    </row>
    <row r="49" spans="1:33" x14ac:dyDescent="0.25">
      <c r="A49" s="4">
        <v>37012</v>
      </c>
      <c r="B49" s="5">
        <v>1255.82</v>
      </c>
      <c r="C49" s="5">
        <v>10911.94</v>
      </c>
      <c r="D49" s="5">
        <v>38.049999999999997</v>
      </c>
      <c r="E49" s="5">
        <v>78.36</v>
      </c>
      <c r="F49" s="5">
        <v>34.799999999999997</v>
      </c>
      <c r="G49" s="5">
        <v>56.78</v>
      </c>
      <c r="H49" s="5">
        <v>39.770000000000003</v>
      </c>
      <c r="I49" s="5">
        <v>23.72</v>
      </c>
      <c r="J49" s="5">
        <v>38.090000000000003</v>
      </c>
      <c r="K49" s="5">
        <v>29.75</v>
      </c>
      <c r="L49" s="5">
        <v>41.78</v>
      </c>
      <c r="M49" s="5">
        <v>43.15</v>
      </c>
      <c r="N49" s="5">
        <v>46.17</v>
      </c>
      <c r="O49" s="5">
        <v>41.89</v>
      </c>
      <c r="P49" s="5">
        <v>26.84</v>
      </c>
      <c r="Q49" s="5">
        <v>105.84</v>
      </c>
      <c r="R49" s="5">
        <v>25.46</v>
      </c>
      <c r="S49" s="5">
        <v>43.32</v>
      </c>
      <c r="T49" s="5">
        <v>38.68</v>
      </c>
      <c r="U49" s="5">
        <v>41.46</v>
      </c>
      <c r="V49" s="5">
        <v>27.35</v>
      </c>
      <c r="W49" s="5">
        <v>52.31</v>
      </c>
      <c r="X49" s="5">
        <v>28.69</v>
      </c>
      <c r="Y49" s="5">
        <v>56.04</v>
      </c>
      <c r="Z49" s="5">
        <v>29.67</v>
      </c>
      <c r="AA49" s="5">
        <v>36.99</v>
      </c>
      <c r="AB49" s="5">
        <v>28.31</v>
      </c>
      <c r="AC49" s="5">
        <v>32.79</v>
      </c>
      <c r="AD49" s="5">
        <v>37.92</v>
      </c>
      <c r="AE49" s="5">
        <v>41.2</v>
      </c>
      <c r="AF49" s="5">
        <v>48.64</v>
      </c>
      <c r="AG49" s="5">
        <v>38.74</v>
      </c>
    </row>
    <row r="50" spans="1:33" x14ac:dyDescent="0.25">
      <c r="A50" s="4">
        <v>37043</v>
      </c>
      <c r="B50" s="5">
        <v>1224.3800000000001</v>
      </c>
      <c r="C50" s="5">
        <v>10502.4</v>
      </c>
      <c r="D50" s="5">
        <v>35.270000000000003</v>
      </c>
      <c r="E50" s="5">
        <v>82.24</v>
      </c>
      <c r="F50" s="5">
        <v>32.049999999999997</v>
      </c>
      <c r="G50" s="5">
        <v>50.2</v>
      </c>
      <c r="H50" s="5">
        <v>41.01</v>
      </c>
      <c r="I50" s="5">
        <v>21.92</v>
      </c>
      <c r="J50" s="5">
        <v>39.6</v>
      </c>
      <c r="K50" s="5">
        <v>27.18</v>
      </c>
      <c r="L50" s="5">
        <v>41.78</v>
      </c>
      <c r="M50" s="5">
        <v>48.8</v>
      </c>
      <c r="N50" s="5">
        <v>44.28</v>
      </c>
      <c r="O50" s="5">
        <v>30.2</v>
      </c>
      <c r="P50" s="5">
        <v>26.26</v>
      </c>
      <c r="Q50" s="5">
        <v>107.45</v>
      </c>
      <c r="R50" s="5">
        <v>27.57</v>
      </c>
      <c r="S50" s="5">
        <v>44.65</v>
      </c>
      <c r="T50" s="5">
        <v>35</v>
      </c>
      <c r="U50" s="5">
        <v>39.520000000000003</v>
      </c>
      <c r="V50" s="5">
        <v>24.44</v>
      </c>
      <c r="W50" s="5">
        <v>50.33</v>
      </c>
      <c r="X50" s="5">
        <v>27.93</v>
      </c>
      <c r="Y50" s="5">
        <v>49.07</v>
      </c>
      <c r="Z50" s="5">
        <v>31.31</v>
      </c>
      <c r="AA50" s="5">
        <v>34.54</v>
      </c>
      <c r="AB50" s="5">
        <v>28.12</v>
      </c>
      <c r="AC50" s="5">
        <v>30.51</v>
      </c>
      <c r="AD50" s="5">
        <v>33.35</v>
      </c>
      <c r="AE50" s="5">
        <v>40.19</v>
      </c>
      <c r="AF50" s="5">
        <v>45.93</v>
      </c>
      <c r="AG50" s="5">
        <v>38.14</v>
      </c>
    </row>
    <row r="51" spans="1:33" x14ac:dyDescent="0.25">
      <c r="A51" s="4">
        <v>37074</v>
      </c>
      <c r="B51" s="5">
        <v>1211.23</v>
      </c>
      <c r="C51" s="5">
        <v>10522.81</v>
      </c>
      <c r="D51" s="5">
        <v>34.590000000000003</v>
      </c>
      <c r="E51" s="5">
        <v>80.540000000000006</v>
      </c>
      <c r="F51" s="5">
        <v>33.380000000000003</v>
      </c>
      <c r="G51" s="5">
        <v>52.84</v>
      </c>
      <c r="H51" s="5">
        <v>38.96</v>
      </c>
      <c r="I51" s="5">
        <v>24.29</v>
      </c>
      <c r="J51" s="5">
        <v>35.15</v>
      </c>
      <c r="K51" s="5">
        <v>24.79</v>
      </c>
      <c r="L51" s="5">
        <v>37.21</v>
      </c>
      <c r="M51" s="5">
        <v>48.24</v>
      </c>
      <c r="N51" s="5">
        <v>47.22</v>
      </c>
      <c r="O51" s="5">
        <v>32.08</v>
      </c>
      <c r="P51" s="5">
        <v>22.64</v>
      </c>
      <c r="Q51" s="5">
        <v>99.6</v>
      </c>
      <c r="R51" s="5">
        <v>28.1</v>
      </c>
      <c r="S51" s="5">
        <v>48.35</v>
      </c>
      <c r="T51" s="5">
        <v>34.33</v>
      </c>
      <c r="U51" s="5">
        <v>39.17</v>
      </c>
      <c r="V51" s="5">
        <v>26.32</v>
      </c>
      <c r="W51" s="5">
        <v>49.35</v>
      </c>
      <c r="X51" s="5">
        <v>25.67</v>
      </c>
      <c r="Y51" s="5">
        <v>52.19</v>
      </c>
      <c r="Z51" s="5">
        <v>28.39</v>
      </c>
      <c r="AA51" s="5">
        <v>35.549999999999997</v>
      </c>
      <c r="AB51" s="5">
        <v>31.47</v>
      </c>
      <c r="AC51" s="5">
        <v>34.51</v>
      </c>
      <c r="AD51" s="5">
        <v>33.409999999999997</v>
      </c>
      <c r="AE51" s="5">
        <v>40.97</v>
      </c>
      <c r="AF51" s="5">
        <v>52.61</v>
      </c>
      <c r="AG51" s="5">
        <v>36.46</v>
      </c>
    </row>
    <row r="52" spans="1:33" x14ac:dyDescent="0.25">
      <c r="A52" s="4">
        <v>37104</v>
      </c>
      <c r="B52" s="5">
        <v>1133.58</v>
      </c>
      <c r="C52" s="5">
        <v>9949.75</v>
      </c>
      <c r="D52" s="5">
        <v>33.74</v>
      </c>
      <c r="E52" s="5">
        <v>75.69</v>
      </c>
      <c r="F52" s="5">
        <v>30.15</v>
      </c>
      <c r="G52" s="5">
        <v>46.37</v>
      </c>
      <c r="H52" s="5">
        <v>35.65</v>
      </c>
      <c r="I52" s="5">
        <v>22.04</v>
      </c>
      <c r="J52" s="5">
        <v>33.92</v>
      </c>
      <c r="K52" s="5">
        <v>23.93</v>
      </c>
      <c r="L52" s="5">
        <v>34.99</v>
      </c>
      <c r="M52" s="5">
        <v>41.85</v>
      </c>
      <c r="N52" s="5">
        <v>43.11</v>
      </c>
      <c r="O52" s="5">
        <v>32.590000000000003</v>
      </c>
      <c r="P52" s="5">
        <v>21.31</v>
      </c>
      <c r="Q52" s="5">
        <v>94.75</v>
      </c>
      <c r="R52" s="5">
        <v>26.37</v>
      </c>
      <c r="S52" s="5">
        <v>47.26</v>
      </c>
      <c r="T52" s="5">
        <v>31.24</v>
      </c>
      <c r="U52" s="5">
        <v>42.74</v>
      </c>
      <c r="V52" s="5">
        <v>27.13</v>
      </c>
      <c r="W52" s="5">
        <v>46.18</v>
      </c>
      <c r="X52" s="5">
        <v>26.74</v>
      </c>
      <c r="Y52" s="5">
        <v>50.24</v>
      </c>
      <c r="Z52" s="5">
        <v>24.47</v>
      </c>
      <c r="AA52" s="5">
        <v>33.130000000000003</v>
      </c>
      <c r="AB52" s="5">
        <v>32.86</v>
      </c>
      <c r="AC52" s="5">
        <v>31.35</v>
      </c>
      <c r="AD52" s="5">
        <v>31.23</v>
      </c>
      <c r="AE52" s="5">
        <v>37.83</v>
      </c>
      <c r="AF52" s="5">
        <v>45.22</v>
      </c>
      <c r="AG52" s="5">
        <v>35.25</v>
      </c>
    </row>
    <row r="53" spans="1:33" x14ac:dyDescent="0.25">
      <c r="A53" s="4">
        <v>37138</v>
      </c>
      <c r="B53" s="5">
        <v>1040.94</v>
      </c>
      <c r="C53" s="5">
        <v>8847.56</v>
      </c>
      <c r="D53" s="5">
        <v>27.45</v>
      </c>
      <c r="E53" s="5">
        <v>75.5</v>
      </c>
      <c r="F53" s="5">
        <v>24.06</v>
      </c>
      <c r="G53" s="5">
        <v>30.34</v>
      </c>
      <c r="H53" s="5">
        <v>31.53</v>
      </c>
      <c r="I53" s="5">
        <v>19.75</v>
      </c>
      <c r="J53" s="5">
        <v>31.06</v>
      </c>
      <c r="K53" s="5">
        <v>17.52</v>
      </c>
      <c r="L53" s="5">
        <v>31.97</v>
      </c>
      <c r="M53" s="5">
        <v>32.79</v>
      </c>
      <c r="N53" s="5">
        <v>36</v>
      </c>
      <c r="O53" s="5">
        <v>23.09</v>
      </c>
      <c r="P53" s="5">
        <v>14.8</v>
      </c>
      <c r="Q53" s="5">
        <v>86.95</v>
      </c>
      <c r="R53" s="5">
        <v>19.28</v>
      </c>
      <c r="S53" s="5">
        <v>49.68</v>
      </c>
      <c r="T53" s="5">
        <v>27.08</v>
      </c>
      <c r="U53" s="5">
        <v>41.14</v>
      </c>
      <c r="V53" s="5">
        <v>24.52</v>
      </c>
      <c r="W53" s="5">
        <v>43.65</v>
      </c>
      <c r="X53" s="5">
        <v>27.24</v>
      </c>
      <c r="Y53" s="5">
        <v>51.4</v>
      </c>
      <c r="Z53" s="5">
        <v>21.95</v>
      </c>
      <c r="AA53" s="5">
        <v>34.68</v>
      </c>
      <c r="AB53" s="5">
        <v>32.26</v>
      </c>
      <c r="AC53" s="5">
        <v>36.11</v>
      </c>
      <c r="AD53" s="5">
        <v>21.23</v>
      </c>
      <c r="AE53" s="5">
        <v>40.94</v>
      </c>
      <c r="AF53" s="5">
        <v>46.66</v>
      </c>
      <c r="AG53" s="5">
        <v>34.6</v>
      </c>
    </row>
    <row r="54" spans="1:33" x14ac:dyDescent="0.25">
      <c r="A54" s="4">
        <v>37165</v>
      </c>
      <c r="B54" s="5">
        <v>1059.78</v>
      </c>
      <c r="C54" s="5">
        <v>9075.14</v>
      </c>
      <c r="D54" s="5">
        <v>28.69</v>
      </c>
      <c r="E54" s="5">
        <v>76.08</v>
      </c>
      <c r="F54" s="5">
        <v>24.43</v>
      </c>
      <c r="G54" s="5">
        <v>29.52</v>
      </c>
      <c r="H54" s="5">
        <v>35.44</v>
      </c>
      <c r="I54" s="5">
        <v>19.86</v>
      </c>
      <c r="J54" s="5">
        <v>33.11</v>
      </c>
      <c r="K54" s="5">
        <v>17.489999999999998</v>
      </c>
      <c r="L54" s="5">
        <v>31.29</v>
      </c>
      <c r="M54" s="5">
        <v>31.59</v>
      </c>
      <c r="N54" s="5">
        <v>35.869999999999997</v>
      </c>
      <c r="O54" s="5">
        <v>25.84</v>
      </c>
      <c r="P54" s="5">
        <v>15.52</v>
      </c>
      <c r="Q54" s="5">
        <v>102.45</v>
      </c>
      <c r="R54" s="5">
        <v>23.03</v>
      </c>
      <c r="S54" s="5">
        <v>51.93</v>
      </c>
      <c r="T54" s="5">
        <v>28.31</v>
      </c>
      <c r="U54" s="5">
        <v>42.05</v>
      </c>
      <c r="V54" s="5">
        <v>23.55</v>
      </c>
      <c r="W54" s="5">
        <v>46.3</v>
      </c>
      <c r="X54" s="5">
        <v>26.4</v>
      </c>
      <c r="Y54" s="5">
        <v>49.25</v>
      </c>
      <c r="Z54" s="5">
        <v>24.94</v>
      </c>
      <c r="AA54" s="5">
        <v>36.24</v>
      </c>
      <c r="AB54" s="5">
        <v>32.869999999999997</v>
      </c>
      <c r="AC54" s="5">
        <v>29.37</v>
      </c>
      <c r="AD54" s="5">
        <v>24.61</v>
      </c>
      <c r="AE54" s="5">
        <v>37.950000000000003</v>
      </c>
      <c r="AF54" s="5">
        <v>48.45</v>
      </c>
      <c r="AG54" s="5">
        <v>34.64</v>
      </c>
    </row>
    <row r="55" spans="1:33" x14ac:dyDescent="0.25">
      <c r="A55" s="4">
        <v>37196</v>
      </c>
      <c r="B55" s="5">
        <v>1139.45</v>
      </c>
      <c r="C55" s="5">
        <v>9851.56</v>
      </c>
      <c r="D55" s="5">
        <v>34.32</v>
      </c>
      <c r="E55" s="5">
        <v>79.760000000000005</v>
      </c>
      <c r="F55" s="5">
        <v>27.32</v>
      </c>
      <c r="G55" s="5">
        <v>31.95</v>
      </c>
      <c r="H55" s="5">
        <v>37.42</v>
      </c>
      <c r="I55" s="5">
        <v>21.06</v>
      </c>
      <c r="J55" s="5">
        <v>37.01</v>
      </c>
      <c r="K55" s="5">
        <v>19.260000000000002</v>
      </c>
      <c r="L55" s="5">
        <v>33.090000000000003</v>
      </c>
      <c r="M55" s="5">
        <v>38.44</v>
      </c>
      <c r="N55" s="5">
        <v>43.82</v>
      </c>
      <c r="O55" s="5">
        <v>29.16</v>
      </c>
      <c r="P55" s="5">
        <v>20.28</v>
      </c>
      <c r="Q55" s="5">
        <v>109.71</v>
      </c>
      <c r="R55" s="5">
        <v>30.83</v>
      </c>
      <c r="S55" s="5">
        <v>52.39</v>
      </c>
      <c r="T55" s="5">
        <v>30.2</v>
      </c>
      <c r="U55" s="5">
        <v>41.39</v>
      </c>
      <c r="V55" s="5">
        <v>24.48</v>
      </c>
      <c r="W55" s="5">
        <v>51.09</v>
      </c>
      <c r="X55" s="5">
        <v>26.61</v>
      </c>
      <c r="Y55" s="5">
        <v>52.29</v>
      </c>
      <c r="Z55" s="5">
        <v>27.54</v>
      </c>
      <c r="AA55" s="5">
        <v>37.549999999999997</v>
      </c>
      <c r="AB55" s="5">
        <v>34.51</v>
      </c>
      <c r="AC55" s="5">
        <v>28.81</v>
      </c>
      <c r="AD55" s="5">
        <v>27.6</v>
      </c>
      <c r="AE55" s="5">
        <v>35.81</v>
      </c>
      <c r="AF55" s="5">
        <v>51.99</v>
      </c>
      <c r="AG55" s="5">
        <v>33.03</v>
      </c>
    </row>
    <row r="56" spans="1:33" x14ac:dyDescent="0.25">
      <c r="A56" s="4">
        <v>37228</v>
      </c>
      <c r="B56" s="5">
        <v>1148.08</v>
      </c>
      <c r="C56" s="5">
        <v>10021.57</v>
      </c>
      <c r="D56" s="5">
        <v>31.61</v>
      </c>
      <c r="E56" s="5">
        <v>76.89</v>
      </c>
      <c r="F56" s="5">
        <v>29.63</v>
      </c>
      <c r="G56" s="5">
        <v>35.299999999999997</v>
      </c>
      <c r="H56" s="5">
        <v>39.44</v>
      </c>
      <c r="I56" s="5">
        <v>23.21</v>
      </c>
      <c r="J56" s="5">
        <v>35.49</v>
      </c>
      <c r="K56" s="5">
        <v>19.7</v>
      </c>
      <c r="L56" s="5">
        <v>34.6</v>
      </c>
      <c r="M56" s="5">
        <v>37.590000000000003</v>
      </c>
      <c r="N56" s="5">
        <v>47.91</v>
      </c>
      <c r="O56" s="5">
        <v>29.76</v>
      </c>
      <c r="P56" s="5">
        <v>19.02</v>
      </c>
      <c r="Q56" s="5">
        <v>114.81</v>
      </c>
      <c r="R56" s="5">
        <v>29.69</v>
      </c>
      <c r="S56" s="5">
        <v>53.15</v>
      </c>
      <c r="T56" s="5">
        <v>29.11</v>
      </c>
      <c r="U56" s="5">
        <v>41.56</v>
      </c>
      <c r="V56" s="5">
        <v>24.14</v>
      </c>
      <c r="W56" s="5">
        <v>52.71</v>
      </c>
      <c r="X56" s="5">
        <v>26.19</v>
      </c>
      <c r="Y56" s="5">
        <v>45.62</v>
      </c>
      <c r="Z56" s="5">
        <v>28.41</v>
      </c>
      <c r="AA56" s="5">
        <v>34.549999999999997</v>
      </c>
      <c r="AB56" s="5">
        <v>35.26</v>
      </c>
      <c r="AC56" s="5">
        <v>30.19</v>
      </c>
      <c r="AD56" s="5">
        <v>29.63</v>
      </c>
      <c r="AE56" s="5">
        <v>36.159999999999997</v>
      </c>
      <c r="AF56" s="5">
        <v>54.32</v>
      </c>
      <c r="AG56" s="5">
        <v>34.71</v>
      </c>
    </row>
    <row r="57" spans="1:33" x14ac:dyDescent="0.25">
      <c r="A57" s="4">
        <v>37258</v>
      </c>
      <c r="B57" s="5">
        <v>1130.2</v>
      </c>
      <c r="C57" s="5">
        <v>9920</v>
      </c>
      <c r="D57" s="5">
        <v>31.88</v>
      </c>
      <c r="E57" s="5">
        <v>71.81</v>
      </c>
      <c r="F57" s="5">
        <v>29.82</v>
      </c>
      <c r="G57" s="5">
        <v>37.270000000000003</v>
      </c>
      <c r="H57" s="5">
        <v>37.159999999999997</v>
      </c>
      <c r="I57" s="5">
        <v>22.5</v>
      </c>
      <c r="J57" s="5">
        <v>36.869999999999997</v>
      </c>
      <c r="K57" s="5">
        <v>20.03</v>
      </c>
      <c r="L57" s="5">
        <v>32.07</v>
      </c>
      <c r="M57" s="5">
        <v>39.549999999999997</v>
      </c>
      <c r="N57" s="5">
        <v>47.05</v>
      </c>
      <c r="O57" s="5">
        <v>29.57</v>
      </c>
      <c r="P57" s="5">
        <v>20.47</v>
      </c>
      <c r="Q57" s="5">
        <v>102.4</v>
      </c>
      <c r="R57" s="5">
        <v>33.08</v>
      </c>
      <c r="S57" s="5">
        <v>51.72</v>
      </c>
      <c r="T57" s="5">
        <v>27.52</v>
      </c>
      <c r="U57" s="5">
        <v>38.56</v>
      </c>
      <c r="V57" s="5">
        <v>24.79</v>
      </c>
      <c r="W57" s="5">
        <v>49.49</v>
      </c>
      <c r="X57" s="5">
        <v>28.63</v>
      </c>
      <c r="Y57" s="5">
        <v>45.91</v>
      </c>
      <c r="Z57" s="5">
        <v>27.33</v>
      </c>
      <c r="AA57" s="5">
        <v>36.130000000000003</v>
      </c>
      <c r="AB57" s="5">
        <v>36.57</v>
      </c>
      <c r="AC57" s="5">
        <v>29.05</v>
      </c>
      <c r="AD57" s="5">
        <v>31.51</v>
      </c>
      <c r="AE57" s="5">
        <v>35.590000000000003</v>
      </c>
      <c r="AF57" s="5">
        <v>56.61</v>
      </c>
      <c r="AG57" s="5">
        <v>34.49</v>
      </c>
    </row>
    <row r="58" spans="1:33" x14ac:dyDescent="0.25">
      <c r="A58" s="4">
        <v>37288</v>
      </c>
      <c r="B58" s="5">
        <v>1106.73</v>
      </c>
      <c r="C58" s="5">
        <v>10106.129999999999</v>
      </c>
      <c r="D58" s="5">
        <v>33.56</v>
      </c>
      <c r="E58" s="5">
        <v>71.67</v>
      </c>
      <c r="F58" s="5">
        <v>30.32</v>
      </c>
      <c r="G58" s="5">
        <v>42.01</v>
      </c>
      <c r="H58" s="5">
        <v>35.47</v>
      </c>
      <c r="I58" s="5">
        <v>24.84</v>
      </c>
      <c r="J58" s="5">
        <v>39.409999999999997</v>
      </c>
      <c r="K58" s="5">
        <v>21.87</v>
      </c>
      <c r="L58" s="5">
        <v>33.39</v>
      </c>
      <c r="M58" s="5">
        <v>41.4</v>
      </c>
      <c r="N58" s="5">
        <v>46.96</v>
      </c>
      <c r="O58" s="5">
        <v>33.729999999999997</v>
      </c>
      <c r="P58" s="5">
        <v>18.63</v>
      </c>
      <c r="Q58" s="5">
        <v>93.25</v>
      </c>
      <c r="R58" s="5">
        <v>26.97</v>
      </c>
      <c r="S58" s="5">
        <v>54.94</v>
      </c>
      <c r="T58" s="5">
        <v>23.64</v>
      </c>
      <c r="U58" s="5">
        <v>41.77</v>
      </c>
      <c r="V58" s="5">
        <v>23.8</v>
      </c>
      <c r="W58" s="5">
        <v>52.87</v>
      </c>
      <c r="X58" s="5">
        <v>30.08</v>
      </c>
      <c r="Y58" s="5">
        <v>47.58</v>
      </c>
      <c r="Z58" s="5">
        <v>25.02</v>
      </c>
      <c r="AA58" s="5">
        <v>35.630000000000003</v>
      </c>
      <c r="AB58" s="5">
        <v>37.96</v>
      </c>
      <c r="AC58" s="5">
        <v>29.35</v>
      </c>
      <c r="AD58" s="5">
        <v>33.56</v>
      </c>
      <c r="AE58" s="5">
        <v>35.93</v>
      </c>
      <c r="AF58" s="5">
        <v>58.53</v>
      </c>
      <c r="AG58" s="5">
        <v>36.69</v>
      </c>
    </row>
    <row r="59" spans="1:33" x14ac:dyDescent="0.25">
      <c r="A59" s="4">
        <v>37316</v>
      </c>
      <c r="B59" s="5">
        <v>1147.3900000000001</v>
      </c>
      <c r="C59" s="5">
        <v>10403.94</v>
      </c>
      <c r="D59" s="5">
        <v>33.71</v>
      </c>
      <c r="E59" s="5">
        <v>69.900000000000006</v>
      </c>
      <c r="F59" s="5">
        <v>34.08</v>
      </c>
      <c r="G59" s="5">
        <v>44.1</v>
      </c>
      <c r="H59" s="5">
        <v>38.82</v>
      </c>
      <c r="I59" s="5">
        <v>25.44</v>
      </c>
      <c r="J59" s="5">
        <v>39.67</v>
      </c>
      <c r="K59" s="5">
        <v>21.95</v>
      </c>
      <c r="L59" s="5">
        <v>32.43</v>
      </c>
      <c r="M59" s="5">
        <v>47.23</v>
      </c>
      <c r="N59" s="5">
        <v>45.71</v>
      </c>
      <c r="O59" s="5">
        <v>33.86</v>
      </c>
      <c r="P59" s="5">
        <v>16.68</v>
      </c>
      <c r="Q59" s="5">
        <v>98.84</v>
      </c>
      <c r="R59" s="5">
        <v>28.72</v>
      </c>
      <c r="S59" s="5">
        <v>58.6</v>
      </c>
      <c r="T59" s="5">
        <v>28.82</v>
      </c>
      <c r="U59" s="5">
        <v>46.26</v>
      </c>
      <c r="V59" s="5">
        <v>25.31</v>
      </c>
      <c r="W59" s="5">
        <v>51.56</v>
      </c>
      <c r="X59" s="5">
        <v>30.42</v>
      </c>
      <c r="Y59" s="5">
        <v>44.92</v>
      </c>
      <c r="Z59" s="5">
        <v>25.87</v>
      </c>
      <c r="AA59" s="5">
        <v>34.57</v>
      </c>
      <c r="AB59" s="5">
        <v>40.33</v>
      </c>
      <c r="AC59" s="5">
        <v>29.04</v>
      </c>
      <c r="AD59" s="5">
        <v>34.14</v>
      </c>
      <c r="AE59" s="5">
        <v>35.4</v>
      </c>
      <c r="AF59" s="5">
        <v>57.92</v>
      </c>
      <c r="AG59" s="5">
        <v>38.94</v>
      </c>
    </row>
    <row r="60" spans="1:33" x14ac:dyDescent="0.25">
      <c r="A60" s="4">
        <v>37347</v>
      </c>
      <c r="B60" s="5">
        <v>1076.92</v>
      </c>
      <c r="C60" s="5">
        <v>9946.2199999999993</v>
      </c>
      <c r="D60" s="5">
        <v>30.4</v>
      </c>
      <c r="E60" s="5">
        <v>66.97</v>
      </c>
      <c r="F60" s="5">
        <v>34.19</v>
      </c>
      <c r="G60" s="5">
        <v>40.76</v>
      </c>
      <c r="H60" s="5">
        <v>33.94</v>
      </c>
      <c r="I60" s="5">
        <v>24.59</v>
      </c>
      <c r="J60" s="5">
        <v>37.44</v>
      </c>
      <c r="K60" s="5">
        <v>22.04</v>
      </c>
      <c r="L60" s="5">
        <v>27.36</v>
      </c>
      <c r="M60" s="5">
        <v>50.12</v>
      </c>
      <c r="N60" s="5">
        <v>43.6</v>
      </c>
      <c r="O60" s="5">
        <v>32.450000000000003</v>
      </c>
      <c r="P60" s="5">
        <v>15.9</v>
      </c>
      <c r="Q60" s="5">
        <v>79.599999999999994</v>
      </c>
      <c r="R60" s="5">
        <v>27.02</v>
      </c>
      <c r="S60" s="5">
        <v>57.61</v>
      </c>
      <c r="T60" s="5">
        <v>28.65</v>
      </c>
      <c r="U60" s="5">
        <v>49.13</v>
      </c>
      <c r="V60" s="5">
        <v>25.9</v>
      </c>
      <c r="W60" s="5">
        <v>56.4</v>
      </c>
      <c r="X60" s="5">
        <v>31.44</v>
      </c>
      <c r="Y60" s="5">
        <v>42.4</v>
      </c>
      <c r="Z60" s="5">
        <v>22.41</v>
      </c>
      <c r="AA60" s="5">
        <v>31.62</v>
      </c>
      <c r="AB60" s="5">
        <v>40.58</v>
      </c>
      <c r="AC60" s="5">
        <v>24.27</v>
      </c>
      <c r="AD60" s="5">
        <v>32.29</v>
      </c>
      <c r="AE60" s="5">
        <v>31.06</v>
      </c>
      <c r="AF60" s="5">
        <v>52.78</v>
      </c>
      <c r="AG60" s="5">
        <v>35.69</v>
      </c>
    </row>
    <row r="61" spans="1:33" x14ac:dyDescent="0.25">
      <c r="A61" s="4">
        <v>37377</v>
      </c>
      <c r="B61" s="5">
        <v>1067.1400000000001</v>
      </c>
      <c r="C61" s="5">
        <v>9925.25</v>
      </c>
      <c r="D61" s="5">
        <v>31.38</v>
      </c>
      <c r="E61" s="5">
        <v>64.89</v>
      </c>
      <c r="F61" s="5">
        <v>35.44</v>
      </c>
      <c r="G61" s="5">
        <v>39.130000000000003</v>
      </c>
      <c r="H61" s="5">
        <v>33.99</v>
      </c>
      <c r="I61" s="5">
        <v>23.54</v>
      </c>
      <c r="J61" s="5">
        <v>39</v>
      </c>
      <c r="K61" s="5">
        <v>21.79</v>
      </c>
      <c r="L61" s="5">
        <v>27.01</v>
      </c>
      <c r="M61" s="5">
        <v>48.92</v>
      </c>
      <c r="N61" s="5">
        <v>39.200000000000003</v>
      </c>
      <c r="O61" s="5">
        <v>34.85</v>
      </c>
      <c r="P61" s="5">
        <v>17.75</v>
      </c>
      <c r="Q61" s="5">
        <v>76.61</v>
      </c>
      <c r="R61" s="5">
        <v>26.11</v>
      </c>
      <c r="S61" s="5">
        <v>55.54</v>
      </c>
      <c r="T61" s="5">
        <v>29.34</v>
      </c>
      <c r="U61" s="5">
        <v>49.18</v>
      </c>
      <c r="V61" s="5">
        <v>27.31</v>
      </c>
      <c r="W61" s="5">
        <v>56.51</v>
      </c>
      <c r="X61" s="5">
        <v>33.07</v>
      </c>
      <c r="Y61" s="5">
        <v>44.55</v>
      </c>
      <c r="Z61" s="5">
        <v>21.84</v>
      </c>
      <c r="AA61" s="5">
        <v>30.2</v>
      </c>
      <c r="AB61" s="5">
        <v>40.26</v>
      </c>
      <c r="AC61" s="5">
        <v>26.79</v>
      </c>
      <c r="AD61" s="5">
        <v>31.8</v>
      </c>
      <c r="AE61" s="5">
        <v>33.299999999999997</v>
      </c>
      <c r="AF61" s="5">
        <v>51.12</v>
      </c>
      <c r="AG61" s="5">
        <v>35.68</v>
      </c>
    </row>
    <row r="62" spans="1:33" x14ac:dyDescent="0.25">
      <c r="A62" s="4">
        <v>37410</v>
      </c>
      <c r="B62" s="5">
        <v>989.82</v>
      </c>
      <c r="C62" s="5">
        <v>9243.26</v>
      </c>
      <c r="D62" s="5">
        <v>29.74</v>
      </c>
      <c r="E62" s="5">
        <v>66.16</v>
      </c>
      <c r="F62" s="5">
        <v>30.28</v>
      </c>
      <c r="G62" s="5">
        <v>41.28</v>
      </c>
      <c r="H62" s="5">
        <v>30.5</v>
      </c>
      <c r="I62" s="5">
        <v>22.04</v>
      </c>
      <c r="J62" s="5">
        <v>37.65</v>
      </c>
      <c r="K62" s="5">
        <v>17.97</v>
      </c>
      <c r="L62" s="5">
        <v>25.35</v>
      </c>
      <c r="M62" s="5">
        <v>42.07</v>
      </c>
      <c r="N62" s="5">
        <v>34.58</v>
      </c>
      <c r="O62" s="5">
        <v>31.32</v>
      </c>
      <c r="P62" s="5">
        <v>14.27</v>
      </c>
      <c r="Q62" s="5">
        <v>68.56</v>
      </c>
      <c r="R62" s="5">
        <v>17.27</v>
      </c>
      <c r="S62" s="5">
        <v>47.31</v>
      </c>
      <c r="T62" s="5">
        <v>27.68</v>
      </c>
      <c r="U62" s="5">
        <v>49.75</v>
      </c>
      <c r="V62" s="5">
        <v>25.95</v>
      </c>
      <c r="W62" s="5">
        <v>55.41</v>
      </c>
      <c r="X62" s="5">
        <v>25.55</v>
      </c>
      <c r="Y62" s="5">
        <v>39.76</v>
      </c>
      <c r="Z62" s="5">
        <v>23.46</v>
      </c>
      <c r="AA62" s="5">
        <v>30.55</v>
      </c>
      <c r="AB62" s="5">
        <v>40.46</v>
      </c>
      <c r="AC62" s="5">
        <v>23.83</v>
      </c>
      <c r="AD62" s="5">
        <v>31.35</v>
      </c>
      <c r="AE62" s="5">
        <v>31.09</v>
      </c>
      <c r="AF62" s="5">
        <v>52.05</v>
      </c>
      <c r="AG62" s="5">
        <v>36.57</v>
      </c>
    </row>
    <row r="63" spans="1:33" x14ac:dyDescent="0.25">
      <c r="A63" s="4">
        <v>37438</v>
      </c>
      <c r="B63" s="5">
        <v>911.62</v>
      </c>
      <c r="C63" s="5">
        <v>8736.59</v>
      </c>
      <c r="D63" s="5">
        <v>24.41</v>
      </c>
      <c r="E63" s="5">
        <v>61.98</v>
      </c>
      <c r="F63" s="5">
        <v>29.46</v>
      </c>
      <c r="G63" s="5">
        <v>38.090000000000003</v>
      </c>
      <c r="H63" s="5">
        <v>26.4</v>
      </c>
      <c r="I63" s="5">
        <v>20.29</v>
      </c>
      <c r="J63" s="5">
        <v>35.54</v>
      </c>
      <c r="K63" s="5">
        <v>16.86</v>
      </c>
      <c r="L63" s="5">
        <v>28.1</v>
      </c>
      <c r="M63" s="5">
        <v>36.64</v>
      </c>
      <c r="N63" s="5">
        <v>29.07</v>
      </c>
      <c r="O63" s="5">
        <v>28.77</v>
      </c>
      <c r="P63" s="5">
        <v>13.22</v>
      </c>
      <c r="Q63" s="5">
        <v>67.040000000000006</v>
      </c>
      <c r="R63" s="5">
        <v>17.760000000000002</v>
      </c>
      <c r="S63" s="5">
        <v>47.62</v>
      </c>
      <c r="T63" s="5">
        <v>20.59</v>
      </c>
      <c r="U63" s="5">
        <v>44.37</v>
      </c>
      <c r="V63" s="5">
        <v>22.57</v>
      </c>
      <c r="W63" s="5">
        <v>56.69</v>
      </c>
      <c r="X63" s="5">
        <v>26.93</v>
      </c>
      <c r="Y63" s="5">
        <v>38.950000000000003</v>
      </c>
      <c r="Z63" s="5">
        <v>20.58</v>
      </c>
      <c r="AA63" s="5">
        <v>28.24</v>
      </c>
      <c r="AB63" s="5">
        <v>40.520000000000003</v>
      </c>
      <c r="AC63" s="5">
        <v>21.8</v>
      </c>
      <c r="AD63" s="5">
        <v>32.090000000000003</v>
      </c>
      <c r="AE63" s="5">
        <v>25.81</v>
      </c>
      <c r="AF63" s="5">
        <v>46.53</v>
      </c>
      <c r="AG63" s="5">
        <v>32.85</v>
      </c>
    </row>
    <row r="64" spans="1:33" x14ac:dyDescent="0.25">
      <c r="A64" s="4">
        <v>37469</v>
      </c>
      <c r="B64" s="5">
        <v>916.07</v>
      </c>
      <c r="C64" s="5">
        <v>8663.5</v>
      </c>
      <c r="D64" s="5">
        <v>22.64</v>
      </c>
      <c r="E64" s="5">
        <v>60.89</v>
      </c>
      <c r="F64" s="5">
        <v>30.12</v>
      </c>
      <c r="G64" s="5">
        <v>34.159999999999997</v>
      </c>
      <c r="H64" s="5">
        <v>27.79</v>
      </c>
      <c r="I64" s="5">
        <v>19.809999999999999</v>
      </c>
      <c r="J64" s="5">
        <v>34.46</v>
      </c>
      <c r="K64" s="5">
        <v>14.91</v>
      </c>
      <c r="L64" s="5">
        <v>26.31</v>
      </c>
      <c r="M64" s="5">
        <v>38.11</v>
      </c>
      <c r="N64" s="5">
        <v>31</v>
      </c>
      <c r="O64" s="5">
        <v>26.78</v>
      </c>
      <c r="P64" s="5">
        <v>12.54</v>
      </c>
      <c r="Q64" s="5">
        <v>71.94</v>
      </c>
      <c r="R64" s="5">
        <v>15.78</v>
      </c>
      <c r="S64" s="5">
        <v>49.34</v>
      </c>
      <c r="T64" s="5">
        <v>21.78</v>
      </c>
      <c r="U64" s="5">
        <v>45.31</v>
      </c>
      <c r="V64" s="5">
        <v>21.67</v>
      </c>
      <c r="W64" s="5">
        <v>56.56</v>
      </c>
      <c r="X64" s="5">
        <v>29.24</v>
      </c>
      <c r="Y64" s="5">
        <v>39.67</v>
      </c>
      <c r="Z64" s="5">
        <v>21.05</v>
      </c>
      <c r="AA64" s="5">
        <v>28.99</v>
      </c>
      <c r="AB64" s="5">
        <v>40.369999999999997</v>
      </c>
      <c r="AC64" s="5">
        <v>19.489999999999998</v>
      </c>
      <c r="AD64" s="5">
        <v>27.53</v>
      </c>
      <c r="AE64" s="5">
        <v>24.25</v>
      </c>
      <c r="AF64" s="5">
        <v>50.6</v>
      </c>
      <c r="AG64" s="5">
        <v>31.88</v>
      </c>
    </row>
    <row r="65" spans="1:33" x14ac:dyDescent="0.25">
      <c r="A65" s="4">
        <v>37502</v>
      </c>
      <c r="B65" s="5">
        <v>815.28</v>
      </c>
      <c r="C65" s="5">
        <v>7591.93</v>
      </c>
      <c r="D65" s="5">
        <v>17.41</v>
      </c>
      <c r="E65" s="5">
        <v>53.08</v>
      </c>
      <c r="F65" s="5">
        <v>26.05</v>
      </c>
      <c r="G65" s="5">
        <v>31.45</v>
      </c>
      <c r="H65" s="5">
        <v>25.16</v>
      </c>
      <c r="I65" s="5">
        <v>16.899999999999999</v>
      </c>
      <c r="J65" s="5">
        <v>30.84</v>
      </c>
      <c r="K65" s="5">
        <v>14.4</v>
      </c>
      <c r="L65" s="5">
        <v>21.66</v>
      </c>
      <c r="M65" s="5">
        <v>30.97</v>
      </c>
      <c r="N65" s="5">
        <v>24.61</v>
      </c>
      <c r="O65" s="5">
        <v>19.37</v>
      </c>
      <c r="P65" s="5">
        <v>10.96</v>
      </c>
      <c r="Q65" s="5">
        <v>55.65</v>
      </c>
      <c r="R65" s="5">
        <v>13.14</v>
      </c>
      <c r="S65" s="5">
        <v>49.13</v>
      </c>
      <c r="T65" s="5">
        <v>15.67</v>
      </c>
      <c r="U65" s="5">
        <v>42.78</v>
      </c>
      <c r="V65" s="5">
        <v>16.11</v>
      </c>
      <c r="W65" s="5">
        <v>49.78</v>
      </c>
      <c r="X65" s="5">
        <v>23</v>
      </c>
      <c r="Y65" s="5">
        <v>36.159999999999997</v>
      </c>
      <c r="Z65" s="5">
        <v>18.760000000000002</v>
      </c>
      <c r="AA65" s="5">
        <v>25.43</v>
      </c>
      <c r="AB65" s="5">
        <v>40.700000000000003</v>
      </c>
      <c r="AC65" s="5">
        <v>15.84</v>
      </c>
      <c r="AD65" s="5">
        <v>26.18</v>
      </c>
      <c r="AE65" s="5">
        <v>21.46</v>
      </c>
      <c r="AF65" s="5">
        <v>46.65</v>
      </c>
      <c r="AG65" s="5">
        <v>28.69</v>
      </c>
    </row>
    <row r="66" spans="1:33" x14ac:dyDescent="0.25">
      <c r="A66" s="4">
        <v>37530</v>
      </c>
      <c r="B66" s="5">
        <v>885.76</v>
      </c>
      <c r="C66" s="5">
        <v>8397.0300000000007</v>
      </c>
      <c r="D66" s="5">
        <v>19.91</v>
      </c>
      <c r="E66" s="5">
        <v>60.7</v>
      </c>
      <c r="F66" s="5">
        <v>30.46</v>
      </c>
      <c r="G66" s="5">
        <v>27.42</v>
      </c>
      <c r="H66" s="5">
        <v>31.51</v>
      </c>
      <c r="I66" s="5">
        <v>18.71</v>
      </c>
      <c r="J66" s="5">
        <v>35.270000000000003</v>
      </c>
      <c r="K66" s="5">
        <v>15.88</v>
      </c>
      <c r="L66" s="5">
        <v>22.19</v>
      </c>
      <c r="M66" s="5">
        <v>26.48</v>
      </c>
      <c r="N66" s="5">
        <v>27.23</v>
      </c>
      <c r="O66" s="5">
        <v>21.41</v>
      </c>
      <c r="P66" s="5">
        <v>14.84</v>
      </c>
      <c r="Q66" s="5">
        <v>75.34</v>
      </c>
      <c r="R66" s="5">
        <v>16.37</v>
      </c>
      <c r="S66" s="5">
        <v>53.38</v>
      </c>
      <c r="T66" s="5">
        <v>17.420000000000002</v>
      </c>
      <c r="U66" s="5">
        <v>41.46</v>
      </c>
      <c r="V66" s="5">
        <v>16.52</v>
      </c>
      <c r="W66" s="5">
        <v>57.47</v>
      </c>
      <c r="X66" s="5">
        <v>24.16</v>
      </c>
      <c r="Y66" s="5">
        <v>42.91</v>
      </c>
      <c r="Z66" s="5">
        <v>22.93</v>
      </c>
      <c r="AA66" s="5">
        <v>27.85</v>
      </c>
      <c r="AB66" s="5">
        <v>40.46</v>
      </c>
      <c r="AC66" s="5">
        <v>20.48</v>
      </c>
      <c r="AD66" s="5">
        <v>28.58</v>
      </c>
      <c r="AE66" s="5">
        <v>29.89</v>
      </c>
      <c r="AF66" s="5">
        <v>50.74</v>
      </c>
      <c r="AG66" s="5">
        <v>30.27</v>
      </c>
    </row>
    <row r="67" spans="1:33" x14ac:dyDescent="0.25">
      <c r="A67" s="4">
        <v>37561</v>
      </c>
      <c r="B67" s="5">
        <v>936.31</v>
      </c>
      <c r="C67" s="5">
        <v>8896.09</v>
      </c>
      <c r="D67" s="5">
        <v>23.2</v>
      </c>
      <c r="E67" s="5">
        <v>63.22</v>
      </c>
      <c r="F67" s="5">
        <v>32.6</v>
      </c>
      <c r="G67" s="5">
        <v>31.55</v>
      </c>
      <c r="H67" s="5">
        <v>33.15</v>
      </c>
      <c r="I67" s="5">
        <v>22.86</v>
      </c>
      <c r="J67" s="5">
        <v>38.47</v>
      </c>
      <c r="K67" s="5">
        <v>18.850000000000001</v>
      </c>
      <c r="L67" s="5">
        <v>23.83</v>
      </c>
      <c r="M67" s="5">
        <v>32.08</v>
      </c>
      <c r="N67" s="5">
        <v>24.89</v>
      </c>
      <c r="O67" s="5">
        <v>23.45</v>
      </c>
      <c r="P67" s="5">
        <v>18.3</v>
      </c>
      <c r="Q67" s="5">
        <v>83.11</v>
      </c>
      <c r="R67" s="5">
        <v>19.78</v>
      </c>
      <c r="S67" s="5">
        <v>51.98</v>
      </c>
      <c r="T67" s="5">
        <v>21.13</v>
      </c>
      <c r="U67" s="5">
        <v>40.89</v>
      </c>
      <c r="V67" s="5">
        <v>17.11</v>
      </c>
      <c r="W67" s="5">
        <v>59.07</v>
      </c>
      <c r="X67" s="5">
        <v>22.36</v>
      </c>
      <c r="Y67" s="5">
        <v>47</v>
      </c>
      <c r="Z67" s="5">
        <v>24.74</v>
      </c>
      <c r="AA67" s="5">
        <v>27.74</v>
      </c>
      <c r="AB67" s="5">
        <v>38.67</v>
      </c>
      <c r="AC67" s="5">
        <v>22.75</v>
      </c>
      <c r="AD67" s="5">
        <v>29.07</v>
      </c>
      <c r="AE67" s="5">
        <v>33.15</v>
      </c>
      <c r="AF67" s="5">
        <v>51.07</v>
      </c>
      <c r="AG67" s="5">
        <v>31.5</v>
      </c>
    </row>
    <row r="68" spans="1:33" x14ac:dyDescent="0.25">
      <c r="A68" s="4">
        <v>37592</v>
      </c>
      <c r="B68" s="5">
        <v>879.82</v>
      </c>
      <c r="C68" s="5">
        <v>8341.6299999999992</v>
      </c>
      <c r="D68" s="5">
        <v>20.69</v>
      </c>
      <c r="E68" s="5">
        <v>56.18</v>
      </c>
      <c r="F68" s="5">
        <v>29.67</v>
      </c>
      <c r="G68" s="5">
        <v>30.57</v>
      </c>
      <c r="H68" s="5">
        <v>30.01</v>
      </c>
      <c r="I68" s="5">
        <v>20.94</v>
      </c>
      <c r="J68" s="5">
        <v>36.549999999999997</v>
      </c>
      <c r="K68" s="5">
        <v>15.7</v>
      </c>
      <c r="L68" s="5">
        <v>21.56</v>
      </c>
      <c r="M68" s="5">
        <v>29.78</v>
      </c>
      <c r="N68" s="5">
        <v>22.7</v>
      </c>
      <c r="O68" s="5">
        <v>21.64</v>
      </c>
      <c r="P68" s="5">
        <v>16.38</v>
      </c>
      <c r="Q68" s="5">
        <v>74.099999999999994</v>
      </c>
      <c r="R68" s="5">
        <v>14.75</v>
      </c>
      <c r="S68" s="5">
        <v>48.96</v>
      </c>
      <c r="T68" s="5">
        <v>20.149999999999999</v>
      </c>
      <c r="U68" s="5">
        <v>39.28</v>
      </c>
      <c r="V68" s="5">
        <v>14.87</v>
      </c>
      <c r="W68" s="5">
        <v>56.09</v>
      </c>
      <c r="X68" s="5">
        <v>24.4</v>
      </c>
      <c r="Y68" s="5">
        <v>45.06</v>
      </c>
      <c r="Z68" s="5">
        <v>22.17</v>
      </c>
      <c r="AA68" s="5">
        <v>26.9</v>
      </c>
      <c r="AB68" s="5">
        <v>39.31</v>
      </c>
      <c r="AC68" s="5">
        <v>21.64</v>
      </c>
      <c r="AD68" s="5">
        <v>28.82</v>
      </c>
      <c r="AE68" s="5">
        <v>30.67</v>
      </c>
      <c r="AF68" s="5">
        <v>47.93</v>
      </c>
      <c r="AG68" s="5">
        <v>31.63</v>
      </c>
    </row>
    <row r="69" spans="1:33" x14ac:dyDescent="0.25">
      <c r="A69" s="4">
        <v>37623</v>
      </c>
      <c r="B69" s="5">
        <v>855.7</v>
      </c>
      <c r="C69" s="5">
        <v>8053.81</v>
      </c>
      <c r="D69" s="5">
        <v>17.95</v>
      </c>
      <c r="E69" s="5">
        <v>52.56</v>
      </c>
      <c r="F69" s="5">
        <v>29.82</v>
      </c>
      <c r="G69" s="5">
        <v>29.27</v>
      </c>
      <c r="H69" s="5">
        <v>29.46</v>
      </c>
      <c r="I69" s="5">
        <v>20.3</v>
      </c>
      <c r="J69" s="5">
        <v>32.65</v>
      </c>
      <c r="K69" s="5">
        <v>16.850000000000001</v>
      </c>
      <c r="L69" s="5">
        <v>20.49</v>
      </c>
      <c r="M69" s="5">
        <v>29.35</v>
      </c>
      <c r="N69" s="5">
        <v>19.75</v>
      </c>
      <c r="O69" s="5">
        <v>22.03</v>
      </c>
      <c r="P69" s="5">
        <v>16.43</v>
      </c>
      <c r="Q69" s="5">
        <v>74.77</v>
      </c>
      <c r="R69" s="5">
        <v>14.84</v>
      </c>
      <c r="S69" s="5">
        <v>48.87</v>
      </c>
      <c r="T69" s="5">
        <v>19.88</v>
      </c>
      <c r="U69" s="5">
        <v>36.25</v>
      </c>
      <c r="V69" s="5">
        <v>13.17</v>
      </c>
      <c r="W69" s="5">
        <v>56.66</v>
      </c>
      <c r="X69" s="5">
        <v>22.8</v>
      </c>
      <c r="Y69" s="5">
        <v>44.09</v>
      </c>
      <c r="Z69" s="5">
        <v>20.36</v>
      </c>
      <c r="AA69" s="5">
        <v>26.84</v>
      </c>
      <c r="AB69" s="5">
        <v>39.33</v>
      </c>
      <c r="AC69" s="5">
        <v>19.68</v>
      </c>
      <c r="AD69" s="5">
        <v>29.59</v>
      </c>
      <c r="AE69" s="5">
        <v>30.57</v>
      </c>
      <c r="AF69" s="5">
        <v>45.36</v>
      </c>
      <c r="AG69" s="5">
        <v>30.92</v>
      </c>
    </row>
    <row r="70" spans="1:33" x14ac:dyDescent="0.25">
      <c r="A70" s="4">
        <v>37655</v>
      </c>
      <c r="B70" s="5">
        <v>841.15</v>
      </c>
      <c r="C70" s="5">
        <v>7891.08</v>
      </c>
      <c r="D70" s="5">
        <v>18.760000000000002</v>
      </c>
      <c r="E70" s="5">
        <v>47.87</v>
      </c>
      <c r="F70" s="5">
        <v>28.18</v>
      </c>
      <c r="G70" s="5">
        <v>25.68</v>
      </c>
      <c r="H70" s="5">
        <v>28.59</v>
      </c>
      <c r="I70" s="5">
        <v>21.69</v>
      </c>
      <c r="J70" s="5">
        <v>31.92</v>
      </c>
      <c r="K70" s="5">
        <v>16.420000000000002</v>
      </c>
      <c r="L70" s="5">
        <v>21.46</v>
      </c>
      <c r="M70" s="5">
        <v>27.67</v>
      </c>
      <c r="N70" s="5">
        <v>22.16</v>
      </c>
      <c r="O70" s="5">
        <v>20.8</v>
      </c>
      <c r="P70" s="5">
        <v>14.96</v>
      </c>
      <c r="Q70" s="5">
        <v>74.67</v>
      </c>
      <c r="R70" s="5">
        <v>16.36</v>
      </c>
      <c r="S70" s="5">
        <v>48.01</v>
      </c>
      <c r="T70" s="5">
        <v>19.309999999999999</v>
      </c>
      <c r="U70" s="5">
        <v>36.03</v>
      </c>
      <c r="V70" s="5">
        <v>12.59</v>
      </c>
      <c r="W70" s="5">
        <v>57.33</v>
      </c>
      <c r="X70" s="5">
        <v>23.27</v>
      </c>
      <c r="Y70" s="5">
        <v>41.99</v>
      </c>
      <c r="Z70" s="5">
        <v>20.399999999999999</v>
      </c>
      <c r="AA70" s="5">
        <v>26.37</v>
      </c>
      <c r="AB70" s="5">
        <v>37.619999999999997</v>
      </c>
      <c r="AC70" s="5">
        <v>16.75</v>
      </c>
      <c r="AD70" s="5">
        <v>27.37</v>
      </c>
      <c r="AE70" s="5">
        <v>27.62</v>
      </c>
      <c r="AF70" s="5">
        <v>45.6</v>
      </c>
      <c r="AG70" s="5">
        <v>31.01</v>
      </c>
    </row>
    <row r="71" spans="1:33" x14ac:dyDescent="0.25">
      <c r="A71" s="4">
        <v>37683</v>
      </c>
      <c r="B71" s="5">
        <v>848.18</v>
      </c>
      <c r="C71" s="5">
        <v>7992.13</v>
      </c>
      <c r="D71" s="5">
        <v>17.739999999999998</v>
      </c>
      <c r="E71" s="5">
        <v>48.07</v>
      </c>
      <c r="F71" s="5">
        <v>27.89</v>
      </c>
      <c r="G71" s="5">
        <v>23.35</v>
      </c>
      <c r="H71" s="5">
        <v>29.54</v>
      </c>
      <c r="I71" s="5">
        <v>22.71</v>
      </c>
      <c r="J71" s="5">
        <v>33.83</v>
      </c>
      <c r="K71" s="5">
        <v>16.39</v>
      </c>
      <c r="L71" s="5">
        <v>22.76</v>
      </c>
      <c r="M71" s="5">
        <v>27.55</v>
      </c>
      <c r="N71" s="5">
        <v>23.08</v>
      </c>
      <c r="O71" s="5">
        <v>19.41</v>
      </c>
      <c r="P71" s="5">
        <v>14.75</v>
      </c>
      <c r="Q71" s="5">
        <v>75.13</v>
      </c>
      <c r="R71" s="5">
        <v>15.44</v>
      </c>
      <c r="S71" s="5">
        <v>52.97</v>
      </c>
      <c r="T71" s="5">
        <v>20.190000000000001</v>
      </c>
      <c r="U71" s="5">
        <v>36.479999999999997</v>
      </c>
      <c r="V71" s="5">
        <v>13.37</v>
      </c>
      <c r="W71" s="5">
        <v>59.46</v>
      </c>
      <c r="X71" s="5">
        <v>18.37</v>
      </c>
      <c r="Y71" s="5">
        <v>43.91</v>
      </c>
      <c r="Z71" s="5">
        <v>20.83</v>
      </c>
      <c r="AA71" s="5">
        <v>27.55</v>
      </c>
      <c r="AB71" s="5">
        <v>40.93</v>
      </c>
      <c r="AC71" s="5">
        <v>16.16</v>
      </c>
      <c r="AD71" s="5">
        <v>26.99</v>
      </c>
      <c r="AE71" s="5">
        <v>28.23</v>
      </c>
      <c r="AF71" s="5">
        <v>49.45</v>
      </c>
      <c r="AG71" s="5">
        <v>31.85</v>
      </c>
    </row>
    <row r="72" spans="1:33" x14ac:dyDescent="0.25">
      <c r="A72" s="4">
        <v>37712</v>
      </c>
      <c r="B72" s="5">
        <v>916.92</v>
      </c>
      <c r="C72" s="5">
        <v>8480.09</v>
      </c>
      <c r="D72" s="5">
        <v>21.13</v>
      </c>
      <c r="E72" s="5">
        <v>56.33</v>
      </c>
      <c r="F72" s="5">
        <v>31.85</v>
      </c>
      <c r="G72" s="5">
        <v>25.42</v>
      </c>
      <c r="H72" s="5">
        <v>33.659999999999997</v>
      </c>
      <c r="I72" s="5">
        <v>24.44</v>
      </c>
      <c r="J72" s="5">
        <v>37.020000000000003</v>
      </c>
      <c r="K72" s="5">
        <v>17.97</v>
      </c>
      <c r="L72" s="5">
        <v>26.28</v>
      </c>
      <c r="M72" s="5">
        <v>29.54</v>
      </c>
      <c r="N72" s="5">
        <v>26.66</v>
      </c>
      <c r="O72" s="5">
        <v>21.45</v>
      </c>
      <c r="P72" s="5">
        <v>15.46</v>
      </c>
      <c r="Q72" s="5">
        <v>81.33</v>
      </c>
      <c r="R72" s="5">
        <v>17.45</v>
      </c>
      <c r="S72" s="5">
        <v>51.59</v>
      </c>
      <c r="T72" s="5">
        <v>25.35</v>
      </c>
      <c r="U72" s="5">
        <v>36.409999999999997</v>
      </c>
      <c r="V72" s="5">
        <v>15.81</v>
      </c>
      <c r="W72" s="5">
        <v>57.64</v>
      </c>
      <c r="X72" s="5">
        <v>18.86</v>
      </c>
      <c r="Y72" s="5">
        <v>46.64</v>
      </c>
      <c r="Z72" s="5">
        <v>22</v>
      </c>
      <c r="AA72" s="5">
        <v>27.19</v>
      </c>
      <c r="AB72" s="5">
        <v>41.49</v>
      </c>
      <c r="AC72" s="5">
        <v>19.100000000000001</v>
      </c>
      <c r="AD72" s="5">
        <v>28.88</v>
      </c>
      <c r="AE72" s="5">
        <v>30.18</v>
      </c>
      <c r="AF72" s="5">
        <v>53.53</v>
      </c>
      <c r="AG72" s="5">
        <v>32.08</v>
      </c>
    </row>
    <row r="73" spans="1:33" x14ac:dyDescent="0.25">
      <c r="A73" s="4">
        <v>37742</v>
      </c>
      <c r="B73" s="5">
        <v>963.59</v>
      </c>
      <c r="C73" s="5">
        <v>8850.26</v>
      </c>
      <c r="D73" s="5">
        <v>22.67</v>
      </c>
      <c r="E73" s="5">
        <v>56.26</v>
      </c>
      <c r="F73" s="5">
        <v>35.049999999999997</v>
      </c>
      <c r="G73" s="5">
        <v>28.74</v>
      </c>
      <c r="H73" s="5">
        <v>35.36</v>
      </c>
      <c r="I73" s="5">
        <v>24.23</v>
      </c>
      <c r="J73" s="5">
        <v>36.979999999999997</v>
      </c>
      <c r="K73" s="5">
        <v>18.920000000000002</v>
      </c>
      <c r="L73" s="5">
        <v>25.61</v>
      </c>
      <c r="M73" s="5">
        <v>29.35</v>
      </c>
      <c r="N73" s="5">
        <v>30.79</v>
      </c>
      <c r="O73" s="5">
        <v>23.99</v>
      </c>
      <c r="P73" s="5">
        <v>18.489999999999998</v>
      </c>
      <c r="Q73" s="5">
        <v>84.5</v>
      </c>
      <c r="R73" s="5">
        <v>19.77</v>
      </c>
      <c r="S73" s="5">
        <v>49.97</v>
      </c>
      <c r="T73" s="5">
        <v>28.38</v>
      </c>
      <c r="U73" s="5">
        <v>41.07</v>
      </c>
      <c r="V73" s="5">
        <v>17.32</v>
      </c>
      <c r="W73" s="5">
        <v>58.14</v>
      </c>
      <c r="X73" s="5">
        <v>25.32</v>
      </c>
      <c r="Y73" s="5">
        <v>44.56</v>
      </c>
      <c r="Z73" s="5">
        <v>21.18</v>
      </c>
      <c r="AA73" s="5">
        <v>27.55</v>
      </c>
      <c r="AB73" s="5">
        <v>42.4</v>
      </c>
      <c r="AC73" s="5">
        <v>20.82</v>
      </c>
      <c r="AD73" s="5">
        <v>32.01</v>
      </c>
      <c r="AE73" s="5">
        <v>30.56</v>
      </c>
      <c r="AF73" s="5">
        <v>50.01</v>
      </c>
      <c r="AG73" s="5">
        <v>33.409999999999997</v>
      </c>
    </row>
    <row r="74" spans="1:33" x14ac:dyDescent="0.25">
      <c r="A74" s="4">
        <v>37774</v>
      </c>
      <c r="B74" s="5">
        <v>974.5</v>
      </c>
      <c r="C74" s="5">
        <v>8985.44</v>
      </c>
      <c r="D74" s="5">
        <v>23.49</v>
      </c>
      <c r="E74" s="5">
        <v>53.68</v>
      </c>
      <c r="F74" s="5">
        <v>35.18</v>
      </c>
      <c r="G74" s="5">
        <v>32.159999999999997</v>
      </c>
      <c r="H74" s="5">
        <v>36.89</v>
      </c>
      <c r="I74" s="5">
        <v>25.86</v>
      </c>
      <c r="J74" s="5">
        <v>36.54</v>
      </c>
      <c r="K74" s="5">
        <v>19.010000000000002</v>
      </c>
      <c r="L74" s="5">
        <v>25.76</v>
      </c>
      <c r="M74" s="5">
        <v>29.91</v>
      </c>
      <c r="N74" s="5">
        <v>31.44</v>
      </c>
      <c r="O74" s="5">
        <v>24.59</v>
      </c>
      <c r="P74" s="5">
        <v>20.28</v>
      </c>
      <c r="Q74" s="5">
        <v>79.180000000000007</v>
      </c>
      <c r="R74" s="5">
        <v>19.760000000000002</v>
      </c>
      <c r="S74" s="5">
        <v>47.53</v>
      </c>
      <c r="T74" s="5">
        <v>29.52</v>
      </c>
      <c r="U74" s="5">
        <v>42.02</v>
      </c>
      <c r="V74" s="5">
        <v>20.399999999999999</v>
      </c>
      <c r="W74" s="5">
        <v>59.29</v>
      </c>
      <c r="X74" s="5">
        <v>28.27</v>
      </c>
      <c r="Y74" s="5">
        <v>48.85</v>
      </c>
      <c r="Z74" s="5">
        <v>22.06</v>
      </c>
      <c r="AA74" s="5">
        <v>30.33</v>
      </c>
      <c r="AB74" s="5">
        <v>41.18</v>
      </c>
      <c r="AC74" s="5">
        <v>20.9</v>
      </c>
      <c r="AD74" s="5">
        <v>33.22</v>
      </c>
      <c r="AE74" s="5">
        <v>31.85</v>
      </c>
      <c r="AF74" s="5">
        <v>51.1</v>
      </c>
      <c r="AG74" s="5">
        <v>32.96</v>
      </c>
    </row>
    <row r="75" spans="1:33" x14ac:dyDescent="0.25">
      <c r="A75" s="4">
        <v>37803</v>
      </c>
      <c r="B75" s="5">
        <v>990.31</v>
      </c>
      <c r="C75" s="5">
        <v>9233.7999999999993</v>
      </c>
      <c r="D75" s="5">
        <v>25.59</v>
      </c>
      <c r="E75" s="5">
        <v>62.46</v>
      </c>
      <c r="F75" s="5">
        <v>37.25</v>
      </c>
      <c r="G75" s="5">
        <v>31.03</v>
      </c>
      <c r="H75" s="5">
        <v>38.92</v>
      </c>
      <c r="I75" s="5">
        <v>31.53</v>
      </c>
      <c r="J75" s="5">
        <v>38.56</v>
      </c>
      <c r="K75" s="5">
        <v>21.1</v>
      </c>
      <c r="L75" s="5">
        <v>25.55</v>
      </c>
      <c r="M75" s="5">
        <v>31.1</v>
      </c>
      <c r="N75" s="5">
        <v>29.62</v>
      </c>
      <c r="O75" s="5">
        <v>25.9</v>
      </c>
      <c r="P75" s="5">
        <v>20.149999999999999</v>
      </c>
      <c r="Q75" s="5">
        <v>77.98</v>
      </c>
      <c r="R75" s="5">
        <v>23.63</v>
      </c>
      <c r="S75" s="5">
        <v>47.61</v>
      </c>
      <c r="T75" s="5">
        <v>30.58</v>
      </c>
      <c r="U75" s="5">
        <v>40.72</v>
      </c>
      <c r="V75" s="5">
        <v>21.28</v>
      </c>
      <c r="W75" s="5">
        <v>64.45</v>
      </c>
      <c r="X75" s="5">
        <v>24.89</v>
      </c>
      <c r="Y75" s="5">
        <v>44.6</v>
      </c>
      <c r="Z75" s="5">
        <v>22.73</v>
      </c>
      <c r="AA75" s="5">
        <v>29.63</v>
      </c>
      <c r="AB75" s="5">
        <v>40.78</v>
      </c>
      <c r="AC75" s="5">
        <v>19.39</v>
      </c>
      <c r="AD75" s="5">
        <v>35.29</v>
      </c>
      <c r="AE75" s="5">
        <v>28.53</v>
      </c>
      <c r="AF75" s="5">
        <v>53.23</v>
      </c>
      <c r="AG75" s="5">
        <v>32.659999999999997</v>
      </c>
    </row>
    <row r="76" spans="1:33" x14ac:dyDescent="0.25">
      <c r="A76" s="4">
        <v>37834</v>
      </c>
      <c r="B76" s="5">
        <v>1008.01</v>
      </c>
      <c r="C76" s="5">
        <v>9415.82</v>
      </c>
      <c r="D76" s="5">
        <v>26.46</v>
      </c>
      <c r="E76" s="5">
        <v>57.95</v>
      </c>
      <c r="F76" s="5">
        <v>37.99</v>
      </c>
      <c r="G76" s="5">
        <v>35.22</v>
      </c>
      <c r="H76" s="5">
        <v>37.659999999999997</v>
      </c>
      <c r="I76" s="5">
        <v>33.57</v>
      </c>
      <c r="J76" s="5">
        <v>39.58</v>
      </c>
      <c r="K76" s="5">
        <v>19.739999999999998</v>
      </c>
      <c r="L76" s="5">
        <v>26.56</v>
      </c>
      <c r="M76" s="5">
        <v>34.6</v>
      </c>
      <c r="N76" s="5">
        <v>30.53</v>
      </c>
      <c r="O76" s="5">
        <v>26.72</v>
      </c>
      <c r="P76" s="5">
        <v>18.97</v>
      </c>
      <c r="Q76" s="5">
        <v>78.87</v>
      </c>
      <c r="R76" s="5">
        <v>27.17</v>
      </c>
      <c r="S76" s="5">
        <v>45.8</v>
      </c>
      <c r="T76" s="5">
        <v>29.85</v>
      </c>
      <c r="U76" s="5">
        <v>39.4</v>
      </c>
      <c r="V76" s="5">
        <v>20.73</v>
      </c>
      <c r="W76" s="5">
        <v>65.8</v>
      </c>
      <c r="X76" s="5">
        <v>25.64</v>
      </c>
      <c r="Y76" s="5">
        <v>42.89</v>
      </c>
      <c r="Z76" s="5">
        <v>22.82</v>
      </c>
      <c r="AA76" s="5">
        <v>26.7</v>
      </c>
      <c r="AB76" s="5">
        <v>40.51</v>
      </c>
      <c r="AC76" s="5">
        <v>18.64</v>
      </c>
      <c r="AD76" s="5">
        <v>37.770000000000003</v>
      </c>
      <c r="AE76" s="5">
        <v>28.79</v>
      </c>
      <c r="AF76" s="5">
        <v>56.33</v>
      </c>
      <c r="AG76" s="5">
        <v>34.840000000000003</v>
      </c>
    </row>
    <row r="77" spans="1:33" x14ac:dyDescent="0.25">
      <c r="A77" s="4">
        <v>37866</v>
      </c>
      <c r="B77" s="5">
        <v>995.97</v>
      </c>
      <c r="C77" s="5">
        <v>9275.06</v>
      </c>
      <c r="D77" s="5">
        <v>24.24</v>
      </c>
      <c r="E77" s="5">
        <v>56.2</v>
      </c>
      <c r="F77" s="5">
        <v>38</v>
      </c>
      <c r="G77" s="5">
        <v>32.340000000000003</v>
      </c>
      <c r="H77" s="5">
        <v>39.53</v>
      </c>
      <c r="I77" s="5">
        <v>32.17</v>
      </c>
      <c r="J77" s="5">
        <v>35.39</v>
      </c>
      <c r="K77" s="5">
        <v>19.420000000000002</v>
      </c>
      <c r="L77" s="5">
        <v>26.94</v>
      </c>
      <c r="M77" s="5">
        <v>34.46</v>
      </c>
      <c r="N77" s="5">
        <v>30.3</v>
      </c>
      <c r="O77" s="5">
        <v>24.29</v>
      </c>
      <c r="P77" s="5">
        <v>18.5</v>
      </c>
      <c r="Q77" s="5">
        <v>84.94</v>
      </c>
      <c r="R77" s="5">
        <v>26.15</v>
      </c>
      <c r="S77" s="5">
        <v>45.74</v>
      </c>
      <c r="T77" s="5">
        <v>29.95</v>
      </c>
      <c r="U77" s="5">
        <v>39.090000000000003</v>
      </c>
      <c r="V77" s="5">
        <v>21.77</v>
      </c>
      <c r="W77" s="5">
        <v>63.8</v>
      </c>
      <c r="X77" s="5">
        <v>27.7</v>
      </c>
      <c r="Y77" s="5">
        <v>43.47</v>
      </c>
      <c r="Z77" s="5">
        <v>23.92</v>
      </c>
      <c r="AA77" s="5">
        <v>27.11</v>
      </c>
      <c r="AB77" s="5">
        <v>43.08</v>
      </c>
      <c r="AC77" s="5">
        <v>18.47</v>
      </c>
      <c r="AD77" s="5">
        <v>36.369999999999997</v>
      </c>
      <c r="AE77" s="5">
        <v>26.45</v>
      </c>
      <c r="AF77" s="5">
        <v>53.17</v>
      </c>
      <c r="AG77" s="5">
        <v>33.83</v>
      </c>
    </row>
    <row r="78" spans="1:33" x14ac:dyDescent="0.25">
      <c r="A78" s="4">
        <v>37895</v>
      </c>
      <c r="B78" s="5">
        <v>1050.71</v>
      </c>
      <c r="C78" s="5">
        <v>9801.1200000000008</v>
      </c>
      <c r="D78" s="5">
        <v>29.25</v>
      </c>
      <c r="E78" s="5">
        <v>59.24</v>
      </c>
      <c r="F78" s="5">
        <v>39.67</v>
      </c>
      <c r="G78" s="5">
        <v>36.26</v>
      </c>
      <c r="H78" s="5">
        <v>41.48</v>
      </c>
      <c r="I78" s="5">
        <v>34.409999999999997</v>
      </c>
      <c r="J78" s="5">
        <v>35.74</v>
      </c>
      <c r="K78" s="5">
        <v>21.8</v>
      </c>
      <c r="L78" s="5">
        <v>26.22</v>
      </c>
      <c r="M78" s="5">
        <v>35.93</v>
      </c>
      <c r="N78" s="5">
        <v>35.270000000000003</v>
      </c>
      <c r="O78" s="5">
        <v>28.22</v>
      </c>
      <c r="P78" s="5">
        <v>21.32</v>
      </c>
      <c r="Q78" s="5">
        <v>86.05</v>
      </c>
      <c r="R78" s="5">
        <v>31.31</v>
      </c>
      <c r="S78" s="5">
        <v>46.49</v>
      </c>
      <c r="T78" s="5">
        <v>31.62</v>
      </c>
      <c r="U78" s="5">
        <v>42.22</v>
      </c>
      <c r="V78" s="5">
        <v>23.12</v>
      </c>
      <c r="W78" s="5">
        <v>72.849999999999994</v>
      </c>
      <c r="X78" s="5">
        <v>29.41</v>
      </c>
      <c r="Y78" s="5">
        <v>38</v>
      </c>
      <c r="Z78" s="5">
        <v>22.62</v>
      </c>
      <c r="AA78" s="5">
        <v>28.19</v>
      </c>
      <c r="AB78" s="5">
        <v>45.83</v>
      </c>
      <c r="AC78" s="5">
        <v>20.239999999999998</v>
      </c>
      <c r="AD78" s="5">
        <v>39.86</v>
      </c>
      <c r="AE78" s="5">
        <v>27.71</v>
      </c>
      <c r="AF78" s="5">
        <v>56.21</v>
      </c>
      <c r="AG78" s="5">
        <v>33.81</v>
      </c>
    </row>
    <row r="79" spans="1:33" x14ac:dyDescent="0.25">
      <c r="A79" s="4">
        <v>37928</v>
      </c>
      <c r="B79" s="5">
        <v>1058.2</v>
      </c>
      <c r="C79" s="5">
        <v>9782.4599999999991</v>
      </c>
      <c r="D79" s="5">
        <v>30.54</v>
      </c>
      <c r="E79" s="5">
        <v>56.44</v>
      </c>
      <c r="F79" s="5">
        <v>38.64</v>
      </c>
      <c r="G79" s="5">
        <v>36.32</v>
      </c>
      <c r="H79" s="5">
        <v>41.16</v>
      </c>
      <c r="I79" s="5">
        <v>35.71</v>
      </c>
      <c r="J79" s="5">
        <v>36.99</v>
      </c>
      <c r="K79" s="5">
        <v>22.23</v>
      </c>
      <c r="L79" s="5">
        <v>25.91</v>
      </c>
      <c r="M79" s="5">
        <v>36.44</v>
      </c>
      <c r="N79" s="5">
        <v>34.97</v>
      </c>
      <c r="O79" s="5">
        <v>27.54</v>
      </c>
      <c r="P79" s="5">
        <v>20.78</v>
      </c>
      <c r="Q79" s="5">
        <v>87.23</v>
      </c>
      <c r="R79" s="5">
        <v>31.89</v>
      </c>
      <c r="S79" s="5">
        <v>45.76</v>
      </c>
      <c r="T79" s="5">
        <v>31.18</v>
      </c>
      <c r="U79" s="5">
        <v>42.51</v>
      </c>
      <c r="V79" s="5">
        <v>24.07</v>
      </c>
      <c r="W79" s="5">
        <v>73.319999999999993</v>
      </c>
      <c r="X79" s="5">
        <v>32.89</v>
      </c>
      <c r="Y79" s="5">
        <v>34.86</v>
      </c>
      <c r="Z79" s="5">
        <v>22.25</v>
      </c>
      <c r="AA79" s="5">
        <v>30.09</v>
      </c>
      <c r="AB79" s="5">
        <v>44.88</v>
      </c>
      <c r="AC79" s="5">
        <v>19.649999999999999</v>
      </c>
      <c r="AD79" s="5">
        <v>40.5</v>
      </c>
      <c r="AE79" s="5">
        <v>27.08</v>
      </c>
      <c r="AF79" s="5">
        <v>53.06</v>
      </c>
      <c r="AG79" s="5">
        <v>33.69</v>
      </c>
    </row>
    <row r="80" spans="1:33" x14ac:dyDescent="0.25">
      <c r="A80" s="4">
        <v>37956</v>
      </c>
      <c r="B80" s="5">
        <v>1111.92</v>
      </c>
      <c r="C80" s="5">
        <v>10453.92</v>
      </c>
      <c r="D80" s="5">
        <v>35.369999999999997</v>
      </c>
      <c r="E80" s="5">
        <v>64.62</v>
      </c>
      <c r="F80" s="5">
        <v>40.85</v>
      </c>
      <c r="G80" s="5">
        <v>39.869999999999997</v>
      </c>
      <c r="H80" s="5">
        <v>42.48</v>
      </c>
      <c r="I80" s="5">
        <v>38.99</v>
      </c>
      <c r="J80" s="5">
        <v>40.950000000000003</v>
      </c>
      <c r="K80" s="5">
        <v>22.67</v>
      </c>
      <c r="L80" s="5">
        <v>28.19</v>
      </c>
      <c r="M80" s="5">
        <v>45.49</v>
      </c>
      <c r="N80" s="5">
        <v>33.83</v>
      </c>
      <c r="O80" s="5">
        <v>31.01</v>
      </c>
      <c r="P80" s="5">
        <v>22.03</v>
      </c>
      <c r="Q80" s="5">
        <v>89.29</v>
      </c>
      <c r="R80" s="5">
        <v>30.48</v>
      </c>
      <c r="S80" s="5">
        <v>47.95</v>
      </c>
      <c r="T80" s="5">
        <v>32.35</v>
      </c>
      <c r="U80" s="5">
        <v>46.4</v>
      </c>
      <c r="V80" s="5">
        <v>23.32</v>
      </c>
      <c r="W80" s="5">
        <v>78.88</v>
      </c>
      <c r="X80" s="5">
        <v>34.86</v>
      </c>
      <c r="Y80" s="5">
        <v>40.020000000000003</v>
      </c>
      <c r="Z80" s="5">
        <v>23.69</v>
      </c>
      <c r="AA80" s="5">
        <v>31.67</v>
      </c>
      <c r="AB80" s="5">
        <v>46.58</v>
      </c>
      <c r="AC80" s="5">
        <v>22</v>
      </c>
      <c r="AD80" s="5">
        <v>44.79</v>
      </c>
      <c r="AE80" s="5">
        <v>28.93</v>
      </c>
      <c r="AF80" s="5">
        <v>50.67</v>
      </c>
      <c r="AG80" s="5">
        <v>38.159999999999997</v>
      </c>
    </row>
    <row r="81" spans="1:33" x14ac:dyDescent="0.25">
      <c r="A81" s="4">
        <v>37988</v>
      </c>
      <c r="B81" s="5">
        <v>1131.1300000000001</v>
      </c>
      <c r="C81" s="5">
        <v>10488.07</v>
      </c>
      <c r="D81" s="5">
        <v>31.82</v>
      </c>
      <c r="E81" s="5">
        <v>67.72</v>
      </c>
      <c r="F81" s="5">
        <v>43.91</v>
      </c>
      <c r="G81" s="5">
        <v>39.5</v>
      </c>
      <c r="H81" s="5">
        <v>43.66</v>
      </c>
      <c r="I81" s="5">
        <v>36.85</v>
      </c>
      <c r="J81" s="5">
        <v>39.17</v>
      </c>
      <c r="K81" s="5">
        <v>23.33</v>
      </c>
      <c r="L81" s="5">
        <v>30.6</v>
      </c>
      <c r="M81" s="5">
        <v>42.32</v>
      </c>
      <c r="N81" s="5">
        <v>33.81</v>
      </c>
      <c r="O81" s="5">
        <v>33.51</v>
      </c>
      <c r="P81" s="5">
        <v>22.82</v>
      </c>
      <c r="Q81" s="5">
        <v>95.6</v>
      </c>
      <c r="R81" s="5">
        <v>29.02</v>
      </c>
      <c r="S81" s="5">
        <v>49.58</v>
      </c>
      <c r="T81" s="5">
        <v>34.58</v>
      </c>
      <c r="U81" s="5">
        <v>45.02</v>
      </c>
      <c r="V81" s="5">
        <v>24.17</v>
      </c>
      <c r="W81" s="5">
        <v>73.37</v>
      </c>
      <c r="X81" s="5">
        <v>35.6</v>
      </c>
      <c r="Y81" s="5">
        <v>41.23</v>
      </c>
      <c r="Z81" s="5">
        <v>23.93</v>
      </c>
      <c r="AA81" s="5">
        <v>32.840000000000003</v>
      </c>
      <c r="AB81" s="5">
        <v>47.35</v>
      </c>
      <c r="AC81" s="5">
        <v>21.77</v>
      </c>
      <c r="AD81" s="5">
        <v>45.15</v>
      </c>
      <c r="AE81" s="5">
        <v>30.72</v>
      </c>
      <c r="AF81" s="5">
        <v>51.44</v>
      </c>
      <c r="AG81" s="5">
        <v>37.96</v>
      </c>
    </row>
    <row r="82" spans="1:33" x14ac:dyDescent="0.25">
      <c r="A82" s="4">
        <v>38019</v>
      </c>
      <c r="B82" s="5">
        <v>1144.94</v>
      </c>
      <c r="C82" s="5">
        <v>10583.92</v>
      </c>
      <c r="D82" s="5">
        <v>35.03</v>
      </c>
      <c r="E82" s="5">
        <v>72.150000000000006</v>
      </c>
      <c r="F82" s="5">
        <v>45.25</v>
      </c>
      <c r="G82" s="5">
        <v>41.19</v>
      </c>
      <c r="H82" s="5">
        <v>44.34</v>
      </c>
      <c r="I82" s="5">
        <v>35.729999999999997</v>
      </c>
      <c r="J82" s="5">
        <v>40.549999999999997</v>
      </c>
      <c r="K82" s="5">
        <v>25.78</v>
      </c>
      <c r="L82" s="5">
        <v>29.77</v>
      </c>
      <c r="M82" s="5">
        <v>41.41</v>
      </c>
      <c r="N82" s="5">
        <v>34.61</v>
      </c>
      <c r="O82" s="5">
        <v>32.68</v>
      </c>
      <c r="P82" s="5">
        <v>21.79</v>
      </c>
      <c r="Q82" s="5">
        <v>93.12</v>
      </c>
      <c r="R82" s="5">
        <v>27.8</v>
      </c>
      <c r="S82" s="5">
        <v>50.26</v>
      </c>
      <c r="T82" s="5">
        <v>36.47</v>
      </c>
      <c r="U82" s="5">
        <v>45.67</v>
      </c>
      <c r="V82" s="5">
        <v>26.58</v>
      </c>
      <c r="W82" s="5">
        <v>72.7</v>
      </c>
      <c r="X82" s="5">
        <v>36.86</v>
      </c>
      <c r="Y82" s="5">
        <v>41.65</v>
      </c>
      <c r="Z82" s="5">
        <v>22.96</v>
      </c>
      <c r="AA82" s="5">
        <v>33</v>
      </c>
      <c r="AB82" s="5">
        <v>48.02</v>
      </c>
      <c r="AC82" s="5">
        <v>20.5</v>
      </c>
      <c r="AD82" s="5">
        <v>43.69</v>
      </c>
      <c r="AE82" s="5">
        <v>31.95</v>
      </c>
      <c r="AF82" s="5">
        <v>56.89</v>
      </c>
      <c r="AG82" s="5">
        <v>39.49</v>
      </c>
    </row>
    <row r="83" spans="1:33" x14ac:dyDescent="0.25">
      <c r="A83" s="4">
        <v>38047</v>
      </c>
      <c r="B83" s="5">
        <v>1126.21</v>
      </c>
      <c r="C83" s="5">
        <v>10357.700000000001</v>
      </c>
      <c r="D83" s="5">
        <v>32.44</v>
      </c>
      <c r="E83" s="5">
        <v>69.63</v>
      </c>
      <c r="F83" s="5">
        <v>44</v>
      </c>
      <c r="G83" s="5">
        <v>39.01</v>
      </c>
      <c r="H83" s="5">
        <v>45.61</v>
      </c>
      <c r="I83" s="5">
        <v>37.299999999999997</v>
      </c>
      <c r="J83" s="5">
        <v>37.97</v>
      </c>
      <c r="K83" s="5">
        <v>24.29</v>
      </c>
      <c r="L83" s="5">
        <v>27.94</v>
      </c>
      <c r="M83" s="5">
        <v>40.659999999999997</v>
      </c>
      <c r="N83" s="5">
        <v>35.68</v>
      </c>
      <c r="O83" s="5">
        <v>31.56</v>
      </c>
      <c r="P83" s="5">
        <v>21.99</v>
      </c>
      <c r="Q83" s="5">
        <v>88.62</v>
      </c>
      <c r="R83" s="5">
        <v>25.9</v>
      </c>
      <c r="S83" s="5">
        <v>47.28</v>
      </c>
      <c r="T83" s="5">
        <v>37.299999999999997</v>
      </c>
      <c r="U83" s="5">
        <v>46.22</v>
      </c>
      <c r="V83" s="5">
        <v>26.83</v>
      </c>
      <c r="W83" s="5">
        <v>76.290000000000006</v>
      </c>
      <c r="X83" s="5">
        <v>35.29</v>
      </c>
      <c r="Y83" s="5">
        <v>38.58</v>
      </c>
      <c r="Z83" s="5">
        <v>21.57</v>
      </c>
      <c r="AA83" s="5">
        <v>31.56</v>
      </c>
      <c r="AB83" s="5">
        <v>49.13</v>
      </c>
      <c r="AC83" s="5">
        <v>20.95</v>
      </c>
      <c r="AD83" s="5">
        <v>40.94</v>
      </c>
      <c r="AE83" s="5">
        <v>30.45</v>
      </c>
      <c r="AF83" s="5">
        <v>57.15</v>
      </c>
      <c r="AG83" s="5">
        <v>38.950000000000003</v>
      </c>
    </row>
    <row r="84" spans="1:33" x14ac:dyDescent="0.25">
      <c r="A84" s="4">
        <v>38078</v>
      </c>
      <c r="B84" s="5">
        <v>1107.3</v>
      </c>
      <c r="C84" s="5">
        <v>10225.57</v>
      </c>
      <c r="D84" s="5">
        <v>28.75</v>
      </c>
      <c r="E84" s="5">
        <v>69.92</v>
      </c>
      <c r="F84" s="5">
        <v>41.54</v>
      </c>
      <c r="G84" s="5">
        <v>40.549999999999997</v>
      </c>
      <c r="H84" s="5">
        <v>42.78</v>
      </c>
      <c r="I84" s="5">
        <v>36.83</v>
      </c>
      <c r="J84" s="5">
        <v>38.630000000000003</v>
      </c>
      <c r="K84" s="5">
        <v>22.38</v>
      </c>
      <c r="L84" s="5">
        <v>27.42</v>
      </c>
      <c r="M84" s="5">
        <v>40.81</v>
      </c>
      <c r="N84" s="5">
        <v>33.61</v>
      </c>
      <c r="O84" s="5">
        <v>32.25</v>
      </c>
      <c r="P84" s="5">
        <v>18.97</v>
      </c>
      <c r="Q84" s="5">
        <v>85.08</v>
      </c>
      <c r="R84" s="5">
        <v>24.5</v>
      </c>
      <c r="S84" s="5">
        <v>50.37</v>
      </c>
      <c r="T84" s="5">
        <v>33.700000000000003</v>
      </c>
      <c r="U84" s="5">
        <v>46.46</v>
      </c>
      <c r="V84" s="5">
        <v>25.57</v>
      </c>
      <c r="W84" s="5">
        <v>80.58</v>
      </c>
      <c r="X84" s="5">
        <v>35.89</v>
      </c>
      <c r="Y84" s="5">
        <v>41.03</v>
      </c>
      <c r="Z84" s="5">
        <v>22.61</v>
      </c>
      <c r="AA84" s="5">
        <v>32.200000000000003</v>
      </c>
      <c r="AB84" s="5">
        <v>49.8</v>
      </c>
      <c r="AC84" s="5">
        <v>21.53</v>
      </c>
      <c r="AD84" s="5">
        <v>40.92</v>
      </c>
      <c r="AE84" s="5">
        <v>31.78</v>
      </c>
      <c r="AF84" s="5">
        <v>54.57</v>
      </c>
      <c r="AG84" s="5">
        <v>39.85</v>
      </c>
    </row>
    <row r="85" spans="1:33" x14ac:dyDescent="0.25">
      <c r="A85" s="4">
        <v>38110</v>
      </c>
      <c r="B85" s="5">
        <v>1120.68</v>
      </c>
      <c r="C85" s="5">
        <v>10188.450000000001</v>
      </c>
      <c r="D85" s="5">
        <v>29.41</v>
      </c>
      <c r="E85" s="5">
        <v>71.53</v>
      </c>
      <c r="F85" s="5">
        <v>43.02</v>
      </c>
      <c r="G85" s="5">
        <v>43.71</v>
      </c>
      <c r="H85" s="5">
        <v>41.31</v>
      </c>
      <c r="I85" s="5">
        <v>35.700000000000003</v>
      </c>
      <c r="J85" s="5">
        <v>39.18</v>
      </c>
      <c r="K85" s="5">
        <v>22.81</v>
      </c>
      <c r="L85" s="5">
        <v>28.49</v>
      </c>
      <c r="M85" s="5">
        <v>39.51</v>
      </c>
      <c r="N85" s="5">
        <v>34.299999999999997</v>
      </c>
      <c r="O85" s="5">
        <v>31.61</v>
      </c>
      <c r="P85" s="5">
        <v>20.45</v>
      </c>
      <c r="Q85" s="5">
        <v>85.66</v>
      </c>
      <c r="R85" s="5">
        <v>27.22</v>
      </c>
      <c r="S85" s="5">
        <v>52.21</v>
      </c>
      <c r="T85" s="5">
        <v>33.020000000000003</v>
      </c>
      <c r="U85" s="5">
        <v>47.18</v>
      </c>
      <c r="V85" s="5">
        <v>24.79</v>
      </c>
      <c r="W85" s="5">
        <v>79.14</v>
      </c>
      <c r="X85" s="5">
        <v>31.09</v>
      </c>
      <c r="Y85" s="5">
        <v>41.29</v>
      </c>
      <c r="Z85" s="5">
        <v>22.7</v>
      </c>
      <c r="AA85" s="5">
        <v>31.97</v>
      </c>
      <c r="AB85" s="5">
        <v>50.75</v>
      </c>
      <c r="AC85" s="5">
        <v>20.49</v>
      </c>
      <c r="AD85" s="5">
        <v>40.31</v>
      </c>
      <c r="AE85" s="5">
        <v>29.12</v>
      </c>
      <c r="AF85" s="5">
        <v>53.48</v>
      </c>
      <c r="AG85" s="5">
        <v>40.770000000000003</v>
      </c>
    </row>
    <row r="86" spans="1:33" x14ac:dyDescent="0.25">
      <c r="A86" s="4">
        <v>38139</v>
      </c>
      <c r="B86" s="5">
        <v>1140.8399999999999</v>
      </c>
      <c r="C86" s="5">
        <v>10435.48</v>
      </c>
      <c r="D86" s="5">
        <v>31.03</v>
      </c>
      <c r="E86" s="5">
        <v>69.63</v>
      </c>
      <c r="F86" s="5">
        <v>43.69</v>
      </c>
      <c r="G86" s="5">
        <v>48.75</v>
      </c>
      <c r="H86" s="5">
        <v>41.37</v>
      </c>
      <c r="I86" s="5">
        <v>37.64</v>
      </c>
      <c r="J86" s="5">
        <v>40.29</v>
      </c>
      <c r="K86" s="5">
        <v>24.77</v>
      </c>
      <c r="L86" s="5">
        <v>29.84</v>
      </c>
      <c r="M86" s="5">
        <v>40.549999999999997</v>
      </c>
      <c r="N86" s="5">
        <v>33.700000000000003</v>
      </c>
      <c r="O86" s="5">
        <v>34.35</v>
      </c>
      <c r="P86" s="5">
        <v>20.39</v>
      </c>
      <c r="Q86" s="5">
        <v>85.23</v>
      </c>
      <c r="R86" s="5">
        <v>26.32</v>
      </c>
      <c r="S86" s="5">
        <v>52.2</v>
      </c>
      <c r="T86" s="5">
        <v>34.75</v>
      </c>
      <c r="U86" s="5">
        <v>46.61</v>
      </c>
      <c r="V86" s="5">
        <v>24.42</v>
      </c>
      <c r="W86" s="5">
        <v>84.24</v>
      </c>
      <c r="X86" s="5">
        <v>32.9</v>
      </c>
      <c r="Y86" s="5">
        <v>41.79</v>
      </c>
      <c r="Z86" s="5">
        <v>24.72</v>
      </c>
      <c r="AA86" s="5">
        <v>31.02</v>
      </c>
      <c r="AB86" s="5">
        <v>51.25</v>
      </c>
      <c r="AC86" s="5">
        <v>20.97</v>
      </c>
      <c r="AD86" s="5">
        <v>43.58</v>
      </c>
      <c r="AE86" s="5">
        <v>30.47</v>
      </c>
      <c r="AF86" s="5">
        <v>50.38</v>
      </c>
      <c r="AG86" s="5">
        <v>41.86</v>
      </c>
    </row>
    <row r="87" spans="1:33" x14ac:dyDescent="0.25">
      <c r="A87" s="4">
        <v>38169</v>
      </c>
      <c r="B87" s="5">
        <v>1101.72</v>
      </c>
      <c r="C87" s="5">
        <v>10139.709999999999</v>
      </c>
      <c r="D87" s="5">
        <v>30.09</v>
      </c>
      <c r="E87" s="5">
        <v>69.02</v>
      </c>
      <c r="F87" s="5">
        <v>42.73</v>
      </c>
      <c r="G87" s="5">
        <v>48.43</v>
      </c>
      <c r="H87" s="5">
        <v>39.58</v>
      </c>
      <c r="I87" s="5">
        <v>35</v>
      </c>
      <c r="J87" s="5">
        <v>38.880000000000003</v>
      </c>
      <c r="K87" s="5">
        <v>22.44</v>
      </c>
      <c r="L87" s="5">
        <v>30.62</v>
      </c>
      <c r="M87" s="5">
        <v>37.549999999999997</v>
      </c>
      <c r="N87" s="5">
        <v>32.28</v>
      </c>
      <c r="O87" s="5">
        <v>35.270000000000003</v>
      </c>
      <c r="P87" s="5">
        <v>19.47</v>
      </c>
      <c r="Q87" s="5">
        <v>84.19</v>
      </c>
      <c r="R87" s="5">
        <v>23.25</v>
      </c>
      <c r="S87" s="5">
        <v>51.79</v>
      </c>
      <c r="T87" s="5">
        <v>33.76</v>
      </c>
      <c r="U87" s="5">
        <v>40.5</v>
      </c>
      <c r="V87" s="5">
        <v>25.83</v>
      </c>
      <c r="W87" s="5">
        <v>77.08</v>
      </c>
      <c r="X87" s="5">
        <v>31.29</v>
      </c>
      <c r="Y87" s="5">
        <v>39.89</v>
      </c>
      <c r="Z87" s="5">
        <v>24.65</v>
      </c>
      <c r="AA87" s="5">
        <v>28.92</v>
      </c>
      <c r="AB87" s="5">
        <v>49.32</v>
      </c>
      <c r="AC87" s="5">
        <v>22.2</v>
      </c>
      <c r="AD87" s="5">
        <v>44.54</v>
      </c>
      <c r="AE87" s="5">
        <v>32.799999999999997</v>
      </c>
      <c r="AF87" s="5">
        <v>50.87</v>
      </c>
      <c r="AG87" s="5">
        <v>43.64</v>
      </c>
    </row>
    <row r="88" spans="1:33" x14ac:dyDescent="0.25">
      <c r="A88" s="4">
        <v>38201</v>
      </c>
      <c r="B88" s="5">
        <v>1104.24</v>
      </c>
      <c r="C88" s="5">
        <v>10173.92</v>
      </c>
      <c r="D88" s="5">
        <v>30.57</v>
      </c>
      <c r="E88" s="5">
        <v>69.59</v>
      </c>
      <c r="F88" s="5">
        <v>42.53</v>
      </c>
      <c r="G88" s="5">
        <v>50.03</v>
      </c>
      <c r="H88" s="5">
        <v>41.82</v>
      </c>
      <c r="I88" s="5">
        <v>34.630000000000003</v>
      </c>
      <c r="J88" s="5">
        <v>38.65</v>
      </c>
      <c r="K88" s="5">
        <v>21.82</v>
      </c>
      <c r="L88" s="5">
        <v>30.2</v>
      </c>
      <c r="M88" s="5">
        <v>36.39</v>
      </c>
      <c r="N88" s="5">
        <v>35.08</v>
      </c>
      <c r="O88" s="5">
        <v>33.93</v>
      </c>
      <c r="P88" s="5">
        <v>17.29</v>
      </c>
      <c r="Q88" s="5">
        <v>82.06</v>
      </c>
      <c r="R88" s="5">
        <v>20.329999999999998</v>
      </c>
      <c r="S88" s="5">
        <v>54.72</v>
      </c>
      <c r="T88" s="5">
        <v>35.79</v>
      </c>
      <c r="U88" s="5">
        <v>41.28</v>
      </c>
      <c r="V88" s="5">
        <v>25.37</v>
      </c>
      <c r="W88" s="5">
        <v>77.430000000000007</v>
      </c>
      <c r="X88" s="5">
        <v>32.17</v>
      </c>
      <c r="Y88" s="5">
        <v>39.56</v>
      </c>
      <c r="Z88" s="5">
        <v>23.69</v>
      </c>
      <c r="AA88" s="5">
        <v>29.72</v>
      </c>
      <c r="AB88" s="5">
        <v>52.94</v>
      </c>
      <c r="AC88" s="5">
        <v>22.59</v>
      </c>
      <c r="AD88" s="5">
        <v>44.91</v>
      </c>
      <c r="AE88" s="5">
        <v>33.409999999999997</v>
      </c>
      <c r="AF88" s="5">
        <v>50.66</v>
      </c>
      <c r="AG88" s="5">
        <v>43.71</v>
      </c>
    </row>
    <row r="89" spans="1:33" x14ac:dyDescent="0.25">
      <c r="A89" s="4">
        <v>38231</v>
      </c>
      <c r="B89" s="5">
        <v>1114.58</v>
      </c>
      <c r="C89" s="5">
        <v>10080.27</v>
      </c>
      <c r="D89" s="5">
        <v>31.71</v>
      </c>
      <c r="E89" s="5">
        <v>66.489999999999995</v>
      </c>
      <c r="F89" s="5">
        <v>43.75</v>
      </c>
      <c r="G89" s="5">
        <v>49.46</v>
      </c>
      <c r="H89" s="5">
        <v>39.61</v>
      </c>
      <c r="I89" s="5">
        <v>38.32</v>
      </c>
      <c r="J89" s="5">
        <v>39.14</v>
      </c>
      <c r="K89" s="5">
        <v>21.92</v>
      </c>
      <c r="L89" s="5">
        <v>31.11</v>
      </c>
      <c r="M89" s="5">
        <v>37.42</v>
      </c>
      <c r="N89" s="5">
        <v>37.61</v>
      </c>
      <c r="O89" s="5">
        <v>33.81</v>
      </c>
      <c r="P89" s="5">
        <v>18.2</v>
      </c>
      <c r="Q89" s="5">
        <v>83.08</v>
      </c>
      <c r="R89" s="5">
        <v>19.16</v>
      </c>
      <c r="S89" s="5">
        <v>53.06</v>
      </c>
      <c r="T89" s="5">
        <v>35.93</v>
      </c>
      <c r="U89" s="5">
        <v>37.19</v>
      </c>
      <c r="V89" s="5">
        <v>26.32</v>
      </c>
      <c r="W89" s="5">
        <v>75.180000000000007</v>
      </c>
      <c r="X89" s="5">
        <v>31.38</v>
      </c>
      <c r="Y89" s="5">
        <v>29.28</v>
      </c>
      <c r="Z89" s="5">
        <v>24</v>
      </c>
      <c r="AA89" s="5">
        <v>27.84</v>
      </c>
      <c r="AB89" s="5">
        <v>51.19</v>
      </c>
      <c r="AC89" s="5">
        <v>22.73</v>
      </c>
      <c r="AD89" s="5">
        <v>44.65</v>
      </c>
      <c r="AE89" s="5">
        <v>33.520000000000003</v>
      </c>
      <c r="AF89" s="5">
        <v>51.17</v>
      </c>
      <c r="AG89" s="5">
        <v>45.83</v>
      </c>
    </row>
    <row r="90" spans="1:33" x14ac:dyDescent="0.25">
      <c r="A90" s="4">
        <v>38261</v>
      </c>
      <c r="B90" s="5">
        <v>1130.2</v>
      </c>
      <c r="C90" s="5">
        <v>10027.469999999999</v>
      </c>
      <c r="D90" s="5">
        <v>30.68</v>
      </c>
      <c r="E90" s="5">
        <v>59.37</v>
      </c>
      <c r="F90" s="5">
        <v>45.23</v>
      </c>
      <c r="G90" s="5">
        <v>47.81</v>
      </c>
      <c r="H90" s="5">
        <v>40.200000000000003</v>
      </c>
      <c r="I90" s="5">
        <v>38.56</v>
      </c>
      <c r="J90" s="5">
        <v>39.21</v>
      </c>
      <c r="K90" s="5">
        <v>24.51</v>
      </c>
      <c r="L90" s="5">
        <v>31.61</v>
      </c>
      <c r="M90" s="5">
        <v>33.950000000000003</v>
      </c>
      <c r="N90" s="5">
        <v>39.42</v>
      </c>
      <c r="O90" s="5">
        <v>31.76</v>
      </c>
      <c r="P90" s="5">
        <v>18.11</v>
      </c>
      <c r="Q90" s="5">
        <v>86.97</v>
      </c>
      <c r="R90" s="5">
        <v>21.26</v>
      </c>
      <c r="S90" s="5">
        <v>54.99</v>
      </c>
      <c r="T90" s="5">
        <v>35.200000000000003</v>
      </c>
      <c r="U90" s="5">
        <v>37.76</v>
      </c>
      <c r="V90" s="5">
        <v>27.38</v>
      </c>
      <c r="W90" s="5">
        <v>72.930000000000007</v>
      </c>
      <c r="X90" s="5">
        <v>32.32</v>
      </c>
      <c r="Y90" s="5">
        <v>27.78</v>
      </c>
      <c r="Z90" s="5">
        <v>24.28</v>
      </c>
      <c r="AA90" s="5">
        <v>26.33</v>
      </c>
      <c r="AB90" s="5">
        <v>48.64</v>
      </c>
      <c r="AC90" s="5">
        <v>22.38</v>
      </c>
      <c r="AD90" s="5">
        <v>44.39</v>
      </c>
      <c r="AE90" s="5">
        <v>33.590000000000003</v>
      </c>
      <c r="AF90" s="5">
        <v>51.87</v>
      </c>
      <c r="AG90" s="5">
        <v>46.67</v>
      </c>
    </row>
    <row r="91" spans="1:33" x14ac:dyDescent="0.25">
      <c r="A91" s="4">
        <v>38292</v>
      </c>
      <c r="B91" s="5">
        <v>1173.82</v>
      </c>
      <c r="C91" s="5">
        <v>10428.02</v>
      </c>
      <c r="D91" s="5">
        <v>32.229999999999997</v>
      </c>
      <c r="E91" s="5">
        <v>61.95</v>
      </c>
      <c r="F91" s="5">
        <v>47.48</v>
      </c>
      <c r="G91" s="5">
        <v>51.53</v>
      </c>
      <c r="H91" s="5">
        <v>40.54</v>
      </c>
      <c r="I91" s="5">
        <v>43.83</v>
      </c>
      <c r="J91" s="5">
        <v>41.78</v>
      </c>
      <c r="K91" s="5">
        <v>26.13</v>
      </c>
      <c r="L91" s="5">
        <v>32.76</v>
      </c>
      <c r="M91" s="5">
        <v>34.43</v>
      </c>
      <c r="N91" s="5">
        <v>40.14</v>
      </c>
      <c r="O91" s="5">
        <v>33.49</v>
      </c>
      <c r="P91" s="5">
        <v>19.41</v>
      </c>
      <c r="Q91" s="5">
        <v>91.49</v>
      </c>
      <c r="R91" s="5">
        <v>21.41</v>
      </c>
      <c r="S91" s="5">
        <v>57.08</v>
      </c>
      <c r="T91" s="5">
        <v>34.33</v>
      </c>
      <c r="U91" s="5">
        <v>36.74</v>
      </c>
      <c r="V91" s="5">
        <v>29.4</v>
      </c>
      <c r="W91" s="5">
        <v>75.16</v>
      </c>
      <c r="X91" s="5">
        <v>38.35</v>
      </c>
      <c r="Y91" s="5">
        <v>24.86</v>
      </c>
      <c r="Z91" s="5">
        <v>25.93</v>
      </c>
      <c r="AA91" s="5">
        <v>25.41</v>
      </c>
      <c r="AB91" s="5">
        <v>50.82</v>
      </c>
      <c r="AC91" s="5">
        <v>22.3</v>
      </c>
      <c r="AD91" s="5">
        <v>46.83</v>
      </c>
      <c r="AE91" s="5">
        <v>35.42</v>
      </c>
      <c r="AF91" s="5">
        <v>50.08</v>
      </c>
      <c r="AG91" s="5">
        <v>48.86</v>
      </c>
    </row>
    <row r="92" spans="1:33" x14ac:dyDescent="0.25">
      <c r="A92" s="4">
        <v>38322</v>
      </c>
      <c r="B92" s="5">
        <v>1211.92</v>
      </c>
      <c r="C92" s="5">
        <v>10783.01</v>
      </c>
      <c r="D92" s="5">
        <v>29.79</v>
      </c>
      <c r="E92" s="5">
        <v>64.3</v>
      </c>
      <c r="F92" s="5">
        <v>48.04</v>
      </c>
      <c r="G92" s="5">
        <v>49.79</v>
      </c>
      <c r="H92" s="5">
        <v>43.65</v>
      </c>
      <c r="I92" s="5">
        <v>46.68</v>
      </c>
      <c r="J92" s="5">
        <v>45.21</v>
      </c>
      <c r="K92" s="5">
        <v>27.26</v>
      </c>
      <c r="L92" s="5">
        <v>34.01</v>
      </c>
      <c r="M92" s="5">
        <v>35.75</v>
      </c>
      <c r="N92" s="5">
        <v>41.09</v>
      </c>
      <c r="O92" s="5">
        <v>33.57</v>
      </c>
      <c r="P92" s="5">
        <v>20.43</v>
      </c>
      <c r="Q92" s="5">
        <v>95.71</v>
      </c>
      <c r="R92" s="5">
        <v>22.38</v>
      </c>
      <c r="S92" s="5">
        <v>60.02</v>
      </c>
      <c r="T92" s="5">
        <v>35.57</v>
      </c>
      <c r="U92" s="5">
        <v>38.909999999999997</v>
      </c>
      <c r="V92" s="5">
        <v>30.67</v>
      </c>
      <c r="W92" s="5">
        <v>77.5</v>
      </c>
      <c r="X92" s="5">
        <v>41.25</v>
      </c>
      <c r="Y92" s="5">
        <v>28.91</v>
      </c>
      <c r="Z92" s="5">
        <v>25.85</v>
      </c>
      <c r="AA92" s="5">
        <v>24.61</v>
      </c>
      <c r="AB92" s="5">
        <v>52.34</v>
      </c>
      <c r="AC92" s="5">
        <v>22.83</v>
      </c>
      <c r="AD92" s="5">
        <v>49.6</v>
      </c>
      <c r="AE92" s="5">
        <v>34.799999999999997</v>
      </c>
      <c r="AF92" s="5">
        <v>50.93</v>
      </c>
      <c r="AG92" s="5">
        <v>48.87</v>
      </c>
    </row>
    <row r="93" spans="1:33" x14ac:dyDescent="0.25">
      <c r="A93" s="4">
        <v>38355</v>
      </c>
      <c r="B93" s="5">
        <v>1181.27</v>
      </c>
      <c r="C93" s="5">
        <v>10489.94</v>
      </c>
      <c r="D93" s="5">
        <v>27.99</v>
      </c>
      <c r="E93" s="5">
        <v>64.900000000000006</v>
      </c>
      <c r="F93" s="5">
        <v>45.56</v>
      </c>
      <c r="G93" s="5">
        <v>48.67</v>
      </c>
      <c r="H93" s="5">
        <v>44.44</v>
      </c>
      <c r="I93" s="5">
        <v>42.84</v>
      </c>
      <c r="J93" s="5">
        <v>43.84</v>
      </c>
      <c r="K93" s="5">
        <v>28.07</v>
      </c>
      <c r="L93" s="5">
        <v>33.67</v>
      </c>
      <c r="M93" s="5">
        <v>32.85</v>
      </c>
      <c r="N93" s="5">
        <v>39.67</v>
      </c>
      <c r="O93" s="5">
        <v>34.11</v>
      </c>
      <c r="P93" s="5">
        <v>19.09</v>
      </c>
      <c r="Q93" s="5">
        <v>90.7</v>
      </c>
      <c r="R93" s="5">
        <v>21.48</v>
      </c>
      <c r="S93" s="5">
        <v>61.23</v>
      </c>
      <c r="T93" s="5">
        <v>34.340000000000003</v>
      </c>
      <c r="U93" s="5">
        <v>38.770000000000003</v>
      </c>
      <c r="V93" s="5">
        <v>30.98</v>
      </c>
      <c r="W93" s="5">
        <v>79.66</v>
      </c>
      <c r="X93" s="5">
        <v>43.09</v>
      </c>
      <c r="Y93" s="5">
        <v>25.23</v>
      </c>
      <c r="Z93" s="5">
        <v>25.42</v>
      </c>
      <c r="AA93" s="5">
        <v>22.11</v>
      </c>
      <c r="AB93" s="5">
        <v>50.81</v>
      </c>
      <c r="AC93" s="5">
        <v>21.32</v>
      </c>
      <c r="AD93" s="5">
        <v>48.32</v>
      </c>
      <c r="AE93" s="5">
        <v>30.87</v>
      </c>
      <c r="AF93" s="5">
        <v>50.53</v>
      </c>
      <c r="AG93" s="5">
        <v>49.19</v>
      </c>
    </row>
    <row r="94" spans="1:33" x14ac:dyDescent="0.25">
      <c r="A94" s="4">
        <v>38384</v>
      </c>
      <c r="B94" s="5">
        <v>1203.5999999999999</v>
      </c>
      <c r="C94" s="5">
        <v>10766.23</v>
      </c>
      <c r="D94" s="5">
        <v>30.62</v>
      </c>
      <c r="E94" s="5">
        <v>65.400000000000006</v>
      </c>
      <c r="F94" s="5">
        <v>46.25</v>
      </c>
      <c r="G94" s="5">
        <v>53.12</v>
      </c>
      <c r="H94" s="5">
        <v>43.62</v>
      </c>
      <c r="I94" s="5">
        <v>45.7</v>
      </c>
      <c r="J94" s="5">
        <v>49.47</v>
      </c>
      <c r="K94" s="5">
        <v>27.4</v>
      </c>
      <c r="L94" s="5">
        <v>33.01</v>
      </c>
      <c r="M94" s="5">
        <v>32.24</v>
      </c>
      <c r="N94" s="5">
        <v>38.479999999999997</v>
      </c>
      <c r="O94" s="5">
        <v>36.18</v>
      </c>
      <c r="P94" s="5">
        <v>20.260000000000002</v>
      </c>
      <c r="Q94" s="5">
        <v>90.05</v>
      </c>
      <c r="R94" s="5">
        <v>23.04</v>
      </c>
      <c r="S94" s="5">
        <v>62.35</v>
      </c>
      <c r="T94" s="5">
        <v>33.619999999999997</v>
      </c>
      <c r="U94" s="5">
        <v>40</v>
      </c>
      <c r="V94" s="5">
        <v>31.64</v>
      </c>
      <c r="W94" s="5">
        <v>79.66</v>
      </c>
      <c r="X94" s="5">
        <v>44.32</v>
      </c>
      <c r="Y94" s="5">
        <v>28.51</v>
      </c>
      <c r="Z94" s="5">
        <v>24.41</v>
      </c>
      <c r="AA94" s="5">
        <v>24.24</v>
      </c>
      <c r="AB94" s="5">
        <v>50.68</v>
      </c>
      <c r="AC94" s="5">
        <v>21.59</v>
      </c>
      <c r="AD94" s="5">
        <v>48.14</v>
      </c>
      <c r="AE94" s="5">
        <v>31.2</v>
      </c>
      <c r="AF94" s="5">
        <v>49.77</v>
      </c>
      <c r="AG94" s="5">
        <v>60.65</v>
      </c>
    </row>
    <row r="95" spans="1:33" x14ac:dyDescent="0.25">
      <c r="A95" s="4">
        <v>38412</v>
      </c>
      <c r="B95" s="5">
        <v>1180.5899999999999</v>
      </c>
      <c r="C95" s="5">
        <v>10503.76</v>
      </c>
      <c r="D95" s="5">
        <v>28.97</v>
      </c>
      <c r="E95" s="5">
        <v>54.35</v>
      </c>
      <c r="F95" s="5">
        <v>43.98</v>
      </c>
      <c r="G95" s="5">
        <v>56.49</v>
      </c>
      <c r="H95" s="5">
        <v>41.08</v>
      </c>
      <c r="I95" s="5">
        <v>43.97</v>
      </c>
      <c r="J95" s="5">
        <v>47.56</v>
      </c>
      <c r="K95" s="5">
        <v>28.17</v>
      </c>
      <c r="L95" s="5">
        <v>33.81</v>
      </c>
      <c r="M95" s="5">
        <v>26.58</v>
      </c>
      <c r="N95" s="5">
        <v>36.86</v>
      </c>
      <c r="O95" s="5">
        <v>35.46</v>
      </c>
      <c r="P95" s="5">
        <v>21.46</v>
      </c>
      <c r="Q95" s="5">
        <v>88.89</v>
      </c>
      <c r="R95" s="5">
        <v>22.31</v>
      </c>
      <c r="S95" s="5">
        <v>63.83</v>
      </c>
      <c r="T95" s="5">
        <v>31.83</v>
      </c>
      <c r="U95" s="5">
        <v>39.200000000000003</v>
      </c>
      <c r="V95" s="5">
        <v>29.79</v>
      </c>
      <c r="W95" s="5">
        <v>81.319999999999993</v>
      </c>
      <c r="X95" s="5">
        <v>44.64</v>
      </c>
      <c r="Y95" s="5">
        <v>29.46</v>
      </c>
      <c r="Z95" s="5">
        <v>23.45</v>
      </c>
      <c r="AA95" s="5">
        <v>24.22</v>
      </c>
      <c r="AB95" s="5">
        <v>50.59</v>
      </c>
      <c r="AC95" s="5">
        <v>21.26</v>
      </c>
      <c r="AD95" s="5">
        <v>49</v>
      </c>
      <c r="AE95" s="5">
        <v>30.8</v>
      </c>
      <c r="AF95" s="5">
        <v>48.46</v>
      </c>
      <c r="AG95" s="5">
        <v>57.1</v>
      </c>
    </row>
    <row r="96" spans="1:33" x14ac:dyDescent="0.25">
      <c r="A96" s="4">
        <v>38443</v>
      </c>
      <c r="B96" s="5">
        <v>1156.8499999999999</v>
      </c>
      <c r="C96" s="5">
        <v>10192.51</v>
      </c>
      <c r="D96" s="5">
        <v>27.67</v>
      </c>
      <c r="E96" s="5">
        <v>49.88</v>
      </c>
      <c r="F96" s="5">
        <v>45.12</v>
      </c>
      <c r="G96" s="5">
        <v>57.52</v>
      </c>
      <c r="H96" s="5">
        <v>43.33</v>
      </c>
      <c r="I96" s="5">
        <v>42.54</v>
      </c>
      <c r="J96" s="5">
        <v>43.73</v>
      </c>
      <c r="K96" s="5">
        <v>25.89</v>
      </c>
      <c r="L96" s="5">
        <v>33.94</v>
      </c>
      <c r="M96" s="5">
        <v>24.13</v>
      </c>
      <c r="N96" s="5">
        <v>34.090000000000003</v>
      </c>
      <c r="O96" s="5">
        <v>34.08</v>
      </c>
      <c r="P96" s="5">
        <v>20.02</v>
      </c>
      <c r="Q96" s="5">
        <v>74.290000000000006</v>
      </c>
      <c r="R96" s="5">
        <v>22.58</v>
      </c>
      <c r="S96" s="5">
        <v>65.23</v>
      </c>
      <c r="T96" s="5">
        <v>32.979999999999997</v>
      </c>
      <c r="U96" s="5">
        <v>40.86</v>
      </c>
      <c r="V96" s="5">
        <v>28.04</v>
      </c>
      <c r="W96" s="5">
        <v>72.569999999999993</v>
      </c>
      <c r="X96" s="5">
        <v>44.37</v>
      </c>
      <c r="Y96" s="5">
        <v>30.85</v>
      </c>
      <c r="Z96" s="5">
        <v>24.55</v>
      </c>
      <c r="AA96" s="5">
        <v>25.05</v>
      </c>
      <c r="AB96" s="5">
        <v>51.96</v>
      </c>
      <c r="AC96" s="5">
        <v>21.65</v>
      </c>
      <c r="AD96" s="5">
        <v>49.03</v>
      </c>
      <c r="AE96" s="5">
        <v>31.41</v>
      </c>
      <c r="AF96" s="5">
        <v>45.59</v>
      </c>
      <c r="AG96" s="5">
        <v>54.64</v>
      </c>
    </row>
    <row r="97" spans="1:33" x14ac:dyDescent="0.25">
      <c r="A97" s="4">
        <v>38474</v>
      </c>
      <c r="B97" s="5">
        <v>1191.5</v>
      </c>
      <c r="C97" s="5">
        <v>10467.48</v>
      </c>
      <c r="D97" s="5">
        <v>25.97</v>
      </c>
      <c r="E97" s="5">
        <v>54.49</v>
      </c>
      <c r="F97" s="5">
        <v>46.1</v>
      </c>
      <c r="G97" s="5">
        <v>62</v>
      </c>
      <c r="H97" s="5">
        <v>43.47</v>
      </c>
      <c r="I97" s="5">
        <v>45.46</v>
      </c>
      <c r="J97" s="5">
        <v>43.51</v>
      </c>
      <c r="K97" s="5">
        <v>26.91</v>
      </c>
      <c r="L97" s="5">
        <v>34.21</v>
      </c>
      <c r="M97" s="5">
        <v>28.98</v>
      </c>
      <c r="N97" s="5">
        <v>37.93</v>
      </c>
      <c r="O97" s="5">
        <v>34.72</v>
      </c>
      <c r="P97" s="5">
        <v>22.02</v>
      </c>
      <c r="Q97" s="5">
        <v>73.680000000000007</v>
      </c>
      <c r="R97" s="5">
        <v>25.97</v>
      </c>
      <c r="S97" s="5">
        <v>64.09</v>
      </c>
      <c r="T97" s="5">
        <v>33.22</v>
      </c>
      <c r="U97" s="5">
        <v>41.98</v>
      </c>
      <c r="V97" s="5">
        <v>29.6</v>
      </c>
      <c r="W97" s="5">
        <v>73.14</v>
      </c>
      <c r="X97" s="5">
        <v>45.84</v>
      </c>
      <c r="Y97" s="5">
        <v>29.53</v>
      </c>
      <c r="Z97" s="5">
        <v>25.11</v>
      </c>
      <c r="AA97" s="5">
        <v>25.9</v>
      </c>
      <c r="AB97" s="5">
        <v>52.92</v>
      </c>
      <c r="AC97" s="5">
        <v>21.27</v>
      </c>
      <c r="AD97" s="5">
        <v>51.64</v>
      </c>
      <c r="AE97" s="5">
        <v>31.04</v>
      </c>
      <c r="AF97" s="5">
        <v>45.82</v>
      </c>
      <c r="AG97" s="5">
        <v>54.11</v>
      </c>
    </row>
    <row r="98" spans="1:33" x14ac:dyDescent="0.25">
      <c r="A98" s="4">
        <v>38504</v>
      </c>
      <c r="B98" s="5">
        <v>1191.33</v>
      </c>
      <c r="C98" s="5">
        <v>10274.969999999999</v>
      </c>
      <c r="D98" s="5">
        <v>25.04</v>
      </c>
      <c r="E98" s="5">
        <v>57.12</v>
      </c>
      <c r="F98" s="5">
        <v>45.67</v>
      </c>
      <c r="G98" s="5">
        <v>64.040000000000006</v>
      </c>
      <c r="H98" s="5">
        <v>42.66</v>
      </c>
      <c r="I98" s="5">
        <v>46.04</v>
      </c>
      <c r="J98" s="5">
        <v>40.24</v>
      </c>
      <c r="K98" s="5">
        <v>24.69</v>
      </c>
      <c r="L98" s="5">
        <v>32.69</v>
      </c>
      <c r="M98" s="5">
        <v>31.25</v>
      </c>
      <c r="N98" s="5">
        <v>37.590000000000003</v>
      </c>
      <c r="O98" s="5">
        <v>35.11</v>
      </c>
      <c r="P98" s="5">
        <v>23.08</v>
      </c>
      <c r="Q98" s="5">
        <v>72.37</v>
      </c>
      <c r="R98" s="5">
        <v>25.07</v>
      </c>
      <c r="S98" s="5">
        <v>62.08</v>
      </c>
      <c r="T98" s="5">
        <v>32.82</v>
      </c>
      <c r="U98" s="5">
        <v>39.520000000000003</v>
      </c>
      <c r="V98" s="5">
        <v>26.54</v>
      </c>
      <c r="W98" s="5">
        <v>68.989999999999995</v>
      </c>
      <c r="X98" s="5">
        <v>44.61</v>
      </c>
      <c r="Y98" s="5">
        <v>28.37</v>
      </c>
      <c r="Z98" s="5">
        <v>24.18</v>
      </c>
      <c r="AA98" s="5">
        <v>25.6</v>
      </c>
      <c r="AB98" s="5">
        <v>50.61</v>
      </c>
      <c r="AC98" s="5">
        <v>21.6</v>
      </c>
      <c r="AD98" s="5">
        <v>49.71</v>
      </c>
      <c r="AE98" s="5">
        <v>30.32</v>
      </c>
      <c r="AF98" s="5">
        <v>46.76</v>
      </c>
      <c r="AG98" s="5">
        <v>55.34</v>
      </c>
    </row>
    <row r="99" spans="1:33" x14ac:dyDescent="0.25">
      <c r="A99" s="4">
        <v>38534</v>
      </c>
      <c r="B99" s="5">
        <v>1234.18</v>
      </c>
      <c r="C99" s="5">
        <v>10640.91</v>
      </c>
      <c r="D99" s="5">
        <v>26.88</v>
      </c>
      <c r="E99" s="5">
        <v>59.18</v>
      </c>
      <c r="F99" s="5">
        <v>47.19</v>
      </c>
      <c r="G99" s="5">
        <v>64.05</v>
      </c>
      <c r="H99" s="5">
        <v>40.54</v>
      </c>
      <c r="I99" s="5">
        <v>52.33</v>
      </c>
      <c r="J99" s="5">
        <v>39.93</v>
      </c>
      <c r="K99" s="5">
        <v>25.14</v>
      </c>
      <c r="L99" s="5">
        <v>32.549999999999997</v>
      </c>
      <c r="M99" s="5">
        <v>33.840000000000003</v>
      </c>
      <c r="N99" s="5">
        <v>42.04</v>
      </c>
      <c r="O99" s="5">
        <v>37.65</v>
      </c>
      <c r="P99" s="5">
        <v>24.17</v>
      </c>
      <c r="Q99" s="5">
        <v>81.400000000000006</v>
      </c>
      <c r="R99" s="5">
        <v>26.15</v>
      </c>
      <c r="S99" s="5">
        <v>61.09</v>
      </c>
      <c r="T99" s="5">
        <v>32.97</v>
      </c>
      <c r="U99" s="5">
        <v>41.43</v>
      </c>
      <c r="V99" s="5">
        <v>29.82</v>
      </c>
      <c r="W99" s="5">
        <v>71.569999999999993</v>
      </c>
      <c r="X99" s="5">
        <v>46.2</v>
      </c>
      <c r="Y99" s="5">
        <v>28.6</v>
      </c>
      <c r="Z99" s="5">
        <v>24.93</v>
      </c>
      <c r="AA99" s="5">
        <v>24.6</v>
      </c>
      <c r="AB99" s="5">
        <v>53.65</v>
      </c>
      <c r="AC99" s="5">
        <v>22.54</v>
      </c>
      <c r="AD99" s="5">
        <v>49.08</v>
      </c>
      <c r="AE99" s="5">
        <v>30.39</v>
      </c>
      <c r="AF99" s="5">
        <v>47.88</v>
      </c>
      <c r="AG99" s="5">
        <v>56.57</v>
      </c>
    </row>
    <row r="100" spans="1:33" x14ac:dyDescent="0.25">
      <c r="A100" s="4">
        <v>38565</v>
      </c>
      <c r="B100" s="5">
        <v>1220.33</v>
      </c>
      <c r="C100" s="5">
        <v>10481.6</v>
      </c>
      <c r="D100" s="5">
        <v>25.81</v>
      </c>
      <c r="E100" s="5">
        <v>58.35</v>
      </c>
      <c r="F100" s="5">
        <v>47.4</v>
      </c>
      <c r="G100" s="5">
        <v>65.27</v>
      </c>
      <c r="H100" s="5">
        <v>40.79</v>
      </c>
      <c r="I100" s="5">
        <v>53.87</v>
      </c>
      <c r="J100" s="5">
        <v>37.340000000000003</v>
      </c>
      <c r="K100" s="5">
        <v>24.7</v>
      </c>
      <c r="L100" s="5">
        <v>31.71</v>
      </c>
      <c r="M100" s="5">
        <v>31.88</v>
      </c>
      <c r="N100" s="5">
        <v>39.06</v>
      </c>
      <c r="O100" s="5">
        <v>36.89</v>
      </c>
      <c r="P100" s="5">
        <v>27.25</v>
      </c>
      <c r="Q100" s="5">
        <v>78.819999999999993</v>
      </c>
      <c r="R100" s="5">
        <v>24.85</v>
      </c>
      <c r="S100" s="5">
        <v>60.86</v>
      </c>
      <c r="T100" s="5">
        <v>31.79</v>
      </c>
      <c r="U100" s="5">
        <v>41.65</v>
      </c>
      <c r="V100" s="5">
        <v>31.04</v>
      </c>
      <c r="W100" s="5">
        <v>68.3</v>
      </c>
      <c r="X100" s="5">
        <v>48.78</v>
      </c>
      <c r="Y100" s="5">
        <v>26.35</v>
      </c>
      <c r="Z100" s="5">
        <v>26.73</v>
      </c>
      <c r="AA100" s="5">
        <v>23.82</v>
      </c>
      <c r="AB100" s="5">
        <v>53.51</v>
      </c>
      <c r="AC100" s="5">
        <v>22.2</v>
      </c>
      <c r="AD100" s="5">
        <v>48.61</v>
      </c>
      <c r="AE100" s="5">
        <v>29.04</v>
      </c>
      <c r="AF100" s="5">
        <v>43.76</v>
      </c>
      <c r="AG100" s="5">
        <v>57.96</v>
      </c>
    </row>
    <row r="101" spans="1:33" x14ac:dyDescent="0.25">
      <c r="A101" s="4">
        <v>38596</v>
      </c>
      <c r="B101" s="5">
        <v>1228.81</v>
      </c>
      <c r="C101" s="5">
        <v>10568.7</v>
      </c>
      <c r="D101" s="5">
        <v>23.52</v>
      </c>
      <c r="E101" s="5">
        <v>61.07</v>
      </c>
      <c r="F101" s="5">
        <v>49.28</v>
      </c>
      <c r="G101" s="5">
        <v>66.180000000000007</v>
      </c>
      <c r="H101" s="5">
        <v>42.42</v>
      </c>
      <c r="I101" s="5">
        <v>57.03</v>
      </c>
      <c r="J101" s="5">
        <v>36.97</v>
      </c>
      <c r="K101" s="5">
        <v>23.66</v>
      </c>
      <c r="L101" s="5">
        <v>31.98</v>
      </c>
      <c r="M101" s="5">
        <v>28.54</v>
      </c>
      <c r="N101" s="5">
        <v>36.94</v>
      </c>
      <c r="O101" s="5">
        <v>36.14</v>
      </c>
      <c r="P101" s="5">
        <v>28.74</v>
      </c>
      <c r="Q101" s="5">
        <v>78.430000000000007</v>
      </c>
      <c r="R101" s="5">
        <v>23.82</v>
      </c>
      <c r="S101" s="5">
        <v>60.75</v>
      </c>
      <c r="T101" s="5">
        <v>31.83</v>
      </c>
      <c r="U101" s="5">
        <v>41.15</v>
      </c>
      <c r="V101" s="5">
        <v>32.03</v>
      </c>
      <c r="W101" s="5">
        <v>70.42</v>
      </c>
      <c r="X101" s="5">
        <v>51.42</v>
      </c>
      <c r="Y101" s="5">
        <v>25.4</v>
      </c>
      <c r="Z101" s="5">
        <v>25.12</v>
      </c>
      <c r="AA101" s="5">
        <v>23.35</v>
      </c>
      <c r="AB101" s="5">
        <v>57.34</v>
      </c>
      <c r="AC101" s="5">
        <v>22.1</v>
      </c>
      <c r="AD101" s="5">
        <v>50.4</v>
      </c>
      <c r="AE101" s="5">
        <v>29.02</v>
      </c>
      <c r="AF101" s="5">
        <v>42.65</v>
      </c>
      <c r="AG101" s="5">
        <v>61.48</v>
      </c>
    </row>
    <row r="102" spans="1:33" x14ac:dyDescent="0.25">
      <c r="A102" s="4">
        <v>38628</v>
      </c>
      <c r="B102" s="5">
        <v>1207.01</v>
      </c>
      <c r="C102" s="5">
        <v>10440.07</v>
      </c>
      <c r="D102" s="5">
        <v>23.4</v>
      </c>
      <c r="E102" s="5">
        <v>63.87</v>
      </c>
      <c r="F102" s="5">
        <v>48.9</v>
      </c>
      <c r="G102" s="5">
        <v>62.96</v>
      </c>
      <c r="H102" s="5">
        <v>42.67</v>
      </c>
      <c r="I102" s="5">
        <v>51.28</v>
      </c>
      <c r="J102" s="5">
        <v>39.340000000000003</v>
      </c>
      <c r="K102" s="5">
        <v>23.9</v>
      </c>
      <c r="L102" s="5">
        <v>32.21</v>
      </c>
      <c r="M102" s="5">
        <v>25.55</v>
      </c>
      <c r="N102" s="5">
        <v>39.75</v>
      </c>
      <c r="O102" s="5">
        <v>32.96</v>
      </c>
      <c r="P102" s="5">
        <v>27.6</v>
      </c>
      <c r="Q102" s="5">
        <v>80.05</v>
      </c>
      <c r="R102" s="5">
        <v>22.71</v>
      </c>
      <c r="S102" s="5">
        <v>60.12</v>
      </c>
      <c r="T102" s="5">
        <v>34.700000000000003</v>
      </c>
      <c r="U102" s="5">
        <v>40.76</v>
      </c>
      <c r="V102" s="5">
        <v>30.23</v>
      </c>
      <c r="W102" s="5">
        <v>72.930000000000007</v>
      </c>
      <c r="X102" s="5">
        <v>52.36</v>
      </c>
      <c r="Y102" s="5">
        <v>26.34</v>
      </c>
      <c r="Z102" s="5">
        <v>25.09</v>
      </c>
      <c r="AA102" s="5">
        <v>20.329999999999998</v>
      </c>
      <c r="AB102" s="5">
        <v>54.27</v>
      </c>
      <c r="AC102" s="5">
        <v>22.29</v>
      </c>
      <c r="AD102" s="5">
        <v>49.85</v>
      </c>
      <c r="AE102" s="5">
        <v>28.33</v>
      </c>
      <c r="AF102" s="5">
        <v>46.04</v>
      </c>
      <c r="AG102" s="5">
        <v>54.32</v>
      </c>
    </row>
    <row r="103" spans="1:33" x14ac:dyDescent="0.25">
      <c r="A103" s="4">
        <v>38657</v>
      </c>
      <c r="B103" s="5">
        <v>1249.48</v>
      </c>
      <c r="C103" s="5">
        <v>10805.87</v>
      </c>
      <c r="D103" s="5">
        <v>26.56</v>
      </c>
      <c r="E103" s="5">
        <v>66.180000000000007</v>
      </c>
      <c r="F103" s="5">
        <v>50.52</v>
      </c>
      <c r="G103" s="5">
        <v>66.67</v>
      </c>
      <c r="H103" s="5">
        <v>45.69</v>
      </c>
      <c r="I103" s="5">
        <v>56.34</v>
      </c>
      <c r="J103" s="5">
        <v>40.700000000000003</v>
      </c>
      <c r="K103" s="5">
        <v>24.45</v>
      </c>
      <c r="L103" s="5">
        <v>33.92</v>
      </c>
      <c r="M103" s="5">
        <v>20.8</v>
      </c>
      <c r="N103" s="5">
        <v>40.57</v>
      </c>
      <c r="O103" s="5">
        <v>35.409999999999997</v>
      </c>
      <c r="P103" s="5">
        <v>29.21</v>
      </c>
      <c r="Q103" s="5">
        <v>87.12</v>
      </c>
      <c r="R103" s="5">
        <v>25.87</v>
      </c>
      <c r="S103" s="5">
        <v>59.59</v>
      </c>
      <c r="T103" s="5">
        <v>36.25</v>
      </c>
      <c r="U103" s="5">
        <v>40.94</v>
      </c>
      <c r="V103" s="5">
        <v>33.04</v>
      </c>
      <c r="W103" s="5">
        <v>75.73</v>
      </c>
      <c r="X103" s="5">
        <v>50.78</v>
      </c>
      <c r="Y103" s="5">
        <v>27.8</v>
      </c>
      <c r="Z103" s="5">
        <v>27.1</v>
      </c>
      <c r="AA103" s="5">
        <v>19.989999999999998</v>
      </c>
      <c r="AB103" s="5">
        <v>55.43</v>
      </c>
      <c r="AC103" s="5">
        <v>23.28</v>
      </c>
      <c r="AD103" s="5">
        <v>52.56</v>
      </c>
      <c r="AE103" s="5">
        <v>28.75</v>
      </c>
      <c r="AF103" s="5">
        <v>47.26</v>
      </c>
      <c r="AG103" s="5">
        <v>56.44</v>
      </c>
    </row>
    <row r="104" spans="1:33" x14ac:dyDescent="0.25">
      <c r="A104" s="4">
        <v>38687</v>
      </c>
      <c r="B104" s="5">
        <v>1248.29</v>
      </c>
      <c r="C104" s="5">
        <v>10717.5</v>
      </c>
      <c r="D104" s="5">
        <v>28.66</v>
      </c>
      <c r="E104" s="5">
        <v>67.25</v>
      </c>
      <c r="F104" s="5">
        <v>50.56</v>
      </c>
      <c r="G104" s="5">
        <v>68.67</v>
      </c>
      <c r="H104" s="5">
        <v>45.67</v>
      </c>
      <c r="I104" s="5">
        <v>56.33</v>
      </c>
      <c r="J104" s="5">
        <v>40.46</v>
      </c>
      <c r="K104" s="5">
        <v>23.75</v>
      </c>
      <c r="L104" s="5">
        <v>33.53</v>
      </c>
      <c r="M104" s="5">
        <v>18.440000000000001</v>
      </c>
      <c r="N104" s="5">
        <v>39.31</v>
      </c>
      <c r="O104" s="5">
        <v>36.1</v>
      </c>
      <c r="P104" s="5">
        <v>28.26</v>
      </c>
      <c r="Q104" s="5">
        <v>80.55</v>
      </c>
      <c r="R104" s="5">
        <v>24.2</v>
      </c>
      <c r="S104" s="5">
        <v>58</v>
      </c>
      <c r="T104" s="5">
        <v>37.61</v>
      </c>
      <c r="U104" s="5">
        <v>38.659999999999997</v>
      </c>
      <c r="V104" s="5">
        <v>32.92</v>
      </c>
      <c r="W104" s="5">
        <v>74.790000000000006</v>
      </c>
      <c r="X104" s="5">
        <v>52.68</v>
      </c>
      <c r="Y104" s="5">
        <v>30.07</v>
      </c>
      <c r="Z104" s="5">
        <v>25.61</v>
      </c>
      <c r="AA104" s="5">
        <v>21.99</v>
      </c>
      <c r="AB104" s="5">
        <v>56.1</v>
      </c>
      <c r="AC104" s="5">
        <v>22.89</v>
      </c>
      <c r="AD104" s="5">
        <v>54.58</v>
      </c>
      <c r="AE104" s="5">
        <v>27.08</v>
      </c>
      <c r="AF104" s="5">
        <v>45.69</v>
      </c>
      <c r="AG104" s="5">
        <v>54.63</v>
      </c>
    </row>
    <row r="105" spans="1:33" x14ac:dyDescent="0.25">
      <c r="A105" s="4">
        <v>38720</v>
      </c>
      <c r="B105" s="5">
        <v>1280.08</v>
      </c>
      <c r="C105" s="5">
        <v>10864.86</v>
      </c>
      <c r="D105" s="5">
        <v>30.53</v>
      </c>
      <c r="E105" s="5">
        <v>64.52</v>
      </c>
      <c r="F105" s="5">
        <v>51.65</v>
      </c>
      <c r="G105" s="5">
        <v>66.78</v>
      </c>
      <c r="H105" s="5">
        <v>43.84</v>
      </c>
      <c r="I105" s="5">
        <v>66.47</v>
      </c>
      <c r="J105" s="5">
        <v>37.270000000000003</v>
      </c>
      <c r="K105" s="5">
        <v>25.08</v>
      </c>
      <c r="L105" s="5">
        <v>31.33</v>
      </c>
      <c r="M105" s="5">
        <v>22.85</v>
      </c>
      <c r="N105" s="5">
        <v>39.369999999999997</v>
      </c>
      <c r="O105" s="5">
        <v>37.229999999999997</v>
      </c>
      <c r="P105" s="5">
        <v>30.77</v>
      </c>
      <c r="Q105" s="5">
        <v>79.67</v>
      </c>
      <c r="R105" s="5">
        <v>20.61</v>
      </c>
      <c r="S105" s="5">
        <v>55.53</v>
      </c>
      <c r="T105" s="5">
        <v>37.99</v>
      </c>
      <c r="U105" s="5">
        <v>39.68</v>
      </c>
      <c r="V105" s="5">
        <v>34.18</v>
      </c>
      <c r="W105" s="5">
        <v>70.2</v>
      </c>
      <c r="X105" s="5">
        <v>51</v>
      </c>
      <c r="Y105" s="5">
        <v>32.619999999999997</v>
      </c>
      <c r="Z105" s="5">
        <v>27.56</v>
      </c>
      <c r="AA105" s="5">
        <v>24.22</v>
      </c>
      <c r="AB105" s="5">
        <v>57.69</v>
      </c>
      <c r="AC105" s="5">
        <v>24.58</v>
      </c>
      <c r="AD105" s="5">
        <v>56.98</v>
      </c>
      <c r="AE105" s="5">
        <v>28.83</v>
      </c>
      <c r="AF105" s="5">
        <v>45.01</v>
      </c>
      <c r="AG105" s="5">
        <v>61.03</v>
      </c>
    </row>
    <row r="106" spans="1:33" x14ac:dyDescent="0.25">
      <c r="A106" s="4">
        <v>38749</v>
      </c>
      <c r="B106" s="5">
        <v>1280.6600000000001</v>
      </c>
      <c r="C106" s="5">
        <v>10993.41</v>
      </c>
      <c r="D106" s="5">
        <v>28.55</v>
      </c>
      <c r="E106" s="5">
        <v>65.41</v>
      </c>
      <c r="F106" s="5">
        <v>53.06</v>
      </c>
      <c r="G106" s="5">
        <v>71.37</v>
      </c>
      <c r="H106" s="5">
        <v>44.1</v>
      </c>
      <c r="I106" s="5">
        <v>71.55</v>
      </c>
      <c r="J106" s="5">
        <v>38.659999999999997</v>
      </c>
      <c r="K106" s="5">
        <v>27.74</v>
      </c>
      <c r="L106" s="5">
        <v>31.68</v>
      </c>
      <c r="M106" s="5">
        <v>19.510000000000002</v>
      </c>
      <c r="N106" s="5">
        <v>40.93</v>
      </c>
      <c r="O106" s="5">
        <v>39.9</v>
      </c>
      <c r="P106" s="5">
        <v>32.380000000000003</v>
      </c>
      <c r="Q106" s="5">
        <v>78.83</v>
      </c>
      <c r="R106" s="5">
        <v>20.07</v>
      </c>
      <c r="S106" s="5">
        <v>55.95</v>
      </c>
      <c r="T106" s="5">
        <v>39.32</v>
      </c>
      <c r="U106" s="5">
        <v>40.25</v>
      </c>
      <c r="V106" s="5">
        <v>34.08</v>
      </c>
      <c r="W106" s="5">
        <v>71.459999999999994</v>
      </c>
      <c r="X106" s="5">
        <v>50.69</v>
      </c>
      <c r="Y106" s="5">
        <v>32.96</v>
      </c>
      <c r="Z106" s="5">
        <v>26.4</v>
      </c>
      <c r="AA106" s="5">
        <v>24.94</v>
      </c>
      <c r="AB106" s="5">
        <v>58.37</v>
      </c>
      <c r="AC106" s="5">
        <v>26.13</v>
      </c>
      <c r="AD106" s="5">
        <v>57.32</v>
      </c>
      <c r="AE106" s="5">
        <v>30.69</v>
      </c>
      <c r="AF106" s="5">
        <v>44.28</v>
      </c>
      <c r="AG106" s="5">
        <v>58.05</v>
      </c>
    </row>
    <row r="107" spans="1:33" x14ac:dyDescent="0.25">
      <c r="A107" s="4">
        <v>38777</v>
      </c>
      <c r="B107" s="5">
        <v>1294.8699999999999</v>
      </c>
      <c r="C107" s="5">
        <v>11109.32</v>
      </c>
      <c r="D107" s="5">
        <v>29.76</v>
      </c>
      <c r="E107" s="5">
        <v>65.290000000000006</v>
      </c>
      <c r="F107" s="5">
        <v>51.75</v>
      </c>
      <c r="G107" s="5">
        <v>76.510000000000005</v>
      </c>
      <c r="H107" s="5">
        <v>44.92</v>
      </c>
      <c r="I107" s="5">
        <v>70.3</v>
      </c>
      <c r="J107" s="5">
        <v>40.56</v>
      </c>
      <c r="K107" s="5">
        <v>27.64</v>
      </c>
      <c r="L107" s="5">
        <v>33.520000000000003</v>
      </c>
      <c r="M107" s="5">
        <v>20.43</v>
      </c>
      <c r="N107" s="5">
        <v>41.22</v>
      </c>
      <c r="O107" s="5">
        <v>41.67</v>
      </c>
      <c r="P107" s="5">
        <v>32.549999999999997</v>
      </c>
      <c r="Q107" s="5">
        <v>81.02</v>
      </c>
      <c r="R107" s="5">
        <v>18.96</v>
      </c>
      <c r="S107" s="5">
        <v>57.47</v>
      </c>
      <c r="T107" s="5">
        <v>39.799999999999997</v>
      </c>
      <c r="U107" s="5">
        <v>40.450000000000003</v>
      </c>
      <c r="V107" s="5">
        <v>33.54</v>
      </c>
      <c r="W107" s="5">
        <v>73.5</v>
      </c>
      <c r="X107" s="5">
        <v>50.5</v>
      </c>
      <c r="Y107" s="5">
        <v>33.67</v>
      </c>
      <c r="Z107" s="5">
        <v>26.73</v>
      </c>
      <c r="AA107" s="5">
        <v>23.73</v>
      </c>
      <c r="AB107" s="5">
        <v>56.13</v>
      </c>
      <c r="AC107" s="5">
        <v>25.61</v>
      </c>
      <c r="AD107" s="5">
        <v>56.81</v>
      </c>
      <c r="AE107" s="5">
        <v>31.02</v>
      </c>
      <c r="AF107" s="5">
        <v>46.29</v>
      </c>
      <c r="AG107" s="5">
        <v>59.5</v>
      </c>
    </row>
    <row r="108" spans="1:33" x14ac:dyDescent="0.25">
      <c r="A108" s="4">
        <v>38810</v>
      </c>
      <c r="B108" s="5">
        <v>1310.6099999999999</v>
      </c>
      <c r="C108" s="5">
        <v>11367.14</v>
      </c>
      <c r="D108" s="5">
        <v>32.89</v>
      </c>
      <c r="E108" s="5">
        <v>64.459999999999994</v>
      </c>
      <c r="F108" s="5">
        <v>53.11</v>
      </c>
      <c r="G108" s="5">
        <v>81.93</v>
      </c>
      <c r="H108" s="5">
        <v>48</v>
      </c>
      <c r="I108" s="5">
        <v>74.39</v>
      </c>
      <c r="J108" s="5">
        <v>42.37</v>
      </c>
      <c r="K108" s="5">
        <v>27.71</v>
      </c>
      <c r="L108" s="5">
        <v>33.33</v>
      </c>
      <c r="M108" s="5">
        <v>21.98</v>
      </c>
      <c r="N108" s="5">
        <v>38.909999999999997</v>
      </c>
      <c r="O108" s="5">
        <v>41.41</v>
      </c>
      <c r="P108" s="5">
        <v>32.130000000000003</v>
      </c>
      <c r="Q108" s="5">
        <v>80.89</v>
      </c>
      <c r="R108" s="5">
        <v>19.46</v>
      </c>
      <c r="S108" s="5">
        <v>56.88</v>
      </c>
      <c r="T108" s="5">
        <v>43.72</v>
      </c>
      <c r="U108" s="5">
        <v>40.53</v>
      </c>
      <c r="V108" s="5">
        <v>33.75</v>
      </c>
      <c r="W108" s="5">
        <v>82.96</v>
      </c>
      <c r="X108" s="5">
        <v>52.14</v>
      </c>
      <c r="Y108" s="5">
        <v>32.9</v>
      </c>
      <c r="Z108" s="5">
        <v>23.73</v>
      </c>
      <c r="AA108" s="5">
        <v>24.12</v>
      </c>
      <c r="AB108" s="5">
        <v>57.01</v>
      </c>
      <c r="AC108" s="5">
        <v>25.14</v>
      </c>
      <c r="AD108" s="5">
        <v>61.55</v>
      </c>
      <c r="AE108" s="5">
        <v>30.44</v>
      </c>
      <c r="AF108" s="5">
        <v>44.12</v>
      </c>
      <c r="AG108" s="5">
        <v>61.67</v>
      </c>
    </row>
    <row r="109" spans="1:33" x14ac:dyDescent="0.25">
      <c r="A109" s="4">
        <v>38838</v>
      </c>
      <c r="B109" s="5">
        <v>1270.0899999999999</v>
      </c>
      <c r="C109" s="5">
        <v>11168.31</v>
      </c>
      <c r="D109" s="5">
        <v>31.02</v>
      </c>
      <c r="E109" s="5">
        <v>60.21</v>
      </c>
      <c r="F109" s="5">
        <v>53.65</v>
      </c>
      <c r="G109" s="5">
        <v>82.01</v>
      </c>
      <c r="H109" s="5">
        <v>47.38</v>
      </c>
      <c r="I109" s="5">
        <v>71.64</v>
      </c>
      <c r="J109" s="5">
        <v>41.2</v>
      </c>
      <c r="K109" s="5">
        <v>30.23</v>
      </c>
      <c r="L109" s="5">
        <v>33.020000000000003</v>
      </c>
      <c r="M109" s="5">
        <v>26.12</v>
      </c>
      <c r="N109" s="5">
        <v>37.15</v>
      </c>
      <c r="O109" s="5">
        <v>40.340000000000003</v>
      </c>
      <c r="P109" s="5">
        <v>32.04</v>
      </c>
      <c r="Q109" s="5">
        <v>78.78</v>
      </c>
      <c r="R109" s="5">
        <v>17.64</v>
      </c>
      <c r="S109" s="5">
        <v>58.81</v>
      </c>
      <c r="T109" s="5">
        <v>41.08</v>
      </c>
      <c r="U109" s="5">
        <v>42.53</v>
      </c>
      <c r="V109" s="5">
        <v>32.380000000000003</v>
      </c>
      <c r="W109" s="5">
        <v>81.67</v>
      </c>
      <c r="X109" s="5">
        <v>51.56</v>
      </c>
      <c r="Y109" s="5">
        <v>32.19</v>
      </c>
      <c r="Z109" s="5">
        <v>22.34</v>
      </c>
      <c r="AA109" s="5">
        <v>22.74</v>
      </c>
      <c r="AB109" s="5">
        <v>53.13</v>
      </c>
      <c r="AC109" s="5">
        <v>24.99</v>
      </c>
      <c r="AD109" s="5">
        <v>61.51</v>
      </c>
      <c r="AE109" s="5">
        <v>28.76</v>
      </c>
      <c r="AF109" s="5">
        <v>47.64</v>
      </c>
      <c r="AG109" s="5">
        <v>59.85</v>
      </c>
    </row>
    <row r="110" spans="1:33" x14ac:dyDescent="0.25">
      <c r="A110" s="4">
        <v>38869</v>
      </c>
      <c r="B110" s="5">
        <v>1270.2</v>
      </c>
      <c r="C110" s="5">
        <v>11150.22</v>
      </c>
      <c r="D110" s="5">
        <v>31.65</v>
      </c>
      <c r="E110" s="5">
        <v>58.48</v>
      </c>
      <c r="F110" s="5">
        <v>52.53</v>
      </c>
      <c r="G110" s="5">
        <v>80.69</v>
      </c>
      <c r="H110" s="5">
        <v>46.37</v>
      </c>
      <c r="I110" s="5">
        <v>73.150000000000006</v>
      </c>
      <c r="J110" s="5">
        <v>40.299999999999997</v>
      </c>
      <c r="K110" s="5">
        <v>29.73</v>
      </c>
      <c r="L110" s="5">
        <v>32</v>
      </c>
      <c r="M110" s="5">
        <v>28.9</v>
      </c>
      <c r="N110" s="5">
        <v>35.020000000000003</v>
      </c>
      <c r="O110" s="5">
        <v>39.47</v>
      </c>
      <c r="P110" s="5">
        <v>31.43</v>
      </c>
      <c r="Q110" s="5">
        <v>75.739999999999995</v>
      </c>
      <c r="R110" s="5">
        <v>18.600000000000001</v>
      </c>
      <c r="S110" s="5">
        <v>58.51</v>
      </c>
      <c r="T110" s="5">
        <v>40.47</v>
      </c>
      <c r="U110" s="5">
        <v>41.86</v>
      </c>
      <c r="V110" s="5">
        <v>32.799999999999997</v>
      </c>
      <c r="W110" s="5">
        <v>78.849999999999994</v>
      </c>
      <c r="X110" s="5">
        <v>52.93</v>
      </c>
      <c r="Y110" s="5">
        <v>35.229999999999997</v>
      </c>
      <c r="Z110" s="5">
        <v>22.98</v>
      </c>
      <c r="AA110" s="5">
        <v>22.56</v>
      </c>
      <c r="AB110" s="5">
        <v>54.45</v>
      </c>
      <c r="AC110" s="5">
        <v>26.75</v>
      </c>
      <c r="AD110" s="5">
        <v>62.4</v>
      </c>
      <c r="AE110" s="5">
        <v>30.86</v>
      </c>
      <c r="AF110" s="5">
        <v>47.36</v>
      </c>
      <c r="AG110" s="5">
        <v>60.28</v>
      </c>
    </row>
    <row r="111" spans="1:33" x14ac:dyDescent="0.25">
      <c r="A111" s="4">
        <v>38901</v>
      </c>
      <c r="B111" s="5">
        <v>1276.6600000000001</v>
      </c>
      <c r="C111" s="5">
        <v>11185.68</v>
      </c>
      <c r="D111" s="5">
        <v>29.29</v>
      </c>
      <c r="E111" s="5">
        <v>60.08</v>
      </c>
      <c r="F111" s="5">
        <v>51.53</v>
      </c>
      <c r="G111" s="5">
        <v>76.27</v>
      </c>
      <c r="H111" s="5">
        <v>46.43</v>
      </c>
      <c r="I111" s="5">
        <v>69.91</v>
      </c>
      <c r="J111" s="5">
        <v>38.42</v>
      </c>
      <c r="K111" s="5">
        <v>29.42</v>
      </c>
      <c r="L111" s="5">
        <v>31.74</v>
      </c>
      <c r="M111" s="5">
        <v>31.27</v>
      </c>
      <c r="N111" s="5">
        <v>33.96</v>
      </c>
      <c r="O111" s="5">
        <v>37.909999999999997</v>
      </c>
      <c r="P111" s="5">
        <v>31.66</v>
      </c>
      <c r="Q111" s="5">
        <v>76.33</v>
      </c>
      <c r="R111" s="5">
        <v>17.63</v>
      </c>
      <c r="S111" s="5">
        <v>61.08</v>
      </c>
      <c r="T111" s="5">
        <v>44.31</v>
      </c>
      <c r="U111" s="5">
        <v>43.3</v>
      </c>
      <c r="V111" s="5">
        <v>34.549999999999997</v>
      </c>
      <c r="W111" s="5">
        <v>68.73</v>
      </c>
      <c r="X111" s="5">
        <v>57.64</v>
      </c>
      <c r="Y111" s="5">
        <v>38.94</v>
      </c>
      <c r="Z111" s="5">
        <v>23.73</v>
      </c>
      <c r="AA111" s="5">
        <v>24.98</v>
      </c>
      <c r="AB111" s="5">
        <v>55.35</v>
      </c>
      <c r="AC111" s="5">
        <v>29.11</v>
      </c>
      <c r="AD111" s="5">
        <v>61.19</v>
      </c>
      <c r="AE111" s="5">
        <v>31.55</v>
      </c>
      <c r="AF111" s="5">
        <v>43.76</v>
      </c>
      <c r="AG111" s="5">
        <v>66.56</v>
      </c>
    </row>
    <row r="112" spans="1:33" x14ac:dyDescent="0.25">
      <c r="A112" s="4">
        <v>38930</v>
      </c>
      <c r="B112" s="5">
        <v>1303.82</v>
      </c>
      <c r="C112" s="5">
        <v>11381.15</v>
      </c>
      <c r="D112" s="5">
        <v>28.11</v>
      </c>
      <c r="E112" s="5">
        <v>63.37</v>
      </c>
      <c r="F112" s="5">
        <v>52</v>
      </c>
      <c r="G112" s="5">
        <v>74.069999999999993</v>
      </c>
      <c r="H112" s="5">
        <v>47.91</v>
      </c>
      <c r="I112" s="5">
        <v>65.45</v>
      </c>
      <c r="J112" s="5">
        <v>39.08</v>
      </c>
      <c r="K112" s="5">
        <v>29.38</v>
      </c>
      <c r="L112" s="5">
        <v>33.07</v>
      </c>
      <c r="M112" s="5">
        <v>28.54</v>
      </c>
      <c r="N112" s="5">
        <v>33.549999999999997</v>
      </c>
      <c r="O112" s="5">
        <v>38.15</v>
      </c>
      <c r="P112" s="5">
        <v>36.270000000000003</v>
      </c>
      <c r="Q112" s="5">
        <v>80.150000000000006</v>
      </c>
      <c r="R112" s="5">
        <v>19.27</v>
      </c>
      <c r="S112" s="5">
        <v>63.51</v>
      </c>
      <c r="T112" s="5">
        <v>44.35</v>
      </c>
      <c r="U112" s="5">
        <v>43.6</v>
      </c>
      <c r="V112" s="5">
        <v>35.04</v>
      </c>
      <c r="W112" s="5">
        <v>70.45</v>
      </c>
      <c r="X112" s="5">
        <v>60.21</v>
      </c>
      <c r="Y112" s="5">
        <v>39.57</v>
      </c>
      <c r="Z112" s="5">
        <v>25.44</v>
      </c>
      <c r="AA112" s="5">
        <v>26.74</v>
      </c>
      <c r="AB112" s="5">
        <v>60.96</v>
      </c>
      <c r="AC112" s="5">
        <v>30.22</v>
      </c>
      <c r="AD112" s="5">
        <v>61.97</v>
      </c>
      <c r="AE112" s="5">
        <v>32.82</v>
      </c>
      <c r="AF112" s="5">
        <v>44.14</v>
      </c>
      <c r="AG112" s="5">
        <v>66.8</v>
      </c>
    </row>
    <row r="113" spans="1:33" x14ac:dyDescent="0.25">
      <c r="A113" s="4">
        <v>38961</v>
      </c>
      <c r="B113" s="5">
        <v>1335.85</v>
      </c>
      <c r="C113" s="5">
        <v>11679.07</v>
      </c>
      <c r="D113" s="5">
        <v>27.57</v>
      </c>
      <c r="E113" s="5">
        <v>65.790000000000006</v>
      </c>
      <c r="F113" s="5">
        <v>55.51</v>
      </c>
      <c r="G113" s="5">
        <v>77.98</v>
      </c>
      <c r="H113" s="5">
        <v>48.22</v>
      </c>
      <c r="I113" s="5">
        <v>64.900000000000006</v>
      </c>
      <c r="J113" s="5">
        <v>41.89</v>
      </c>
      <c r="K113" s="5">
        <v>30.63</v>
      </c>
      <c r="L113" s="5">
        <v>34.520000000000003</v>
      </c>
      <c r="M113" s="5">
        <v>32.53</v>
      </c>
      <c r="N113" s="5">
        <v>35.64</v>
      </c>
      <c r="O113" s="5">
        <v>40.299999999999997</v>
      </c>
      <c r="P113" s="5">
        <v>36.479999999999997</v>
      </c>
      <c r="Q113" s="5">
        <v>81.11</v>
      </c>
      <c r="R113" s="5">
        <v>20.260000000000002</v>
      </c>
      <c r="S113" s="5">
        <v>63.78</v>
      </c>
      <c r="T113" s="5">
        <v>45.62</v>
      </c>
      <c r="U113" s="5">
        <v>43.78</v>
      </c>
      <c r="V113" s="5">
        <v>38.19</v>
      </c>
      <c r="W113" s="5">
        <v>73.13</v>
      </c>
      <c r="X113" s="5">
        <v>55.76</v>
      </c>
      <c r="Y113" s="5">
        <v>40.89</v>
      </c>
      <c r="Z113" s="5">
        <v>27.07</v>
      </c>
      <c r="AA113" s="5">
        <v>27.51</v>
      </c>
      <c r="AB113" s="5">
        <v>61.04</v>
      </c>
      <c r="AC113" s="5">
        <v>31.6</v>
      </c>
      <c r="AD113" s="5">
        <v>62.6</v>
      </c>
      <c r="AE113" s="5">
        <v>34.64</v>
      </c>
      <c r="AF113" s="5">
        <v>48.68</v>
      </c>
      <c r="AG113" s="5">
        <v>66.239999999999995</v>
      </c>
    </row>
    <row r="114" spans="1:33" x14ac:dyDescent="0.25">
      <c r="A114" s="4">
        <v>38992</v>
      </c>
      <c r="B114" s="5">
        <v>1377.94</v>
      </c>
      <c r="C114" s="5">
        <v>12080.73</v>
      </c>
      <c r="D114" s="5">
        <v>28.42</v>
      </c>
      <c r="E114" s="5">
        <v>66.69</v>
      </c>
      <c r="F114" s="5">
        <v>57.37</v>
      </c>
      <c r="G114" s="5">
        <v>78.98</v>
      </c>
      <c r="H114" s="5">
        <v>48.69</v>
      </c>
      <c r="I114" s="5">
        <v>60.14</v>
      </c>
      <c r="J114" s="5">
        <v>44.78</v>
      </c>
      <c r="K114" s="5">
        <v>31.18</v>
      </c>
      <c r="L114" s="5">
        <v>34.33</v>
      </c>
      <c r="M114" s="5">
        <v>34.15</v>
      </c>
      <c r="N114" s="5">
        <v>36.68</v>
      </c>
      <c r="O114" s="5">
        <v>41.5</v>
      </c>
      <c r="P114" s="5">
        <v>38.520000000000003</v>
      </c>
      <c r="Q114" s="5">
        <v>91.4</v>
      </c>
      <c r="R114" s="5">
        <v>21.01</v>
      </c>
      <c r="S114" s="5">
        <v>66.2</v>
      </c>
      <c r="T114" s="5">
        <v>46.41</v>
      </c>
      <c r="U114" s="5">
        <v>45.77</v>
      </c>
      <c r="V114" s="5">
        <v>40.92</v>
      </c>
      <c r="W114" s="5">
        <v>77.47</v>
      </c>
      <c r="X114" s="5">
        <v>59.24</v>
      </c>
      <c r="Y114" s="5">
        <v>44.33</v>
      </c>
      <c r="Z114" s="5">
        <v>28.42</v>
      </c>
      <c r="AA114" s="5">
        <v>25.85</v>
      </c>
      <c r="AB114" s="5">
        <v>62.74</v>
      </c>
      <c r="AC114" s="5">
        <v>33.590000000000003</v>
      </c>
      <c r="AD114" s="5">
        <v>64.94</v>
      </c>
      <c r="AE114" s="5">
        <v>34.89</v>
      </c>
      <c r="AF114" s="5">
        <v>48.64</v>
      </c>
      <c r="AG114" s="5">
        <v>70.510000000000005</v>
      </c>
    </row>
    <row r="115" spans="1:33" x14ac:dyDescent="0.25">
      <c r="A115" s="4">
        <v>39022</v>
      </c>
      <c r="B115" s="5">
        <v>1400.63</v>
      </c>
      <c r="C115" s="5">
        <v>12221.93</v>
      </c>
      <c r="D115" s="5">
        <v>30.8</v>
      </c>
      <c r="E115" s="5">
        <v>69.989999999999995</v>
      </c>
      <c r="F115" s="5">
        <v>58.28</v>
      </c>
      <c r="G115" s="5">
        <v>87.86</v>
      </c>
      <c r="H115" s="5">
        <v>48.62</v>
      </c>
      <c r="I115" s="5">
        <v>61.45</v>
      </c>
      <c r="J115" s="5">
        <v>46.25</v>
      </c>
      <c r="K115" s="5">
        <v>32.75</v>
      </c>
      <c r="L115" s="5">
        <v>34.5</v>
      </c>
      <c r="M115" s="5">
        <v>28.79</v>
      </c>
      <c r="N115" s="5">
        <v>37.54</v>
      </c>
      <c r="O115" s="5">
        <v>42.57</v>
      </c>
      <c r="P115" s="5">
        <v>39.229999999999997</v>
      </c>
      <c r="Q115" s="5">
        <v>91.29</v>
      </c>
      <c r="R115" s="5">
        <v>21.18</v>
      </c>
      <c r="S115" s="5">
        <v>65.099999999999994</v>
      </c>
      <c r="T115" s="5">
        <v>45.28</v>
      </c>
      <c r="U115" s="5">
        <v>46.19</v>
      </c>
      <c r="V115" s="5">
        <v>41.97</v>
      </c>
      <c r="W115" s="5">
        <v>80.5</v>
      </c>
      <c r="X115" s="5">
        <v>61.33</v>
      </c>
      <c r="Y115" s="5">
        <v>43.44</v>
      </c>
      <c r="Z115" s="5">
        <v>29.16</v>
      </c>
      <c r="AA115" s="5">
        <v>26.9</v>
      </c>
      <c r="AB115" s="5">
        <v>62.15</v>
      </c>
      <c r="AC115" s="5">
        <v>33.25</v>
      </c>
      <c r="AD115" s="5">
        <v>64.03</v>
      </c>
      <c r="AE115" s="5">
        <v>34.19</v>
      </c>
      <c r="AF115" s="5">
        <v>45.5</v>
      </c>
      <c r="AG115" s="5">
        <v>76.16</v>
      </c>
    </row>
    <row r="116" spans="1:33" x14ac:dyDescent="0.25">
      <c r="A116" s="4">
        <v>39052</v>
      </c>
      <c r="B116" s="5">
        <v>1418.3</v>
      </c>
      <c r="C116" s="5">
        <v>12463.15</v>
      </c>
      <c r="D116" s="5">
        <v>29.71</v>
      </c>
      <c r="E116" s="5">
        <v>71.319999999999993</v>
      </c>
      <c r="F116" s="5">
        <v>60.21</v>
      </c>
      <c r="G116" s="5">
        <v>88.17</v>
      </c>
      <c r="H116" s="5">
        <v>54.61</v>
      </c>
      <c r="I116" s="5">
        <v>60.76</v>
      </c>
      <c r="J116" s="5">
        <v>48</v>
      </c>
      <c r="K116" s="5">
        <v>34.270000000000003</v>
      </c>
      <c r="L116" s="5">
        <v>36.659999999999997</v>
      </c>
      <c r="M116" s="5">
        <v>30.26</v>
      </c>
      <c r="N116" s="5">
        <v>39.700000000000003</v>
      </c>
      <c r="O116" s="5">
        <v>44.81</v>
      </c>
      <c r="P116" s="5">
        <v>41.04</v>
      </c>
      <c r="Q116" s="5">
        <v>96.48</v>
      </c>
      <c r="R116" s="5">
        <v>20.04</v>
      </c>
      <c r="S116" s="5">
        <v>65.209999999999994</v>
      </c>
      <c r="T116" s="5">
        <v>47.25</v>
      </c>
      <c r="U116" s="5">
        <v>47.59</v>
      </c>
      <c r="V116" s="5">
        <v>44.33</v>
      </c>
      <c r="W116" s="5">
        <v>77.010000000000005</v>
      </c>
      <c r="X116" s="5">
        <v>63.14</v>
      </c>
      <c r="Y116" s="5">
        <v>42.91</v>
      </c>
      <c r="Z116" s="5">
        <v>29.66</v>
      </c>
      <c r="AA116" s="5">
        <v>25.35</v>
      </c>
      <c r="AB116" s="5">
        <v>63.61</v>
      </c>
      <c r="AC116" s="5">
        <v>35.06</v>
      </c>
      <c r="AD116" s="5">
        <v>62.03</v>
      </c>
      <c r="AE116" s="5">
        <v>36.44</v>
      </c>
      <c r="AF116" s="5">
        <v>45.75</v>
      </c>
      <c r="AG116" s="5">
        <v>75.98</v>
      </c>
    </row>
    <row r="117" spans="1:33" x14ac:dyDescent="0.25">
      <c r="A117" s="4">
        <v>39085</v>
      </c>
      <c r="B117" s="5">
        <v>1438.24</v>
      </c>
      <c r="C117" s="5">
        <v>12621.69</v>
      </c>
      <c r="D117" s="5">
        <v>32.14</v>
      </c>
      <c r="E117" s="5">
        <v>68.12</v>
      </c>
      <c r="F117" s="5">
        <v>57.92</v>
      </c>
      <c r="G117" s="5">
        <v>88.88</v>
      </c>
      <c r="H117" s="5">
        <v>54.05</v>
      </c>
      <c r="I117" s="5">
        <v>63.79</v>
      </c>
      <c r="J117" s="5">
        <v>48.84</v>
      </c>
      <c r="K117" s="5">
        <v>35.17</v>
      </c>
      <c r="L117" s="5">
        <v>35.51</v>
      </c>
      <c r="M117" s="5">
        <v>32.340000000000003</v>
      </c>
      <c r="N117" s="5">
        <v>40.270000000000003</v>
      </c>
      <c r="O117" s="5">
        <v>45.26</v>
      </c>
      <c r="P117" s="5">
        <v>43.12</v>
      </c>
      <c r="Q117" s="5">
        <v>98.47</v>
      </c>
      <c r="R117" s="5">
        <v>20.74</v>
      </c>
      <c r="S117" s="5">
        <v>65.98</v>
      </c>
      <c r="T117" s="5">
        <v>50.18</v>
      </c>
      <c r="U117" s="5">
        <v>47.22</v>
      </c>
      <c r="V117" s="5">
        <v>44.35</v>
      </c>
      <c r="W117" s="5">
        <v>73.42</v>
      </c>
      <c r="X117" s="5">
        <v>64.3</v>
      </c>
      <c r="Y117" s="5">
        <v>44.04</v>
      </c>
      <c r="Z117" s="5">
        <v>30.65</v>
      </c>
      <c r="AA117" s="5">
        <v>25.68</v>
      </c>
      <c r="AB117" s="5">
        <v>64.510000000000005</v>
      </c>
      <c r="AC117" s="5">
        <v>37.29</v>
      </c>
      <c r="AD117" s="5">
        <v>67.489999999999995</v>
      </c>
      <c r="AE117" s="5">
        <v>38.11</v>
      </c>
      <c r="AF117" s="5">
        <v>47.24</v>
      </c>
      <c r="AG117" s="5">
        <v>73.47</v>
      </c>
    </row>
    <row r="118" spans="1:33" x14ac:dyDescent="0.25">
      <c r="A118" s="4">
        <v>39114</v>
      </c>
      <c r="B118" s="5">
        <v>1406.82</v>
      </c>
      <c r="C118" s="5">
        <v>12268.63</v>
      </c>
      <c r="D118" s="5">
        <v>33.25</v>
      </c>
      <c r="E118" s="5">
        <v>66.959999999999994</v>
      </c>
      <c r="F118" s="5">
        <v>56.58</v>
      </c>
      <c r="G118" s="5">
        <v>86.94</v>
      </c>
      <c r="H118" s="5">
        <v>49.87</v>
      </c>
      <c r="I118" s="5">
        <v>64.150000000000006</v>
      </c>
      <c r="J118" s="5">
        <v>50.36</v>
      </c>
      <c r="K118" s="5">
        <v>34.25</v>
      </c>
      <c r="L118" s="5">
        <v>34.659999999999997</v>
      </c>
      <c r="M118" s="5">
        <v>31.63</v>
      </c>
      <c r="N118" s="5">
        <v>39.14</v>
      </c>
      <c r="O118" s="5">
        <v>46.2</v>
      </c>
      <c r="P118" s="5">
        <v>39.200000000000003</v>
      </c>
      <c r="Q118" s="5">
        <v>92.58</v>
      </c>
      <c r="R118" s="5">
        <v>19.760000000000002</v>
      </c>
      <c r="S118" s="5">
        <v>62.52</v>
      </c>
      <c r="T118" s="5">
        <v>48.66</v>
      </c>
      <c r="U118" s="5">
        <v>46.04</v>
      </c>
      <c r="V118" s="5">
        <v>43.69</v>
      </c>
      <c r="W118" s="5">
        <v>73.67</v>
      </c>
      <c r="X118" s="5">
        <v>62.01</v>
      </c>
      <c r="Y118" s="5">
        <v>43.45</v>
      </c>
      <c r="Z118" s="5">
        <v>28.08</v>
      </c>
      <c r="AA118" s="5">
        <v>24.7</v>
      </c>
      <c r="AB118" s="5">
        <v>63.14</v>
      </c>
      <c r="AC118" s="5">
        <v>36.47</v>
      </c>
      <c r="AD118" s="5">
        <v>65.39</v>
      </c>
      <c r="AE118" s="5">
        <v>37</v>
      </c>
      <c r="AF118" s="5">
        <v>47.86</v>
      </c>
      <c r="AG118" s="5">
        <v>71.37</v>
      </c>
    </row>
    <row r="119" spans="1:33" x14ac:dyDescent="0.25">
      <c r="A119" s="4">
        <v>39142</v>
      </c>
      <c r="B119" s="5">
        <v>1420.86</v>
      </c>
      <c r="C119" s="5">
        <v>12354.35</v>
      </c>
      <c r="D119" s="5">
        <v>33.729999999999997</v>
      </c>
      <c r="E119" s="5">
        <v>67.069999999999993</v>
      </c>
      <c r="F119" s="5">
        <v>56.11</v>
      </c>
      <c r="G119" s="5">
        <v>88.58</v>
      </c>
      <c r="H119" s="5">
        <v>50.83</v>
      </c>
      <c r="I119" s="5">
        <v>66.739999999999995</v>
      </c>
      <c r="J119" s="5">
        <v>49.07</v>
      </c>
      <c r="K119" s="5">
        <v>34.43</v>
      </c>
      <c r="L119" s="5">
        <v>35.11</v>
      </c>
      <c r="M119" s="5">
        <v>30.38</v>
      </c>
      <c r="N119" s="5">
        <v>36.53</v>
      </c>
      <c r="O119" s="5">
        <v>45.86</v>
      </c>
      <c r="P119" s="5">
        <v>40.07</v>
      </c>
      <c r="Q119" s="5">
        <v>93.89</v>
      </c>
      <c r="R119" s="5">
        <v>19.03</v>
      </c>
      <c r="S119" s="5">
        <v>59.87</v>
      </c>
      <c r="T119" s="5">
        <v>47.67</v>
      </c>
      <c r="U119" s="5">
        <v>47.68</v>
      </c>
      <c r="V119" s="5">
        <v>45.05</v>
      </c>
      <c r="W119" s="5">
        <v>76</v>
      </c>
      <c r="X119" s="5">
        <v>65.25</v>
      </c>
      <c r="Y119" s="5">
        <v>43.84</v>
      </c>
      <c r="Z119" s="5">
        <v>27.78</v>
      </c>
      <c r="AA119" s="5">
        <v>24.99</v>
      </c>
      <c r="AB119" s="5">
        <v>62.81</v>
      </c>
      <c r="AC119" s="5">
        <v>39.07</v>
      </c>
      <c r="AD119" s="5">
        <v>64.75</v>
      </c>
      <c r="AE119" s="5">
        <v>37.520000000000003</v>
      </c>
      <c r="AF119" s="5">
        <v>46.73</v>
      </c>
      <c r="AG119" s="5">
        <v>75.13</v>
      </c>
    </row>
    <row r="120" spans="1:33" x14ac:dyDescent="0.25">
      <c r="A120" s="4">
        <v>39174</v>
      </c>
      <c r="B120" s="5">
        <v>1482.37</v>
      </c>
      <c r="C120" s="5">
        <v>13062.91</v>
      </c>
      <c r="D120" s="5">
        <v>35.32</v>
      </c>
      <c r="E120" s="5">
        <v>69.75</v>
      </c>
      <c r="F120" s="5">
        <v>60.52</v>
      </c>
      <c r="G120" s="5">
        <v>92.65</v>
      </c>
      <c r="H120" s="5">
        <v>53.09</v>
      </c>
      <c r="I120" s="5">
        <v>72.62</v>
      </c>
      <c r="J120" s="5">
        <v>48.81</v>
      </c>
      <c r="K120" s="5">
        <v>34.979999999999997</v>
      </c>
      <c r="L120" s="5">
        <v>36.6</v>
      </c>
      <c r="M120" s="5">
        <v>30.97</v>
      </c>
      <c r="N120" s="5">
        <v>37.659999999999997</v>
      </c>
      <c r="O120" s="5">
        <v>53.95</v>
      </c>
      <c r="P120" s="5">
        <v>42.07</v>
      </c>
      <c r="Q120" s="5">
        <v>101.81</v>
      </c>
      <c r="R120" s="5">
        <v>21.39</v>
      </c>
      <c r="S120" s="5">
        <v>63.8</v>
      </c>
      <c r="T120" s="5">
        <v>51.7</v>
      </c>
      <c r="U120" s="5">
        <v>51.84</v>
      </c>
      <c r="V120" s="5">
        <v>48.28</v>
      </c>
      <c r="W120" s="5">
        <v>82.31</v>
      </c>
      <c r="X120" s="5">
        <v>68.239999999999995</v>
      </c>
      <c r="Y120" s="5">
        <v>51.06</v>
      </c>
      <c r="Z120" s="5">
        <v>29.84</v>
      </c>
      <c r="AA120" s="5">
        <v>26.18</v>
      </c>
      <c r="AB120" s="5">
        <v>64.400000000000006</v>
      </c>
      <c r="AC120" s="5">
        <v>38.72</v>
      </c>
      <c r="AD120" s="5">
        <v>66.87</v>
      </c>
      <c r="AE120" s="5">
        <v>38.18</v>
      </c>
      <c r="AF120" s="5">
        <v>47.7</v>
      </c>
      <c r="AG120" s="5">
        <v>79.040000000000006</v>
      </c>
    </row>
    <row r="121" spans="1:33" x14ac:dyDescent="0.25">
      <c r="A121" s="4">
        <v>39203</v>
      </c>
      <c r="B121" s="5">
        <v>1530.62</v>
      </c>
      <c r="C121" s="5">
        <v>13627.64</v>
      </c>
      <c r="D121" s="5">
        <v>41.28</v>
      </c>
      <c r="E121" s="5">
        <v>72.34</v>
      </c>
      <c r="F121" s="5">
        <v>64.819999999999993</v>
      </c>
      <c r="G121" s="5">
        <v>100.59</v>
      </c>
      <c r="H121" s="5">
        <v>54.49</v>
      </c>
      <c r="I121" s="5">
        <v>78.58</v>
      </c>
      <c r="J121" s="5">
        <v>52.32</v>
      </c>
      <c r="K121" s="5">
        <v>35.44</v>
      </c>
      <c r="L121" s="5">
        <v>37.31</v>
      </c>
      <c r="M121" s="5">
        <v>29.99</v>
      </c>
      <c r="N121" s="5">
        <v>38.65</v>
      </c>
      <c r="O121" s="5">
        <v>57.91</v>
      </c>
      <c r="P121" s="5">
        <v>45.63</v>
      </c>
      <c r="Q121" s="5">
        <v>106.6</v>
      </c>
      <c r="R121" s="5">
        <v>22.18</v>
      </c>
      <c r="S121" s="5">
        <v>63.27</v>
      </c>
      <c r="T121" s="5">
        <v>51.43</v>
      </c>
      <c r="U121" s="5">
        <v>52.64</v>
      </c>
      <c r="V121" s="5">
        <v>50.55</v>
      </c>
      <c r="W121" s="5">
        <v>87.96</v>
      </c>
      <c r="X121" s="5">
        <v>70.400000000000006</v>
      </c>
      <c r="Y121" s="5">
        <v>52.06</v>
      </c>
      <c r="Z121" s="5">
        <v>30.69</v>
      </c>
      <c r="AA121" s="5">
        <v>27.49</v>
      </c>
      <c r="AB121" s="5">
        <v>63.55</v>
      </c>
      <c r="AC121" s="5">
        <v>41.34</v>
      </c>
      <c r="AD121" s="5">
        <v>70.55</v>
      </c>
      <c r="AE121" s="5">
        <v>43.53</v>
      </c>
      <c r="AF121" s="5">
        <v>47.6</v>
      </c>
      <c r="AG121" s="5">
        <v>83.17</v>
      </c>
    </row>
    <row r="122" spans="1:33" x14ac:dyDescent="0.25">
      <c r="A122" s="4">
        <v>39234</v>
      </c>
      <c r="B122" s="5">
        <v>1503.35</v>
      </c>
      <c r="C122" s="5">
        <v>13408.62</v>
      </c>
      <c r="D122" s="5">
        <v>40.53</v>
      </c>
      <c r="E122" s="5">
        <v>70.03</v>
      </c>
      <c r="F122" s="5">
        <v>61.03</v>
      </c>
      <c r="G122" s="5">
        <v>96.16</v>
      </c>
      <c r="H122" s="5">
        <v>51.29</v>
      </c>
      <c r="I122" s="5">
        <v>78.3</v>
      </c>
      <c r="J122" s="5">
        <v>50.84</v>
      </c>
      <c r="K122" s="5">
        <v>34.14</v>
      </c>
      <c r="L122" s="5">
        <v>38.28</v>
      </c>
      <c r="M122" s="5">
        <v>37.799999999999997</v>
      </c>
      <c r="N122" s="5">
        <v>39.35</v>
      </c>
      <c r="O122" s="5">
        <v>56.28</v>
      </c>
      <c r="P122" s="5">
        <v>44.62</v>
      </c>
      <c r="Q122" s="5">
        <v>105.25</v>
      </c>
      <c r="R122" s="5">
        <v>23.74</v>
      </c>
      <c r="S122" s="5">
        <v>61.62</v>
      </c>
      <c r="T122" s="5">
        <v>48.08</v>
      </c>
      <c r="U122" s="5">
        <v>52.31</v>
      </c>
      <c r="V122" s="5">
        <v>50.76</v>
      </c>
      <c r="W122" s="5">
        <v>86.79</v>
      </c>
      <c r="X122" s="5">
        <v>70.14</v>
      </c>
      <c r="Y122" s="5">
        <v>49.8</v>
      </c>
      <c r="Z122" s="5">
        <v>29.47</v>
      </c>
      <c r="AA122" s="5">
        <v>25.57</v>
      </c>
      <c r="AB122" s="5">
        <v>61.19</v>
      </c>
      <c r="AC122" s="5">
        <v>41.5</v>
      </c>
      <c r="AD122" s="5">
        <v>70.930000000000007</v>
      </c>
      <c r="AE122" s="5">
        <v>41.17</v>
      </c>
      <c r="AF122" s="5">
        <v>48.11</v>
      </c>
      <c r="AG122" s="5">
        <v>83.88</v>
      </c>
    </row>
    <row r="123" spans="1:33" x14ac:dyDescent="0.25">
      <c r="A123" s="4">
        <v>39265</v>
      </c>
      <c r="B123" s="5">
        <v>1530.44</v>
      </c>
      <c r="C123" s="5">
        <v>13565.84</v>
      </c>
      <c r="D123" s="5">
        <v>41.35</v>
      </c>
      <c r="E123" s="5">
        <v>70.27</v>
      </c>
      <c r="F123" s="5">
        <v>61.38</v>
      </c>
      <c r="G123" s="5">
        <v>98.36</v>
      </c>
      <c r="H123" s="5">
        <v>51.5</v>
      </c>
      <c r="I123" s="5">
        <v>77.489999999999995</v>
      </c>
      <c r="J123" s="5">
        <v>52.06</v>
      </c>
      <c r="K123" s="5">
        <v>34.630000000000003</v>
      </c>
      <c r="L123" s="5">
        <v>38.54</v>
      </c>
      <c r="M123" s="5">
        <v>36.76</v>
      </c>
      <c r="N123" s="5">
        <v>39.83</v>
      </c>
      <c r="O123" s="5">
        <v>58.36</v>
      </c>
      <c r="P123" s="5">
        <v>45.9</v>
      </c>
      <c r="Q123" s="5">
        <v>108.05</v>
      </c>
      <c r="R123" s="5">
        <v>24.6</v>
      </c>
      <c r="S123" s="5">
        <v>62.28</v>
      </c>
      <c r="T123" s="5">
        <v>48.79</v>
      </c>
      <c r="U123" s="5">
        <v>52.67</v>
      </c>
      <c r="V123" s="5">
        <v>51.21</v>
      </c>
      <c r="W123" s="5">
        <v>87.76</v>
      </c>
      <c r="X123" s="5">
        <v>71.16</v>
      </c>
      <c r="Y123" s="5">
        <v>49.82</v>
      </c>
      <c r="Z123" s="5">
        <v>29.99</v>
      </c>
      <c r="AA123" s="5">
        <v>25.9</v>
      </c>
      <c r="AB123" s="5">
        <v>61.67</v>
      </c>
      <c r="AC123" s="5">
        <v>40.96</v>
      </c>
      <c r="AD123" s="5">
        <v>72.12</v>
      </c>
      <c r="AE123" s="5">
        <v>41.98</v>
      </c>
      <c r="AF123" s="5">
        <v>48.09</v>
      </c>
      <c r="AG123" s="5">
        <v>85.16</v>
      </c>
    </row>
    <row r="124" spans="1:33" x14ac:dyDescent="0.25">
      <c r="B124" s="5"/>
    </row>
  </sheetData>
  <mergeCells count="1">
    <mergeCell ref="A1:L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2024-11-05T02:24:29Z</dcterms:modified>
</cp:coreProperties>
</file>