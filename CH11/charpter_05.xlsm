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1\"/>
    </mc:Choice>
  </mc:AlternateContent>
  <xr:revisionPtr revIDLastSave="0" documentId="13_ncr:1_{CFE0D739-3365-4F86-BF69-8364B966131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B2" i="1"/>
  <c r="B3" i="1"/>
  <c r="B4" i="1"/>
  <c r="B27" i="1"/>
  <c r="B26" i="1" a="1"/>
  <c r="B26" i="1" s="1"/>
  <c r="B25" i="1"/>
  <c r="C27" i="1"/>
  <c r="C26" i="1"/>
  <c r="C25" i="1"/>
  <c r="C18" i="1"/>
  <c r="C17" i="1"/>
  <c r="C14" i="1"/>
  <c r="S14" i="1"/>
  <c r="F15" i="1"/>
  <c r="V15" i="1"/>
  <c r="D14" i="1"/>
  <c r="T14" i="1"/>
  <c r="G15" i="1"/>
  <c r="W15" i="1"/>
  <c r="E14" i="1"/>
  <c r="U14" i="1"/>
  <c r="H15" i="1"/>
  <c r="X15" i="1"/>
  <c r="F14" i="1"/>
  <c r="V14" i="1"/>
  <c r="I15" i="1"/>
  <c r="Y15" i="1"/>
  <c r="G14" i="1"/>
  <c r="W14" i="1"/>
  <c r="J15" i="1"/>
  <c r="Z15" i="1"/>
  <c r="H14" i="1"/>
  <c r="X14" i="1"/>
  <c r="K15" i="1"/>
  <c r="AA15" i="1"/>
  <c r="I14" i="1"/>
  <c r="Y14" i="1"/>
  <c r="L15" i="1"/>
  <c r="AB15" i="1"/>
  <c r="J14" i="1"/>
  <c r="Z14" i="1"/>
  <c r="M15" i="1"/>
  <c r="AC15" i="1"/>
  <c r="K14" i="1"/>
  <c r="AA14" i="1"/>
  <c r="N15" i="1"/>
  <c r="AD15" i="1"/>
  <c r="L14" i="1"/>
  <c r="AB14" i="1"/>
  <c r="O15" i="1"/>
  <c r="AE15" i="1"/>
  <c r="M14" i="1"/>
  <c r="AC14" i="1"/>
  <c r="P15" i="1"/>
  <c r="N14" i="1"/>
  <c r="AD14" i="1"/>
  <c r="Q15" i="1"/>
  <c r="P14" i="1"/>
  <c r="S15" i="1"/>
  <c r="O14" i="1"/>
  <c r="AE14" i="1"/>
  <c r="R15" i="1"/>
  <c r="C15" i="1"/>
  <c r="Q14" i="1"/>
  <c r="D15" i="1"/>
  <c r="T15" i="1"/>
  <c r="R14" i="1"/>
  <c r="E15" i="1"/>
  <c r="U15" i="1"/>
  <c r="B15" i="1"/>
  <c r="B14" i="1"/>
  <c r="C10" i="1"/>
  <c r="C9" i="1"/>
  <c r="C8" i="1"/>
  <c r="C4" i="1"/>
  <c r="C3" i="1"/>
  <c r="C2" i="1"/>
  <c r="B18" i="1" l="1"/>
  <c r="B17" i="1" a="1"/>
  <c r="B17" i="1" s="1"/>
  <c r="B10" i="1"/>
</calcChain>
</file>

<file path=xl/sharedStrings.xml><?xml version="1.0" encoding="utf-8"?>
<sst xmlns="http://schemas.openxmlformats.org/spreadsheetml/2006/main" count="47" uniqueCount="47">
  <si>
    <t>OUR SML EXERCISE:  WHAT DID WE LEARN?</t>
  </si>
  <si>
    <t>Average alpha</t>
  </si>
  <si>
    <t>Average beta</t>
  </si>
  <si>
    <t>Average r-squared</t>
  </si>
  <si>
    <r>
      <t>Average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for best regressions</t>
    </r>
  </si>
  <si>
    <r>
      <t>Cutoff for R</t>
    </r>
    <r>
      <rPr>
        <vertAlign val="superscript"/>
        <sz val="10"/>
        <rFont val="Arial"/>
        <family val="2"/>
      </rPr>
      <t>2</t>
    </r>
  </si>
  <si>
    <r>
      <t>&lt;-- Below we count all R</t>
    </r>
    <r>
      <rPr>
        <vertAlign val="super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 xml:space="preserve"> which are greater than this number</t>
    </r>
  </si>
  <si>
    <r>
      <t>Average R</t>
    </r>
    <r>
      <rPr>
        <vertAlign val="superscript"/>
        <sz val="10"/>
        <rFont val="Arial"/>
        <family val="2"/>
      </rPr>
      <t>2</t>
    </r>
  </si>
  <si>
    <t>T-statistics for intercept and slope</t>
  </si>
  <si>
    <t>Alcoa 
AA</t>
  </si>
  <si>
    <t>American International Group 
AIG</t>
  </si>
  <si>
    <t>American Express 
AXP</t>
  </si>
  <si>
    <t>Boeing BA</t>
  </si>
  <si>
    <t>Citigroup C</t>
  </si>
  <si>
    <t>Caterpillar CAT</t>
  </si>
  <si>
    <t>Du Pont DD</t>
  </si>
  <si>
    <t>Disney DIS</t>
  </si>
  <si>
    <t>General Electric GE</t>
  </si>
  <si>
    <t>General Motors GM</t>
  </si>
  <si>
    <t>Home Depot HD</t>
  </si>
  <si>
    <t>Honeywell HON</t>
  </si>
  <si>
    <t>Hewlitt Packard HPQ</t>
  </si>
  <si>
    <t>IBM</t>
  </si>
  <si>
    <t>Intel 
INTC</t>
  </si>
  <si>
    <t>Johnson &amp; Johnson JNJ</t>
  </si>
  <si>
    <t>JP Morgan JPM</t>
  </si>
  <si>
    <t>Coca Cola 
KO</t>
  </si>
  <si>
    <t>McDonalds 
MCD</t>
  </si>
  <si>
    <t>3M 
MMM</t>
  </si>
  <si>
    <t>Altria
MO</t>
  </si>
  <si>
    <t>Merck 
MRK</t>
  </si>
  <si>
    <t>Microsoft 
MSFT</t>
  </si>
  <si>
    <t>Pfizer 
PFE</t>
  </si>
  <si>
    <t>Proctor Gamble 
PG</t>
  </si>
  <si>
    <t>AT&amp;T 
T</t>
  </si>
  <si>
    <t>United Technologies UTX</t>
  </si>
  <si>
    <t>Verizon 
VZ</t>
  </si>
  <si>
    <t>Walmart 
WMT</t>
  </si>
  <si>
    <t>Exxon Mobil 
XOM</t>
  </si>
  <si>
    <t>t-stat for intercept</t>
  </si>
  <si>
    <t>t-stat for slope</t>
  </si>
  <si>
    <t>Average absolute
t-stat for intercept</t>
  </si>
  <si>
    <t>Average t-stat
for slope</t>
  </si>
  <si>
    <t>Numbers</t>
  </si>
  <si>
    <t>Average number</t>
  </si>
  <si>
    <t>Average absolute number</t>
  </si>
  <si>
    <t>The above, but not
as array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</si>
</sst>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vertAlign val="superscript"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10" fontId="0" fillId="0" borderId="0" xfId="0" applyNumberFormat="1" applyAlignment="1"/>
    <xf numFmtId="2" fontId="0" fillId="0" borderId="0" xfId="0" applyNumberFormat="1" applyAlignment="1"/>
    <xf numFmtId="176" fontId="0" fillId="0" borderId="0" xfId="0" applyNumberFormat="1" applyAlignment="1"/>
    <xf numFmtId="0" fontId="4" fillId="0" borderId="0" xfId="0" applyFont="1" applyAlignment="1"/>
    <xf numFmtId="0" fontId="0" fillId="0" borderId="0" xfId="0" applyAlignment="1">
      <alignment horizontal="center" wrapText="1"/>
    </xf>
    <xf numFmtId="0" fontId="7" fillId="0" borderId="0" xfId="0" applyFont="1" applyAlignment="1">
      <alignment horizontal="center" wrapText="1"/>
    </xf>
    <xf numFmtId="176" fontId="0" fillId="0" borderId="0" xfId="1" applyNumberFormat="1" applyFont="1" applyAlignment="1"/>
    <xf numFmtId="0" fontId="0" fillId="2" borderId="0" xfId="0" applyFill="1" applyAlignment="1">
      <alignment wrapText="1"/>
    </xf>
    <xf numFmtId="176" fontId="0" fillId="2" borderId="0" xfId="0" applyNumberFormat="1" applyFill="1" applyAlignment="1"/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1" fontId="0" fillId="0" borderId="0" xfId="0" applyNumberForma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361950</xdr:colOff>
      <xdr:row>1</xdr:row>
      <xdr:rowOff>28575</xdr:rowOff>
    </xdr:from>
    <xdr:to>
      <xdr:col>64</xdr:col>
      <xdr:colOff>381000</xdr:colOff>
      <xdr:row>39</xdr:row>
      <xdr:rowOff>38100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ACAEB82-7F2D-A793-A97B-FE739BA0A4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0488275" y="247650"/>
          <a:ext cx="20135850" cy="786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1\charpter_02.xlsm" TargetMode="External"/><Relationship Id="rId1" Type="http://schemas.openxmlformats.org/officeDocument/2006/relationships/externalLinkPath" Target="charpter_02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21, top"/>
      <sheetName val="Page 321, top中文"/>
      <sheetName val="Page 321, bottom"/>
      <sheetName val="Page 321, bottom中文"/>
      <sheetName val="Page 322"/>
      <sheetName val="Page 322中文"/>
      <sheetName val="Page 324, chart"/>
      <sheetName val="Page 324, chart中文"/>
      <sheetName val="Page 325"/>
      <sheetName val="Page 325中文"/>
      <sheetName val="Page 326"/>
      <sheetName val="Page 326中文"/>
      <sheetName val="Page 327"/>
      <sheetName val="Page 327中文"/>
      <sheetName val="Page 328"/>
      <sheetName val="Page 328 (2)"/>
      <sheetName val="Page 328 (；；；)"/>
      <sheetName val="Page 329"/>
      <sheetName val="Page 329中文"/>
      <sheetName val="Page 329, not shown"/>
      <sheetName val="Page 329, not shown (中文）"/>
      <sheetName val="Page 330"/>
      <sheetName val="Page 330 (中文)"/>
      <sheetName val="Page 331"/>
      <sheetName val="Page 331中文"/>
      <sheetName val="Page 332"/>
      <sheetName val="Page 332中文"/>
      <sheetName val="DJ return over rf"/>
      <sheetName val="DJ return over rf中文"/>
      <sheetName val="Second pass over rf"/>
      <sheetName val="Second pass over rf中文"/>
      <sheetName val="St. Louis Fed, interest rates"/>
      <sheetName val="St. Louis Fed, interest rates中文"/>
    </sheetNames>
    <sheetDataSet>
      <sheetData sheetId="0"/>
      <sheetData sheetId="1"/>
      <sheetData sheetId="2"/>
      <sheetData sheetId="3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">
          <cell r="C2" t="str">
            <v>Alcoa 
AA</v>
          </cell>
        </row>
        <row r="7">
          <cell r="C7">
            <v>0.60847765066893644</v>
          </cell>
          <cell r="D7">
            <v>0.3518481112203532</v>
          </cell>
          <cell r="E7">
            <v>0.7051780176036373</v>
          </cell>
          <cell r="F7">
            <v>0.24867752412854968</v>
          </cell>
          <cell r="G7">
            <v>0.59718406379967004</v>
          </cell>
          <cell r="H7">
            <v>0.51582030933360234</v>
          </cell>
          <cell r="I7">
            <v>0.43624143766022538</v>
          </cell>
          <cell r="J7">
            <v>0.38454683391705435</v>
          </cell>
          <cell r="K7">
            <v>0.32207336771025202</v>
          </cell>
          <cell r="L7">
            <v>0.26067090340619081</v>
          </cell>
          <cell r="M7">
            <v>0.5287578585042142</v>
          </cell>
          <cell r="N7">
            <v>0.54733733270476037</v>
          </cell>
          <cell r="O7">
            <v>0.52093660013759546</v>
          </cell>
          <cell r="P7">
            <v>0.54750841607413736</v>
          </cell>
          <cell r="Q7">
            <v>0.48361819242009407</v>
          </cell>
          <cell r="R7">
            <v>5.6626615446838925E-2</v>
          </cell>
          <cell r="S7">
            <v>0.59512672624119656</v>
          </cell>
          <cell r="T7">
            <v>8.0821985992514361E-2</v>
          </cell>
          <cell r="U7">
            <v>0.44267287742790795</v>
          </cell>
          <cell r="V7">
            <v>0.20296006525126686</v>
          </cell>
          <cell r="W7">
            <v>9.0399117733825293E-2</v>
          </cell>
          <cell r="X7">
            <v>8.8723971944721688E-2</v>
          </cell>
          <cell r="Y7">
            <v>0.40731957218483722</v>
          </cell>
          <cell r="Z7">
            <v>0.1564725457373137</v>
          </cell>
          <cell r="AA7">
            <v>3.8528345098536212E-2</v>
          </cell>
          <cell r="AB7">
            <v>0.28400964418052643</v>
          </cell>
          <cell r="AC7">
            <v>0.32313581038494305</v>
          </cell>
          <cell r="AD7">
            <v>0.28539837699207221</v>
          </cell>
          <cell r="AE7">
            <v>0.19127972027703805</v>
          </cell>
          <cell r="AF7">
            <v>0.22625193335445209</v>
          </cell>
        </row>
        <row r="9">
          <cell r="B9">
            <v>-6.6255605887467039E-2</v>
          </cell>
          <cell r="C9">
            <v>-2.4904679180075117E-2</v>
          </cell>
          <cell r="D9">
            <v>-6.2016699505352997E-2</v>
          </cell>
          <cell r="E9">
            <v>-0.10197330160654307</v>
          </cell>
          <cell r="F9">
            <v>-0.13087167511426126</v>
          </cell>
          <cell r="G9">
            <v>-8.8765860810958969E-2</v>
          </cell>
          <cell r="H9">
            <v>-9.6726467345061545E-2</v>
          </cell>
          <cell r="I9">
            <v>-3.5908486258404655E-2</v>
          </cell>
          <cell r="J9">
            <v>-3.5805289369379566E-2</v>
          </cell>
          <cell r="K9">
            <v>-6.1603446652326505E-2</v>
          </cell>
          <cell r="L9">
            <v>-0.14195662568150003</v>
          </cell>
          <cell r="M9">
            <v>-9.1050718822688559E-2</v>
          </cell>
          <cell r="N9">
            <v>1.5753127949124486E-2</v>
          </cell>
          <cell r="O9">
            <v>-6.0953190901040094E-2</v>
          </cell>
          <cell r="P9">
            <v>-4.9929201063659778E-2</v>
          </cell>
          <cell r="Q9">
            <v>-6.3656215942067843E-2</v>
          </cell>
          <cell r="R9">
            <v>-2.2674855650745698E-2</v>
          </cell>
          <cell r="S9">
            <v>-9.4414901023194581E-2</v>
          </cell>
          <cell r="T9">
            <v>8.7487454123115801E-2</v>
          </cell>
          <cell r="U9">
            <v>2.9951106602773683E-2</v>
          </cell>
          <cell r="V9">
            <v>-6.645264996859318E-2</v>
          </cell>
          <cell r="W9">
            <v>4.0990472323703141E-2</v>
          </cell>
          <cell r="X9">
            <v>-3.8139415787459788E-2</v>
          </cell>
          <cell r="Y9">
            <v>-0.14843390375551219</v>
          </cell>
          <cell r="Z9">
            <v>-7.0558225315588641E-2</v>
          </cell>
          <cell r="AA9">
            <v>4.2935503108324086E-2</v>
          </cell>
          <cell r="AB9">
            <v>-9.5872926020639057E-2</v>
          </cell>
          <cell r="AC9">
            <v>-6.7290636104445939E-2</v>
          </cell>
          <cell r="AD9">
            <v>-7.98340166398534E-2</v>
          </cell>
          <cell r="AE9">
            <v>-0.15144457077138077</v>
          </cell>
          <cell r="AF9">
            <v>-3.3706437881910779E-2</v>
          </cell>
        </row>
        <row r="10">
          <cell r="B10">
            <v>-8.5256615246989922E-2</v>
          </cell>
          <cell r="C10">
            <v>-0.2066142493629993</v>
          </cell>
          <cell r="D10">
            <v>-2.4890299088461518E-3</v>
          </cell>
          <cell r="E10">
            <v>-0.22593799712051296</v>
          </cell>
          <cell r="F10">
            <v>-0.42423342136280745</v>
          </cell>
          <cell r="G10">
            <v>-0.12303151411594927</v>
          </cell>
          <cell r="H10">
            <v>-0.11007341040370261</v>
          </cell>
          <cell r="I10">
            <v>-8.7712721261510654E-2</v>
          </cell>
          <cell r="J10">
            <v>-0.31143615845988804</v>
          </cell>
          <cell r="K10">
            <v>-9.0245336351864242E-2</v>
          </cell>
          <cell r="L10">
            <v>-0.24369402424121561</v>
          </cell>
          <cell r="M10">
            <v>-0.18032627225751421</v>
          </cell>
          <cell r="N10">
            <v>-0.34468137308234564</v>
          </cell>
          <cell r="O10">
            <v>-0.36441967486504917</v>
          </cell>
          <cell r="P10">
            <v>-8.6009136046455131E-2</v>
          </cell>
          <cell r="Q10">
            <v>-0.31313001417247327</v>
          </cell>
          <cell r="R10">
            <v>4.977354511208764E-2</v>
          </cell>
          <cell r="S10">
            <v>-0.14292269372705024</v>
          </cell>
          <cell r="T10">
            <v>-3.8283296985651298E-2</v>
          </cell>
          <cell r="U10">
            <v>-0.10141007058491872</v>
          </cell>
          <cell r="V10">
            <v>-5.6313105251997946E-2</v>
          </cell>
          <cell r="W10">
            <v>1.8427547748008123E-2</v>
          </cell>
          <cell r="X10">
            <v>2.2832042042645689E-2</v>
          </cell>
          <cell r="Y10">
            <v>-0.1089047890914604</v>
          </cell>
          <cell r="Z10">
            <v>4.5649314665648928E-2</v>
          </cell>
          <cell r="AA10">
            <v>-1.8349138668196541E-2</v>
          </cell>
          <cell r="AB10">
            <v>0.1412415310504902</v>
          </cell>
          <cell r="AC10">
            <v>-0.38612576550871208</v>
          </cell>
          <cell r="AD10">
            <v>7.9150723138720805E-2</v>
          </cell>
          <cell r="AE10">
            <v>3.125254350410453E-2</v>
          </cell>
          <cell r="AF10">
            <v>-1.8849904023634231E-2</v>
          </cell>
        </row>
        <row r="11">
          <cell r="B11">
            <v>1.7937188329115412E-2</v>
          </cell>
          <cell r="C11">
            <v>4.4606698040520781E-2</v>
          </cell>
          <cell r="D11">
            <v>7.5787635718121277E-3</v>
          </cell>
          <cell r="E11">
            <v>1.5516848690684155E-2</v>
          </cell>
          <cell r="F11">
            <v>-2.6993080607837172E-2</v>
          </cell>
          <cell r="G11">
            <v>0.11687764854157089</v>
          </cell>
          <cell r="H11">
            <v>5.9494473950934216E-3</v>
          </cell>
          <cell r="I11">
            <v>6.3719663982381269E-2</v>
          </cell>
          <cell r="J11">
            <v>-1.6982738301917076E-3</v>
          </cell>
          <cell r="K11">
            <v>-2.1486400560926558E-2</v>
          </cell>
          <cell r="L11">
            <v>-3.7672075585455093E-2</v>
          </cell>
          <cell r="M11">
            <v>-3.5398267051240623E-3</v>
          </cell>
          <cell r="N11">
            <v>0.11263143034112882</v>
          </cell>
          <cell r="O11">
            <v>4.7768322210547512E-2</v>
          </cell>
          <cell r="P11">
            <v>0.1640487181753901</v>
          </cell>
          <cell r="Q11">
            <v>0.17774023037939196</v>
          </cell>
          <cell r="R11">
            <v>4.4220968681573464E-2</v>
          </cell>
          <cell r="S11">
            <v>3.4791825493663948E-2</v>
          </cell>
          <cell r="T11">
            <v>2.1757788941804957E-2</v>
          </cell>
          <cell r="U11">
            <v>-4.0224801310508873E-2</v>
          </cell>
          <cell r="V11">
            <v>5.9057749643601151E-2</v>
          </cell>
          <cell r="W11">
            <v>-3.1176940570674497E-2</v>
          </cell>
          <cell r="X11">
            <v>-4.2854092948531319E-2</v>
          </cell>
          <cell r="Y11">
            <v>0.12806705206962446</v>
          </cell>
          <cell r="Z11">
            <v>4.3921399259542193E-2</v>
          </cell>
          <cell r="AA11">
            <v>1.8945086242449422E-2</v>
          </cell>
          <cell r="AB11">
            <v>-0.20648205291889096</v>
          </cell>
          <cell r="AC11">
            <v>0.14750878505953929</v>
          </cell>
          <cell r="AD11">
            <v>-7.5949932519783436E-2</v>
          </cell>
          <cell r="AE11">
            <v>3.7841794169327356E-2</v>
          </cell>
          <cell r="AF11">
            <v>1.1353960913165304E-3</v>
          </cell>
        </row>
        <row r="12">
          <cell r="B12">
            <v>7.2484350433373146E-2</v>
          </cell>
          <cell r="C12">
            <v>0.17896441688028816</v>
          </cell>
          <cell r="D12">
            <v>4.7288932505549441E-2</v>
          </cell>
          <cell r="E12">
            <v>0.11182257368591726</v>
          </cell>
          <cell r="F12">
            <v>7.888703899065469E-2</v>
          </cell>
          <cell r="G12">
            <v>5.4321447787470847E-2</v>
          </cell>
          <cell r="H12">
            <v>5.8557994194371764E-2</v>
          </cell>
          <cell r="I12">
            <v>0.11145658377136383</v>
          </cell>
          <cell r="J12">
            <v>9.6082480010043034E-2</v>
          </cell>
          <cell r="K12">
            <v>5.5813006133768522E-2</v>
          </cell>
          <cell r="L12">
            <v>0.19650186606800416</v>
          </cell>
          <cell r="M12">
            <v>0.20007536875904985</v>
          </cell>
          <cell r="N12">
            <v>0.12089502773851651</v>
          </cell>
          <cell r="O12">
            <v>0.2675119655026485</v>
          </cell>
          <cell r="P12">
            <v>6.853078206442742E-2</v>
          </cell>
          <cell r="Q12">
            <v>0.2918189120825071</v>
          </cell>
          <cell r="R12">
            <v>8.9871415604602708E-3</v>
          </cell>
          <cell r="S12">
            <v>6.4639322508555266E-2</v>
          </cell>
          <cell r="T12">
            <v>-1.5627140171750719E-2</v>
          </cell>
          <cell r="U12">
            <v>3.9029343905735078E-2</v>
          </cell>
          <cell r="V12">
            <v>9.8314880494626E-2</v>
          </cell>
          <cell r="W12">
            <v>7.8858328439283774E-3</v>
          </cell>
          <cell r="X12">
            <v>5.9827362497400234E-2</v>
          </cell>
          <cell r="Y12">
            <v>9.8934217212298003E-2</v>
          </cell>
          <cell r="Z12">
            <v>3.5694814613013971E-2</v>
          </cell>
          <cell r="AA12">
            <v>4.8548990076035255E-2</v>
          </cell>
          <cell r="AB12">
            <v>-1.9353290061030263E-2</v>
          </cell>
          <cell r="AC12">
            <v>0.11471288707917753</v>
          </cell>
          <cell r="AD12">
            <v>-5.7939562167652871E-2</v>
          </cell>
          <cell r="AE12">
            <v>7.0317751022094518E-2</v>
          </cell>
          <cell r="AF12">
            <v>-4.7344401277808229E-2</v>
          </cell>
        </row>
        <row r="13">
          <cell r="B13">
            <v>7.545292033896033E-3</v>
          </cell>
          <cell r="C13">
            <v>-8.2229955942229177E-2</v>
          </cell>
          <cell r="D13">
            <v>-3.6671197122498625E-2</v>
          </cell>
          <cell r="E13">
            <v>8.1045549141503123E-2</v>
          </cell>
          <cell r="F13">
            <v>9.9701610997635887E-2</v>
          </cell>
          <cell r="G13">
            <v>5.2487294046720416E-2</v>
          </cell>
          <cell r="H13">
            <v>9.6792445824790518E-2</v>
          </cell>
          <cell r="I13">
            <v>-4.2229684668085556E-2</v>
          </cell>
          <cell r="J13">
            <v>2.2895937839079176E-2</v>
          </cell>
          <cell r="K13">
            <v>4.4477277656629913E-2</v>
          </cell>
          <cell r="L13">
            <v>-2.2455651402987761E-2</v>
          </cell>
          <cell r="M13">
            <v>8.9446254543617196E-2</v>
          </cell>
          <cell r="N13">
            <v>2.0283322139941669E-2</v>
          </cell>
          <cell r="O13">
            <v>-6.4636325431257524E-2</v>
          </cell>
          <cell r="P13">
            <v>4.5416438707813464E-2</v>
          </cell>
          <cell r="Q13">
            <v>-3.786247433876231E-2</v>
          </cell>
          <cell r="R13">
            <v>1.4434003369401132E-2</v>
          </cell>
          <cell r="S13">
            <v>-3.6961398564456335E-2</v>
          </cell>
          <cell r="T13">
            <v>4.2223848798482611E-3</v>
          </cell>
          <cell r="U13">
            <v>-1.4053634231395062E-2</v>
          </cell>
          <cell r="V13">
            <v>3.1229023846079226E-2</v>
          </cell>
          <cell r="W13">
            <v>-1.5834346666626219E-2</v>
          </cell>
          <cell r="X13">
            <v>-0.13630942941438459</v>
          </cell>
          <cell r="Y13">
            <v>3.1379271202265246E-2</v>
          </cell>
          <cell r="Z13">
            <v>-8.3225824899923431E-2</v>
          </cell>
          <cell r="AA13">
            <v>2.1337137388131106E-2</v>
          </cell>
          <cell r="AB13">
            <v>4.6734400886008887E-2</v>
          </cell>
          <cell r="AC13">
            <v>7.0868710524937178E-2</v>
          </cell>
          <cell r="AD13">
            <v>9.5917780098590637E-3</v>
          </cell>
          <cell r="AE13">
            <v>4.3851258293732528E-2</v>
          </cell>
          <cell r="AF13">
            <v>4.9328247755289843E-2</v>
          </cell>
        </row>
        <row r="14">
          <cell r="B14">
            <v>-1.5696373666933345E-2</v>
          </cell>
          <cell r="C14">
            <v>8.3192591965755795E-3</v>
          </cell>
          <cell r="D14">
            <v>-6.8358274917308073E-2</v>
          </cell>
          <cell r="E14">
            <v>6.6600312776022262E-3</v>
          </cell>
          <cell r="F14">
            <v>5.4316907328075453E-2</v>
          </cell>
          <cell r="G14">
            <v>-5.9630181559100652E-2</v>
          </cell>
          <cell r="H14">
            <v>-3.0943594733412221E-2</v>
          </cell>
          <cell r="I14">
            <v>3.8296285077280327E-2</v>
          </cell>
          <cell r="J14">
            <v>1.646333018710169E-2</v>
          </cell>
          <cell r="K14">
            <v>-7.5771740215046443E-2</v>
          </cell>
          <cell r="L14">
            <v>5.0815761031806052E-2</v>
          </cell>
          <cell r="M14">
            <v>-1.8133610424654605E-2</v>
          </cell>
          <cell r="N14">
            <v>-6.2737534488792801E-3</v>
          </cell>
          <cell r="O14">
            <v>7.3884383555808855E-2</v>
          </cell>
          <cell r="P14">
            <v>-0.11433228046124953</v>
          </cell>
          <cell r="Q14">
            <v>0.10806135060548314</v>
          </cell>
          <cell r="R14">
            <v>-2.7189756889673386E-2</v>
          </cell>
          <cell r="S14">
            <v>-6.5480288590633914E-2</v>
          </cell>
          <cell r="T14">
            <v>-7.4828485190152172E-2</v>
          </cell>
          <cell r="U14">
            <v>2.6338314183262136E-2</v>
          </cell>
          <cell r="V14">
            <v>-6.2872933633058056E-2</v>
          </cell>
          <cell r="W14">
            <v>8.8683982175134984E-2</v>
          </cell>
          <cell r="X14">
            <v>6.3384957619382039E-3</v>
          </cell>
          <cell r="Y14">
            <v>-3.9290135903144265E-2</v>
          </cell>
          <cell r="Z14">
            <v>4.4608973409030986E-2</v>
          </cell>
          <cell r="AA14">
            <v>3.6546199657466596E-2</v>
          </cell>
          <cell r="AB14">
            <v>-3.8346497320580909E-2</v>
          </cell>
          <cell r="AC14">
            <v>6.1503365074926306E-2</v>
          </cell>
          <cell r="AD14">
            <v>-1.5863029292099467E-2</v>
          </cell>
          <cell r="AE14">
            <v>4.1314270146626794E-2</v>
          </cell>
          <cell r="AF14">
            <v>-6.2482452639390828E-3</v>
          </cell>
        </row>
        <row r="15">
          <cell r="B15">
            <v>-2.0984886675167722E-2</v>
          </cell>
          <cell r="C15">
            <v>5.1431364020888035E-2</v>
          </cell>
          <cell r="D15">
            <v>-1.7944652479050878E-3</v>
          </cell>
          <cell r="E15">
            <v>1.6784991730180783E-2</v>
          </cell>
          <cell r="F15">
            <v>0.11969034121265121</v>
          </cell>
          <cell r="G15">
            <v>-4.6373731257803565E-2</v>
          </cell>
          <cell r="H15">
            <v>9.8835564216469551E-2</v>
          </cell>
          <cell r="I15">
            <v>6.6572709312355663E-2</v>
          </cell>
          <cell r="J15">
            <v>8.8041688853115377E-2</v>
          </cell>
          <cell r="K15">
            <v>4.0349585041476566E-2</v>
          </cell>
          <cell r="L15">
            <v>4.5549580368746484E-2</v>
          </cell>
          <cell r="M15">
            <v>-1.8732443816804475E-3</v>
          </cell>
          <cell r="N15">
            <v>0.13141753363168499</v>
          </cell>
          <cell r="O15">
            <v>-9.4438466833245069E-2</v>
          </cell>
          <cell r="P15">
            <v>-9.3597801200443129E-2</v>
          </cell>
          <cell r="Q15">
            <v>-0.20422941807914533</v>
          </cell>
          <cell r="R15">
            <v>6.0258087505275552E-2</v>
          </cell>
          <cell r="S15">
            <v>-0.15203120778614188</v>
          </cell>
          <cell r="T15">
            <v>7.9732172774681864E-2</v>
          </cell>
          <cell r="U15">
            <v>-4.0592271663461701E-2</v>
          </cell>
          <cell r="V15">
            <v>6.6016718006881941E-2</v>
          </cell>
          <cell r="W15">
            <v>4.9617249460301077E-2</v>
          </cell>
          <cell r="X15">
            <v>3.5788285136419642E-2</v>
          </cell>
          <cell r="Y15">
            <v>-8.7865039582102275E-2</v>
          </cell>
          <cell r="Z15">
            <v>-1.3930040413445774E-2</v>
          </cell>
          <cell r="AA15">
            <v>3.7323648908988684E-2</v>
          </cell>
          <cell r="AB15">
            <v>1.0304229446724666E-2</v>
          </cell>
          <cell r="AC15">
            <v>6.3229888861985634E-2</v>
          </cell>
          <cell r="AD15">
            <v>9.6518291994588824E-3</v>
          </cell>
          <cell r="AE15">
            <v>3.3310791837118298E-2</v>
          </cell>
          <cell r="AF15">
            <v>6.1864007641756563E-2</v>
          </cell>
        </row>
        <row r="16">
          <cell r="B16">
            <v>3.6080076252758407E-2</v>
          </cell>
          <cell r="C16">
            <v>4.6525236584155066E-3</v>
          </cell>
          <cell r="D16">
            <v>-2.5183199888472337E-2</v>
          </cell>
          <cell r="E16">
            <v>0.11662193247804178</v>
          </cell>
          <cell r="F16">
            <v>4.8522103586135346E-2</v>
          </cell>
          <cell r="G16">
            <v>9.0201955226984876E-2</v>
          </cell>
          <cell r="H16">
            <v>2.3833908023618247E-2</v>
          </cell>
          <cell r="I16">
            <v>6.6152391187194043E-3</v>
          </cell>
          <cell r="J16">
            <v>3.6182762224996126E-3</v>
          </cell>
          <cell r="K16">
            <v>-2.8910568075509839E-2</v>
          </cell>
          <cell r="L16">
            <v>0.13197757299470086</v>
          </cell>
          <cell r="M16">
            <v>-2.7242736393874256E-2</v>
          </cell>
          <cell r="N16">
            <v>4.0579765831008459E-3</v>
          </cell>
          <cell r="O16">
            <v>-0.11081852635959275</v>
          </cell>
          <cell r="P16">
            <v>5.8221028970948878E-2</v>
          </cell>
          <cell r="Q16">
            <v>6.2971389688850923E-2</v>
          </cell>
          <cell r="R16">
            <v>6.436075916039001E-2</v>
          </cell>
          <cell r="S16">
            <v>0.19786574412994123</v>
          </cell>
          <cell r="T16">
            <v>0.10200057969557871</v>
          </cell>
          <cell r="U16">
            <v>6.1637475497447559E-2</v>
          </cell>
          <cell r="V16">
            <v>-2.5242061885177698E-2</v>
          </cell>
          <cell r="W16">
            <v>1.1436865190946199E-2</v>
          </cell>
          <cell r="X16">
            <v>-5.7505127535623791E-2</v>
          </cell>
          <cell r="Y16">
            <v>3.3336420267591711E-2</v>
          </cell>
          <cell r="Z16">
            <v>-3.0400807559221411E-2</v>
          </cell>
          <cell r="AA16">
            <v>6.0563914577078028E-2</v>
          </cell>
          <cell r="AB16">
            <v>-1.0638398205055643E-2</v>
          </cell>
          <cell r="AC16">
            <v>1.7149090522259349E-2</v>
          </cell>
          <cell r="AD16">
            <v>-1.5171622423056794E-2</v>
          </cell>
          <cell r="AE16">
            <v>-1.0301534991240572E-2</v>
          </cell>
          <cell r="AF16">
            <v>5.9521269088767141E-2</v>
          </cell>
        </row>
        <row r="17">
          <cell r="B17">
            <v>-6.3384682784413518E-2</v>
          </cell>
          <cell r="C17">
            <v>-0.10352485502932729</v>
          </cell>
          <cell r="D17">
            <v>-4.269514666027549E-2</v>
          </cell>
          <cell r="E17">
            <v>3.1897953681000808E-3</v>
          </cell>
          <cell r="F17">
            <v>-7.851721112632741E-2</v>
          </cell>
          <cell r="G17">
            <v>-0.13405661191564541</v>
          </cell>
          <cell r="H17">
            <v>-3.3768422473594267E-2</v>
          </cell>
          <cell r="I17">
            <v>-5.7805035265647606E-2</v>
          </cell>
          <cell r="J17">
            <v>4.0549728912370551E-3</v>
          </cell>
          <cell r="K17">
            <v>-0.17024274989813087</v>
          </cell>
          <cell r="L17">
            <v>5.9403672104483787E-2</v>
          </cell>
          <cell r="M17">
            <v>-4.7121678894988021E-2</v>
          </cell>
          <cell r="N17">
            <v>-4.2547037621728657E-2</v>
          </cell>
          <cell r="O17">
            <v>-4.8136005780311027E-2</v>
          </cell>
          <cell r="P17">
            <v>-0.2164329507618839</v>
          </cell>
          <cell r="Q17">
            <v>-6.0795110266255288E-2</v>
          </cell>
          <cell r="R17">
            <v>-1.6807118316381289E-2</v>
          </cell>
          <cell r="S17">
            <v>-1.5479186848460088E-2</v>
          </cell>
          <cell r="T17">
            <v>6.0401874349266242E-2</v>
          </cell>
          <cell r="U17">
            <v>2.2875568599075361E-2</v>
          </cell>
          <cell r="V17">
            <v>8.9769043074332422E-2</v>
          </cell>
          <cell r="W17">
            <v>3.2858600979075607E-2</v>
          </cell>
          <cell r="X17">
            <v>-5.7817008524070991E-2</v>
          </cell>
          <cell r="Y17">
            <v>-0.14321815601433052</v>
          </cell>
          <cell r="Z17">
            <v>-8.8934551832093325E-2</v>
          </cell>
          <cell r="AA17">
            <v>6.0525544896669753E-3</v>
          </cell>
          <cell r="AB17">
            <v>-0.17965132823807586</v>
          </cell>
          <cell r="AC17">
            <v>-5.6006339979803317E-2</v>
          </cell>
          <cell r="AD17">
            <v>-0.1304485675204701</v>
          </cell>
          <cell r="AE17">
            <v>-9.2970362870169576E-2</v>
          </cell>
          <cell r="AF17">
            <v>-8.7217853469251205E-2</v>
          </cell>
        </row>
        <row r="18">
          <cell r="B18">
            <v>-9.122942297125956E-3</v>
          </cell>
          <cell r="C18">
            <v>3.1979929622318874E-2</v>
          </cell>
          <cell r="D18">
            <v>-3.1543618535442949E-2</v>
          </cell>
          <cell r="E18">
            <v>3.5829820688122127E-2</v>
          </cell>
          <cell r="F18">
            <v>-4.0942833140425211E-2</v>
          </cell>
          <cell r="G18">
            <v>1.1201345332493495E-3</v>
          </cell>
          <cell r="H18">
            <v>-4.4088772984649124E-2</v>
          </cell>
          <cell r="I18">
            <v>4.1059999829931984E-2</v>
          </cell>
          <cell r="J18">
            <v>-1.1759520406906249E-2</v>
          </cell>
          <cell r="K18">
            <v>-1.2857319975237317E-2</v>
          </cell>
          <cell r="L18">
            <v>-2.4291106210459393E-2</v>
          </cell>
          <cell r="M18">
            <v>-0.10645826538135635</v>
          </cell>
          <cell r="N18">
            <v>7.1344465925884379E-2</v>
          </cell>
          <cell r="O18">
            <v>0.11040395588041478</v>
          </cell>
          <cell r="P18">
            <v>-3.8378858051192878E-2</v>
          </cell>
          <cell r="Q18">
            <v>-3.4651457972541773E-2</v>
          </cell>
          <cell r="R18">
            <v>-3.6769482587011189E-2</v>
          </cell>
          <cell r="S18">
            <v>2.4082075655727977E-2</v>
          </cell>
          <cell r="T18">
            <v>7.9176567873402574E-4</v>
          </cell>
          <cell r="U18">
            <v>5.2856339064220076E-2</v>
          </cell>
          <cell r="V18">
            <v>1.9022919701089634E-3</v>
          </cell>
          <cell r="W18">
            <v>5.0513531487687044E-2</v>
          </cell>
          <cell r="X18">
            <v>4.9387260129633438E-2</v>
          </cell>
          <cell r="Y18">
            <v>-2.6299710583961015E-2</v>
          </cell>
          <cell r="Z18">
            <v>-4.6028024943851012E-2</v>
          </cell>
          <cell r="AA18">
            <v>-7.7538551795234053E-3</v>
          </cell>
          <cell r="AB18">
            <v>9.8939947854903648E-2</v>
          </cell>
          <cell r="AC18">
            <v>-1.5047113320115641E-2</v>
          </cell>
          <cell r="AD18">
            <v>6.9593291799195392E-2</v>
          </cell>
          <cell r="AE18">
            <v>-3.198910026780194E-2</v>
          </cell>
          <cell r="AF18">
            <v>-2.7536830684811583E-4</v>
          </cell>
        </row>
        <row r="19">
          <cell r="B19">
            <v>-7.5214343275906148E-2</v>
          </cell>
          <cell r="C19">
            <v>-5.3772953432492283E-2</v>
          </cell>
          <cell r="D19">
            <v>1.9195027491194547E-2</v>
          </cell>
          <cell r="E19">
            <v>-0.15727473524384245</v>
          </cell>
          <cell r="F19">
            <v>5.3669622760008306E-2</v>
          </cell>
          <cell r="G19">
            <v>-0.10806965833025482</v>
          </cell>
          <cell r="H19">
            <v>-6.5540692592752997E-2</v>
          </cell>
          <cell r="I19">
            <v>-3.5641330914068861E-2</v>
          </cell>
          <cell r="J19">
            <v>-0.19256492420871571</v>
          </cell>
          <cell r="K19">
            <v>-6.3436803784259463E-2</v>
          </cell>
          <cell r="L19">
            <v>-0.15081827824135915</v>
          </cell>
          <cell r="M19">
            <v>-0.12536286334612179</v>
          </cell>
          <cell r="N19">
            <v>-0.10667297483188079</v>
          </cell>
          <cell r="O19">
            <v>-0.21840354522772715</v>
          </cell>
          <cell r="P19">
            <v>-0.1109531307938864</v>
          </cell>
          <cell r="Q19">
            <v>-0.4129952641719174</v>
          </cell>
          <cell r="R19">
            <v>-0.16044204263381684</v>
          </cell>
          <cell r="S19">
            <v>-5.812932395766944E-2</v>
          </cell>
          <cell r="T19">
            <v>1.1606307131859832E-2</v>
          </cell>
          <cell r="U19">
            <v>-5.0973453928769133E-2</v>
          </cell>
          <cell r="V19">
            <v>-1.9540049471441244E-2</v>
          </cell>
          <cell r="W19">
            <v>-0.25818816652428989</v>
          </cell>
          <cell r="X19">
            <v>-0.11366735780091598</v>
          </cell>
          <cell r="Y19">
            <v>7.18793970343755E-2</v>
          </cell>
          <cell r="Z19">
            <v>1.1392528281094841E-2</v>
          </cell>
          <cell r="AA19">
            <v>4.8532004988862043E-3</v>
          </cell>
          <cell r="AB19">
            <v>-0.11710391848257479</v>
          </cell>
          <cell r="AC19">
            <v>-1.4334929170992232E-2</v>
          </cell>
          <cell r="AD19">
            <v>-6.8692796465945172E-2</v>
          </cell>
          <cell r="AE19">
            <v>1.7918893474271808E-2</v>
          </cell>
          <cell r="AF19">
            <v>2.4484356932286747E-2</v>
          </cell>
        </row>
        <row r="20">
          <cell r="B20">
            <v>-8.2299871837899052E-2</v>
          </cell>
          <cell r="C20">
            <v>-0.19749695818804633</v>
          </cell>
          <cell r="D20">
            <v>-6.5257342301863905E-2</v>
          </cell>
          <cell r="E20">
            <v>-2.7507948197920899E-2</v>
          </cell>
          <cell r="F20">
            <v>-8.0718988156795304E-2</v>
          </cell>
          <cell r="G20">
            <v>-0.14432487806645969</v>
          </cell>
          <cell r="H20">
            <v>-8.2645616963003099E-2</v>
          </cell>
          <cell r="I20">
            <v>-5.7461205582103388E-2</v>
          </cell>
          <cell r="J20">
            <v>-6.3766618358989155E-2</v>
          </cell>
          <cell r="K20">
            <v>0.10290633849230048</v>
          </cell>
          <cell r="L20">
            <v>-0.13825282112290918</v>
          </cell>
          <cell r="M20">
            <v>-0.17353177741703407</v>
          </cell>
          <cell r="N20">
            <v>-8.5136962195279428E-2</v>
          </cell>
          <cell r="O20">
            <v>-7.6571687180657641E-2</v>
          </cell>
          <cell r="P20">
            <v>-2.2541491041347252E-2</v>
          </cell>
          <cell r="Q20">
            <v>2.7950394108345294E-2</v>
          </cell>
          <cell r="R20">
            <v>6.5843859281792382E-3</v>
          </cell>
          <cell r="S20">
            <v>-0.30691996347822859</v>
          </cell>
          <cell r="T20">
            <v>-0.11446369257156745</v>
          </cell>
          <cell r="U20">
            <v>-0.13946100948092249</v>
          </cell>
          <cell r="V20">
            <v>2.2817327092116615E-2</v>
          </cell>
          <cell r="W20">
            <v>5.3027117760512429E-2</v>
          </cell>
          <cell r="X20">
            <v>-2.0639553296548048E-2</v>
          </cell>
          <cell r="Y20">
            <v>-0.13143187474223988</v>
          </cell>
          <cell r="Z20">
            <v>-7.8522990362838732E-2</v>
          </cell>
          <cell r="AA20">
            <v>1.6930709087237886E-3</v>
          </cell>
          <cell r="AB20">
            <v>-8.8975904930232483E-2</v>
          </cell>
          <cell r="AC20">
            <v>2.3267685319325215E-2</v>
          </cell>
          <cell r="AD20">
            <v>-0.18610909852081367</v>
          </cell>
          <cell r="AE20">
            <v>-0.11203724675971019</v>
          </cell>
          <cell r="AF20">
            <v>-0.10712384192652391</v>
          </cell>
        </row>
        <row r="21">
          <cell r="B21">
            <v>4.8695443903156652E-3</v>
          </cell>
          <cell r="C21">
            <v>-7.5279762968983976E-2</v>
          </cell>
          <cell r="D21">
            <v>-1.757117827535767E-2</v>
          </cell>
          <cell r="E21">
            <v>2.2592323028594059E-2</v>
          </cell>
          <cell r="F21">
            <v>-0.10864232186784364</v>
          </cell>
          <cell r="G21">
            <v>5.1257270683949648E-2</v>
          </cell>
          <cell r="H21">
            <v>-2.4003111725371958E-2</v>
          </cell>
          <cell r="I21">
            <v>-3.0720556129501569E-2</v>
          </cell>
          <cell r="J21">
            <v>-0.12242341521288569</v>
          </cell>
          <cell r="K21">
            <v>-6.5690993317682592E-2</v>
          </cell>
          <cell r="L21">
            <v>3.9200346761899596E-2</v>
          </cell>
          <cell r="M21">
            <v>6.4517484228313049E-2</v>
          </cell>
          <cell r="N21">
            <v>-7.1622913914725195E-2</v>
          </cell>
          <cell r="O21">
            <v>-5.2400276393531675E-2</v>
          </cell>
          <cell r="P21">
            <v>7.0550710227707661E-2</v>
          </cell>
          <cell r="Q21">
            <v>-0.11867924749810754</v>
          </cell>
          <cell r="R21">
            <v>3.5656914690746486E-2</v>
          </cell>
          <cell r="S21">
            <v>5.5989744211750223E-2</v>
          </cell>
          <cell r="T21">
            <v>2.1048840473945431E-2</v>
          </cell>
          <cell r="U21">
            <v>-4.0605754925943018E-2</v>
          </cell>
          <cell r="V21">
            <v>-2.2411870427542419E-3</v>
          </cell>
          <cell r="W21">
            <v>8.2160633720963452E-2</v>
          </cell>
          <cell r="X21">
            <v>1.8448438603733165E-2</v>
          </cell>
          <cell r="Y21">
            <v>2.2749796300981041E-2</v>
          </cell>
          <cell r="Z21">
            <v>2.6202372394024117E-2</v>
          </cell>
          <cell r="AA21">
            <v>-3.8740968550840995E-3</v>
          </cell>
          <cell r="AB21">
            <v>-0.11201165448676881</v>
          </cell>
          <cell r="AC21">
            <v>-0.15312902056389266</v>
          </cell>
          <cell r="AD21">
            <v>-6.2636945145435732E-2</v>
          </cell>
          <cell r="AE21">
            <v>8.3871767743412165E-2</v>
          </cell>
          <cell r="AF21">
            <v>-2.9753257281908193E-2</v>
          </cell>
        </row>
        <row r="22">
          <cell r="B22">
            <v>-0.11656116844786664</v>
          </cell>
          <cell r="C22">
            <v>-0.26223468323067284</v>
          </cell>
          <cell r="D22">
            <v>-0.13732549188862203</v>
          </cell>
          <cell r="E22">
            <v>-0.1454284265363687</v>
          </cell>
          <cell r="F22">
            <v>-8.261714518565047E-2</v>
          </cell>
          <cell r="G22">
            <v>-9.9597248018244988E-2</v>
          </cell>
          <cell r="H22">
            <v>-0.15928696814671314</v>
          </cell>
          <cell r="I22">
            <v>-0.11106032126150675</v>
          </cell>
          <cell r="J22">
            <v>-3.5162513612693271E-2</v>
          </cell>
          <cell r="K22">
            <v>-0.19449871944121414</v>
          </cell>
          <cell r="L22">
            <v>-0.20716947675957453</v>
          </cell>
          <cell r="M22">
            <v>-0.23114327715708133</v>
          </cell>
          <cell r="N22">
            <v>-0.32367950510123739</v>
          </cell>
          <cell r="O22">
            <v>-0.13443596075494954</v>
          </cell>
          <cell r="P22">
            <v>-0.25673321878146271</v>
          </cell>
          <cell r="Q22">
            <v>-0.18269406564534726</v>
          </cell>
          <cell r="R22">
            <v>-4.1646069116321278E-3</v>
          </cell>
          <cell r="S22">
            <v>-0.32915250533907781</v>
          </cell>
          <cell r="T22">
            <v>-5.7448973801567112E-2</v>
          </cell>
          <cell r="U22">
            <v>-0.29673190797169874</v>
          </cell>
          <cell r="V22">
            <v>-0.12777845727413992</v>
          </cell>
          <cell r="W22">
            <v>-0.24010943692820372</v>
          </cell>
          <cell r="X22">
            <v>-9.2632802033608533E-2</v>
          </cell>
          <cell r="Y22">
            <v>-0.11509218875636305</v>
          </cell>
          <cell r="Z22">
            <v>-0.13088238445294573</v>
          </cell>
          <cell r="AA22">
            <v>8.2145907687138243E-3</v>
          </cell>
          <cell r="AB22">
            <v>-0.20733294528756743</v>
          </cell>
          <cell r="AC22">
            <v>-5.0202884247737375E-2</v>
          </cell>
          <cell r="AD22">
            <v>-0.12178294460612428</v>
          </cell>
          <cell r="AE22">
            <v>-8.1128281797661156E-2</v>
          </cell>
          <cell r="AF22">
            <v>-0.10553173387586309</v>
          </cell>
        </row>
        <row r="23">
          <cell r="B23">
            <v>8.2914421028757151E-2</v>
          </cell>
          <cell r="C23">
            <v>0.13332081458703388</v>
          </cell>
          <cell r="D23">
            <v>0.1340676294208841</v>
          </cell>
          <cell r="E23">
            <v>0.15621108287683391</v>
          </cell>
          <cell r="F23">
            <v>-0.13743143118889126</v>
          </cell>
          <cell r="G23">
            <v>0.22518305800749616</v>
          </cell>
          <cell r="H23">
            <v>0.10215771775330279</v>
          </cell>
          <cell r="I23">
            <v>0.13412010121115972</v>
          </cell>
          <cell r="J23">
            <v>9.7622464058021677E-2</v>
          </cell>
          <cell r="K23">
            <v>2.391610889577276E-2</v>
          </cell>
          <cell r="L23">
            <v>-0.15702567200644355</v>
          </cell>
          <cell r="M23">
            <v>0.10125667899205118</v>
          </cell>
          <cell r="N23">
            <v>9.9987156553826395E-2</v>
          </cell>
          <cell r="O23">
            <v>0.3029495445825694</v>
          </cell>
          <cell r="P23">
            <v>0.30293545067486211</v>
          </cell>
          <cell r="Q23">
            <v>0.2198594761130197</v>
          </cell>
          <cell r="R23">
            <v>8.2729568107736864E-2</v>
          </cell>
          <cell r="S23">
            <v>8.8461776103578138E-2</v>
          </cell>
          <cell r="T23">
            <v>-3.1418615680898078E-2</v>
          </cell>
          <cell r="U23">
            <v>2.5135973271542454E-2</v>
          </cell>
          <cell r="V23">
            <v>0.14353220773826222</v>
          </cell>
          <cell r="W23">
            <v>4.8924461459066891E-2</v>
          </cell>
          <cell r="X23">
            <v>0.17111821308396172</v>
          </cell>
          <cell r="Y23">
            <v>0.20081407491612102</v>
          </cell>
          <cell r="Z23">
            <v>9.0626653094449311E-2</v>
          </cell>
          <cell r="AA23">
            <v>-6.033564822353424E-3</v>
          </cell>
          <cell r="AB23">
            <v>0.25688169094605989</v>
          </cell>
          <cell r="AC23">
            <v>8.7731398308322481E-2</v>
          </cell>
          <cell r="AD23">
            <v>0.33105621815288383</v>
          </cell>
          <cell r="AE23">
            <v>8.3845147431580211E-2</v>
          </cell>
          <cell r="AF23">
            <v>5.3670603334340393E-2</v>
          </cell>
        </row>
        <row r="24">
          <cell r="B24">
            <v>5.550058467611222E-2</v>
          </cell>
          <cell r="C24">
            <v>0.15323766224092053</v>
          </cell>
          <cell r="D24">
            <v>4.076325564391297E-2</v>
          </cell>
          <cell r="E24">
            <v>6.8147535415543706E-2</v>
          </cell>
          <cell r="F24">
            <v>0.14055838808326743</v>
          </cell>
          <cell r="G24">
            <v>5.0900823780070249E-2</v>
          </cell>
          <cell r="H24">
            <v>0.20052752129052717</v>
          </cell>
          <cell r="I24">
            <v>8.6759582955818135E-2</v>
          </cell>
          <cell r="J24">
            <v>0.1716531154770311</v>
          </cell>
          <cell r="K24">
            <v>7.1760736900315869E-2</v>
          </cell>
          <cell r="L24">
            <v>0.19180375767263116</v>
          </cell>
          <cell r="M24">
            <v>-8.97918370658779E-2</v>
          </cell>
          <cell r="N24">
            <v>9.0892217381434673E-2</v>
          </cell>
          <cell r="O24">
            <v>0.20968439794020491</v>
          </cell>
          <cell r="P24">
            <v>9.8149656349915612E-2</v>
          </cell>
          <cell r="Q24">
            <v>0.18907699675060363</v>
          </cell>
          <cell r="R24">
            <v>-2.6510033315255976E-2</v>
          </cell>
          <cell r="S24">
            <v>0.19334722773861415</v>
          </cell>
          <cell r="T24">
            <v>-1.3943272094966194E-2</v>
          </cell>
          <cell r="U24">
            <v>3.48467313301681E-2</v>
          </cell>
          <cell r="V24">
            <v>2.748162223146906E-2</v>
          </cell>
          <cell r="W24">
            <v>-7.7211744000826268E-2</v>
          </cell>
          <cell r="X24">
            <v>9.1040353552916189E-2</v>
          </cell>
          <cell r="Y24">
            <v>7.5765583731354544E-2</v>
          </cell>
          <cell r="Z24">
            <v>-3.8042584355342203E-3</v>
          </cell>
          <cell r="AA24">
            <v>-4.5310386843392496E-2</v>
          </cell>
          <cell r="AB24">
            <v>0.10517092422679099</v>
          </cell>
          <cell r="AC24">
            <v>1.7065260554186931E-2</v>
          </cell>
          <cell r="AD24">
            <v>0.10367370052634674</v>
          </cell>
          <cell r="AE24">
            <v>6.5675337470852153E-3</v>
          </cell>
          <cell r="AF24">
            <v>3.9769834572830502E-2</v>
          </cell>
        </row>
        <row r="25">
          <cell r="B25">
            <v>-6.2229277129875436E-2</v>
          </cell>
          <cell r="C25">
            <v>-0.11467866863723777</v>
          </cell>
          <cell r="D25">
            <v>-0.11807678180307767</v>
          </cell>
          <cell r="E25">
            <v>-9.4157232075042577E-2</v>
          </cell>
          <cell r="F25">
            <v>-3.1718485160777944E-2</v>
          </cell>
          <cell r="G25">
            <v>-9.976645110465264E-2</v>
          </cell>
          <cell r="H25">
            <v>-8.7480090379978032E-2</v>
          </cell>
          <cell r="I25">
            <v>-5.0882505202755855E-2</v>
          </cell>
          <cell r="J25">
            <v>-0.18295267073096441</v>
          </cell>
          <cell r="K25">
            <v>-0.10016921633419347</v>
          </cell>
          <cell r="L25">
            <v>-7.4061437799726737E-2</v>
          </cell>
          <cell r="M25">
            <v>-9.2170459799657226E-2</v>
          </cell>
          <cell r="N25">
            <v>-8.0425682697801315E-2</v>
          </cell>
          <cell r="O25">
            <v>-0.11109811255449942</v>
          </cell>
          <cell r="P25">
            <v>-0.11477711781040728</v>
          </cell>
          <cell r="Q25">
            <v>-0.29364038203541154</v>
          </cell>
          <cell r="R25">
            <v>-5.9803054454518605E-2</v>
          </cell>
          <cell r="S25">
            <v>-4.7793832399136003E-2</v>
          </cell>
          <cell r="T25">
            <v>-4.00587605520051E-2</v>
          </cell>
          <cell r="U25">
            <v>-0.14007591860117491</v>
          </cell>
          <cell r="V25">
            <v>-5.1728360742031007E-2</v>
          </cell>
          <cell r="W25">
            <v>8.7602218956596464E-2</v>
          </cell>
          <cell r="X25">
            <v>-4.2014160672714566E-2</v>
          </cell>
          <cell r="Y25">
            <v>-0.10944469073922956</v>
          </cell>
          <cell r="Z25">
            <v>-3.0966584108389622E-2</v>
          </cell>
          <cell r="AA25">
            <v>1.6579128802911264E-2</v>
          </cell>
          <cell r="AB25">
            <v>-4.9857286242738795E-2</v>
          </cell>
          <cell r="AC25">
            <v>-8.8375830124651066E-3</v>
          </cell>
          <cell r="AD25">
            <v>-7.7794252538525996E-2</v>
          </cell>
          <cell r="AE25">
            <v>-6.3589158037542184E-2</v>
          </cell>
          <cell r="AF25">
            <v>4.0466981293098385E-3</v>
          </cell>
        </row>
        <row r="26">
          <cell r="B26">
            <v>-2.7797493671422965E-2</v>
          </cell>
          <cell r="C26">
            <v>-0.14146552029994253</v>
          </cell>
          <cell r="D26">
            <v>-6.6691374498672157E-2</v>
          </cell>
          <cell r="E26">
            <v>4.9908604677582208E-3</v>
          </cell>
          <cell r="F26">
            <v>-4.3470788985772571E-2</v>
          </cell>
          <cell r="G26">
            <v>-1.8554595002110815E-2</v>
          </cell>
          <cell r="H26">
            <v>-3.1431158789582109E-2</v>
          </cell>
          <cell r="I26">
            <v>-0.11292601069443486</v>
          </cell>
          <cell r="J26">
            <v>7.0674957669936367E-2</v>
          </cell>
          <cell r="K26">
            <v>-5.1269597424315243E-2</v>
          </cell>
          <cell r="L26">
            <v>-1.443594623294148E-2</v>
          </cell>
          <cell r="M26">
            <v>-0.1389648463475181</v>
          </cell>
          <cell r="N26">
            <v>1.7945748539198343E-2</v>
          </cell>
          <cell r="O26">
            <v>3.0238910250769192E-3</v>
          </cell>
          <cell r="P26">
            <v>9.0078765138604609E-3</v>
          </cell>
          <cell r="Q26">
            <v>5.9583095836306249E-3</v>
          </cell>
          <cell r="R26">
            <v>-1.7965869689177784E-3</v>
          </cell>
          <cell r="S26">
            <v>-2.7953627346028617E-2</v>
          </cell>
          <cell r="T26">
            <v>-8.0166569691407036E-2</v>
          </cell>
          <cell r="U26">
            <v>-0.12131849668740595</v>
          </cell>
          <cell r="V26">
            <v>1.0045113907752113E-2</v>
          </cell>
          <cell r="W26">
            <v>-6.7812233805536068E-2</v>
          </cell>
          <cell r="X26">
            <v>-2.1907393864309101E-2</v>
          </cell>
          <cell r="Y26">
            <v>-8.53950844121283E-2</v>
          </cell>
          <cell r="Z26">
            <v>-1.7885892802497201E-3</v>
          </cell>
          <cell r="AA26">
            <v>4.9813201528147724E-4</v>
          </cell>
          <cell r="AB26">
            <v>-9.4951499743090681E-2</v>
          </cell>
          <cell r="AC26">
            <v>2.6281836160795637E-2</v>
          </cell>
          <cell r="AD26">
            <v>-3.3511074772559768E-3</v>
          </cell>
          <cell r="AE26">
            <v>-5.5036550627331024E-2</v>
          </cell>
          <cell r="AF26">
            <v>-2.2938947680584975E-2</v>
          </cell>
        </row>
        <row r="27">
          <cell r="B27">
            <v>-1.7149844258839787E-2</v>
          </cell>
          <cell r="C27">
            <v>4.3693684262947743E-2</v>
          </cell>
          <cell r="D27">
            <v>-9.3559310982810992E-2</v>
          </cell>
          <cell r="E27">
            <v>-5.6319266598434774E-2</v>
          </cell>
          <cell r="F27">
            <v>-0.13108211777781725</v>
          </cell>
          <cell r="G27">
            <v>-2.9823609660282947E-2</v>
          </cell>
          <cell r="H27">
            <v>6.6441643738348766E-2</v>
          </cell>
          <cell r="I27">
            <v>-2.2803268297453029E-2</v>
          </cell>
          <cell r="J27">
            <v>-2.5619512617744512E-2</v>
          </cell>
          <cell r="K27">
            <v>4.6756954387334002E-2</v>
          </cell>
          <cell r="L27">
            <v>-5.9221112814114754E-2</v>
          </cell>
          <cell r="M27">
            <v>0.11497241960429672</v>
          </cell>
          <cell r="N27">
            <v>-5.7184569597486232E-2</v>
          </cell>
          <cell r="O27">
            <v>-9.3620786377303575E-2</v>
          </cell>
          <cell r="P27">
            <v>-1.1875702391953846E-3</v>
          </cell>
          <cell r="Q27">
            <v>9.8006810651924278E-2</v>
          </cell>
          <cell r="R27">
            <v>-1.7738824337381519E-2</v>
          </cell>
          <cell r="S27">
            <v>-2.8757559295052533E-2</v>
          </cell>
          <cell r="T27">
            <v>-6.1919702479209951E-3</v>
          </cell>
          <cell r="U27">
            <v>-4.5496853268568518E-2</v>
          </cell>
          <cell r="V27">
            <v>1.1820266103743152E-2</v>
          </cell>
          <cell r="W27">
            <v>2.0335441870730667E-2</v>
          </cell>
          <cell r="X27">
            <v>-4.8757269973609955E-2</v>
          </cell>
          <cell r="Y27">
            <v>1.9361090268664007E-3</v>
          </cell>
          <cell r="Z27">
            <v>-1.8064075007573496E-2</v>
          </cell>
          <cell r="AA27">
            <v>-4.429331804306301E-2</v>
          </cell>
          <cell r="AB27">
            <v>-0.1612434930677005</v>
          </cell>
          <cell r="AC27">
            <v>-7.8132328754564259E-2</v>
          </cell>
          <cell r="AD27">
            <v>-0.10173910138070855</v>
          </cell>
          <cell r="AE27">
            <v>5.4048342576563692E-3</v>
          </cell>
          <cell r="AF27">
            <v>2.8566913570903974E-3</v>
          </cell>
        </row>
        <row r="28">
          <cell r="B28">
            <v>8.3228742528296627E-3</v>
          </cell>
          <cell r="C28">
            <v>-5.5748624768301544E-2</v>
          </cell>
          <cell r="D28">
            <v>4.3357144414625601E-3</v>
          </cell>
          <cell r="E28">
            <v>-1.0589580073240927E-2</v>
          </cell>
          <cell r="F28">
            <v>-9.4926523555613498E-2</v>
          </cell>
          <cell r="G28">
            <v>3.2725433395712572E-2</v>
          </cell>
          <cell r="H28">
            <v>4.5573026372150868E-2</v>
          </cell>
          <cell r="I28">
            <v>5.8068470022885253E-2</v>
          </cell>
          <cell r="J28">
            <v>-2.4169196055386566E-3</v>
          </cell>
          <cell r="K28">
            <v>5.8413969839456993E-2</v>
          </cell>
          <cell r="L28">
            <v>-4.5686250612152913E-3</v>
          </cell>
          <cell r="M28">
            <v>4.0663041490540751E-2</v>
          </cell>
          <cell r="N28">
            <v>-6.9194667471896065E-2</v>
          </cell>
          <cell r="O28">
            <v>-1.4023602107746367E-2</v>
          </cell>
          <cell r="P28">
            <v>6.0550402189520243E-3</v>
          </cell>
          <cell r="Q28">
            <v>-5.7897941632355364E-2</v>
          </cell>
          <cell r="R28">
            <v>9.8319310996720991E-2</v>
          </cell>
          <cell r="S28">
            <v>4.4757900641493625E-2</v>
          </cell>
          <cell r="T28">
            <v>1.2345835822299362E-2</v>
          </cell>
          <cell r="U28">
            <v>6.0944015882983212E-2</v>
          </cell>
          <cell r="V28">
            <v>3.6616980542133158E-2</v>
          </cell>
          <cell r="W28">
            <v>-0.23686375406622115</v>
          </cell>
          <cell r="X28">
            <v>4.4802090130681892E-2</v>
          </cell>
          <cell r="Y28">
            <v>2.1053409197832482E-2</v>
          </cell>
          <cell r="Z28">
            <v>4.386511745051392E-2</v>
          </cell>
          <cell r="AA28">
            <v>8.4078919119413342E-2</v>
          </cell>
          <cell r="AB28">
            <v>-3.5981469228829284E-2</v>
          </cell>
          <cell r="AC28">
            <v>-1.3758363296361585E-2</v>
          </cell>
          <cell r="AD28">
            <v>2.205234703019511E-2</v>
          </cell>
          <cell r="AE28">
            <v>8.1136745278307804E-2</v>
          </cell>
          <cell r="AF28">
            <v>2.7201927320307937E-2</v>
          </cell>
        </row>
        <row r="29">
          <cell r="B29">
            <v>7.7927350029476733E-2</v>
          </cell>
          <cell r="C29">
            <v>0.17457387000312879</v>
          </cell>
          <cell r="D29">
            <v>0.15855558519653012</v>
          </cell>
          <cell r="E29">
            <v>0.13273263509370303</v>
          </cell>
          <cell r="F29">
            <v>8.489944378648627E-2</v>
          </cell>
          <cell r="G29">
            <v>0.13050847663683099</v>
          </cell>
          <cell r="H29">
            <v>7.3366224066801822E-2</v>
          </cell>
          <cell r="I29">
            <v>9.0299207840725426E-2</v>
          </cell>
          <cell r="J29">
            <v>9.2391112933826666E-2</v>
          </cell>
          <cell r="K29">
            <v>0.14398213891739789</v>
          </cell>
          <cell r="L29">
            <v>7.0049023671026195E-2</v>
          </cell>
          <cell r="M29">
            <v>0.14386358786172787</v>
          </cell>
          <cell r="N29">
            <v>9.9795107920613191E-2</v>
          </cell>
          <cell r="O29">
            <v>4.6642279970538637E-2</v>
          </cell>
          <cell r="P29">
            <v>7.9315611180039547E-2</v>
          </cell>
          <cell r="Q29">
            <v>0.12221202106771634</v>
          </cell>
          <cell r="R29">
            <v>-2.6523781244344454E-2</v>
          </cell>
          <cell r="S29">
            <v>0.22746321245872628</v>
          </cell>
          <cell r="T29">
            <v>-1.868909901877089E-3</v>
          </cell>
          <cell r="U29">
            <v>0.16761540940425926</v>
          </cell>
          <cell r="V29">
            <v>-3.1182184556176201E-2</v>
          </cell>
          <cell r="W29">
            <v>2.6337695885035418E-2</v>
          </cell>
          <cell r="X29">
            <v>6.0028697403467925E-2</v>
          </cell>
          <cell r="Y29">
            <v>5.4814549606380256E-2</v>
          </cell>
          <cell r="Z29">
            <v>-1.2994037086550041E-2</v>
          </cell>
          <cell r="AA29">
            <v>1.3547444273381792E-2</v>
          </cell>
          <cell r="AB29">
            <v>0.16719267519765466</v>
          </cell>
          <cell r="AC29">
            <v>6.7655241324593704E-2</v>
          </cell>
          <cell r="AD29">
            <v>6.6787312586699746E-2</v>
          </cell>
          <cell r="AE29">
            <v>7.9094100677571888E-2</v>
          </cell>
          <cell r="AF29">
            <v>7.0693394149099822E-3</v>
          </cell>
        </row>
        <row r="30">
          <cell r="B30">
            <v>4.9645665489287727E-2</v>
          </cell>
          <cell r="C30">
            <v>7.0596523221486157E-2</v>
          </cell>
          <cell r="D30">
            <v>-1.2314189259499126E-3</v>
          </cell>
          <cell r="E30">
            <v>9.5649124559575222E-2</v>
          </cell>
          <cell r="F30">
            <v>0.1227662919520584</v>
          </cell>
          <cell r="G30">
            <v>4.9072689951788817E-2</v>
          </cell>
          <cell r="H30">
            <v>-8.4763373297132502E-3</v>
          </cell>
          <cell r="I30">
            <v>-1.047120514525356E-3</v>
          </cell>
          <cell r="J30">
            <v>5.1596612970896613E-2</v>
          </cell>
          <cell r="K30">
            <v>-2.5819956337041317E-2</v>
          </cell>
          <cell r="L30">
            <v>-6.2592857956961399E-3</v>
          </cell>
          <cell r="M30">
            <v>0.14434822979500392</v>
          </cell>
          <cell r="N30">
            <v>0.11177823414162132</v>
          </cell>
          <cell r="O30">
            <v>0.17932176881484305</v>
          </cell>
          <cell r="P30">
            <v>3.817575173109395E-2</v>
          </cell>
          <cell r="Q30">
            <v>0.12486601028208288</v>
          </cell>
          <cell r="R30">
            <v>-3.1925788359223974E-2</v>
          </cell>
          <cell r="S30">
            <v>0.11291809199390565</v>
          </cell>
          <cell r="T30">
            <v>0.12045183894846385</v>
          </cell>
          <cell r="U30">
            <v>9.0810734643094984E-2</v>
          </cell>
          <cell r="V30">
            <v>8.6011155090919712E-3</v>
          </cell>
          <cell r="W30">
            <v>0.29453924217791788</v>
          </cell>
          <cell r="X30">
            <v>-4.5602217693244643E-2</v>
          </cell>
          <cell r="Y30">
            <v>-3.8378396553751505E-2</v>
          </cell>
          <cell r="Z30">
            <v>1.2994037086550106E-2</v>
          </cell>
          <cell r="AA30">
            <v>2.1717140720683405E-2</v>
          </cell>
          <cell r="AB30">
            <v>8.6121753749918539E-2</v>
          </cell>
          <cell r="AC30">
            <v>0.1031775555167863</v>
          </cell>
          <cell r="AD30">
            <v>1.2594238037958991E-2</v>
          </cell>
          <cell r="AE30">
            <v>-6.8022417789291759E-2</v>
          </cell>
          <cell r="AF30">
            <v>4.0515668893721414E-2</v>
          </cell>
        </row>
        <row r="31">
          <cell r="B31">
            <v>1.125862601085219E-2</v>
          </cell>
          <cell r="C31">
            <v>3.5596978740231759E-2</v>
          </cell>
          <cell r="D31">
            <v>-4.6846973296788781E-2</v>
          </cell>
          <cell r="E31">
            <v>3.6645566026929938E-3</v>
          </cell>
          <cell r="F31">
            <v>0.11239774621627627</v>
          </cell>
          <cell r="G31">
            <v>4.266049714271504E-2</v>
          </cell>
          <cell r="H31">
            <v>6.5121042966952508E-2</v>
          </cell>
          <cell r="I31">
            <v>-1.212136053234485E-2</v>
          </cell>
          <cell r="J31">
            <v>5.224672281952304E-3</v>
          </cell>
          <cell r="K31">
            <v>6.046881614892907E-3</v>
          </cell>
          <cell r="L31">
            <v>1.8661533537849079E-2</v>
          </cell>
          <cell r="M31">
            <v>2.1066649233051005E-2</v>
          </cell>
          <cell r="N31">
            <v>2.4602975173661945E-2</v>
          </cell>
          <cell r="O31">
            <v>9.2183956078058613E-2</v>
          </cell>
          <cell r="P31">
            <v>-6.5083204651018176E-2</v>
          </cell>
          <cell r="Q31">
            <v>-4.9541739928333941E-4</v>
          </cell>
          <cell r="R31">
            <v>-5.0090598971637451E-2</v>
          </cell>
          <cell r="S31">
            <v>3.9260200606148342E-2</v>
          </cell>
          <cell r="T31">
            <v>2.295182717820227E-2</v>
          </cell>
          <cell r="U31">
            <v>0.16392718208933182</v>
          </cell>
          <cell r="V31">
            <v>1.9786163816293573E-2</v>
          </cell>
          <cell r="W31">
            <v>0.11041605200128428</v>
          </cell>
          <cell r="X31">
            <v>9.1990281094654625E-2</v>
          </cell>
          <cell r="Y31">
            <v>4.1064163611348611E-2</v>
          </cell>
          <cell r="Z31">
            <v>9.6071166587196374E-2</v>
          </cell>
          <cell r="AA31">
            <v>-2.9300115445138851E-2</v>
          </cell>
          <cell r="AB31">
            <v>3.7226660022456914E-3</v>
          </cell>
          <cell r="AC31">
            <v>3.7102732606584705E-2</v>
          </cell>
          <cell r="AD31">
            <v>4.1261458381425947E-2</v>
          </cell>
          <cell r="AE31">
            <v>2.1589869026376819E-2</v>
          </cell>
          <cell r="AF31">
            <v>-1.3323661198470655E-2</v>
          </cell>
        </row>
        <row r="32">
          <cell r="B32">
            <v>1.6093506478773681E-2</v>
          </cell>
          <cell r="C32">
            <v>8.5344709937160576E-2</v>
          </cell>
          <cell r="D32">
            <v>0.1513798274033131</v>
          </cell>
          <cell r="E32">
            <v>5.7408491990673653E-2</v>
          </cell>
          <cell r="F32">
            <v>-3.5550984264318866E-2</v>
          </cell>
          <cell r="G32">
            <v>5.3456459631549977E-2</v>
          </cell>
          <cell r="H32">
            <v>0.19845853459320464</v>
          </cell>
          <cell r="I32">
            <v>5.392767924696916E-2</v>
          </cell>
          <cell r="J32">
            <v>0.10384816888577954</v>
          </cell>
          <cell r="K32">
            <v>-8.703933851860135E-3</v>
          </cell>
          <cell r="L32">
            <v>3.8808941468620115E-2</v>
          </cell>
          <cell r="M32">
            <v>-5.9944237275739262E-2</v>
          </cell>
          <cell r="N32">
            <v>5.2010168845747329E-2</v>
          </cell>
          <cell r="O32">
            <v>-5.8881426252225975E-3</v>
          </cell>
          <cell r="P32">
            <v>-1.5183176421390006E-2</v>
          </cell>
          <cell r="Q32">
            <v>0.17917820074392266</v>
          </cell>
          <cell r="R32">
            <v>1.8474807677078544E-3</v>
          </cell>
          <cell r="S32">
            <v>3.5238816620500768E-2</v>
          </cell>
          <cell r="T32">
            <v>-3.151719003712531E-2</v>
          </cell>
          <cell r="U32">
            <v>4.2160810824278118E-2</v>
          </cell>
          <cell r="V32">
            <v>8.3355266807444053E-2</v>
          </cell>
          <cell r="W32">
            <v>-0.12735830936629924</v>
          </cell>
          <cell r="X32">
            <v>-9.1122602081432233E-2</v>
          </cell>
          <cell r="Y32">
            <v>2.951106032565216E-2</v>
          </cell>
          <cell r="Z32">
            <v>-2.3409759095252527E-2</v>
          </cell>
          <cell r="AA32">
            <v>-9.5603022619822255E-3</v>
          </cell>
          <cell r="AB32">
            <v>-7.5216163948547937E-2</v>
          </cell>
          <cell r="AC32">
            <v>6.0049633779510309E-2</v>
          </cell>
          <cell r="AD32">
            <v>-0.10979655920348243</v>
          </cell>
          <cell r="AE32">
            <v>4.072193178853617E-2</v>
          </cell>
          <cell r="AF32">
            <v>-9.2828934304432006E-3</v>
          </cell>
        </row>
        <row r="33">
          <cell r="B33">
            <v>1.7715343790636197E-2</v>
          </cell>
          <cell r="C33">
            <v>3.3825096153643881E-2</v>
          </cell>
          <cell r="D33">
            <v>-7.4876644523636238E-2</v>
          </cell>
          <cell r="E33">
            <v>1.9729694295527435E-2</v>
          </cell>
          <cell r="F33">
            <v>0.12656272330842924</v>
          </cell>
          <cell r="G33">
            <v>-3.3042379965386455E-2</v>
          </cell>
          <cell r="H33">
            <v>6.2473169586022267E-2</v>
          </cell>
          <cell r="I33">
            <v>2.6033452377250046E-2</v>
          </cell>
          <cell r="J33">
            <v>-6.6513226748935797E-2</v>
          </cell>
          <cell r="K33">
            <v>3.9132997702148328E-2</v>
          </cell>
          <cell r="L33">
            <v>0.10701281600412117</v>
          </cell>
          <cell r="M33">
            <v>3.0260971781809479E-2</v>
          </cell>
          <cell r="N33">
            <v>3.1275817991775902E-2</v>
          </cell>
          <cell r="O33">
            <v>-6.0347839258119644E-2</v>
          </cell>
          <cell r="P33">
            <v>1.1315182329404493E-2</v>
          </cell>
          <cell r="Q33">
            <v>0.13936562452305809</v>
          </cell>
          <cell r="R33">
            <v>-3.8892629160837099E-2</v>
          </cell>
          <cell r="S33">
            <v>-2.4113047406809193E-2</v>
          </cell>
          <cell r="T33">
            <v>-3.2789822822990956E-2</v>
          </cell>
          <cell r="U33">
            <v>-2.6023773421305359E-2</v>
          </cell>
          <cell r="V33">
            <v>2.0687291493214577E-2</v>
          </cell>
          <cell r="W33">
            <v>2.9674074558462916E-2</v>
          </cell>
          <cell r="X33">
            <v>-3.8908532918691993E-2</v>
          </cell>
          <cell r="Y33">
            <v>4.3308859378401489E-3</v>
          </cell>
          <cell r="Z33">
            <v>-0.1042075285732616</v>
          </cell>
          <cell r="AA33">
            <v>-6.5052632734480583E-3</v>
          </cell>
          <cell r="AB33">
            <v>-3.9320868393987976E-2</v>
          </cell>
          <cell r="AC33">
            <v>6.8174540835719555E-2</v>
          </cell>
          <cell r="AD33">
            <v>9.1116803512558131E-3</v>
          </cell>
          <cell r="AE33">
            <v>5.6737527611599781E-2</v>
          </cell>
          <cell r="AF33">
            <v>6.465133065881444E-2</v>
          </cell>
        </row>
        <row r="34">
          <cell r="B34">
            <v>-1.2016232567985653E-2</v>
          </cell>
          <cell r="C34">
            <v>-8.8019746541645447E-2</v>
          </cell>
          <cell r="D34">
            <v>-3.071291979041154E-2</v>
          </cell>
          <cell r="E34">
            <v>0</v>
          </cell>
          <cell r="F34">
            <v>-8.5512183478071768E-2</v>
          </cell>
          <cell r="G34">
            <v>4.8561605112987349E-2</v>
          </cell>
          <cell r="H34">
            <v>-4.2432418702576156E-2</v>
          </cell>
          <cell r="I34">
            <v>-0.11174403843961539</v>
          </cell>
          <cell r="J34">
            <v>-1.6705020200002887E-2</v>
          </cell>
          <cell r="K34">
            <v>1.4153747438093766E-2</v>
          </cell>
          <cell r="L34">
            <v>-4.2140812468307665E-3</v>
          </cell>
          <cell r="M34">
            <v>-7.3991008303252196E-3</v>
          </cell>
          <cell r="N34">
            <v>-9.5310179804324893E-2</v>
          </cell>
          <cell r="O34">
            <v>-2.5411637362336956E-2</v>
          </cell>
          <cell r="P34">
            <v>7.4188336113208256E-2</v>
          </cell>
          <cell r="Q34">
            <v>-3.8197813070573967E-2</v>
          </cell>
          <cell r="R34">
            <v>-1.2801367227169426E-3</v>
          </cell>
          <cell r="S34">
            <v>3.2488657556656369E-3</v>
          </cell>
          <cell r="T34">
            <v>-8.1815257413026046E-3</v>
          </cell>
          <cell r="U34">
            <v>4.8700482092335171E-2</v>
          </cell>
          <cell r="V34">
            <v>-3.0887577848030593E-2</v>
          </cell>
          <cell r="W34">
            <v>7.7335818616388816E-2</v>
          </cell>
          <cell r="X34">
            <v>1.321259843546308E-2</v>
          </cell>
          <cell r="Y34">
            <v>4.7266181750373705E-2</v>
          </cell>
          <cell r="Z34">
            <v>1.5365676625359811E-2</v>
          </cell>
          <cell r="AA34">
            <v>6.1406354887308355E-2</v>
          </cell>
          <cell r="AB34">
            <v>-9.4192219164916397E-3</v>
          </cell>
          <cell r="AC34">
            <v>-3.7690236064165793E-2</v>
          </cell>
          <cell r="AD34">
            <v>-8.5157808340306826E-2</v>
          </cell>
          <cell r="AE34">
            <v>-5.7661656685777822E-2</v>
          </cell>
          <cell r="AF34">
            <v>-2.9477023295629484E-2</v>
          </cell>
        </row>
        <row r="35">
          <cell r="B35">
            <v>5.3504268464946513E-2</v>
          </cell>
          <cell r="C35">
            <v>0.18815599644086031</v>
          </cell>
          <cell r="D35">
            <v>5.2684396840289915E-2</v>
          </cell>
          <cell r="E35">
            <v>4.3080447763902879E-2</v>
          </cell>
          <cell r="F35">
            <v>0.11445975951294031</v>
          </cell>
          <cell r="G35">
            <v>4.8148315623648345E-2</v>
          </cell>
          <cell r="H35">
            <v>6.7282007083321993E-2</v>
          </cell>
          <cell r="I35">
            <v>9.8040000966208348E-3</v>
          </cell>
          <cell r="J35">
            <v>0.11556857261022038</v>
          </cell>
          <cell r="K35">
            <v>-2.7028672387919259E-2</v>
          </cell>
          <cell r="L35">
            <v>4.1632476801552E-2</v>
          </cell>
          <cell r="M35">
            <v>0.15188786974584667</v>
          </cell>
          <cell r="N35">
            <v>0.14987889592550058</v>
          </cell>
          <cell r="O35">
            <v>0.14220678904379266</v>
          </cell>
          <cell r="P35">
            <v>1.2916798201281145E-2</v>
          </cell>
          <cell r="Q35">
            <v>0.18007268028393869</v>
          </cell>
          <cell r="R35">
            <v>1.6305284476910688E-2</v>
          </cell>
          <cell r="S35">
            <v>5.4596299236280781E-2</v>
          </cell>
          <cell r="T35">
            <v>7.7108551439068529E-2</v>
          </cell>
          <cell r="U35">
            <v>6.0044131549731733E-2</v>
          </cell>
          <cell r="V35">
            <v>0.1326511277227809</v>
          </cell>
          <cell r="W35">
            <v>5.98436768333633E-2</v>
          </cell>
          <cell r="X35">
            <v>-0.13458072734726104</v>
          </cell>
          <cell r="Y35">
            <v>-5.5946791814679479E-2</v>
          </cell>
          <cell r="Z35">
            <v>3.9288905045291686E-2</v>
          </cell>
          <cell r="AA35">
            <v>6.1920867562972624E-2</v>
          </cell>
          <cell r="AB35">
            <v>9.1862891127566265E-2</v>
          </cell>
          <cell r="AC35">
            <v>9.1442084266058724E-2</v>
          </cell>
          <cell r="AD35">
            <v>4.6520015634892699E-2</v>
          </cell>
          <cell r="AE35">
            <v>5.5564853541171258E-2</v>
          </cell>
          <cell r="AF35">
            <v>-5.8105754104343711E-4</v>
          </cell>
        </row>
        <row r="36">
          <cell r="B36">
            <v>7.1032253560451564E-3</v>
          </cell>
          <cell r="C36">
            <v>4.3186298653130631E-2</v>
          </cell>
          <cell r="D36">
            <v>-4.8464239354893759E-2</v>
          </cell>
          <cell r="E36">
            <v>-2.6546875584085701E-2</v>
          </cell>
          <cell r="F36">
            <v>1.9003670711680138E-3</v>
          </cell>
          <cell r="G36">
            <v>-7.8269276178815211E-3</v>
          </cell>
          <cell r="H36">
            <v>3.6979003241087431E-2</v>
          </cell>
          <cell r="I36">
            <v>3.4362150190943297E-2</v>
          </cell>
          <cell r="J36">
            <v>1.9811543965447154E-2</v>
          </cell>
          <cell r="K36">
            <v>-1.191820438809145E-2</v>
          </cell>
          <cell r="L36">
            <v>1.4477464660356284E-2</v>
          </cell>
          <cell r="M36">
            <v>-8.3565945909413047E-3</v>
          </cell>
          <cell r="N36">
            <v>-2.4241482153972871E-2</v>
          </cell>
          <cell r="O36">
            <v>-2.5914288765470354E-2</v>
          </cell>
          <cell r="P36">
            <v>1.3656750320074559E-2</v>
          </cell>
          <cell r="Q36">
            <v>1.8280911882333842E-2</v>
          </cell>
          <cell r="R36">
            <v>-1.5878390126777799E-2</v>
          </cell>
          <cell r="S36">
            <v>-1.4228510998369416E-2</v>
          </cell>
          <cell r="T36">
            <v>6.8902431530850385E-3</v>
          </cell>
          <cell r="U36">
            <v>4.0551687720393262E-2</v>
          </cell>
          <cell r="V36">
            <v>6.4119909770771703E-3</v>
          </cell>
          <cell r="W36">
            <v>0.11166413544612598</v>
          </cell>
          <cell r="X36">
            <v>-8.6063169839410369E-2</v>
          </cell>
          <cell r="Y36">
            <v>-1.6703685071366603E-2</v>
          </cell>
          <cell r="Z36">
            <v>6.5326652348954573E-2</v>
          </cell>
          <cell r="AA36">
            <v>-2.1162525898251516E-2</v>
          </cell>
          <cell r="AB36">
            <v>-2.9693103825545863E-2</v>
          </cell>
          <cell r="AC36">
            <v>1.5918053751249654E-2</v>
          </cell>
          <cell r="AD36">
            <v>-2.2817267772115294E-2</v>
          </cell>
          <cell r="AE36">
            <v>-5.7786253936324757E-2</v>
          </cell>
          <cell r="AF36">
            <v>-3.493453334559977E-3</v>
          </cell>
        </row>
        <row r="37">
          <cell r="B37">
            <v>4.9518899306471208E-2</v>
          </cell>
          <cell r="C37">
            <v>0.1468508746690195</v>
          </cell>
          <cell r="D37">
            <v>0.13550347731826642</v>
          </cell>
          <cell r="E37">
            <v>5.5805262571967003E-2</v>
          </cell>
          <cell r="F37">
            <v>9.3162746641721098E-2</v>
          </cell>
          <cell r="G37">
            <v>3.1618692175218219E-2</v>
          </cell>
          <cell r="H37">
            <v>8.7881918383866761E-2</v>
          </cell>
          <cell r="I37">
            <v>0.10150391334127384</v>
          </cell>
          <cell r="J37">
            <v>1.9863817979480232E-2</v>
          </cell>
          <cell r="K37">
            <v>8.4040814620105708E-2</v>
          </cell>
          <cell r="L37">
            <v>0.22159857351561749</v>
          </cell>
          <cell r="M37">
            <v>-3.3274788884872321E-2</v>
          </cell>
          <cell r="N37">
            <v>0.11857298751040188</v>
          </cell>
          <cell r="O37">
            <v>5.8403991538189343E-2</v>
          </cell>
          <cell r="P37">
            <v>2.3349102959578361E-2</v>
          </cell>
          <cell r="Q37">
            <v>-4.5540919977951212E-2</v>
          </cell>
          <cell r="R37">
            <v>4.6694601720825395E-2</v>
          </cell>
          <cell r="S37">
            <v>3.7001622069618184E-2</v>
          </cell>
          <cell r="T37">
            <v>8.7602489346788368E-2</v>
          </cell>
          <cell r="U37">
            <v>-3.1722536398480015E-2</v>
          </cell>
          <cell r="V37">
            <v>7.3032636721528266E-2</v>
          </cell>
          <cell r="W37">
            <v>5.8326808890349982E-2</v>
          </cell>
          <cell r="X37">
            <v>0.13813244202968306</v>
          </cell>
          <cell r="Y37">
            <v>6.2291983603303888E-2</v>
          </cell>
          <cell r="Z37">
            <v>5.1053725610202091E-2</v>
          </cell>
          <cell r="AA37">
            <v>3.72713947972316E-2</v>
          </cell>
          <cell r="AB37">
            <v>0.11338162010017296</v>
          </cell>
          <cell r="AC37">
            <v>0.10068487885222685</v>
          </cell>
          <cell r="AD37">
            <v>6.5979955075818969E-2</v>
          </cell>
          <cell r="AE37">
            <v>-4.5884826115336126E-2</v>
          </cell>
          <cell r="AF37">
            <v>0.12433937726874698</v>
          </cell>
        </row>
        <row r="38">
          <cell r="B38">
            <v>1.7128882262967212E-2</v>
          </cell>
          <cell r="C38">
            <v>-0.10606730547874653</v>
          </cell>
          <cell r="D38">
            <v>4.6701093045980621E-2</v>
          </cell>
          <cell r="E38">
            <v>7.220231871767574E-2</v>
          </cell>
          <cell r="F38">
            <v>-9.1846245752505943E-3</v>
          </cell>
          <cell r="G38">
            <v>2.7386870654487638E-2</v>
          </cell>
          <cell r="H38">
            <v>-5.6477063555120791E-2</v>
          </cell>
          <cell r="I38">
            <v>-4.4258220426428019E-2</v>
          </cell>
          <cell r="J38">
            <v>2.843793532053341E-2</v>
          </cell>
          <cell r="K38">
            <v>8.1975177732644747E-2</v>
          </cell>
          <cell r="L38">
            <v>-7.2059445965976701E-2</v>
          </cell>
          <cell r="M38">
            <v>-5.7853631928948075E-4</v>
          </cell>
          <cell r="N38">
            <v>7.746394453664722E-2</v>
          </cell>
          <cell r="O38">
            <v>3.4951578022813505E-2</v>
          </cell>
          <cell r="P38">
            <v>6.8285907866131368E-2</v>
          </cell>
          <cell r="Q38">
            <v>-4.8725898882304684E-2</v>
          </cell>
          <cell r="R38">
            <v>3.3446594158827996E-2</v>
          </cell>
          <cell r="S38">
            <v>6.6487985652396456E-2</v>
          </cell>
          <cell r="T38">
            <v>-3.0227929391224644E-2</v>
          </cell>
          <cell r="U38">
            <v>3.5769486478677309E-2</v>
          </cell>
          <cell r="V38">
            <v>-7.2367079292633765E-2</v>
          </cell>
          <cell r="W38">
            <v>2.1277398447284879E-2</v>
          </cell>
          <cell r="X38">
            <v>2.9753474096948125E-2</v>
          </cell>
          <cell r="Y38">
            <v>1.0358493282742128E-2</v>
          </cell>
          <cell r="Z38">
            <v>3.606410797185268E-2</v>
          </cell>
          <cell r="AA38">
            <v>1.6474150076722295E-2</v>
          </cell>
          <cell r="AB38">
            <v>-1.064311598732076E-2</v>
          </cell>
          <cell r="AC38">
            <v>8.0954385886665547E-3</v>
          </cell>
          <cell r="AD38">
            <v>6.0074363275915192E-2</v>
          </cell>
          <cell r="AE38">
            <v>1.4829352158300783E-2</v>
          </cell>
          <cell r="AF38">
            <v>-4.9051343992586203E-3</v>
          </cell>
        </row>
        <row r="39">
          <cell r="B39">
            <v>1.2135100829125884E-2</v>
          </cell>
          <cell r="C39">
            <v>9.634365614730557E-2</v>
          </cell>
          <cell r="D39">
            <v>6.3459407369262477E-2</v>
          </cell>
          <cell r="E39">
            <v>2.9978929861486769E-2</v>
          </cell>
          <cell r="F39">
            <v>4.1998359687963879E-2</v>
          </cell>
          <cell r="G39">
            <v>1.5564516541111548E-2</v>
          </cell>
          <cell r="H39">
            <v>-3.0854951048047748E-2</v>
          </cell>
          <cell r="I39">
            <v>3.4511322865583019E-2</v>
          </cell>
          <cell r="J39">
            <v>0.10016437125222855</v>
          </cell>
          <cell r="K39">
            <v>-2.7346082325515195E-2</v>
          </cell>
          <cell r="L39">
            <v>-2.1780286365647616E-2</v>
          </cell>
          <cell r="M39">
            <v>2.3449744795784353E-2</v>
          </cell>
          <cell r="N39">
            <v>-2.4860706226230728E-2</v>
          </cell>
          <cell r="O39">
            <v>-4.6271599287819744E-2</v>
          </cell>
          <cell r="P39">
            <v>-2.6333810103692061E-2</v>
          </cell>
          <cell r="Q39">
            <v>-4.3087829943006355E-2</v>
          </cell>
          <cell r="R39">
            <v>1.3693484705360101E-2</v>
          </cell>
          <cell r="S39">
            <v>5.3327740352158766E-2</v>
          </cell>
          <cell r="T39">
            <v>1.4376387503969058E-2</v>
          </cell>
          <cell r="U39">
            <v>9.5089858869272931E-2</v>
          </cell>
          <cell r="V39">
            <v>-9.0897564764294558E-3</v>
          </cell>
          <cell r="W39">
            <v>3.4616545669163876E-2</v>
          </cell>
          <cell r="X39">
            <v>1.0033919208430145E-2</v>
          </cell>
          <cell r="Y39">
            <v>-4.1234280652667023E-2</v>
          </cell>
          <cell r="Z39">
            <v>4.9642385492316065E-3</v>
          </cell>
          <cell r="AA39">
            <v>1.4170069728652691E-2</v>
          </cell>
          <cell r="AB39">
            <v>-6.017888969405611E-2</v>
          </cell>
          <cell r="AC39">
            <v>-3.2782559102731333E-2</v>
          </cell>
          <cell r="AD39">
            <v>3.9010454885268518E-2</v>
          </cell>
          <cell r="AE39">
            <v>0.10083874216546934</v>
          </cell>
          <cell r="AF39">
            <v>3.9330199116792378E-2</v>
          </cell>
        </row>
        <row r="40">
          <cell r="B40">
            <v>-1.6494220669989047E-2</v>
          </cell>
          <cell r="C40">
            <v>-7.7162066365471571E-2</v>
          </cell>
          <cell r="D40">
            <v>-3.5625755369347686E-2</v>
          </cell>
          <cell r="E40">
            <v>-2.7727183807602505E-2</v>
          </cell>
          <cell r="F40">
            <v>-5.4545575740052671E-2</v>
          </cell>
          <cell r="G40">
            <v>2.8337696551702485E-2</v>
          </cell>
          <cell r="H40">
            <v>4.3040532294163519E-2</v>
          </cell>
          <cell r="I40">
            <v>-6.5653970221436778E-2</v>
          </cell>
          <cell r="J40">
            <v>-5.9784275544337961E-2</v>
          </cell>
          <cell r="K40">
            <v>-6.3625695880211552E-2</v>
          </cell>
          <cell r="L40">
            <v>-1.8201660757083821E-2</v>
          </cell>
          <cell r="M40">
            <v>3.03433160889496E-2</v>
          </cell>
          <cell r="N40">
            <v>-3.4759596935936145E-2</v>
          </cell>
          <cell r="O40">
            <v>9.0662452377530418E-3</v>
          </cell>
          <cell r="P40">
            <v>-4.9489264900183773E-2</v>
          </cell>
          <cell r="Q40">
            <v>-7.0780812180571473E-2</v>
          </cell>
          <cell r="R40">
            <v>-6.1086162154750691E-2</v>
          </cell>
          <cell r="S40">
            <v>2.2384081383537435E-2</v>
          </cell>
          <cell r="T40">
            <v>1.1859520617718222E-2</v>
          </cell>
          <cell r="U40">
            <v>9.5029954914861142E-3</v>
          </cell>
          <cell r="V40">
            <v>4.8105729904370467E-2</v>
          </cell>
          <cell r="W40">
            <v>-4.3767600886521159E-2</v>
          </cell>
          <cell r="X40">
            <v>-7.6450375170201493E-2</v>
          </cell>
          <cell r="Y40">
            <v>-6.2478788174560609E-2</v>
          </cell>
          <cell r="Z40">
            <v>-4.4372322885373093E-2</v>
          </cell>
          <cell r="AA40">
            <v>2.2780946868205625E-2</v>
          </cell>
          <cell r="AB40">
            <v>2.2009785688655227E-2</v>
          </cell>
          <cell r="AC40">
            <v>-6.5124146309160968E-2</v>
          </cell>
          <cell r="AD40">
            <v>-4.78560211776351E-2</v>
          </cell>
          <cell r="AE40">
            <v>4.4835391540929857E-3</v>
          </cell>
          <cell r="AF40">
            <v>-1.3779498999322442E-2</v>
          </cell>
        </row>
        <row r="41">
          <cell r="B41">
            <v>-1.6933393494544095E-2</v>
          </cell>
          <cell r="C41">
            <v>-0.12034965592245828</v>
          </cell>
          <cell r="D41">
            <v>4.2577413171854105E-3</v>
          </cell>
          <cell r="E41">
            <v>-5.7634831190551052E-2</v>
          </cell>
          <cell r="F41">
            <v>3.8637792705413919E-2</v>
          </cell>
          <cell r="G41">
            <v>-6.4149383628143999E-2</v>
          </cell>
          <cell r="H41">
            <v>-1.2718772407774559E-2</v>
          </cell>
          <cell r="I41">
            <v>1.7198198297220822E-2</v>
          </cell>
          <cell r="J41">
            <v>-8.1573867060109426E-2</v>
          </cell>
          <cell r="K41">
            <v>-1.8593764938415306E-2</v>
          </cell>
          <cell r="L41">
            <v>3.5718575896427612E-3</v>
          </cell>
          <cell r="M41">
            <v>-5.9887986152230469E-2</v>
          </cell>
          <cell r="N41">
            <v>2.1182679981522696E-2</v>
          </cell>
          <cell r="O41">
            <v>-0.14755395425582776</v>
          </cell>
          <cell r="P41">
            <v>-4.0761730796912123E-2</v>
          </cell>
          <cell r="Q41">
            <v>-5.5580653265543241E-2</v>
          </cell>
          <cell r="R41">
            <v>6.3221048943286159E-2</v>
          </cell>
          <cell r="S41">
            <v>-0.10160599861202289</v>
          </cell>
          <cell r="T41">
            <v>5.4587580437511036E-3</v>
          </cell>
          <cell r="U41">
            <v>-4.8062891410103142E-2</v>
          </cell>
          <cell r="V41">
            <v>5.4780934697511344E-2</v>
          </cell>
          <cell r="W41">
            <v>1.7014791677571944E-2</v>
          </cell>
          <cell r="X41">
            <v>6.1479335318415811E-2</v>
          </cell>
          <cell r="Y41">
            <v>4.7330262181136555E-2</v>
          </cell>
          <cell r="Z41">
            <v>1.9898154246793115E-2</v>
          </cell>
          <cell r="AA41">
            <v>1.3462883998407262E-2</v>
          </cell>
          <cell r="AB41">
            <v>2.6960737395505058E-2</v>
          </cell>
          <cell r="AC41">
            <v>-4.8076924002949875E-4</v>
          </cell>
          <cell r="AD41">
            <v>4.258514513863592E-2</v>
          </cell>
          <cell r="AE41">
            <v>-4.6126817949693283E-2</v>
          </cell>
          <cell r="AF41">
            <v>2.2697071099634526E-2</v>
          </cell>
        </row>
        <row r="42">
          <cell r="B42">
            <v>1.2011024205564368E-2</v>
          </cell>
          <cell r="C42">
            <v>2.2533322655801786E-2</v>
          </cell>
          <cell r="D42">
            <v>2.2683694534500053E-2</v>
          </cell>
          <cell r="E42">
            <v>3.5115967655201141E-2</v>
          </cell>
          <cell r="F42">
            <v>7.48712515163176E-2</v>
          </cell>
          <cell r="G42">
            <v>-3.5067499984439081E-2</v>
          </cell>
          <cell r="H42">
            <v>-3.1146728996836709E-2</v>
          </cell>
          <cell r="I42">
            <v>1.4191698410863171E-2</v>
          </cell>
          <cell r="J42">
            <v>1.8856072813824742E-2</v>
          </cell>
          <cell r="K42">
            <v>3.8212360089794326E-2</v>
          </cell>
          <cell r="L42">
            <v>-3.2615525360162281E-2</v>
          </cell>
          <cell r="M42">
            <v>2.0458860824730089E-2</v>
          </cell>
          <cell r="N42">
            <v>-1.9942369744998568E-2</v>
          </cell>
          <cell r="O42">
            <v>7.5041487279112279E-2</v>
          </cell>
          <cell r="P42">
            <v>6.8141396654091352E-3</v>
          </cell>
          <cell r="Q42">
            <v>0.10536051565782635</v>
          </cell>
          <cell r="R42">
            <v>3.5799710257574294E-2</v>
          </cell>
          <cell r="S42">
            <v>-2.0385097273633575E-2</v>
          </cell>
          <cell r="T42">
            <v>1.5169122032914359E-2</v>
          </cell>
          <cell r="U42">
            <v>-3.1010236742560322E-2</v>
          </cell>
          <cell r="V42">
            <v>-1.809340312427337E-2</v>
          </cell>
          <cell r="W42">
            <v>-0.14359534999433954</v>
          </cell>
          <cell r="X42">
            <v>6.3432610203455345E-3</v>
          </cell>
          <cell r="Y42">
            <v>3.4828071774614566E-3</v>
          </cell>
          <cell r="Z42">
            <v>-7.189965066239163E-3</v>
          </cell>
          <cell r="AA42">
            <v>1.889605263939495E-2</v>
          </cell>
          <cell r="AB42">
            <v>-4.9444120061991732E-2</v>
          </cell>
          <cell r="AC42">
            <v>-1.5019662196040701E-2</v>
          </cell>
          <cell r="AD42">
            <v>-8.7385118951854163E-2</v>
          </cell>
          <cell r="AE42">
            <v>-2.0202707317519466E-2</v>
          </cell>
          <cell r="AF42">
            <v>2.29166537833548E-2</v>
          </cell>
        </row>
        <row r="43">
          <cell r="B43">
            <v>1.7829189249312503E-2</v>
          </cell>
          <cell r="C43">
            <v>5.3734608594666534E-2</v>
          </cell>
          <cell r="D43">
            <v>-2.6941435851685513E-2</v>
          </cell>
          <cell r="E43">
            <v>1.5295355827889769E-2</v>
          </cell>
          <cell r="F43">
            <v>0.10943246648162849</v>
          </cell>
          <cell r="G43">
            <v>1.3805800628164918E-3</v>
          </cell>
          <cell r="H43">
            <v>5.3038675412935263E-2</v>
          </cell>
          <cell r="I43">
            <v>2.7793110250319549E-2</v>
          </cell>
          <cell r="J43">
            <v>8.2512421574464201E-2</v>
          </cell>
          <cell r="K43">
            <v>4.6287603427557625E-2</v>
          </cell>
          <cell r="L43">
            <v>2.6176967288443334E-2</v>
          </cell>
          <cell r="M43">
            <v>-1.7842199933558494E-2</v>
          </cell>
          <cell r="N43">
            <v>8.3208058088216297E-2</v>
          </cell>
          <cell r="O43">
            <v>-2.9154539601240195E-3</v>
          </cell>
          <cell r="P43">
            <v>-4.961644056325697E-3</v>
          </cell>
          <cell r="Q43">
            <v>-3.3653505041642676E-2</v>
          </cell>
          <cell r="R43">
            <v>-1.8707323971865403E-4</v>
          </cell>
          <cell r="S43">
            <v>5.1043189562901777E-2</v>
          </cell>
          <cell r="T43">
            <v>-1.2242086700391435E-2</v>
          </cell>
          <cell r="U43">
            <v>-1.5473429134963119E-2</v>
          </cell>
          <cell r="V43">
            <v>6.2408200320793056E-2</v>
          </cell>
          <cell r="W43">
            <v>5.656571433412301E-2</v>
          </cell>
          <cell r="X43">
            <v>1.1873029709262878E-2</v>
          </cell>
          <cell r="Y43">
            <v>8.5344045420647704E-2</v>
          </cell>
          <cell r="Z43">
            <v>-3.0217467700911011E-2</v>
          </cell>
          <cell r="AA43">
            <v>9.7936452501524059E-3</v>
          </cell>
          <cell r="AB43">
            <v>2.2946452829890128E-2</v>
          </cell>
          <cell r="AC43">
            <v>7.7918826376327063E-2</v>
          </cell>
          <cell r="AD43">
            <v>4.5718669330290854E-2</v>
          </cell>
          <cell r="AE43">
            <v>-5.9659836406335875E-2</v>
          </cell>
          <cell r="AF43">
            <v>2.6401818930548101E-2</v>
          </cell>
        </row>
        <row r="44">
          <cell r="B44">
            <v>-3.4892238215330364E-2</v>
          </cell>
          <cell r="C44">
            <v>-3.0722416261153792E-2</v>
          </cell>
          <cell r="D44">
            <v>-8.857200760642548E-3</v>
          </cell>
          <cell r="E44">
            <v>-2.2220591261204157E-2</v>
          </cell>
          <cell r="F44">
            <v>-6.6903442659606771E-3</v>
          </cell>
          <cell r="G44">
            <v>-4.3950205644058764E-2</v>
          </cell>
          <cell r="H44">
            <v>-7.2764276789855115E-2</v>
          </cell>
          <cell r="I44">
            <v>-3.548641038662833E-2</v>
          </cell>
          <cell r="J44">
            <v>-9.9157571533218483E-2</v>
          </cell>
          <cell r="K44">
            <v>2.6017205392498965E-2</v>
          </cell>
          <cell r="L44">
            <v>-7.705673949497438E-2</v>
          </cell>
          <cell r="M44">
            <v>-4.3014194319039925E-2</v>
          </cell>
          <cell r="N44">
            <v>2.645061350869702E-2</v>
          </cell>
          <cell r="O44">
            <v>-4.5801932653874042E-2</v>
          </cell>
          <cell r="P44">
            <v>-1.2337214209784713E-2</v>
          </cell>
          <cell r="Q44">
            <v>-0.12422112647342679</v>
          </cell>
          <cell r="R44">
            <v>-7.7002915934472173E-3</v>
          </cell>
          <cell r="S44">
            <v>-2.8929981260125266E-2</v>
          </cell>
          <cell r="T44">
            <v>-0.14053468345138126</v>
          </cell>
          <cell r="U44">
            <v>5.6358413797281806E-2</v>
          </cell>
          <cell r="V44">
            <v>-8.8783080819304527E-2</v>
          </cell>
          <cell r="W44">
            <v>-5.0325083887515769E-2</v>
          </cell>
          <cell r="X44">
            <v>-4.6178442300736068E-2</v>
          </cell>
          <cell r="Y44">
            <v>-2.3971245997214037E-3</v>
          </cell>
          <cell r="Z44">
            <v>-7.0277506982231563E-2</v>
          </cell>
          <cell r="AA44">
            <v>-3.8372611207969982E-2</v>
          </cell>
          <cell r="AB44">
            <v>5.7132693344570398E-2</v>
          </cell>
          <cell r="AC44">
            <v>2.1885643512760396E-2</v>
          </cell>
          <cell r="AD44">
            <v>7.3451847203997306E-2</v>
          </cell>
          <cell r="AE44">
            <v>9.7106997293494781E-3</v>
          </cell>
          <cell r="AF44">
            <v>4.1610416028686148E-2</v>
          </cell>
        </row>
        <row r="45">
          <cell r="B45">
            <v>2.284720571713859E-3</v>
          </cell>
          <cell r="C45">
            <v>1.5479186848460032E-2</v>
          </cell>
          <cell r="D45">
            <v>8.2881297536787617E-3</v>
          </cell>
          <cell r="E45">
            <v>-4.6436117804824987E-3</v>
          </cell>
          <cell r="F45">
            <v>3.2619200115319526E-2</v>
          </cell>
          <cell r="G45">
            <v>5.4926762227230426E-2</v>
          </cell>
          <cell r="H45">
            <v>-1.0719425632884512E-2</v>
          </cell>
          <cell r="I45">
            <v>-5.9970194723744019E-3</v>
          </cell>
          <cell r="J45">
            <v>-2.7767122040448365E-2</v>
          </cell>
          <cell r="K45">
            <v>-1.4048762349703836E-2</v>
          </cell>
          <cell r="L45">
            <v>-3.1232035941940295E-2</v>
          </cell>
          <cell r="M45">
            <v>8.3139081805139362E-2</v>
          </cell>
          <cell r="N45">
            <v>-3.8787593966549384E-2</v>
          </cell>
          <cell r="O45">
            <v>-0.11886614875644017</v>
          </cell>
          <cell r="P45">
            <v>-2.5621138161511021E-2</v>
          </cell>
          <cell r="Q45">
            <v>-0.13365175129350101</v>
          </cell>
          <cell r="R45">
            <v>5.5019375591199203E-2</v>
          </cell>
          <cell r="S45">
            <v>5.8404639376304954E-2</v>
          </cell>
          <cell r="T45">
            <v>1.9274838248745246E-2</v>
          </cell>
          <cell r="U45">
            <v>-1.7922310033410844E-2</v>
          </cell>
          <cell r="V45">
            <v>4.549483393577248E-3</v>
          </cell>
          <cell r="W45">
            <v>2.7946837534819531E-2</v>
          </cell>
          <cell r="X45">
            <v>-8.5189757017985705E-3</v>
          </cell>
          <cell r="Y45">
            <v>-3.9989008216363281E-2</v>
          </cell>
          <cell r="Z45">
            <v>2.7542724637582183E-2</v>
          </cell>
          <cell r="AA45">
            <v>7.0712334909070834E-2</v>
          </cell>
          <cell r="AB45">
            <v>1.7338969279510518E-2</v>
          </cell>
          <cell r="AC45">
            <v>8.1399635460075882E-3</v>
          </cell>
          <cell r="AD45">
            <v>1.8318111193365155E-2</v>
          </cell>
          <cell r="AE45">
            <v>-4.0670144177501911E-3</v>
          </cell>
          <cell r="AF45">
            <v>1.7997755139396077E-3</v>
          </cell>
        </row>
        <row r="46">
          <cell r="B46">
            <v>9.3203368022064838E-3</v>
          </cell>
          <cell r="C46">
            <v>3.6756140125119671E-2</v>
          </cell>
          <cell r="D46">
            <v>-4.5564973652217386E-2</v>
          </cell>
          <cell r="E46">
            <v>2.8448810051248098E-2</v>
          </cell>
          <cell r="F46">
            <v>-1.1684458115470036E-2</v>
          </cell>
          <cell r="G46">
            <v>-5.4446339445950599E-2</v>
          </cell>
          <cell r="H46">
            <v>0.10132515822524112</v>
          </cell>
          <cell r="I46">
            <v>1.2700955194564387E-2</v>
          </cell>
          <cell r="J46">
            <v>4.5310453596001023E-3</v>
          </cell>
          <cell r="K46">
            <v>2.9777303014969857E-2</v>
          </cell>
          <cell r="L46">
            <v>2.7867208126340609E-2</v>
          </cell>
          <cell r="M46">
            <v>6.9755017056462379E-2</v>
          </cell>
          <cell r="N46">
            <v>-3.4702174790071059E-3</v>
          </cell>
          <cell r="O46">
            <v>5.0891607296389224E-2</v>
          </cell>
          <cell r="P46">
            <v>1.2299396792866651E-2</v>
          </cell>
          <cell r="Q46">
            <v>-5.9511856480036096E-2</v>
          </cell>
          <cell r="R46">
            <v>-3.0989160905374558E-2</v>
          </cell>
          <cell r="S46">
            <v>3.7930145718724729E-3</v>
          </cell>
          <cell r="T46">
            <v>-0.10423511150591219</v>
          </cell>
          <cell r="U46">
            <v>3.701328849823983E-2</v>
          </cell>
          <cell r="V46">
            <v>-2.9428940544069474E-2</v>
          </cell>
          <cell r="W46">
            <v>-2.4955923076972433E-2</v>
          </cell>
          <cell r="X46">
            <v>-0.30088710337205904</v>
          </cell>
          <cell r="Y46">
            <v>1.2823340143593657E-2</v>
          </cell>
          <cell r="Z46">
            <v>-6.5487656201705671E-2</v>
          </cell>
          <cell r="AA46">
            <v>-3.3678283992750885E-2</v>
          </cell>
          <cell r="AB46">
            <v>6.4253808553710948E-3</v>
          </cell>
          <cell r="AC46">
            <v>-5.7130456421792203E-3</v>
          </cell>
          <cell r="AD46">
            <v>3.3454171150860247E-3</v>
          </cell>
          <cell r="AE46">
            <v>9.8484913041715812E-3</v>
          </cell>
          <cell r="AF46">
            <v>4.7194097224286406E-2</v>
          </cell>
        </row>
        <row r="47">
          <cell r="B47">
            <v>1.391695587821374E-2</v>
          </cell>
          <cell r="C47">
            <v>-3.2923494104943316E-2</v>
          </cell>
          <cell r="D47">
            <v>-0.11326911007836554</v>
          </cell>
          <cell r="E47">
            <v>3.2928447737028202E-2</v>
          </cell>
          <cell r="F47">
            <v>-3.3832863280558734E-2</v>
          </cell>
          <cell r="G47">
            <v>1.5016370831930394E-2</v>
          </cell>
          <cell r="H47">
            <v>6.1318536533496162E-3</v>
          </cell>
          <cell r="I47">
            <v>1.7307458888278151E-3</v>
          </cell>
          <cell r="J47">
            <v>0.11153490487919067</v>
          </cell>
          <cell r="K47">
            <v>1.5792246454419762E-2</v>
          </cell>
          <cell r="L47">
            <v>-9.7126710730722793E-2</v>
          </cell>
          <cell r="M47">
            <v>4.7004715101164184E-2</v>
          </cell>
          <cell r="N47">
            <v>-6.2763349907697177E-2</v>
          </cell>
          <cell r="O47">
            <v>-4.9193867998182173E-3</v>
          </cell>
          <cell r="P47">
            <v>4.5699706461875163E-2</v>
          </cell>
          <cell r="Q47">
            <v>0.10377520248221568</v>
          </cell>
          <cell r="R47">
            <v>3.5795578703095556E-2</v>
          </cell>
          <cell r="S47">
            <v>-2.0213744784200117E-2</v>
          </cell>
          <cell r="T47">
            <v>1.5057397672493665E-2</v>
          </cell>
          <cell r="U47">
            <v>3.8906925014750675E-2</v>
          </cell>
          <cell r="V47">
            <v>-3.0455191412387114E-2</v>
          </cell>
          <cell r="W47">
            <v>2.9650242639753112E-2</v>
          </cell>
          <cell r="X47">
            <v>-5.2545555578049831E-2</v>
          </cell>
          <cell r="Y47">
            <v>1.1442707607533258E-2</v>
          </cell>
          <cell r="Z47">
            <v>-5.5372554123491194E-2</v>
          </cell>
          <cell r="AA47">
            <v>-5.1031480012445875E-2</v>
          </cell>
          <cell r="AB47">
            <v>-1.5490843328658405E-2</v>
          </cell>
          <cell r="AC47">
            <v>-5.9675279313911363E-3</v>
          </cell>
          <cell r="AD47">
            <v>2.2240765353565015E-3</v>
          </cell>
          <cell r="AE47">
            <v>1.3551118711871384E-2</v>
          </cell>
          <cell r="AF47">
            <v>1.8271168998358657E-2</v>
          </cell>
        </row>
        <row r="48">
          <cell r="B48">
            <v>3.7868779461133012E-2</v>
          </cell>
          <cell r="C48">
            <v>4.9139238745929577E-2</v>
          </cell>
          <cell r="D48">
            <v>4.2615214763532409E-2</v>
          </cell>
          <cell r="E48">
            <v>4.8696359938792462E-2</v>
          </cell>
          <cell r="F48">
            <v>7.4814207653752379E-2</v>
          </cell>
          <cell r="G48">
            <v>8.4806161984203529E-3</v>
          </cell>
          <cell r="H48">
            <v>0.12820008979286365</v>
          </cell>
          <cell r="I48">
            <v>6.3410785680541745E-2</v>
          </cell>
          <cell r="J48">
            <v>6.3830628100981515E-2</v>
          </cell>
          <cell r="K48">
            <v>3.590670846324405E-2</v>
          </cell>
          <cell r="L48">
            <v>1.4184634991956381E-2</v>
          </cell>
          <cell r="M48">
            <v>1.820020725083887E-2</v>
          </cell>
          <cell r="N48">
            <v>5.3157687343679837E-2</v>
          </cell>
          <cell r="O48">
            <v>6.9832701379484413E-2</v>
          </cell>
          <cell r="P48">
            <v>5.0731912352342388E-2</v>
          </cell>
          <cell r="Q48">
            <v>7.3428507984759864E-3</v>
          </cell>
          <cell r="R48">
            <v>3.7299548651550371E-2</v>
          </cell>
          <cell r="S48">
            <v>-2.4865088832196861E-2</v>
          </cell>
          <cell r="T48">
            <v>-2.7427604103515132E-2</v>
          </cell>
          <cell r="U48">
            <v>7.1557340765303637E-2</v>
          </cell>
          <cell r="V48">
            <v>3.006555571682842E-2</v>
          </cell>
          <cell r="W48">
            <v>0.17095779814363948</v>
          </cell>
          <cell r="X48">
            <v>-0.11106185171340001</v>
          </cell>
          <cell r="Y48">
            <v>6.6035774338825293E-2</v>
          </cell>
          <cell r="Z48">
            <v>-3.5664998410538912E-2</v>
          </cell>
          <cell r="AA48">
            <v>4.3926313299627887E-2</v>
          </cell>
          <cell r="AB48">
            <v>-3.4752424203033146E-3</v>
          </cell>
          <cell r="AC48">
            <v>5.3728809817069866E-2</v>
          </cell>
          <cell r="AD48">
            <v>5.2999696582927081E-2</v>
          </cell>
          <cell r="AE48">
            <v>-3.5111631459662673E-2</v>
          </cell>
          <cell r="AF48">
            <v>4.5677555601914867E-2</v>
          </cell>
        </row>
        <row r="49">
          <cell r="B49">
            <v>3.1942491193192112E-2</v>
          </cell>
          <cell r="C49">
            <v>-7.8576913481500574E-2</v>
          </cell>
          <cell r="D49">
            <v>3.7183670283339881E-2</v>
          </cell>
          <cell r="E49">
            <v>1.1812384784482806E-2</v>
          </cell>
          <cell r="F49">
            <v>-3.4231269110829042E-2</v>
          </cell>
          <cell r="G49">
            <v>7.3688997629623151E-2</v>
          </cell>
          <cell r="H49">
            <v>6.2954811984739401E-2</v>
          </cell>
          <cell r="I49">
            <v>7.9096996758603308E-2</v>
          </cell>
          <cell r="J49">
            <v>4.2701865302176713E-2</v>
          </cell>
          <cell r="K49">
            <v>3.7520760091573076E-2</v>
          </cell>
          <cell r="L49">
            <v>3.7322922153975452E-2</v>
          </cell>
          <cell r="M49">
            <v>2.3366111829273544E-2</v>
          </cell>
          <cell r="N49">
            <v>2.3371322353075985E-3</v>
          </cell>
          <cell r="O49">
            <v>5.0807739631713138E-2</v>
          </cell>
          <cell r="P49">
            <v>4.5093492359046861E-2</v>
          </cell>
          <cell r="Q49">
            <v>4.4272823677988037E-2</v>
          </cell>
          <cell r="R49">
            <v>5.0214868784261207E-2</v>
          </cell>
          <cell r="S49">
            <v>3.5296146903782737E-2</v>
          </cell>
          <cell r="T49">
            <v>5.7629112836636423E-2</v>
          </cell>
          <cell r="U49">
            <v>4.2255229895782231E-2</v>
          </cell>
          <cell r="V49">
            <v>3.0700799499319052E-2</v>
          </cell>
          <cell r="W49">
            <v>7.2845091274365475E-2</v>
          </cell>
          <cell r="X49">
            <v>0.15064395501804845</v>
          </cell>
          <cell r="Y49">
            <v>-3.0476214064748372E-3</v>
          </cell>
          <cell r="Z49">
            <v>-3.2285663497968721E-2</v>
          </cell>
          <cell r="AA49">
            <v>2.9433435848742025E-2</v>
          </cell>
          <cell r="AB49">
            <v>2.3651930318661592E-2</v>
          </cell>
          <cell r="AC49">
            <v>5.7356806857164953E-2</v>
          </cell>
          <cell r="AD49">
            <v>-1.7534987010644373E-2</v>
          </cell>
          <cell r="AE49">
            <v>1.6938008368924173E-2</v>
          </cell>
          <cell r="AF49">
            <v>2.0110608413675824E-4</v>
          </cell>
        </row>
        <row r="50">
          <cell r="B50">
            <v>-2.5615747968515911E-2</v>
          </cell>
          <cell r="C50">
            <v>-6.230857333871094E-2</v>
          </cell>
          <cell r="D50">
            <v>9.3508767502730773E-3</v>
          </cell>
          <cell r="E50">
            <v>-5.2877616444773394E-2</v>
          </cell>
          <cell r="F50">
            <v>-2.2814677766171399E-2</v>
          </cell>
          <cell r="G50">
            <v>1.7925110113229552E-2</v>
          </cell>
          <cell r="H50">
            <v>-8.5845329852435093E-2</v>
          </cell>
          <cell r="I50">
            <v>-3.0892167212963981E-2</v>
          </cell>
          <cell r="J50">
            <v>2.9371738905941854E-2</v>
          </cell>
          <cell r="K50">
            <v>-1.0041685297054388E-2</v>
          </cell>
          <cell r="L50">
            <v>-8.4621241930356389E-2</v>
          </cell>
          <cell r="M50">
            <v>-3.5380477259514341E-2</v>
          </cell>
          <cell r="N50">
            <v>1.5921598453525445E-2</v>
          </cell>
          <cell r="O50">
            <v>-6.7814075802137774E-2</v>
          </cell>
          <cell r="P50">
            <v>-5.3752492235068984E-2</v>
          </cell>
          <cell r="Q50">
            <v>-4.1077203519580364E-2</v>
          </cell>
          <cell r="R50">
            <v>1.9974890936536489E-2</v>
          </cell>
          <cell r="S50">
            <v>-3.5296146903782771E-2</v>
          </cell>
          <cell r="T50">
            <v>-3.7570488777121766E-3</v>
          </cell>
          <cell r="U50">
            <v>1.0133082270787906E-2</v>
          </cell>
          <cell r="V50">
            <v>2.7582814615142014E-2</v>
          </cell>
          <cell r="W50">
            <v>4.3767669233827577E-2</v>
          </cell>
          <cell r="X50">
            <v>-0.13597187714720946</v>
          </cell>
          <cell r="Y50">
            <v>-1.6929992671041276E-2</v>
          </cell>
          <cell r="Z50">
            <v>-0.1070981355563671</v>
          </cell>
          <cell r="AA50">
            <v>-2.9626169780147062E-2</v>
          </cell>
          <cell r="AB50">
            <v>-6.8598316342752333E-2</v>
          </cell>
          <cell r="AC50">
            <v>-2.6126888043386216E-2</v>
          </cell>
          <cell r="AD50">
            <v>-0.11972810485004924</v>
          </cell>
          <cell r="AE50">
            <v>-7.9465482612990947E-3</v>
          </cell>
          <cell r="AF50">
            <v>6.6139132769810005E-3</v>
          </cell>
        </row>
        <row r="51">
          <cell r="B51">
            <v>1.8726934874337724E-2</v>
          </cell>
          <cell r="C51">
            <v>8.9831761210009339E-2</v>
          </cell>
          <cell r="D51">
            <v>7.5999757812586811E-3</v>
          </cell>
          <cell r="E51">
            <v>1.487577285865291E-2</v>
          </cell>
          <cell r="F51">
            <v>8.755104241017489E-2</v>
          </cell>
          <cell r="G51">
            <v>-1.8579061090213268E-2</v>
          </cell>
          <cell r="H51">
            <v>6.4796397100662775E-2</v>
          </cell>
          <cell r="I51">
            <v>0.12096939095894733</v>
          </cell>
          <cell r="J51">
            <v>-2.4295585874081371E-2</v>
          </cell>
          <cell r="K51">
            <v>-1.9802627296179754E-2</v>
          </cell>
          <cell r="L51">
            <v>-1.8781294338486465E-2</v>
          </cell>
          <cell r="M51">
            <v>-3.0301554580135844E-2</v>
          </cell>
          <cell r="N51">
            <v>5.9103040431050836E-2</v>
          </cell>
          <cell r="O51">
            <v>6.0012963591970378E-2</v>
          </cell>
          <cell r="P51">
            <v>-7.2005547854782619E-3</v>
          </cell>
          <cell r="Q51">
            <v>6.9964747892186846E-2</v>
          </cell>
          <cell r="R51">
            <v>1.8175134839673361E-2</v>
          </cell>
          <cell r="S51">
            <v>-2.1155734695328915E-2</v>
          </cell>
          <cell r="T51">
            <v>3.1128995673563007E-2</v>
          </cell>
          <cell r="U51">
            <v>2.1197801209267085E-2</v>
          </cell>
          <cell r="V51">
            <v>0</v>
          </cell>
          <cell r="W51">
            <v>2.8040761814603344E-2</v>
          </cell>
          <cell r="X51">
            <v>0.1224991236785478</v>
          </cell>
          <cell r="Y51">
            <v>-4.0385535649574408E-2</v>
          </cell>
          <cell r="Z51">
            <v>9.2143114607623741E-2</v>
          </cell>
          <cell r="AA51">
            <v>-2.7021826903600847E-3</v>
          </cell>
          <cell r="AB51">
            <v>1.2664122215730326E-2</v>
          </cell>
          <cell r="AC51">
            <v>-3.6719747501210774E-3</v>
          </cell>
          <cell r="AD51">
            <v>1.0518504191220317E-2</v>
          </cell>
          <cell r="AE51">
            <v>-1.5294415778151649E-2</v>
          </cell>
          <cell r="AF51">
            <v>0.20938574149133185</v>
          </cell>
        </row>
        <row r="52">
          <cell r="B52">
            <v>-1.930275225452871E-2</v>
          </cell>
          <cell r="C52">
            <v>-5.5487726498661551E-2</v>
          </cell>
          <cell r="D52">
            <v>-0.18511163563429758</v>
          </cell>
          <cell r="E52">
            <v>-5.0471439764517609E-2</v>
          </cell>
          <cell r="F52">
            <v>6.1496993851172195E-2</v>
          </cell>
          <cell r="G52">
            <v>-5.9984290457148703E-2</v>
          </cell>
          <cell r="H52">
            <v>-3.8773885621271417E-2</v>
          </cell>
          <cell r="I52">
            <v>-3.9533996363863642E-2</v>
          </cell>
          <cell r="J52">
            <v>2.7819197694564632E-2</v>
          </cell>
          <cell r="K52">
            <v>2.4118559761748433E-2</v>
          </cell>
          <cell r="L52">
            <v>-0.19291006897247834</v>
          </cell>
          <cell r="M52">
            <v>-4.3123564739768361E-2</v>
          </cell>
          <cell r="N52">
            <v>-2.0235855939368382E-2</v>
          </cell>
          <cell r="O52">
            <v>5.7076831135436719E-2</v>
          </cell>
          <cell r="P52">
            <v>-1.3004371054261266E-2</v>
          </cell>
          <cell r="Q52">
            <v>-3.2393244720235054E-2</v>
          </cell>
          <cell r="R52">
            <v>2.337386807319905E-2</v>
          </cell>
          <cell r="S52">
            <v>-5.4629194936529513E-2</v>
          </cell>
          <cell r="T52">
            <v>-2.014810170653111E-2</v>
          </cell>
          <cell r="U52">
            <v>-6.0721017578951812E-2</v>
          </cell>
          <cell r="V52">
            <v>2.061928720273561E-2</v>
          </cell>
          <cell r="W52">
            <v>7.2927962795744389E-3</v>
          </cell>
          <cell r="X52">
            <v>3.2691370170432756E-2</v>
          </cell>
          <cell r="Y52">
            <v>-3.9980597752063453E-2</v>
          </cell>
          <cell r="Z52">
            <v>-7.9333601939587397E-4</v>
          </cell>
          <cell r="AA52">
            <v>-1.5473890901887063E-3</v>
          </cell>
          <cell r="AB52">
            <v>-1.5398855004874062E-2</v>
          </cell>
          <cell r="AC52">
            <v>1.7624278729574932E-2</v>
          </cell>
          <cell r="AD52">
            <v>-1.324124070913597E-2</v>
          </cell>
          <cell r="AE52">
            <v>-2.642796450870024E-2</v>
          </cell>
          <cell r="AF52">
            <v>-6.0270261407945912E-2</v>
          </cell>
        </row>
        <row r="53">
          <cell r="B53">
            <v>-2.031351934767037E-2</v>
          </cell>
          <cell r="C53">
            <v>-4.594142352617691E-2</v>
          </cell>
          <cell r="D53">
            <v>-8.5753223660070765E-2</v>
          </cell>
          <cell r="E53">
            <v>2.5554106869720993E-2</v>
          </cell>
          <cell r="F53">
            <v>1.7974904970744807E-2</v>
          </cell>
          <cell r="G53">
            <v>5.3421151606371717E-2</v>
          </cell>
          <cell r="H53">
            <v>-3.3154717026338883E-2</v>
          </cell>
          <cell r="I53">
            <v>-8.4090263411085331E-2</v>
          </cell>
          <cell r="J53">
            <v>-8.4743621254678075E-2</v>
          </cell>
          <cell r="K53">
            <v>3.7254664094249785E-3</v>
          </cell>
          <cell r="L53">
            <v>-9.6880755578711189E-2</v>
          </cell>
          <cell r="M53">
            <v>-7.8097869719647564E-2</v>
          </cell>
          <cell r="N53">
            <v>-3.9729129667874785E-2</v>
          </cell>
          <cell r="O53">
            <v>-6.9389225039504426E-2</v>
          </cell>
          <cell r="P53">
            <v>-0.1793310245768219</v>
          </cell>
          <cell r="Q53">
            <v>1.2216556821876676E-2</v>
          </cell>
          <cell r="R53">
            <v>2.1792629990852578E-2</v>
          </cell>
          <cell r="S53">
            <v>3.537539129398188E-2</v>
          </cell>
          <cell r="T53">
            <v>4.156631908011249E-2</v>
          </cell>
          <cell r="U53">
            <v>-6.046075454855495E-2</v>
          </cell>
          <cell r="V53">
            <v>-0.11379938430369087</v>
          </cell>
          <cell r="W53">
            <v>-6.1548623195070394E-3</v>
          </cell>
          <cell r="X53">
            <v>4.6176847292534448E-2</v>
          </cell>
          <cell r="Y53">
            <v>4.5621225116864943E-2</v>
          </cell>
          <cell r="Z53">
            <v>3.355757717932132E-2</v>
          </cell>
          <cell r="AA53">
            <v>2.6551077392297673E-2</v>
          </cell>
          <cell r="AB53">
            <v>1.7643524858697884E-2</v>
          </cell>
          <cell r="AC53">
            <v>6.0222826270591909E-4</v>
          </cell>
          <cell r="AD53">
            <v>1.9796687307881516E-2</v>
          </cell>
          <cell r="AE53">
            <v>-6.128420224573547E-2</v>
          </cell>
          <cell r="AF53">
            <v>-4.415456483047743E-2</v>
          </cell>
        </row>
        <row r="54">
          <cell r="B54">
            <v>2.9512223385105795E-2</v>
          </cell>
          <cell r="C54">
            <v>-6.3478637625527953E-2</v>
          </cell>
          <cell r="D54">
            <v>8.8300995738869445E-2</v>
          </cell>
          <cell r="E54">
            <v>2.1702240638656743E-2</v>
          </cell>
          <cell r="F54">
            <v>7.5208526210292018E-2</v>
          </cell>
          <cell r="G54">
            <v>3.0681593211776266E-3</v>
          </cell>
          <cell r="H54">
            <v>6.6542399816643685E-2</v>
          </cell>
          <cell r="I54">
            <v>-4.8856415191471511E-3</v>
          </cell>
          <cell r="J54">
            <v>3.8675741971714132E-2</v>
          </cell>
          <cell r="K54">
            <v>7.6934415658113531E-3</v>
          </cell>
          <cell r="L54">
            <v>0.18352710244930318</v>
          </cell>
          <cell r="M54">
            <v>0.10662263503826326</v>
          </cell>
          <cell r="N54">
            <v>1.8793263814285963E-2</v>
          </cell>
          <cell r="O54">
            <v>9.5400273952770856E-2</v>
          </cell>
          <cell r="P54">
            <v>-8.2623071303056482E-3</v>
          </cell>
          <cell r="Q54">
            <v>0.14017665330873544</v>
          </cell>
          <cell r="R54">
            <v>-1.767017205696865E-2</v>
          </cell>
          <cell r="S54">
            <v>7.3367900638543083E-3</v>
          </cell>
          <cell r="T54">
            <v>2.7012799246068551E-2</v>
          </cell>
          <cell r="U54">
            <v>5.4213816594147521E-2</v>
          </cell>
          <cell r="V54">
            <v>7.7717127067817651E-3</v>
          </cell>
          <cell r="W54">
            <v>3.260637264885393E-2</v>
          </cell>
          <cell r="X54">
            <v>-4.4209633543365608E-2</v>
          </cell>
          <cell r="Y54">
            <v>2.2642476749759752E-2</v>
          </cell>
          <cell r="Z54">
            <v>3.3581725658307145E-2</v>
          </cell>
          <cell r="AA54">
            <v>1.8304582795982412E-2</v>
          </cell>
          <cell r="AB54">
            <v>-1.7643524858697926E-2</v>
          </cell>
          <cell r="AC54">
            <v>5.2005462970895373E-2</v>
          </cell>
          <cell r="AD54">
            <v>-1.165061721997525E-2</v>
          </cell>
          <cell r="AE54">
            <v>5.1635226600492837E-3</v>
          </cell>
          <cell r="AF54">
            <v>-9.5780979821466408E-3</v>
          </cell>
        </row>
        <row r="55">
          <cell r="B55">
            <v>-1.4268747689802155E-4</v>
          </cell>
          <cell r="C55">
            <v>-3.6437396202430979E-2</v>
          </cell>
          <cell r="D55">
            <v>4.7213737480265194E-2</v>
          </cell>
          <cell r="E55">
            <v>-9.4910117105872979E-3</v>
          </cell>
          <cell r="F55">
            <v>3.235921258011671E-2</v>
          </cell>
          <cell r="G55">
            <v>-1.8774709395353945E-2</v>
          </cell>
          <cell r="H55">
            <v>1.2665190225578091E-2</v>
          </cell>
          <cell r="I55">
            <v>-7.8226311422276262E-2</v>
          </cell>
          <cell r="J55">
            <v>-8.570635246069197E-2</v>
          </cell>
          <cell r="K55">
            <v>-4.5290759180162989E-2</v>
          </cell>
          <cell r="L55">
            <v>7.5398017484211849E-2</v>
          </cell>
          <cell r="M55">
            <v>-8.810629682154807E-3</v>
          </cell>
          <cell r="N55">
            <v>1.0941335128593244E-2</v>
          </cell>
          <cell r="O55">
            <v>4.6642858212284775E-2</v>
          </cell>
          <cell r="P55">
            <v>-1.8093931385227312E-2</v>
          </cell>
          <cell r="Q55">
            <v>-3.5683816664131493E-2</v>
          </cell>
          <cell r="R55">
            <v>-3.1891247537313885E-2</v>
          </cell>
          <cell r="S55">
            <v>-1.2356732688905492E-2</v>
          </cell>
          <cell r="T55">
            <v>-6.0421861377198391E-2</v>
          </cell>
          <cell r="U55">
            <v>-0.1089583021297915</v>
          </cell>
          <cell r="V55">
            <v>-5.839972287312481E-2</v>
          </cell>
          <cell r="W55">
            <v>-2.7097609528046317E-2</v>
          </cell>
          <cell r="X55">
            <v>-4.0098923757426963E-2</v>
          </cell>
          <cell r="Y55">
            <v>-3.7619482061249911E-2</v>
          </cell>
          <cell r="Z55">
            <v>-1.1569451682817729E-2</v>
          </cell>
          <cell r="AA55">
            <v>-4.4468588381628066E-2</v>
          </cell>
          <cell r="AB55">
            <v>1.5848192240023713E-2</v>
          </cell>
          <cell r="AC55">
            <v>-3.8253377781918056E-2</v>
          </cell>
          <cell r="AD55">
            <v>-2.3716526617316044E-2</v>
          </cell>
          <cell r="AE55">
            <v>2.0391530690980819E-2</v>
          </cell>
          <cell r="AF55">
            <v>2.2444608575396804E-2</v>
          </cell>
        </row>
        <row r="56">
          <cell r="B56">
            <v>3.5336451864729147E-2</v>
          </cell>
          <cell r="C56">
            <v>7.086611586863184E-2</v>
          </cell>
          <cell r="D56">
            <v>3.5426047847868215E-2</v>
          </cell>
          <cell r="E56">
            <v>3.2831770011486773E-2</v>
          </cell>
          <cell r="F56">
            <v>1.5381065938180444E-4</v>
          </cell>
          <cell r="G56">
            <v>-5.0999961834334188E-2</v>
          </cell>
          <cell r="H56">
            <v>0.12796988096337655</v>
          </cell>
          <cell r="I56">
            <v>-7.7332429856533293E-3</v>
          </cell>
          <cell r="J56">
            <v>1.7896679691938006E-2</v>
          </cell>
          <cell r="K56">
            <v>-4.1666726948459453E-3</v>
          </cell>
          <cell r="L56">
            <v>7.961287744985443E-2</v>
          </cell>
          <cell r="M56">
            <v>0.111924040446493</v>
          </cell>
          <cell r="N56">
            <v>6.9773816470022842E-2</v>
          </cell>
          <cell r="O56">
            <v>4.6207295751177817E-2</v>
          </cell>
          <cell r="P56">
            <v>0.11761648380916553</v>
          </cell>
          <cell r="Q56">
            <v>4.2071213920687058E-2</v>
          </cell>
          <cell r="R56">
            <v>-1.6015564711261688E-2</v>
          </cell>
          <cell r="S56">
            <v>4.725348426426074E-3</v>
          </cell>
          <cell r="T56">
            <v>4.7124103313094759E-2</v>
          </cell>
          <cell r="U56">
            <v>0.11618804114610691</v>
          </cell>
          <cell r="V56">
            <v>3.6675870532732226E-2</v>
          </cell>
          <cell r="W56">
            <v>3.492972976486533E-2</v>
          </cell>
          <cell r="X56">
            <v>8.487574293294043E-3</v>
          </cell>
          <cell r="Y56">
            <v>3.0524458210646015E-2</v>
          </cell>
          <cell r="Z56">
            <v>-3.9821494186671608E-2</v>
          </cell>
          <cell r="AA56">
            <v>5.8254304360585818E-2</v>
          </cell>
          <cell r="AB56">
            <v>4.265320093491904E-2</v>
          </cell>
          <cell r="AC56">
            <v>-1.2749176670454627E-2</v>
          </cell>
          <cell r="AD56">
            <v>2.1515299524503405E-3</v>
          </cell>
          <cell r="AE56">
            <v>2.3481598372028376E-2</v>
          </cell>
          <cell r="AF56">
            <v>2.1951886837931294E-2</v>
          </cell>
        </row>
        <row r="57">
          <cell r="B57">
            <v>-1.1285467972359155E-2</v>
          </cell>
          <cell r="C57">
            <v>-4.0852320064980054E-2</v>
          </cell>
          <cell r="D57">
            <v>-1.4155949230132298E-2</v>
          </cell>
          <cell r="E57">
            <v>4.3946915974237147E-3</v>
          </cell>
          <cell r="F57">
            <v>1.8891481995990719E-2</v>
          </cell>
          <cell r="G57">
            <v>6.3150718583181633E-3</v>
          </cell>
          <cell r="H57">
            <v>2.9041160489105523E-2</v>
          </cell>
          <cell r="I57">
            <v>-6.6967475452974504E-2</v>
          </cell>
          <cell r="J57">
            <v>-1.7495476075724006E-2</v>
          </cell>
          <cell r="K57">
            <v>-2.6289472935818216E-2</v>
          </cell>
          <cell r="L57">
            <v>-5.9944142589560705E-2</v>
          </cell>
          <cell r="M57">
            <v>-7.3624746343640385E-2</v>
          </cell>
          <cell r="N57">
            <v>-2.0239881347746316E-2</v>
          </cell>
          <cell r="O57">
            <v>0.12015205726548621</v>
          </cell>
          <cell r="P57">
            <v>-3.2127817082959545E-2</v>
          </cell>
          <cell r="Q57">
            <v>-5.0702103119962205E-2</v>
          </cell>
          <cell r="R57">
            <v>-3.843694674562827E-3</v>
          </cell>
          <cell r="S57">
            <v>-3.6302171292991139E-2</v>
          </cell>
          <cell r="T57">
            <v>5.3870606915213462E-3</v>
          </cell>
          <cell r="U57">
            <v>4.0428989995644933E-2</v>
          </cell>
          <cell r="V57">
            <v>-4.6773375085093986E-2</v>
          </cell>
          <cell r="W57">
            <v>5.4354604727998697E-2</v>
          </cell>
          <cell r="X57">
            <v>-8.2044936173400654E-2</v>
          </cell>
          <cell r="Y57">
            <v>6.9520158606998589E-2</v>
          </cell>
          <cell r="Z57">
            <v>-3.2152005438417744E-2</v>
          </cell>
          <cell r="AA57">
            <v>-2.7419814273057968E-3</v>
          </cell>
          <cell r="AB57">
            <v>-1.5618538747627968E-2</v>
          </cell>
          <cell r="AC57">
            <v>-9.669696617958936E-3</v>
          </cell>
          <cell r="AD57">
            <v>-4.5219634834625322E-2</v>
          </cell>
          <cell r="AE57">
            <v>-8.9984481022414978E-2</v>
          </cell>
          <cell r="AF57">
            <v>2.4196804699411927E-2</v>
          </cell>
        </row>
        <row r="58">
          <cell r="B58">
            <v>6.9249074268589216E-3</v>
          </cell>
          <cell r="C58">
            <v>-9.2471150737398339E-2</v>
          </cell>
          <cell r="D58">
            <v>4.5616997408971932E-2</v>
          </cell>
          <cell r="E58">
            <v>3.8907446299573378E-2</v>
          </cell>
          <cell r="F58">
            <v>1.3789187312396822E-2</v>
          </cell>
          <cell r="G58">
            <v>3.9095160497229303E-2</v>
          </cell>
          <cell r="H58">
            <v>5.7046992662719183E-2</v>
          </cell>
          <cell r="I58">
            <v>-1.0168253429252682E-2</v>
          </cell>
          <cell r="J58">
            <v>-4.3030609011065264E-2</v>
          </cell>
          <cell r="K58">
            <v>8.5366372071751795E-3</v>
          </cell>
          <cell r="L58">
            <v>-0.11058139743583054</v>
          </cell>
          <cell r="M58">
            <v>-5.5627110165963341E-2</v>
          </cell>
          <cell r="N58">
            <v>-2.0658011620421985E-2</v>
          </cell>
          <cell r="O58">
            <v>5.3166311674076518E-2</v>
          </cell>
          <cell r="P58">
            <v>-5.0163135036327879E-3</v>
          </cell>
          <cell r="Q58">
            <v>-4.2662405188275292E-2</v>
          </cell>
          <cell r="R58">
            <v>-1.766643035564452E-3</v>
          </cell>
          <cell r="S58">
            <v>1.2213741976343732E-3</v>
          </cell>
          <cell r="T58">
            <v>-1.222106867245757E-2</v>
          </cell>
          <cell r="U58">
            <v>3.1571795875813574E-2</v>
          </cell>
          <cell r="V58">
            <v>3.0546396365180008E-2</v>
          </cell>
          <cell r="W58">
            <v>5.2814229686611279E-2</v>
          </cell>
          <cell r="X58">
            <v>-3.6625917411804654E-2</v>
          </cell>
          <cell r="Y58">
            <v>-6.2032438894289652E-2</v>
          </cell>
          <cell r="Z58">
            <v>-2.0375603033017994E-2</v>
          </cell>
          <cell r="AA58">
            <v>6.9297907636100012E-2</v>
          </cell>
          <cell r="AB58">
            <v>-4.3821279590416148E-3</v>
          </cell>
          <cell r="AC58">
            <v>3.6179656577502474E-2</v>
          </cell>
          <cell r="AD58">
            <v>-6.4267354397108223E-4</v>
          </cell>
          <cell r="AE58">
            <v>-2.5721231324919751E-2</v>
          </cell>
          <cell r="AF58">
            <v>5.908752662314206E-2</v>
          </cell>
        </row>
        <row r="59">
          <cell r="B59">
            <v>-1.7899994313773929E-2</v>
          </cell>
          <cell r="C59">
            <v>-5.4200674693391446E-3</v>
          </cell>
          <cell r="D59">
            <v>4.4712584018884359E-2</v>
          </cell>
          <cell r="E59">
            <v>-7.6613277964327677E-3</v>
          </cell>
          <cell r="F59">
            <v>-4.9899740521956448E-2</v>
          </cell>
          <cell r="G59">
            <v>5.8126700660439141E-3</v>
          </cell>
          <cell r="H59">
            <v>-0.10618361611297575</v>
          </cell>
          <cell r="I59">
            <v>6.2472709572152785E-2</v>
          </cell>
          <cell r="J59">
            <v>9.5854036686783221E-3</v>
          </cell>
          <cell r="K59">
            <v>6.9581282094668068E-3</v>
          </cell>
          <cell r="L59">
            <v>-0.1109657416650736</v>
          </cell>
          <cell r="M59">
            <v>7.3256368722335555E-2</v>
          </cell>
          <cell r="N59">
            <v>-9.1927455517847478E-2</v>
          </cell>
          <cell r="O59">
            <v>-4.0505625285962132E-2</v>
          </cell>
          <cell r="P59">
            <v>2.0532047094810383E-2</v>
          </cell>
          <cell r="Q59">
            <v>-4.7577905830525957E-2</v>
          </cell>
          <cell r="R59">
            <v>-1.0503449556249871E-2</v>
          </cell>
          <cell r="S59">
            <v>8.6197293297574903E-2</v>
          </cell>
          <cell r="T59">
            <v>-9.5035165254536737E-3</v>
          </cell>
          <cell r="U59">
            <v>-5.8342036940418444E-2</v>
          </cell>
          <cell r="V59">
            <v>3.5010045623190378E-2</v>
          </cell>
          <cell r="W59">
            <v>1.8058554362292371E-2</v>
          </cell>
          <cell r="X59">
            <v>3.6258877583862995E-2</v>
          </cell>
          <cell r="Y59">
            <v>-1.1785505194441416E-3</v>
          </cell>
          <cell r="Z59">
            <v>-0.13842483752179424</v>
          </cell>
          <cell r="AA59">
            <v>-5.4940550608893871E-2</v>
          </cell>
          <cell r="AB59">
            <v>8.7451366253586318E-3</v>
          </cell>
          <cell r="AC59">
            <v>-1.0796061283560747E-2</v>
          </cell>
          <cell r="AD59">
            <v>-2.4074031851888247E-2</v>
          </cell>
          <cell r="AE59">
            <v>7.675606534817557E-2</v>
          </cell>
          <cell r="AF59">
            <v>-0.12387475055085766</v>
          </cell>
        </row>
        <row r="60">
          <cell r="B60">
            <v>3.4581237676988605E-2</v>
          </cell>
          <cell r="C60">
            <v>0.12703037360806441</v>
          </cell>
          <cell r="D60">
            <v>3.5492263906324352E-2</v>
          </cell>
          <cell r="E60">
            <v>3.2456806178875773E-2</v>
          </cell>
          <cell r="F60">
            <v>5.7167106581943863E-2</v>
          </cell>
          <cell r="G60">
            <v>6.8487468119720521E-2</v>
          </cell>
          <cell r="H60">
            <v>9.4055955342796926E-2</v>
          </cell>
          <cell r="I60">
            <v>3.3885139264615775E-2</v>
          </cell>
          <cell r="J60">
            <v>2.296123834818568E-2</v>
          </cell>
          <cell r="K60">
            <v>5.198645174694938E-2</v>
          </cell>
          <cell r="L60">
            <v>-0.20545063730561666</v>
          </cell>
          <cell r="M60">
            <v>2.0222397007998206E-2</v>
          </cell>
          <cell r="N60">
            <v>7.1663892514036848E-2</v>
          </cell>
          <cell r="O60">
            <v>5.6599107365378584E-2</v>
          </cell>
          <cell r="P60">
            <v>8.4627291677561431E-2</v>
          </cell>
          <cell r="Q60">
            <v>0.13040014782673898</v>
          </cell>
          <cell r="R60">
            <v>-8.8106296821549197E-3</v>
          </cell>
          <cell r="S60">
            <v>4.3550631224768349E-2</v>
          </cell>
          <cell r="T60">
            <v>4.5254334705107646E-3</v>
          </cell>
          <cell r="U60">
            <v>8.9242950636757717E-2</v>
          </cell>
          <cell r="V60">
            <v>3.7700662364008368E-2</v>
          </cell>
          <cell r="W60">
            <v>-3.0612495948348563E-2</v>
          </cell>
          <cell r="X60">
            <v>5.3951285962047978E-2</v>
          </cell>
          <cell r="Y60">
            <v>7.7135728882227236E-2</v>
          </cell>
          <cell r="Z60">
            <v>-1.6686918785014597E-2</v>
          </cell>
          <cell r="AA60">
            <v>2.1068445774304875E-2</v>
          </cell>
          <cell r="AB60">
            <v>4.3448060150596282E-2</v>
          </cell>
          <cell r="AC60">
            <v>5.2851188193996486E-2</v>
          </cell>
          <cell r="AD60">
            <v>1.470855083431217E-2</v>
          </cell>
          <cell r="AE60">
            <v>2.6134258710418995E-2</v>
          </cell>
          <cell r="AF60">
            <v>3.815563541679072E-2</v>
          </cell>
        </row>
        <row r="61">
          <cell r="B61">
            <v>-9.528500142413687E-4</v>
          </cell>
          <cell r="C61">
            <v>7.5842213332526193E-2</v>
          </cell>
          <cell r="D61">
            <v>1.6180862197089498E-2</v>
          </cell>
          <cell r="E61">
            <v>7.8339212780407738E-4</v>
          </cell>
          <cell r="F61">
            <v>2.9700829254173194E-2</v>
          </cell>
          <cell r="G61">
            <v>-4.1640641867552982E-4</v>
          </cell>
          <cell r="H61">
            <v>-1.7432232241474714E-4</v>
          </cell>
          <cell r="I61">
            <v>-5.9673169077704346E-3</v>
          </cell>
          <cell r="J61">
            <v>-2.8784882094972462E-2</v>
          </cell>
          <cell r="K61">
            <v>-1.1803793304009404E-2</v>
          </cell>
          <cell r="L61">
            <v>-0.12029317970226346</v>
          </cell>
          <cell r="M61">
            <v>-3.1608658636442653E-2</v>
          </cell>
          <cell r="N61">
            <v>1.9178670030572068E-2</v>
          </cell>
          <cell r="O61">
            <v>-3.3152207316900509E-2</v>
          </cell>
          <cell r="P61">
            <v>-7.8365376685959193E-2</v>
          </cell>
          <cell r="Q61">
            <v>-6.6508666504689312E-2</v>
          </cell>
          <cell r="R61">
            <v>-2.7075817260754826E-2</v>
          </cell>
          <cell r="S61">
            <v>3.7094875175309655E-2</v>
          </cell>
          <cell r="T61">
            <v>-5.7465998602946933E-2</v>
          </cell>
          <cell r="U61">
            <v>-3.8478662246293838E-3</v>
          </cell>
          <cell r="V61">
            <v>-1.2583677756234533E-2</v>
          </cell>
          <cell r="W61">
            <v>3.6651493165116622E-2</v>
          </cell>
          <cell r="X61">
            <v>7.8570051941829144E-2</v>
          </cell>
          <cell r="Y61">
            <v>-5.6901575518259327E-2</v>
          </cell>
          <cell r="Z61">
            <v>9.5310179804324741E-2</v>
          </cell>
          <cell r="AA61">
            <v>1.2117103211349229E-2</v>
          </cell>
          <cell r="AB61">
            <v>-1.7238181742378345E-2</v>
          </cell>
          <cell r="AC61">
            <v>3.7657126385328331E-2</v>
          </cell>
          <cell r="AD61">
            <v>-5.9834051855431142E-2</v>
          </cell>
          <cell r="AE61">
            <v>-3.4066554563606195E-2</v>
          </cell>
          <cell r="AF61">
            <v>-3.2563485910827014E-2</v>
          </cell>
        </row>
        <row r="62">
          <cell r="B62">
            <v>2.5147961230518261E-2</v>
          </cell>
          <cell r="C62">
            <v>6.3151040259666502E-2</v>
          </cell>
          <cell r="D62">
            <v>-4.1490995554845825E-2</v>
          </cell>
          <cell r="E62">
            <v>2.1497874490983376E-2</v>
          </cell>
          <cell r="F62">
            <v>-2.7929088055432878E-2</v>
          </cell>
          <cell r="G62">
            <v>-4.1021584060690279E-2</v>
          </cell>
          <cell r="H62">
            <v>0.16559126222915135</v>
          </cell>
          <cell r="I62">
            <v>-8.2039752711578345E-2</v>
          </cell>
          <cell r="J62">
            <v>5.4396526110739675E-2</v>
          </cell>
          <cell r="K62">
            <v>-6.7690505338030463E-2</v>
          </cell>
          <cell r="L62">
            <v>0.21458520228304806</v>
          </cell>
          <cell r="M62">
            <v>1.7410774202929755E-3</v>
          </cell>
          <cell r="N62">
            <v>3.099366436581167E-2</v>
          </cell>
          <cell r="O62">
            <v>8.5430071204617777E-2</v>
          </cell>
          <cell r="P62">
            <v>-1.1077036338907607E-2</v>
          </cell>
          <cell r="Q62">
            <v>-0.1607120724610995</v>
          </cell>
          <cell r="R62">
            <v>-4.3533755804915142E-2</v>
          </cell>
          <cell r="S62">
            <v>1.0021926359046567E-2</v>
          </cell>
          <cell r="T62">
            <v>2.6330383502959478E-2</v>
          </cell>
          <cell r="U62">
            <v>3.7542601832919666E-2</v>
          </cell>
          <cell r="V62">
            <v>-6.3181739632142964E-2</v>
          </cell>
          <cell r="W62">
            <v>-3.240219498645891E-2</v>
          </cell>
          <cell r="X62">
            <v>8.1179829888370206E-2</v>
          </cell>
          <cell r="Y62">
            <v>7.3860307765218847E-2</v>
          </cell>
          <cell r="Z62">
            <v>9.6580828005780536E-2</v>
          </cell>
          <cell r="AA62">
            <v>2.7715002237054608E-2</v>
          </cell>
          <cell r="AB62">
            <v>7.1590568904359053E-2</v>
          </cell>
          <cell r="AC62">
            <v>4.3047747170555171E-2</v>
          </cell>
          <cell r="AD62">
            <v>6.2749978107486393E-2</v>
          </cell>
          <cell r="AE62">
            <v>-1.47444128178424E-2</v>
          </cell>
          <cell r="AF62">
            <v>0.11090367760583343</v>
          </cell>
        </row>
        <row r="63">
          <cell r="B63">
            <v>4.529940641520396E-4</v>
          </cell>
          <cell r="C63">
            <v>-6.6912371416664659E-2</v>
          </cell>
          <cell r="D63">
            <v>1.3719727397480003E-2</v>
          </cell>
          <cell r="E63">
            <v>2.6844712184124434E-2</v>
          </cell>
          <cell r="F63">
            <v>6.6343941572338291E-2</v>
          </cell>
          <cell r="G63">
            <v>6.056691670952419E-3</v>
          </cell>
          <cell r="H63">
            <v>7.3464074120697526E-2</v>
          </cell>
          <cell r="I63">
            <v>3.6488293263136684E-2</v>
          </cell>
          <cell r="J63">
            <v>0.10064772897032936</v>
          </cell>
          <cell r="K63">
            <v>1.1094104541358792E-2</v>
          </cell>
          <cell r="L63">
            <v>-0.1583331549988253</v>
          </cell>
          <cell r="M63">
            <v>3.8752259662623204E-2</v>
          </cell>
          <cell r="N63">
            <v>6.9361127797502531E-2</v>
          </cell>
          <cell r="O63">
            <v>5.090637234751344E-2</v>
          </cell>
          <cell r="P63">
            <v>-1.057552624708641E-2</v>
          </cell>
          <cell r="Q63">
            <v>-2.6963597877582197E-2</v>
          </cell>
          <cell r="R63">
            <v>7.5339821976327277E-3</v>
          </cell>
          <cell r="S63">
            <v>3.4429836211787378E-2</v>
          </cell>
          <cell r="T63">
            <v>1.4119027143852922E-2</v>
          </cell>
          <cell r="U63">
            <v>-2.8604138496296457E-3</v>
          </cell>
          <cell r="V63">
            <v>1.7780083852863355E-2</v>
          </cell>
          <cell r="W63">
            <v>-6.0962831464255992E-3</v>
          </cell>
          <cell r="X63">
            <v>1.0616437076253071E-2</v>
          </cell>
          <cell r="Y63">
            <v>-4.3135342068847039E-2</v>
          </cell>
          <cell r="Z63">
            <v>2.8942184370920315E-2</v>
          </cell>
          <cell r="AA63">
            <v>1.1814483413763056E-2</v>
          </cell>
          <cell r="AB63">
            <v>6.1251442809923673E-2</v>
          </cell>
          <cell r="AC63">
            <v>6.025670293590032E-3</v>
          </cell>
          <cell r="AD63">
            <v>6.2392901627301156E-2</v>
          </cell>
          <cell r="AE63">
            <v>-1.6518380210940327E-2</v>
          </cell>
          <cell r="AF63">
            <v>-5.0183825252067778E-2</v>
          </cell>
        </row>
        <row r="64">
          <cell r="B64">
            <v>1.1034733969458945E-2</v>
          </cell>
          <cell r="C64">
            <v>4.1602779042856315E-2</v>
          </cell>
          <cell r="D64">
            <v>-1.8184578431258707E-3</v>
          </cell>
          <cell r="E64">
            <v>-2.5121729083425172E-2</v>
          </cell>
          <cell r="F64">
            <v>6.9581691288308697E-2</v>
          </cell>
          <cell r="G64">
            <v>1.8376585504656297E-2</v>
          </cell>
          <cell r="H64">
            <v>-1.7586827303334048E-2</v>
          </cell>
          <cell r="I64">
            <v>4.7942660970409473E-2</v>
          </cell>
          <cell r="J64">
            <v>-3.5791018879645156E-3</v>
          </cell>
          <cell r="K64">
            <v>5.6306755609997976E-2</v>
          </cell>
          <cell r="L64">
            <v>4.6158302921268657E-2</v>
          </cell>
          <cell r="M64">
            <v>7.1462905368182526E-3</v>
          </cell>
          <cell r="N64">
            <v>4.3469444220723227E-2</v>
          </cell>
          <cell r="O64">
            <v>5.1948168771041511E-3</v>
          </cell>
          <cell r="P64">
            <v>2.7388832663133186E-2</v>
          </cell>
          <cell r="Q64">
            <v>-5.6727880402377404E-2</v>
          </cell>
          <cell r="R64">
            <v>2.6865745285799249E-2</v>
          </cell>
          <cell r="S64">
            <v>1.2032066579569562E-2</v>
          </cell>
          <cell r="T64">
            <v>4.8227727912260052E-3</v>
          </cell>
          <cell r="U64">
            <v>-1.588022400088996E-2</v>
          </cell>
          <cell r="V64">
            <v>2.815190289476506E-2</v>
          </cell>
          <cell r="W64">
            <v>-3.7042356075807268E-3</v>
          </cell>
          <cell r="X64">
            <v>2.1474998228097959E-2</v>
          </cell>
          <cell r="Y64">
            <v>1.225187035339419E-2</v>
          </cell>
          <cell r="Z64">
            <v>-4.9387875531209637E-2</v>
          </cell>
          <cell r="AA64">
            <v>-3.9180445507657986E-2</v>
          </cell>
          <cell r="AB64">
            <v>-2.0255756308274839E-2</v>
          </cell>
          <cell r="AC64">
            <v>-9.1387824584463293E-3</v>
          </cell>
          <cell r="AD64">
            <v>1.0582109330537008E-2</v>
          </cell>
          <cell r="AE64">
            <v>4.4306921099570601E-2</v>
          </cell>
          <cell r="AF64">
            <v>2.4911427810049402E-2</v>
          </cell>
        </row>
        <row r="65">
          <cell r="B65">
            <v>1.2082373675144375E-2</v>
          </cell>
          <cell r="C65">
            <v>9.9989561843298519E-2</v>
          </cell>
          <cell r="D65">
            <v>-1.2822645540912345E-2</v>
          </cell>
          <cell r="E65">
            <v>2.6053956241456868E-2</v>
          </cell>
          <cell r="F65">
            <v>6.8546381577074961E-2</v>
          </cell>
          <cell r="G65">
            <v>5.5993221186536851E-2</v>
          </cell>
          <cell r="H65">
            <v>5.6490717135769065E-2</v>
          </cell>
          <cell r="I65">
            <v>4.3693435217569923E-2</v>
          </cell>
          <cell r="J65">
            <v>2.5067157262118516E-3</v>
          </cell>
          <cell r="K65">
            <v>-5.5192587456266489E-3</v>
          </cell>
          <cell r="L65">
            <v>7.3225748894030954E-2</v>
          </cell>
          <cell r="M65">
            <v>-5.7647216771325914E-2</v>
          </cell>
          <cell r="N65">
            <v>-6.3656940173461869E-3</v>
          </cell>
          <cell r="O65">
            <v>-1.3192398723521168E-2</v>
          </cell>
          <cell r="P65">
            <v>-1.5833387389166198E-3</v>
          </cell>
          <cell r="Q65">
            <v>2.6505119379997093E-2</v>
          </cell>
          <cell r="R65">
            <v>-1.0247741260475809E-2</v>
          </cell>
          <cell r="S65">
            <v>9.4044595746061499E-2</v>
          </cell>
          <cell r="T65">
            <v>2.1626825682798628E-3</v>
          </cell>
          <cell r="U65">
            <v>6.0931568174785091E-3</v>
          </cell>
          <cell r="V65">
            <v>0.12106861082463452</v>
          </cell>
          <cell r="W65">
            <v>3.2025208754611109E-2</v>
          </cell>
          <cell r="X65">
            <v>-2.3236595865095331E-2</v>
          </cell>
          <cell r="Y65">
            <v>-0.11898301733912256</v>
          </cell>
          <cell r="Z65">
            <v>1.6071057021242771E-2</v>
          </cell>
          <cell r="AA65">
            <v>1.5582032719997961E-2</v>
          </cell>
          <cell r="AB65">
            <v>-1.874218180974075E-2</v>
          </cell>
          <cell r="AC65">
            <v>8.0189267840077974E-2</v>
          </cell>
          <cell r="AD65">
            <v>-1.8822656496633863E-2</v>
          </cell>
          <cell r="AE65">
            <v>-4.7866435425159011E-2</v>
          </cell>
          <cell r="AF65">
            <v>3.5683318735638396E-2</v>
          </cell>
        </row>
        <row r="66">
          <cell r="B66">
            <v>-3.1404913585891703E-2</v>
          </cell>
          <cell r="C66">
            <v>-5.8471128985531085E-2</v>
          </cell>
          <cell r="D66">
            <v>-6.8181138612174702E-2</v>
          </cell>
          <cell r="E66">
            <v>1.0197548274768733E-2</v>
          </cell>
          <cell r="F66">
            <v>9.614229799570056E-4</v>
          </cell>
          <cell r="G66">
            <v>-1.3098424045918254E-2</v>
          </cell>
          <cell r="H66">
            <v>-3.7532147504853987E-2</v>
          </cell>
          <cell r="I66">
            <v>-2.8053305983079591E-2</v>
          </cell>
          <cell r="J66">
            <v>8.6951766247756454E-2</v>
          </cell>
          <cell r="K66">
            <v>-9.3650084504965578E-3</v>
          </cell>
          <cell r="L66">
            <v>0.17263965122364733</v>
          </cell>
          <cell r="M66">
            <v>-4.6316484975888444E-2</v>
          </cell>
          <cell r="N66">
            <v>-2.6361459402393532E-2</v>
          </cell>
          <cell r="O66">
            <v>-2.7833634793053221E-3</v>
          </cell>
          <cell r="P66">
            <v>-2.6431080431950901E-2</v>
          </cell>
          <cell r="Q66">
            <v>-9.8231949048236122E-2</v>
          </cell>
          <cell r="R66">
            <v>3.3260430607777773E-2</v>
          </cell>
          <cell r="S66">
            <v>-6.2334035820444104E-2</v>
          </cell>
          <cell r="T66">
            <v>4.803547304239731E-2</v>
          </cell>
          <cell r="U66">
            <v>-4.1340400974572103E-2</v>
          </cell>
          <cell r="V66">
            <v>-1.5654968672613196E-2</v>
          </cell>
          <cell r="W66">
            <v>-1.1120492693080124E-2</v>
          </cell>
          <cell r="X66">
            <v>-2.1985436925880866E-2</v>
          </cell>
          <cell r="Y66">
            <v>-6.0390858617489745E-2</v>
          </cell>
          <cell r="Z66">
            <v>-5.8683501828090179E-2</v>
          </cell>
          <cell r="AA66">
            <v>-7.0454168863075234E-2</v>
          </cell>
          <cell r="AB66">
            <v>-5.8083415957469022E-3</v>
          </cell>
          <cell r="AC66">
            <v>-4.7973135964421665E-4</v>
          </cell>
          <cell r="AD66">
            <v>-5.6743868707170436E-2</v>
          </cell>
          <cell r="AE66">
            <v>7.6762918348883477E-2</v>
          </cell>
          <cell r="AF66">
            <v>-2.992056301643866E-2</v>
          </cell>
        </row>
        <row r="67">
          <cell r="B67">
            <v>8.6604285391806066E-5</v>
          </cell>
          <cell r="C67">
            <v>1.9975695423643827E-2</v>
          </cell>
          <cell r="D67">
            <v>-2.9205246328750052E-2</v>
          </cell>
          <cell r="E67">
            <v>-2.1253596432443251E-2</v>
          </cell>
          <cell r="F67">
            <v>-1.6227045333042631E-2</v>
          </cell>
          <cell r="G67">
            <v>-2.152825326364944E-2</v>
          </cell>
          <cell r="H67">
            <v>2.0756358000016913E-2</v>
          </cell>
          <cell r="I67">
            <v>-2.2109541998324524E-2</v>
          </cell>
          <cell r="J67">
            <v>-1.6529301951210582E-2</v>
          </cell>
          <cell r="K67">
            <v>-3.135989397783303E-2</v>
          </cell>
          <cell r="L67">
            <v>0.10093185990168346</v>
          </cell>
          <cell r="M67">
            <v>-5.9127849465776476E-2</v>
          </cell>
          <cell r="N67">
            <v>-2.1601232647006138E-2</v>
          </cell>
          <cell r="O67">
            <v>-1.9072017823958738E-2</v>
          </cell>
          <cell r="P67">
            <v>-3.9310829854470403E-2</v>
          </cell>
          <cell r="Q67">
            <v>5.2956726986248565E-2</v>
          </cell>
          <cell r="R67">
            <v>-4.9941838446236455E-3</v>
          </cell>
          <cell r="S67">
            <v>-1.5009215651571376E-2</v>
          </cell>
          <cell r="T67">
            <v>-1.5911785035639055E-2</v>
          </cell>
          <cell r="U67">
            <v>1.2880214010197425E-2</v>
          </cell>
          <cell r="V67">
            <v>-3.5155356559847424E-2</v>
          </cell>
          <cell r="W67">
            <v>2.6075837632647349E-2</v>
          </cell>
          <cell r="X67">
            <v>9.0135559433538959E-2</v>
          </cell>
          <cell r="Y67">
            <v>2.8293508642611997E-2</v>
          </cell>
          <cell r="Z67">
            <v>-8.0628486873086311E-3</v>
          </cell>
          <cell r="AA67">
            <v>2.4580208835967805E-2</v>
          </cell>
          <cell r="AB67">
            <v>6.7930819035712534E-2</v>
          </cell>
          <cell r="AC67">
            <v>1.4292763556925473E-2</v>
          </cell>
          <cell r="AD67">
            <v>7.0440628257431664E-2</v>
          </cell>
          <cell r="AE67">
            <v>-5.7959176946458012E-3</v>
          </cell>
          <cell r="AF67">
            <v>7.1978063085272413E-3</v>
          </cell>
        </row>
        <row r="68">
          <cell r="B68">
            <v>-3.7228715386083515E-3</v>
          </cell>
          <cell r="C68">
            <v>3.61137712273999E-2</v>
          </cell>
          <cell r="D68">
            <v>-1.3557026309584757E-3</v>
          </cell>
          <cell r="E68">
            <v>-2.075276762645941E-2</v>
          </cell>
          <cell r="F68">
            <v>-2.3719456666780159E-2</v>
          </cell>
          <cell r="G68">
            <v>1.7055792057715624E-2</v>
          </cell>
          <cell r="H68">
            <v>-2.5841231183887443E-2</v>
          </cell>
          <cell r="I68">
            <v>-2.5811026243363643E-2</v>
          </cell>
          <cell r="J68">
            <v>-5.6827831354982683E-3</v>
          </cell>
          <cell r="K68">
            <v>1.0262691945127161E-2</v>
          </cell>
          <cell r="L68">
            <v>-1.0460699404055022E-2</v>
          </cell>
          <cell r="M68">
            <v>-1.1804521560545289E-2</v>
          </cell>
          <cell r="N68">
            <v>-3.3815990178302856E-2</v>
          </cell>
          <cell r="O68">
            <v>3.6266177984394569E-2</v>
          </cell>
          <cell r="P68">
            <v>-5.2205808990046848E-3</v>
          </cell>
          <cell r="Q68">
            <v>-2.3430251808385996E-2</v>
          </cell>
          <cell r="R68">
            <v>1.1614532420693083E-2</v>
          </cell>
          <cell r="S68">
            <v>1.7842747653673507E-2</v>
          </cell>
          <cell r="T68">
            <v>3.7123012470772396E-3</v>
          </cell>
          <cell r="U68">
            <v>-1.2578782206860185E-2</v>
          </cell>
          <cell r="V68">
            <v>-8.6190077152163702E-2</v>
          </cell>
          <cell r="W68">
            <v>5.7808859720826763E-2</v>
          </cell>
          <cell r="X68">
            <v>1.4714161928068082E-2</v>
          </cell>
          <cell r="Y68">
            <v>0</v>
          </cell>
          <cell r="Z68">
            <v>8.9078001528727357E-3</v>
          </cell>
          <cell r="AA68">
            <v>1.6057436895858469E-2</v>
          </cell>
          <cell r="AB68">
            <v>6.5099687412276657E-3</v>
          </cell>
          <cell r="AC68">
            <v>-5.058499563033835E-3</v>
          </cell>
          <cell r="AD68">
            <v>-1.1248028605197994E-2</v>
          </cell>
          <cell r="AE68">
            <v>-4.6095024153034472E-2</v>
          </cell>
          <cell r="AF68">
            <v>2.3996642230499975E-2</v>
          </cell>
        </row>
        <row r="75">
          <cell r="B75">
            <v>6.1966988468731233E-4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intercept"/>
      <definedName name="tslop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AE27"/>
  <sheetViews>
    <sheetView tabSelected="1" zoomScale="130" zoomScaleNormal="130" workbookViewId="0">
      <selection activeCell="V10" sqref="V10"/>
    </sheetView>
  </sheetViews>
  <sheetFormatPr defaultRowHeight="13.8" x14ac:dyDescent="0.25"/>
  <cols>
    <col min="1" max="1" width="18.44140625" style="2" customWidth="1"/>
    <col min="2" max="2" width="10.44140625" style="2" customWidth="1"/>
    <col min="3" max="3" width="12.109375" style="2" customWidth="1"/>
    <col min="4" max="4" width="12.44140625" style="2" customWidth="1"/>
    <col min="5" max="31" width="8.88671875" style="2"/>
  </cols>
  <sheetData>
    <row r="1" spans="1:31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31" x14ac:dyDescent="0.25">
      <c r="A2" s="2" t="s">
        <v>1</v>
      </c>
      <c r="B2" s="3">
        <f>[2]Sheet1!$B$75</f>
        <v>6.1966988468731233E-4</v>
      </c>
      <c r="C2" s="2" t="str">
        <f ca="1">[3]!getformula(B2)</f>
        <v>&lt;--  ='D:\lizhengdong\交易框架\5_工具箱\_书库\编程\Excel\CH11\[charpter_02.xlsm]Sheet1'!$B$75</v>
      </c>
    </row>
    <row r="3" spans="1:31" x14ac:dyDescent="0.25">
      <c r="A3" s="2" t="s">
        <v>2</v>
      </c>
      <c r="B3" s="4">
        <f>[2]Sheet1!$B$75</f>
        <v>6.1966988468731233E-4</v>
      </c>
      <c r="C3" s="2" t="str">
        <f ca="1">[3]!getformula(B3)</f>
        <v>&lt;--  ='D:\lizhengdong\交易框架\5_工具箱\_书库\编程\Excel\CH11\[charpter_02.xlsm]Sheet1'!$B$75</v>
      </c>
    </row>
    <row r="4" spans="1:31" x14ac:dyDescent="0.25">
      <c r="A4" s="2" t="s">
        <v>3</v>
      </c>
      <c r="B4" s="5">
        <f>[2]Sheet1!$B$75</f>
        <v>6.1966988468731233E-4</v>
      </c>
      <c r="C4" s="2" t="str">
        <f ca="1">[3]!getformula(B4)</f>
        <v>&lt;--  ='D:\lizhengdong\交易框架\5_工具箱\_书库\编程\Excel\CH11\[charpter_02.xlsm]Sheet1'!$B$75</v>
      </c>
    </row>
    <row r="6" spans="1:31" ht="15.6" x14ac:dyDescent="0.25">
      <c r="A6" s="6" t="s">
        <v>4</v>
      </c>
    </row>
    <row r="7" spans="1:31" ht="15.6" x14ac:dyDescent="0.25">
      <c r="A7" s="2" t="s">
        <v>5</v>
      </c>
      <c r="B7" s="2">
        <v>0.2</v>
      </c>
      <c r="C7" s="2" t="s">
        <v>6</v>
      </c>
    </row>
    <row r="8" spans="1:31" x14ac:dyDescent="0.25">
      <c r="B8" s="5">
        <f>SUMIF([2]Sheet1!$C$7:$AF$7,"&gt;"&amp;TEXT(B7,"0.00"))</f>
        <v>9.8257516253064772</v>
      </c>
      <c r="C8" s="2" t="str">
        <f ca="1">[3]!getformula(B8)</f>
        <v>&lt;--  =SUMIF('D:\lizhengdong\交易框架\5_工具箱\_书库\编程\Excel\CH11\[charpter_02.xlsm]Sheet1'!$C$7:$AF$7,"&gt;"&amp;TEXT(B7,"0.00"))</v>
      </c>
    </row>
    <row r="9" spans="1:31" x14ac:dyDescent="0.25">
      <c r="B9" s="14">
        <f>COUNTIF([2]Sheet1!$C$7:$AF$7,"&gt;"&amp;TEXT(B7,"0.00"))</f>
        <v>23</v>
      </c>
      <c r="C9" s="2" t="str">
        <f ca="1">[3]!getformula(B9)</f>
        <v>&lt;--  =COUNTIF('D:\lizhengdong\交易框架\5_工具箱\_书库\编程\Excel\CH11\[charpter_02.xlsm]Sheet1'!$C$7:$AF$7,"&gt;"&amp;TEXT(B7,"0.00"))</v>
      </c>
    </row>
    <row r="10" spans="1:31" ht="15.6" x14ac:dyDescent="0.25">
      <c r="A10" s="2" t="s">
        <v>7</v>
      </c>
      <c r="B10" s="5">
        <f>B8/B9</f>
        <v>0.42720659240462944</v>
      </c>
      <c r="C10" s="2" t="str">
        <f ca="1">[3]!getformula(B10)</f>
        <v>&lt;--  =B8/B9</v>
      </c>
    </row>
    <row r="12" spans="1:31" x14ac:dyDescent="0.25">
      <c r="A12" s="6" t="s">
        <v>8</v>
      </c>
    </row>
    <row r="13" spans="1:31" ht="55.2" x14ac:dyDescent="0.25">
      <c r="B13" s="7" t="s">
        <v>9</v>
      </c>
      <c r="C13" s="7" t="s">
        <v>10</v>
      </c>
      <c r="D13" s="7" t="s">
        <v>11</v>
      </c>
      <c r="E13" s="7" t="s">
        <v>12</v>
      </c>
      <c r="F13" s="7" t="s">
        <v>13</v>
      </c>
      <c r="G13" s="7" t="s">
        <v>14</v>
      </c>
      <c r="H13" s="7" t="s">
        <v>15</v>
      </c>
      <c r="I13" s="7" t="s">
        <v>16</v>
      </c>
      <c r="J13" s="7" t="s">
        <v>17</v>
      </c>
      <c r="K13" s="7" t="s">
        <v>18</v>
      </c>
      <c r="L13" s="7" t="s">
        <v>19</v>
      </c>
      <c r="M13" s="7" t="s">
        <v>20</v>
      </c>
      <c r="N13" s="7" t="s">
        <v>21</v>
      </c>
      <c r="O13" s="7" t="s">
        <v>22</v>
      </c>
      <c r="P13" s="7" t="s">
        <v>23</v>
      </c>
      <c r="Q13" s="7" t="s">
        <v>24</v>
      </c>
      <c r="R13" s="7" t="s">
        <v>25</v>
      </c>
      <c r="S13" s="7" t="s">
        <v>26</v>
      </c>
      <c r="T13" s="7" t="s">
        <v>27</v>
      </c>
      <c r="U13" s="7" t="s">
        <v>28</v>
      </c>
      <c r="V13" s="7" t="s">
        <v>29</v>
      </c>
      <c r="W13" s="7" t="s">
        <v>30</v>
      </c>
      <c r="X13" s="7" t="s">
        <v>31</v>
      </c>
      <c r="Y13" s="7" t="s">
        <v>32</v>
      </c>
      <c r="Z13" s="7" t="s">
        <v>33</v>
      </c>
      <c r="AA13" s="7" t="s">
        <v>34</v>
      </c>
      <c r="AB13" s="7" t="s">
        <v>35</v>
      </c>
      <c r="AC13" s="7" t="s">
        <v>36</v>
      </c>
      <c r="AD13" s="8" t="s">
        <v>37</v>
      </c>
      <c r="AE13" s="7" t="s">
        <v>38</v>
      </c>
    </row>
    <row r="14" spans="1:31" x14ac:dyDescent="0.25">
      <c r="A14" s="2" t="s">
        <v>39</v>
      </c>
      <c r="B14" s="9">
        <f>[3]!tintercept([2]Sheet1!$B$9:$B$68,[2]Sheet1!C9:C68)</f>
        <v>0.314441405190025</v>
      </c>
      <c r="C14" s="9">
        <f>[3]!tintercept([2]Sheet1!$B$9:$B$68,[2]Sheet1!D9:D68)</f>
        <v>0.63242855113360263</v>
      </c>
      <c r="D14" s="9">
        <f>[3]!tintercept([2]Sheet1!$B$9:$B$68,[2]Sheet1!E9:E68)</f>
        <v>-1.052511880961202</v>
      </c>
      <c r="E14" s="9">
        <f>[3]!tintercept([2]Sheet1!$B$9:$B$68,[2]Sheet1!F9:F68)</f>
        <v>-0.15843536417409368</v>
      </c>
      <c r="F14" s="9">
        <f>[3]!tintercept([2]Sheet1!$B$9:$B$68,[2]Sheet1!G9:G68)</f>
        <v>-0.2013097442366687</v>
      </c>
      <c r="G14" s="9">
        <f>[3]!tintercept([2]Sheet1!$B$9:$B$68,[2]Sheet1!H9:H68)</f>
        <v>-1.6119730232394618</v>
      </c>
      <c r="H14" s="9">
        <f>[3]!tintercept([2]Sheet1!$B$9:$B$68,[2]Sheet1!I9:I68)</f>
        <v>-1.9206439722831141E-2</v>
      </c>
      <c r="I14" s="9">
        <f>[3]!tintercept([2]Sheet1!$B$9:$B$68,[2]Sheet1!J9:J68)</f>
        <v>-3.7114497459220901E-2</v>
      </c>
      <c r="J14" s="9">
        <f>[3]!tintercept([2]Sheet1!$B$9:$B$68,[2]Sheet1!K9:K68)</f>
        <v>0.38397974692516962</v>
      </c>
      <c r="K14" s="9">
        <f>[3]!tintercept([2]Sheet1!$B$9:$B$68,[2]Sheet1!L9:L68)</f>
        <v>0.52872280247413483</v>
      </c>
      <c r="L14" s="9">
        <f>[3]!tintercept([2]Sheet1!$B$9:$B$68,[2]Sheet1!M9:M68)</f>
        <v>0.70509803366655555</v>
      </c>
      <c r="M14" s="9">
        <f>[3]!tintercept([2]Sheet1!$B$9:$B$68,[2]Sheet1!N9:N68)</f>
        <v>-6.4028324545132201E-2</v>
      </c>
      <c r="N14" s="9">
        <f>[3]!tintercept([2]Sheet1!$B$9:$B$68,[2]Sheet1!O9:O68)</f>
        <v>-0.24743110329858442</v>
      </c>
      <c r="O14" s="9">
        <f>[3]!tintercept([2]Sheet1!$B$9:$B$68,[2]Sheet1!P9:P68)</f>
        <v>0.67706576958528242</v>
      </c>
      <c r="P14" s="9">
        <f>[3]!tintercept([2]Sheet1!$B$9:$B$68,[2]Sheet1!Q9:Q68)</f>
        <v>0.61642087587339622</v>
      </c>
      <c r="Q14" s="9">
        <f>[3]!tintercept([2]Sheet1!$B$9:$B$68,[2]Sheet1!R9:R68)</f>
        <v>-8.5919688760844465E-3</v>
      </c>
      <c r="R14" s="9">
        <f>[3]!tintercept([2]Sheet1!$B$9:$B$68,[2]Sheet1!S9:S68)</f>
        <v>3.5619849836343698E-2</v>
      </c>
      <c r="S14" s="9">
        <f>[3]!tintercept([2]Sheet1!$B$9:$B$68,[2]Sheet1!T9:T68)</f>
        <v>9.4619798245049E-2</v>
      </c>
      <c r="T14" s="9">
        <f>[3]!tintercept([2]Sheet1!$B$9:$B$68,[2]Sheet1!U9:U68)</f>
        <v>-0.12456631574058956</v>
      </c>
      <c r="U14" s="9">
        <f>[3]!tintercept([2]Sheet1!$B$9:$B$68,[2]Sheet1!V9:V68)</f>
        <v>-0.27245205362749991</v>
      </c>
      <c r="V14" s="9">
        <f>[3]!tintercept([2]Sheet1!$B$9:$B$68,[2]Sheet1!W9:W68)</f>
        <v>-0.2106800818724695</v>
      </c>
      <c r="W14" s="9">
        <f>[3]!tintercept([2]Sheet1!$B$9:$B$68,[2]Sheet1!X9:X68)</f>
        <v>0.33466607729596565</v>
      </c>
      <c r="X14" s="9">
        <f>[3]!tintercept([2]Sheet1!$B$9:$B$68,[2]Sheet1!Y9:Y68)</f>
        <v>0.5066435774671797</v>
      </c>
      <c r="Y14" s="9">
        <f>[3]!tintercept([2]Sheet1!$B$9:$B$68,[2]Sheet1!Z9:Z68)</f>
        <v>0.59129257932299772</v>
      </c>
      <c r="Z14" s="9">
        <f>[3]!tintercept([2]Sheet1!$B$9:$B$68,[2]Sheet1!AA9:AA68)</f>
        <v>-0.27061805980129161</v>
      </c>
      <c r="AA14" s="9">
        <f>[3]!tintercept([2]Sheet1!$B$9:$B$68,[2]Sheet1!AB9:AB68)</f>
        <v>0.40666071386869362</v>
      </c>
      <c r="AB14" s="9">
        <f>[3]!tintercept([2]Sheet1!$B$9:$B$68,[2]Sheet1!AC9:AC68)</f>
        <v>-0.56175534649971737</v>
      </c>
      <c r="AC14" s="9">
        <f>[3]!tintercept([2]Sheet1!$B$9:$B$68,[2]Sheet1!AD9:AD68)</f>
        <v>0.48212944046054462</v>
      </c>
      <c r="AD14" s="9">
        <f>[3]!tintercept([2]Sheet1!$B$9:$B$68,[2]Sheet1!AE9:AE68)</f>
        <v>0.3312989049857723</v>
      </c>
      <c r="AE14" s="9">
        <f>[3]!tintercept([2]Sheet1!$B$9:$B$68,[2]Sheet1!AF9:AF68)</f>
        <v>-0.51182401325994775</v>
      </c>
    </row>
    <row r="15" spans="1:31" x14ac:dyDescent="0.25">
      <c r="A15" s="2" t="s">
        <v>40</v>
      </c>
      <c r="B15" s="9">
        <f>[3]!tslope([2]Sheet1!$B$9:$B$68,[2]Sheet1!C9:C68)</f>
        <v>9.4941925082864511</v>
      </c>
      <c r="C15" s="9">
        <f>[3]!tslope([2]Sheet1!$B$9:$B$68,[2]Sheet1!D9:D68)</f>
        <v>5.6111672442878522</v>
      </c>
      <c r="D15" s="9">
        <f>[3]!tslope([2]Sheet1!$B$9:$B$68,[2]Sheet1!E9:E68)</f>
        <v>11.77832269212548</v>
      </c>
      <c r="E15" s="9">
        <f>[3]!tslope([2]Sheet1!$B$9:$B$68,[2]Sheet1!F9:F68)</f>
        <v>4.3814622445905309</v>
      </c>
      <c r="F15" s="9">
        <f>[3]!tslope([2]Sheet1!$B$9:$B$68,[2]Sheet1!G9:G68)</f>
        <v>9.2728829928106578</v>
      </c>
      <c r="G15" s="9">
        <f>[3]!tslope([2]Sheet1!$B$9:$B$68,[2]Sheet1!H9:H68)</f>
        <v>7.8606766385470328</v>
      </c>
      <c r="H15" s="9">
        <f>[3]!tslope([2]Sheet1!$B$9:$B$68,[2]Sheet1!I9:I68)</f>
        <v>6.6993224131804805</v>
      </c>
      <c r="I15" s="9">
        <f>[3]!tslope([2]Sheet1!$B$9:$B$68,[2]Sheet1!J9:J68)</f>
        <v>6.019925431557259</v>
      </c>
      <c r="J15" s="9">
        <f>[3]!tslope([2]Sheet1!$B$9:$B$68,[2]Sheet1!K9:K68)</f>
        <v>5.249283835552812</v>
      </c>
      <c r="K15" s="9">
        <f>[3]!tslope([2]Sheet1!$B$9:$B$68,[2]Sheet1!L9:L68)</f>
        <v>4.5221126428784721</v>
      </c>
      <c r="L15" s="9">
        <f>[3]!tslope([2]Sheet1!$B$9:$B$68,[2]Sheet1!M9:M68)</f>
        <v>8.0671541156744375</v>
      </c>
      <c r="M15" s="9">
        <f>[3]!tslope([2]Sheet1!$B$9:$B$68,[2]Sheet1!N9:N68)</f>
        <v>8.3744094961276065</v>
      </c>
      <c r="N15" s="9">
        <f>[3]!tslope([2]Sheet1!$B$9:$B$68,[2]Sheet1!O9:O68)</f>
        <v>7.9416352451631633</v>
      </c>
      <c r="O15" s="9">
        <f>[3]!tslope([2]Sheet1!$B$9:$B$68,[2]Sheet1!P9:P68)</f>
        <v>8.3773014504801697</v>
      </c>
      <c r="P15" s="9">
        <f>[3]!tslope([2]Sheet1!$B$9:$B$68,[2]Sheet1!Q9:Q68)</f>
        <v>7.3702097011448497</v>
      </c>
      <c r="Q15" s="9">
        <f>[3]!tslope([2]Sheet1!$B$9:$B$68,[2]Sheet1!R9:R68)</f>
        <v>1.8658747580625026</v>
      </c>
      <c r="R15" s="9">
        <f>[3]!tslope([2]Sheet1!$B$9:$B$68,[2]Sheet1!S9:S68)</f>
        <v>9.2333472562887149</v>
      </c>
      <c r="S15" s="9">
        <f>[3]!tslope([2]Sheet1!$B$9:$B$68,[2]Sheet1!T9:T68)</f>
        <v>2.2582859981472065</v>
      </c>
      <c r="T15" s="9">
        <f>[3]!tslope([2]Sheet1!$B$9:$B$68,[2]Sheet1!U9:U68)</f>
        <v>6.7873518658754186</v>
      </c>
      <c r="U15" s="9">
        <f>[3]!tslope([2]Sheet1!$B$9:$B$68,[2]Sheet1!V9:V68)</f>
        <v>3.8430784754387139</v>
      </c>
      <c r="V15" s="9">
        <f>[3]!tslope([2]Sheet1!$B$9:$B$68,[2]Sheet1!W9:W68)</f>
        <v>2.4008811191708648</v>
      </c>
      <c r="W15" s="9">
        <f>[3]!tslope([2]Sheet1!$B$9:$B$68,[2]Sheet1!X9:X68)</f>
        <v>2.376345107087936</v>
      </c>
      <c r="X15" s="9">
        <f>[3]!tslope([2]Sheet1!$B$9:$B$68,[2]Sheet1!Y9:Y68)</f>
        <v>6.3135168430740389</v>
      </c>
      <c r="Y15" s="9">
        <f>[3]!tslope([2]Sheet1!$B$9:$B$68,[2]Sheet1!Z9:Z68)</f>
        <v>3.28007262699247</v>
      </c>
      <c r="Z15" s="9">
        <f>[3]!tslope([2]Sheet1!$B$9:$B$68,[2]Sheet1!AA9:AA68)</f>
        <v>1.5245298483799854</v>
      </c>
      <c r="AA15" s="9">
        <f>[3]!tslope([2]Sheet1!$B$9:$B$68,[2]Sheet1!AB9:AB68)</f>
        <v>4.7965276725690069</v>
      </c>
      <c r="AB15" s="9">
        <f>[3]!tslope([2]Sheet1!$B$9:$B$68,[2]Sheet1!AC9:AC68)</f>
        <v>5.262059721785417</v>
      </c>
      <c r="AC15" s="9">
        <f>[3]!tslope([2]Sheet1!$B$9:$B$68,[2]Sheet1!AD9:AD68)</f>
        <v>4.8129100731822829</v>
      </c>
      <c r="AD15" s="9">
        <f>[3]!tslope([2]Sheet1!$B$9:$B$68,[2]Sheet1!AE9:AE68)</f>
        <v>3.7038150657931515</v>
      </c>
      <c r="AE15" s="9">
        <f>[3]!tslope([2]Sheet1!$B$9:$B$68,[2]Sheet1!AF9:AF68)</f>
        <v>4.1182277230013922</v>
      </c>
    </row>
    <row r="17" spans="1:4" ht="27.6" x14ac:dyDescent="0.25">
      <c r="A17" s="10" t="s">
        <v>41</v>
      </c>
      <c r="B17" s="11">
        <f t="array" ref="B17">AVERAGE(ABS(B14:AE14))</f>
        <v>0.39978621145485038</v>
      </c>
      <c r="C17" s="2" t="str">
        <f ca="1">[3]!getformula(B17)</f>
        <v>&lt;--  {=AVERAGE(ABS(B14:AE14))}</v>
      </c>
    </row>
    <row r="18" spans="1:4" ht="27.6" x14ac:dyDescent="0.25">
      <c r="A18" s="10" t="s">
        <v>42</v>
      </c>
      <c r="B18" s="11">
        <f>AVERAGE(B15:AE15)</f>
        <v>5.7865627602418783</v>
      </c>
      <c r="C18" s="2" t="str">
        <f ca="1">[3]!getformula(B18)</f>
        <v>&lt;--  =AVERAGE(B15:AE15)</v>
      </c>
    </row>
    <row r="24" spans="1:4" x14ac:dyDescent="0.25">
      <c r="A24" s="2" t="s">
        <v>43</v>
      </c>
      <c r="B24" s="2">
        <v>1</v>
      </c>
      <c r="C24" s="2">
        <v>-2</v>
      </c>
      <c r="D24" s="2">
        <v>-3</v>
      </c>
    </row>
    <row r="25" spans="1:4" x14ac:dyDescent="0.25">
      <c r="A25" s="2" t="s">
        <v>44</v>
      </c>
      <c r="B25" s="5">
        <f>AVERAGE(B24:D24)</f>
        <v>-1.3333333333333333</v>
      </c>
      <c r="C25" s="2" t="str">
        <f ca="1">[3]!getformula(B25)</f>
        <v>&lt;--  =AVERAGE(B24:D24)</v>
      </c>
    </row>
    <row r="26" spans="1:4" ht="27.6" x14ac:dyDescent="0.25">
      <c r="A26" s="12" t="s">
        <v>45</v>
      </c>
      <c r="B26" s="5">
        <f t="array" ref="B26">AVERAGE(ABS(B24:D24))</f>
        <v>2</v>
      </c>
      <c r="C26" s="2" t="str">
        <f ca="1">[3]!getformula(B26)</f>
        <v>&lt;--  {=AVERAGE(ABS(B24:D24))}</v>
      </c>
    </row>
    <row r="27" spans="1:4" ht="27.6" x14ac:dyDescent="0.25">
      <c r="A27" s="13" t="s">
        <v>46</v>
      </c>
      <c r="B27" s="5">
        <f>AVERAGE(ABS(B24:D24))</f>
        <v>1</v>
      </c>
      <c r="C27" s="2" t="str">
        <f ca="1">[3]!getformula(B27)</f>
        <v>&lt;--  =AVERAGE(ABS(B24:D24))</v>
      </c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2024-11-04T09:22:16Z</dcterms:modified>
</cp:coreProperties>
</file>