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7\"/>
    </mc:Choice>
  </mc:AlternateContent>
  <xr:revisionPtr revIDLastSave="0" documentId="13_ncr:1_{97DBEB93-6EC7-40F1-8650-16A5C1BAFFF1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2" sheetId="2" r:id="rId1"/>
    <sheet name="Sheet1" sheetId="1" r:id="rId2"/>
  </sheets>
  <externalReferences>
    <externalReference r:id="rId3"/>
    <externalReference r:id="rId4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2" i="2" l="1"/>
  <c r="B21" i="2"/>
  <c r="B18" i="2"/>
  <c r="B17" i="2"/>
  <c r="B14" i="2"/>
  <c r="B13" i="2"/>
  <c r="B10" i="2"/>
  <c r="B9" i="2"/>
  <c r="C22" i="2"/>
  <c r="C21" i="2"/>
  <c r="C18" i="2"/>
  <c r="C17" i="2"/>
  <c r="C14" i="2"/>
  <c r="C13" i="2"/>
  <c r="C10" i="2"/>
  <c r="C9" i="2"/>
</calcChain>
</file>

<file path=xl/sharedStrings.xml><?xml version="1.0" encoding="utf-8"?>
<sst xmlns="http://schemas.openxmlformats.org/spreadsheetml/2006/main" count="28" uniqueCount="24">
  <si>
    <t>EQUIVALENCE OF PRICING BY STATE PRICES AND RISK-NEUTRAL PRICES</t>
  </si>
  <si>
    <r>
      <t>X</t>
    </r>
    <r>
      <rPr>
        <vertAlign val="subscript"/>
        <sz val="10"/>
        <rFont val="Arial"/>
        <family val="2"/>
      </rPr>
      <t>U</t>
    </r>
  </si>
  <si>
    <t>Pricing by state prices</t>
  </si>
  <si>
    <r>
      <t>q</t>
    </r>
    <r>
      <rPr>
        <vertAlign val="subscript"/>
        <sz val="10"/>
        <rFont val="Arial"/>
        <family val="2"/>
      </rPr>
      <t>U</t>
    </r>
    <r>
      <rPr>
        <sz val="11"/>
        <color theme="1"/>
        <rFont val="等线"/>
        <family val="2"/>
        <charset val="134"/>
        <scheme val="minor"/>
      </rPr>
      <t>*X</t>
    </r>
    <r>
      <rPr>
        <vertAlign val="subscript"/>
        <sz val="10"/>
        <rFont val="Arial"/>
        <family val="2"/>
      </rPr>
      <t>U</t>
    </r>
    <r>
      <rPr>
        <sz val="11"/>
        <color theme="1"/>
        <rFont val="等线"/>
        <family val="2"/>
        <charset val="134"/>
        <scheme val="minor"/>
      </rPr>
      <t>+q</t>
    </r>
    <r>
      <rPr>
        <vertAlign val="subscript"/>
        <sz val="10"/>
        <rFont val="Arial"/>
        <family val="2"/>
      </rPr>
      <t>D</t>
    </r>
    <r>
      <rPr>
        <sz val="11"/>
        <color theme="1"/>
        <rFont val="等线"/>
        <family val="2"/>
        <charset val="134"/>
        <scheme val="minor"/>
      </rPr>
      <t>*X</t>
    </r>
    <r>
      <rPr>
        <vertAlign val="subscript"/>
        <sz val="10"/>
        <rFont val="Arial"/>
        <family val="2"/>
      </rPr>
      <t>D</t>
    </r>
  </si>
  <si>
    <r>
      <t>X</t>
    </r>
    <r>
      <rPr>
        <vertAlign val="subscript"/>
        <sz val="10"/>
        <rFont val="Arial"/>
        <family val="2"/>
      </rPr>
      <t>D</t>
    </r>
  </si>
  <si>
    <t>Pricing by risk-neutral prices</t>
  </si>
  <si>
    <r>
      <t>(</t>
    </r>
    <r>
      <rPr>
        <sz val="10"/>
        <rFont val="Symbol"/>
        <family val="1"/>
        <charset val="2"/>
      </rPr>
      <t>p</t>
    </r>
    <r>
      <rPr>
        <vertAlign val="subscript"/>
        <sz val="10"/>
        <rFont val="Arial"/>
        <family val="2"/>
      </rPr>
      <t>U</t>
    </r>
    <r>
      <rPr>
        <sz val="11"/>
        <color theme="1"/>
        <rFont val="等线"/>
        <family val="2"/>
        <charset val="134"/>
        <scheme val="minor"/>
      </rPr>
      <t>*X</t>
    </r>
    <r>
      <rPr>
        <vertAlign val="subscript"/>
        <sz val="10"/>
        <rFont val="Arial"/>
        <family val="2"/>
      </rPr>
      <t>U</t>
    </r>
    <r>
      <rPr>
        <sz val="11"/>
        <color theme="1"/>
        <rFont val="等线"/>
        <family val="2"/>
        <charset val="134"/>
        <scheme val="minor"/>
      </rPr>
      <t>+</t>
    </r>
    <r>
      <rPr>
        <sz val="10"/>
        <rFont val="Symbol"/>
        <family val="1"/>
        <charset val="2"/>
      </rPr>
      <t>p</t>
    </r>
    <r>
      <rPr>
        <vertAlign val="subscript"/>
        <sz val="10"/>
        <rFont val="Arial"/>
        <family val="2"/>
      </rPr>
      <t>D</t>
    </r>
    <r>
      <rPr>
        <sz val="11"/>
        <color theme="1"/>
        <rFont val="等线"/>
        <family val="2"/>
        <charset val="134"/>
        <scheme val="minor"/>
      </rPr>
      <t>*X</t>
    </r>
    <r>
      <rPr>
        <vertAlign val="subscript"/>
        <sz val="10"/>
        <rFont val="Arial"/>
        <family val="2"/>
      </rPr>
      <t>D)</t>
    </r>
    <r>
      <rPr>
        <sz val="10"/>
        <rFont val="Arial"/>
        <family val="2"/>
      </rPr>
      <t>/R</t>
    </r>
  </si>
  <si>
    <r>
      <t xml:space="preserve">Relation of risk-neutral to state prices:  </t>
    </r>
    <r>
      <rPr>
        <sz val="10"/>
        <rFont val="Symbol"/>
        <family val="1"/>
        <charset val="2"/>
      </rPr>
      <t>p</t>
    </r>
    <r>
      <rPr>
        <vertAlign val="subscript"/>
        <sz val="10"/>
        <rFont val="Arial"/>
        <family val="2"/>
      </rPr>
      <t>U</t>
    </r>
    <r>
      <rPr>
        <sz val="11"/>
        <color theme="1"/>
        <rFont val="等线"/>
        <family val="2"/>
        <charset val="134"/>
        <scheme val="minor"/>
      </rPr>
      <t>=q</t>
    </r>
    <r>
      <rPr>
        <vertAlign val="subscript"/>
        <sz val="10"/>
        <rFont val="Arial"/>
        <family val="2"/>
      </rPr>
      <t>U</t>
    </r>
    <r>
      <rPr>
        <sz val="11"/>
        <color theme="1"/>
        <rFont val="等线"/>
        <family val="2"/>
        <charset val="134"/>
        <scheme val="minor"/>
      </rPr>
      <t xml:space="preserve">*R, </t>
    </r>
    <r>
      <rPr>
        <sz val="10"/>
        <rFont val="Symbol"/>
        <family val="1"/>
        <charset val="2"/>
      </rPr>
      <t>p</t>
    </r>
    <r>
      <rPr>
        <vertAlign val="subscript"/>
        <sz val="10"/>
        <rFont val="Arial"/>
        <family val="2"/>
      </rPr>
      <t>D</t>
    </r>
    <r>
      <rPr>
        <sz val="11"/>
        <color theme="1"/>
        <rFont val="等线"/>
        <family val="2"/>
        <charset val="134"/>
        <scheme val="minor"/>
      </rPr>
      <t xml:space="preserve"> = q</t>
    </r>
    <r>
      <rPr>
        <vertAlign val="subscript"/>
        <sz val="10"/>
        <rFont val="Arial"/>
        <family val="2"/>
      </rPr>
      <t>D</t>
    </r>
    <r>
      <rPr>
        <sz val="11"/>
        <color theme="1"/>
        <rFont val="等线"/>
        <family val="2"/>
        <charset val="134"/>
        <scheme val="minor"/>
      </rPr>
      <t>*R</t>
    </r>
  </si>
  <si>
    <t>RISK-NEUTRAL PRICES OR STATE PRICES?</t>
  </si>
  <si>
    <t>Up, U</t>
  </si>
  <si>
    <t>Down, D</t>
  </si>
  <si>
    <t>Interest rate, R</t>
  </si>
  <si>
    <t>Initial stock price, S</t>
  </si>
  <si>
    <t>Option exercise price, X</t>
  </si>
  <si>
    <t>State prices</t>
  </si>
  <si>
    <r>
      <t>q</t>
    </r>
    <r>
      <rPr>
        <vertAlign val="subscript"/>
        <sz val="10"/>
        <rFont val="Arial"/>
        <family val="2"/>
      </rPr>
      <t>U</t>
    </r>
  </si>
  <si>
    <r>
      <t>q</t>
    </r>
    <r>
      <rPr>
        <vertAlign val="subscript"/>
        <sz val="10"/>
        <rFont val="Arial"/>
        <family val="2"/>
      </rPr>
      <t>D</t>
    </r>
  </si>
  <si>
    <t>Risk-neutral prices</t>
  </si>
  <si>
    <r>
      <t>p</t>
    </r>
    <r>
      <rPr>
        <vertAlign val="subscript"/>
        <sz val="10"/>
        <rFont val="Arial"/>
        <family val="2"/>
      </rPr>
      <t xml:space="preserve">U </t>
    </r>
    <r>
      <rPr>
        <sz val="10"/>
        <rFont val="Arial"/>
        <family val="2"/>
      </rPr>
      <t>= q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>*R</t>
    </r>
  </si>
  <si>
    <r>
      <t>p</t>
    </r>
    <r>
      <rPr>
        <vertAlign val="subscript"/>
        <sz val="10"/>
        <rFont val="Arial"/>
        <family val="2"/>
      </rPr>
      <t xml:space="preserve">D </t>
    </r>
    <r>
      <rPr>
        <sz val="10"/>
        <rFont val="Arial"/>
        <family val="2"/>
      </rPr>
      <t>= q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>*R</t>
    </r>
  </si>
  <si>
    <t>Pricing the call and the put using state prices</t>
  </si>
  <si>
    <t>Call price</t>
  </si>
  <si>
    <t>Put price</t>
  </si>
  <si>
    <t>Pricing the call and the put using risk-neutral prices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</si>
</sst>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4"/>
      <name val="Arial"/>
      <family val="2"/>
    </font>
    <font>
      <sz val="10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4" fontId="0" fillId="0" borderId="0" xfId="0" applyNumberFormat="1" applyAlignment="1"/>
    <xf numFmtId="0" fontId="6" fillId="0" borderId="0" xfId="0" applyFont="1" applyAlignment="1"/>
    <xf numFmtId="0" fontId="0" fillId="3" borderId="0" xfId="0" applyFill="1" applyAlignment="1"/>
    <xf numFmtId="176" fontId="0" fillId="3" borderId="0" xfId="0" applyNumberFormat="1" applyFill="1" applyAlignment="1"/>
    <xf numFmtId="176" fontId="0" fillId="0" borderId="0" xfId="0" applyNumberFormat="1" applyAlignment="1"/>
    <xf numFmtId="0" fontId="5" fillId="3" borderId="0" xfId="0" applyFont="1" applyFill="1" applyAlignmen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563880</xdr:colOff>
      <xdr:row>3</xdr:row>
      <xdr:rowOff>76200</xdr:rowOff>
    </xdr:from>
    <xdr:to>
      <xdr:col>8</xdr:col>
      <xdr:colOff>434340</xdr:colOff>
      <xdr:row>25</xdr:row>
      <xdr:rowOff>131445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6CF35946-C412-F05A-9A2F-8D702B8CBD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040880" y="647700"/>
          <a:ext cx="6492240" cy="40157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45720</xdr:rowOff>
    </xdr:from>
    <xdr:to>
      <xdr:col>3</xdr:col>
      <xdr:colOff>7620</xdr:colOff>
      <xdr:row>3</xdr:row>
      <xdr:rowOff>91440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23B3D7F2-5275-4519-AA86-FBE3C5AC46D0}"/>
            </a:ext>
          </a:extLst>
        </xdr:cNvPr>
        <xdr:cNvSpPr>
          <a:spLocks noChangeShapeType="1"/>
        </xdr:cNvSpPr>
      </xdr:nvSpPr>
      <xdr:spPr bwMode="auto">
        <a:xfrm flipV="1">
          <a:off x="2828925" y="657225"/>
          <a:ext cx="619125" cy="2476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3</xdr:row>
      <xdr:rowOff>91440</xdr:rowOff>
    </xdr:from>
    <xdr:to>
      <xdr:col>3</xdr:col>
      <xdr:colOff>7620</xdr:colOff>
      <xdr:row>4</xdr:row>
      <xdr:rowOff>68580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94ABBCEC-BDCF-44AD-BE2E-EBC3371D2D69}"/>
            </a:ext>
          </a:extLst>
        </xdr:cNvPr>
        <xdr:cNvSpPr>
          <a:spLocks noChangeShapeType="1"/>
        </xdr:cNvSpPr>
      </xdr:nvSpPr>
      <xdr:spPr bwMode="auto">
        <a:xfrm>
          <a:off x="2828925" y="904875"/>
          <a:ext cx="61912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6</xdr:row>
      <xdr:rowOff>45720</xdr:rowOff>
    </xdr:from>
    <xdr:to>
      <xdr:col>3</xdr:col>
      <xdr:colOff>7620</xdr:colOff>
      <xdr:row>7</xdr:row>
      <xdr:rowOff>91440</xdr:rowOff>
    </xdr:to>
    <xdr:sp macro="" textlink="">
      <xdr:nvSpPr>
        <xdr:cNvPr id="4" name="Line 4">
          <a:extLst>
            <a:ext uri="{FF2B5EF4-FFF2-40B4-BE49-F238E27FC236}">
              <a16:creationId xmlns:a16="http://schemas.microsoft.com/office/drawing/2014/main" id="{6FC46A0E-16FD-4E2F-A93B-6E095027DADD}"/>
            </a:ext>
          </a:extLst>
        </xdr:cNvPr>
        <xdr:cNvSpPr>
          <a:spLocks noChangeShapeType="1"/>
        </xdr:cNvSpPr>
      </xdr:nvSpPr>
      <xdr:spPr bwMode="auto">
        <a:xfrm flipV="1">
          <a:off x="2828925" y="1428750"/>
          <a:ext cx="619125" cy="2476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7</xdr:row>
      <xdr:rowOff>91440</xdr:rowOff>
    </xdr:from>
    <xdr:to>
      <xdr:col>3</xdr:col>
      <xdr:colOff>7620</xdr:colOff>
      <xdr:row>8</xdr:row>
      <xdr:rowOff>68580</xdr:rowOff>
    </xdr:to>
    <xdr:sp macro="" textlink="">
      <xdr:nvSpPr>
        <xdr:cNvPr id="5" name="Line 5">
          <a:extLst>
            <a:ext uri="{FF2B5EF4-FFF2-40B4-BE49-F238E27FC236}">
              <a16:creationId xmlns:a16="http://schemas.microsoft.com/office/drawing/2014/main" id="{13F7450D-6F49-45AB-B03E-9E588A8E5B34}"/>
            </a:ext>
          </a:extLst>
        </xdr:cNvPr>
        <xdr:cNvSpPr>
          <a:spLocks noChangeShapeType="1"/>
        </xdr:cNvSpPr>
      </xdr:nvSpPr>
      <xdr:spPr bwMode="auto">
        <a:xfrm>
          <a:off x="2828925" y="1676400"/>
          <a:ext cx="61912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7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7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s 444-45"/>
      <sheetName val="Pages 444-45中文"/>
      <sheetName val="Page 446, top"/>
      <sheetName val="Page 446, top中文"/>
      <sheetName val="Page 446, bottom"/>
      <sheetName val="Page 446, bottom中文"/>
      <sheetName val="Page 448, picture"/>
      <sheetName val="Page 448，pictures中文"/>
      <sheetName val="Page 448"/>
      <sheetName val="Page 448中文"/>
      <sheetName val="Page 451"/>
      <sheetName val="Page 451中文"/>
      <sheetName val="Page 452"/>
      <sheetName val="Page 452中文"/>
      <sheetName val="Page 454"/>
      <sheetName val="Page 454 (中文)"/>
      <sheetName val="Page 457"/>
      <sheetName val="VBA option functions"/>
      <sheetName val="Page 457中文"/>
      <sheetName val="Page 458"/>
      <sheetName val="Page 458中文"/>
      <sheetName val="Page 460"/>
      <sheetName val="Page 460 (中文)"/>
      <sheetName val="Page 461"/>
      <sheetName val="Page 461 (中文)"/>
      <sheetName val="Page 462"/>
      <sheetName val="Page 462中文"/>
      <sheetName val="Page 463"/>
      <sheetName val="Page 463中文"/>
      <sheetName val="Page 464"/>
      <sheetName val="Page 464中文"/>
      <sheetName val="Page 465"/>
      <sheetName val="Page 465中文"/>
      <sheetName val="Page 466"/>
      <sheetName val="Page 466中文"/>
      <sheetName val="Page 467"/>
      <sheetName val="Page 467中文"/>
      <sheetName val="Page 473"/>
      <sheetName val="Page 473中文"/>
      <sheetName val="Page 474"/>
      <sheetName val="Page 474中文"/>
      <sheetName val="Page 475"/>
      <sheetName val="Page 475中文"/>
      <sheetName val="Page 477"/>
      <sheetName val="Page 477中文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575D7-239B-4B35-AED6-5F08F9B9729F}">
  <dimension ref="A1:C22"/>
  <sheetViews>
    <sheetView tabSelected="1" zoomScale="145" zoomScaleNormal="145" workbookViewId="0">
      <selection activeCell="C30" sqref="C30"/>
    </sheetView>
  </sheetViews>
  <sheetFormatPr defaultRowHeight="13.8" x14ac:dyDescent="0.25"/>
  <cols>
    <col min="1" max="1" width="36.109375" style="3" customWidth="1"/>
    <col min="2" max="2" width="8.88671875" style="3"/>
    <col min="3" max="3" width="49.44140625" style="3" bestFit="1" customWidth="1"/>
    <col min="4" max="9" width="19.33203125" customWidth="1"/>
  </cols>
  <sheetData>
    <row r="1" spans="1:3" ht="17.399999999999999" x14ac:dyDescent="0.25">
      <c r="A1" s="1" t="s">
        <v>8</v>
      </c>
      <c r="B1" s="1"/>
      <c r="C1" s="1"/>
    </row>
    <row r="2" spans="1:3" x14ac:dyDescent="0.25">
      <c r="A2" s="3" t="s">
        <v>9</v>
      </c>
      <c r="B2" s="6">
        <v>1.1000000000000001</v>
      </c>
    </row>
    <row r="3" spans="1:3" x14ac:dyDescent="0.25">
      <c r="A3" s="3" t="s">
        <v>10</v>
      </c>
      <c r="B3" s="6">
        <v>0.97</v>
      </c>
    </row>
    <row r="4" spans="1:3" x14ac:dyDescent="0.25">
      <c r="A4" s="3" t="s">
        <v>11</v>
      </c>
      <c r="B4" s="6">
        <v>1.06</v>
      </c>
    </row>
    <row r="5" spans="1:3" x14ac:dyDescent="0.25">
      <c r="A5" s="3" t="s">
        <v>12</v>
      </c>
      <c r="B5" s="6">
        <v>50</v>
      </c>
    </row>
    <row r="6" spans="1:3" x14ac:dyDescent="0.25">
      <c r="A6" s="3" t="s">
        <v>13</v>
      </c>
      <c r="B6" s="6">
        <v>50</v>
      </c>
    </row>
    <row r="8" spans="1:3" x14ac:dyDescent="0.25">
      <c r="A8" s="7" t="s">
        <v>14</v>
      </c>
    </row>
    <row r="9" spans="1:3" ht="15.6" x14ac:dyDescent="0.35">
      <c r="A9" s="8" t="s">
        <v>15</v>
      </c>
      <c r="B9" s="9">
        <f>(B4-B3)/(B4*(B2-B3))</f>
        <v>0.65312046444121918</v>
      </c>
      <c r="C9" s="3" t="str">
        <f ca="1">[2]!getformula(B9)</f>
        <v>&lt;--  =(B4-B3)/(B4*(B2-B3))</v>
      </c>
    </row>
    <row r="10" spans="1:3" ht="15.6" x14ac:dyDescent="0.35">
      <c r="A10" s="8" t="s">
        <v>16</v>
      </c>
      <c r="B10" s="9">
        <f>(B2-B4)/(B4*(B2-B3))</f>
        <v>0.29027576197387517</v>
      </c>
      <c r="C10" s="3" t="str">
        <f ca="1">[2]!getformula(B10)</f>
        <v>&lt;--  =(B2-B4)/(B4*(B2-B3))</v>
      </c>
    </row>
    <row r="11" spans="1:3" x14ac:dyDescent="0.25">
      <c r="B11" s="10"/>
    </row>
    <row r="12" spans="1:3" x14ac:dyDescent="0.25">
      <c r="A12" s="7" t="s">
        <v>17</v>
      </c>
      <c r="B12" s="10"/>
    </row>
    <row r="13" spans="1:3" ht="15.6" x14ac:dyDescent="0.35">
      <c r="A13" s="11" t="s">
        <v>18</v>
      </c>
      <c r="B13" s="9">
        <f>B9*B4</f>
        <v>0.6923076923076924</v>
      </c>
      <c r="C13" s="3" t="str">
        <f ca="1">[2]!getformula(B13)</f>
        <v>&lt;--  =B9*B4</v>
      </c>
    </row>
    <row r="14" spans="1:3" ht="15.6" x14ac:dyDescent="0.35">
      <c r="A14" s="11" t="s">
        <v>19</v>
      </c>
      <c r="B14" s="9">
        <f>B10*B4</f>
        <v>0.30769230769230771</v>
      </c>
      <c r="C14" s="3" t="str">
        <f ca="1">[2]!getformula(B14)</f>
        <v>&lt;--  =B10*B4</v>
      </c>
    </row>
    <row r="15" spans="1:3" x14ac:dyDescent="0.25">
      <c r="B15" s="10"/>
    </row>
    <row r="16" spans="1:3" x14ac:dyDescent="0.25">
      <c r="A16" s="7" t="s">
        <v>20</v>
      </c>
      <c r="B16" s="10"/>
    </row>
    <row r="17" spans="1:3" x14ac:dyDescent="0.25">
      <c r="A17" s="8" t="s">
        <v>21</v>
      </c>
      <c r="B17" s="9">
        <f>B9*MAX(B5*B2-B6,0)+B10*MAX(B5*B3-B6,0)</f>
        <v>3.2656023222061004</v>
      </c>
      <c r="C17" s="3" t="str">
        <f ca="1">[2]!getformula(B17)</f>
        <v>&lt;--  =B9*MAX(B5*B2-B6,0)+B10*MAX(B5*B3-B6,0)</v>
      </c>
    </row>
    <row r="18" spans="1:3" x14ac:dyDescent="0.25">
      <c r="A18" s="8" t="s">
        <v>22</v>
      </c>
      <c r="B18" s="9">
        <f>B9*MAX(B6-B5*B2,0)+B10*MAX(B6-B5*B3,0)</f>
        <v>0.43541364296081275</v>
      </c>
      <c r="C18" s="3" t="str">
        <f ca="1">[2]!getformula(B18)</f>
        <v>&lt;--  =B9*MAX(B6-B5*B2,0)+B10*MAX(B6-B5*B3,0)</v>
      </c>
    </row>
    <row r="20" spans="1:3" x14ac:dyDescent="0.25">
      <c r="A20" s="7" t="s">
        <v>23</v>
      </c>
      <c r="B20" s="10"/>
    </row>
    <row r="21" spans="1:3" x14ac:dyDescent="0.25">
      <c r="A21" s="8" t="s">
        <v>21</v>
      </c>
      <c r="B21" s="9">
        <f>(B13*MAX(B5*B2-B6,0)+B14*MAX(B5*B3-B6,0))/B4</f>
        <v>3.2656023222061008</v>
      </c>
      <c r="C21" s="3" t="str">
        <f ca="1">[2]!getformula(B21)</f>
        <v>&lt;--  =(B13*MAX(B5*B2-B6,0)+B14*MAX(B5*B3-B6,0))/B4</v>
      </c>
    </row>
    <row r="22" spans="1:3" x14ac:dyDescent="0.25">
      <c r="A22" s="8" t="s">
        <v>22</v>
      </c>
      <c r="B22" s="9">
        <f>(B13*MAX(B6-B5*B2,0)+B14*MAX(B6-B5*B3,0))/B4</f>
        <v>0.43541364296081275</v>
      </c>
      <c r="C22" s="3" t="str">
        <f ca="1">[2]!getformula(B22)</f>
        <v>&lt;--  =(B13*MAX(B6-B5*B2,0)+B14*MAX(B6-B5*B3,0))/B4</v>
      </c>
    </row>
  </sheetData>
  <mergeCells count="1">
    <mergeCell ref="A1:C1"/>
  </mergeCells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D11"/>
  <sheetViews>
    <sheetView workbookViewId="0">
      <selection activeCell="H16" sqref="H16"/>
    </sheetView>
  </sheetViews>
  <sheetFormatPr defaultRowHeight="13.8" x14ac:dyDescent="0.25"/>
  <cols>
    <col min="1" max="1" width="25.33203125" style="3" customWidth="1"/>
    <col min="2" max="2" width="16" style="4" customWidth="1"/>
    <col min="3" max="3" width="8.88671875" style="3"/>
    <col min="4" max="4" width="6.109375" style="4" customWidth="1"/>
  </cols>
  <sheetData>
    <row r="1" spans="1:4" x14ac:dyDescent="0.25">
      <c r="A1" s="1" t="s">
        <v>0</v>
      </c>
      <c r="B1" s="2"/>
      <c r="C1" s="2"/>
      <c r="D1" s="2"/>
    </row>
    <row r="3" spans="1:4" ht="15.6" x14ac:dyDescent="0.35">
      <c r="D3" s="4" t="s">
        <v>1</v>
      </c>
    </row>
    <row r="4" spans="1:4" ht="15.6" x14ac:dyDescent="0.35">
      <c r="A4" s="3" t="s">
        <v>2</v>
      </c>
      <c r="B4" s="4" t="s">
        <v>3</v>
      </c>
    </row>
    <row r="5" spans="1:4" ht="15.6" x14ac:dyDescent="0.35">
      <c r="D5" s="4" t="s">
        <v>4</v>
      </c>
    </row>
    <row r="7" spans="1:4" ht="15.6" x14ac:dyDescent="0.35">
      <c r="D7" s="4" t="s">
        <v>1</v>
      </c>
    </row>
    <row r="8" spans="1:4" ht="15.6" x14ac:dyDescent="0.35">
      <c r="A8" s="3" t="s">
        <v>5</v>
      </c>
      <c r="B8" s="4" t="s">
        <v>6</v>
      </c>
    </row>
    <row r="9" spans="1:4" ht="15.6" x14ac:dyDescent="0.35">
      <c r="D9" s="4" t="s">
        <v>4</v>
      </c>
    </row>
    <row r="11" spans="1:4" ht="15.6" x14ac:dyDescent="0.35">
      <c r="A11" s="5" t="s">
        <v>7</v>
      </c>
      <c r="B11" s="5"/>
      <c r="C11" s="5"/>
      <c r="D11" s="5"/>
    </row>
  </sheetData>
  <mergeCells count="2">
    <mergeCell ref="A1:D1"/>
    <mergeCell ref="A11:D1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2024-11-20T05:37:53Z</dcterms:modified>
</cp:coreProperties>
</file>