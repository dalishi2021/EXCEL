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1D78622A-8C8C-4091-A380-E063F202311E}" xr6:coauthVersionLast="47" xr6:coauthVersionMax="47" xr10:uidLastSave="{00000000-0000-0000-0000-000000000000}"/>
  <bookViews>
    <workbookView xWindow="-27330" yWindow="7395" windowWidth="17280" windowHeight="888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Sheet1!$A$1:$K$40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2" i="1" s="1"/>
  <c r="C15" i="1"/>
  <c r="C14" i="1"/>
  <c r="B15" i="1"/>
  <c r="C9" i="1"/>
  <c r="C10" i="1"/>
  <c r="C11" i="1"/>
  <c r="C12" i="1"/>
  <c r="B10" i="1" l="1"/>
  <c r="B11" i="1"/>
  <c r="C19" i="1"/>
  <c r="B14" i="1"/>
  <c r="B19" i="1" l="1"/>
</calcChain>
</file>

<file path=xl/sharedStrings.xml><?xml version="1.0" encoding="utf-8"?>
<sst xmlns="http://schemas.openxmlformats.org/spreadsheetml/2006/main" count="24" uniqueCount="24">
  <si>
    <t>BLACK-SCHOLES AND BINOMIAL PRICING:
CONVERGENCE</t>
  </si>
  <si>
    <t>S</t>
  </si>
  <si>
    <t>Current stock price</t>
  </si>
  <si>
    <t>X</t>
  </si>
  <si>
    <t>Option exercise price</t>
  </si>
  <si>
    <t>T</t>
  </si>
  <si>
    <t>Time to option exercise (in years)</t>
  </si>
  <si>
    <t>r</t>
  </si>
  <si>
    <t>Annual interest rate</t>
  </si>
  <si>
    <t>Sigma</t>
  </si>
  <si>
    <t>Riskiness of stock</t>
  </si>
  <si>
    <t>n</t>
  </si>
  <si>
    <t>Number of subdivisions of T</t>
  </si>
  <si>
    <r>
      <t>D</t>
    </r>
    <r>
      <rPr>
        <sz val="11"/>
        <color theme="1"/>
        <rFont val="等线"/>
        <family val="2"/>
        <charset val="134"/>
        <scheme val="minor"/>
      </rPr>
      <t>t = T/n</t>
    </r>
  </si>
  <si>
    <t>Up, U</t>
  </si>
  <si>
    <t>Down, D</t>
  </si>
  <si>
    <t>Interest rate, R</t>
  </si>
  <si>
    <t>Binomial European call</t>
  </si>
  <si>
    <t>Black-Scholes call</t>
  </si>
  <si>
    <t>Data table:  Binomial price vs Black-Scholes</t>
  </si>
  <si>
    <t>n, number of subdivisions
of T</t>
  </si>
  <si>
    <t>Binomial
price</t>
  </si>
  <si>
    <t>Black-Scholes price</t>
  </si>
  <si>
    <t>&lt;-- Data table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</si>
</sst>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9" fontId="0" fillId="0" borderId="0" xfId="0" applyNumberFormat="1" applyAlignment="1"/>
    <xf numFmtId="0" fontId="0" fillId="0" borderId="0" xfId="0" quotePrefix="1" applyAlignment="1"/>
    <xf numFmtId="0" fontId="3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4" fillId="0" borderId="0" xfId="0" applyFont="1" applyAlignment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0" xfId="0" applyFill="1" applyAlignment="1"/>
    <xf numFmtId="0" fontId="0" fillId="4" borderId="0" xfId="0" applyFill="1" applyAlignment="1"/>
    <xf numFmtId="176" fontId="0" fillId="4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Convergence of Binomial to Black-Scholes</a:t>
            </a:r>
          </a:p>
        </c:rich>
      </c:tx>
      <c:layout>
        <c:manualLayout>
          <c:xMode val="edge"/>
          <c:yMode val="edge"/>
          <c:x val="0.24844761320257852"/>
          <c:y val="3.96601584304224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1663657446257"/>
          <c:y val="0.13031174991951305"/>
          <c:w val="0.77018789262238907"/>
          <c:h val="0.7563747223589127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Sheet1!$B$18</c:f>
              <c:strCache>
                <c:ptCount val="1"/>
                <c:pt idx="0">
                  <c:v>Binomial
price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Sheet1!$A$20:$A$39</c:f>
              <c:numCache>
                <c:formatCode>General</c:formatCode>
                <c:ptCount val="20"/>
                <c:pt idx="0">
                  <c:v>10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</c:numCache>
            </c:numRef>
          </c:xVal>
          <c:yVal>
            <c:numRef>
              <c:f>Sheet1!$B$20:$B$39</c:f>
              <c:numCache>
                <c:formatCode>0.0000</c:formatCode>
                <c:ptCount val="20"/>
                <c:pt idx="0">
                  <c:v>12.859284846088762</c:v>
                </c:pt>
                <c:pt idx="1">
                  <c:v>12.810784030282054</c:v>
                </c:pt>
                <c:pt idx="2">
                  <c:v>12.82383739551006</c:v>
                </c:pt>
                <c:pt idx="3">
                  <c:v>12.825523150435874</c:v>
                </c:pt>
                <c:pt idx="4">
                  <c:v>12.825089065790275</c:v>
                </c:pt>
                <c:pt idx="5">
                  <c:v>12.824048759215179</c:v>
                </c:pt>
                <c:pt idx="6">
                  <c:v>12.822559709194001</c:v>
                </c:pt>
                <c:pt idx="7">
                  <c:v>12.820548672332787</c:v>
                </c:pt>
                <c:pt idx="8">
                  <c:v>12.820422981193596</c:v>
                </c:pt>
                <c:pt idx="9">
                  <c:v>12.823025111798497</c:v>
                </c:pt>
                <c:pt idx="10">
                  <c:v>12.824298530115929</c:v>
                </c:pt>
                <c:pt idx="11">
                  <c:v>12.824315879498061</c:v>
                </c:pt>
                <c:pt idx="12">
                  <c:v>12.823169102681305</c:v>
                </c:pt>
                <c:pt idx="13">
                  <c:v>12.820956465781148</c:v>
                </c:pt>
                <c:pt idx="14">
                  <c:v>12.822639955248983</c:v>
                </c:pt>
                <c:pt idx="15">
                  <c:v>12.823847919583542</c:v>
                </c:pt>
                <c:pt idx="16">
                  <c:v>12.823594987245025</c:v>
                </c:pt>
                <c:pt idx="17">
                  <c:v>12.82205583783489</c:v>
                </c:pt>
                <c:pt idx="18">
                  <c:v>12.822291619844714</c:v>
                </c:pt>
                <c:pt idx="19">
                  <c:v>12.823568300514527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B-4989-B743-A9ADA0A9CD78}"/>
            </c:ext>
          </c:extLst>
        </c:ser>
        <c:ser>
          <c:idx val="1"/>
          <c:order val="1"/>
          <c:tx>
            <c:strRef>
              <c:f>Sheet1!$C$18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Sheet1!$A$20:$A$39</c:f>
              <c:numCache>
                <c:formatCode>General</c:formatCode>
                <c:ptCount val="20"/>
                <c:pt idx="0">
                  <c:v>10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</c:numCache>
            </c:numRef>
          </c:xVal>
          <c:yVal>
            <c:numRef>
              <c:f>Sheet1!$C$20:$C$39</c:f>
              <c:numCache>
                <c:formatCode>0.0000</c:formatCode>
                <c:ptCount val="20"/>
                <c:pt idx="0">
                  <c:v>12.822602600052306</c:v>
                </c:pt>
                <c:pt idx="1">
                  <c:v>12.822602600052306</c:v>
                </c:pt>
                <c:pt idx="2">
                  <c:v>12.822602600052306</c:v>
                </c:pt>
                <c:pt idx="3">
                  <c:v>12.822602600052306</c:v>
                </c:pt>
                <c:pt idx="4">
                  <c:v>12.822602600052306</c:v>
                </c:pt>
                <c:pt idx="5">
                  <c:v>12.822602600052306</c:v>
                </c:pt>
                <c:pt idx="6">
                  <c:v>12.822602600052306</c:v>
                </c:pt>
                <c:pt idx="7">
                  <c:v>12.822602600052306</c:v>
                </c:pt>
                <c:pt idx="8">
                  <c:v>12.822602600052306</c:v>
                </c:pt>
                <c:pt idx="9">
                  <c:v>12.822602600052306</c:v>
                </c:pt>
                <c:pt idx="10">
                  <c:v>12.822602600052306</c:v>
                </c:pt>
                <c:pt idx="11">
                  <c:v>12.822602600052306</c:v>
                </c:pt>
                <c:pt idx="12">
                  <c:v>12.822602600052306</c:v>
                </c:pt>
                <c:pt idx="13">
                  <c:v>12.822602600052306</c:v>
                </c:pt>
                <c:pt idx="14">
                  <c:v>12.822602600052306</c:v>
                </c:pt>
                <c:pt idx="15">
                  <c:v>12.822602600052306</c:v>
                </c:pt>
                <c:pt idx="16">
                  <c:v>12.822602600052306</c:v>
                </c:pt>
                <c:pt idx="17">
                  <c:v>12.822602600052306</c:v>
                </c:pt>
                <c:pt idx="18">
                  <c:v>12.822602600052306</c:v>
                </c:pt>
                <c:pt idx="19">
                  <c:v>12.822602600052306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B-4989-B743-A9ADA0A9C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53584"/>
        <c:axId val="1"/>
      </c:scatterChart>
      <c:valAx>
        <c:axId val="45405358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n, number of subdivisions of T</a:t>
                </a:r>
              </a:p>
            </c:rich>
          </c:tx>
          <c:layout>
            <c:manualLayout>
              <c:xMode val="edge"/>
              <c:yMode val="edge"/>
              <c:x val="0.59213360145902161"/>
              <c:y val="0.807366302062920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540535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5693688164601318"/>
          <c:y val="0.28328642177646346"/>
          <c:w val="0.20956809812864638"/>
          <c:h val="0.13362293885924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19</xdr:row>
      <xdr:rowOff>0</xdr:rowOff>
    </xdr:from>
    <xdr:to>
      <xdr:col>10</xdr:col>
      <xdr:colOff>198120</xdr:colOff>
      <xdr:row>38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6F9E16D-1D36-4132-97B8-0FD40500D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190500</xdr:colOff>
      <xdr:row>4</xdr:row>
      <xdr:rowOff>0</xdr:rowOff>
    </xdr:from>
    <xdr:to>
      <xdr:col>25</xdr:col>
      <xdr:colOff>247650</xdr:colOff>
      <xdr:row>45</xdr:row>
      <xdr:rowOff>152400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7F3F5FA-88B6-38DD-DFB5-1332918C6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778240" y="746760"/>
          <a:ext cx="7985760" cy="7688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8">
          <cell r="B18" t="str">
            <v>Binomial
price</v>
          </cell>
          <cell r="C18" t="str">
            <v>Black-Scholes price</v>
          </cell>
        </row>
        <row r="20">
          <cell r="A20">
            <v>10</v>
          </cell>
          <cell r="B20">
            <v>12.859284846088762</v>
          </cell>
          <cell r="C20">
            <v>12.822602600052306</v>
          </cell>
        </row>
        <row r="21">
          <cell r="A21">
            <v>50</v>
          </cell>
          <cell r="B21">
            <v>12.810784030282054</v>
          </cell>
          <cell r="C21">
            <v>12.822602600052306</v>
          </cell>
        </row>
        <row r="22">
          <cell r="A22">
            <v>75</v>
          </cell>
          <cell r="B22">
            <v>12.82383739551006</v>
          </cell>
          <cell r="C22">
            <v>12.822602600052306</v>
          </cell>
        </row>
        <row r="23">
          <cell r="A23">
            <v>100</v>
          </cell>
          <cell r="B23">
            <v>12.825523150435874</v>
          </cell>
          <cell r="C23">
            <v>12.822602600052306</v>
          </cell>
        </row>
        <row r="24">
          <cell r="A24">
            <v>125</v>
          </cell>
          <cell r="B24">
            <v>12.825089065790275</v>
          </cell>
          <cell r="C24">
            <v>12.822602600052306</v>
          </cell>
        </row>
        <row r="25">
          <cell r="A25">
            <v>150</v>
          </cell>
          <cell r="B25">
            <v>12.824048759215179</v>
          </cell>
          <cell r="C25">
            <v>12.822602600052306</v>
          </cell>
        </row>
        <row r="26">
          <cell r="A26">
            <v>175</v>
          </cell>
          <cell r="B26">
            <v>12.822559709194001</v>
          </cell>
          <cell r="C26">
            <v>12.822602600052306</v>
          </cell>
        </row>
        <row r="27">
          <cell r="A27">
            <v>200</v>
          </cell>
          <cell r="B27">
            <v>12.820548672332787</v>
          </cell>
          <cell r="C27">
            <v>12.822602600052306</v>
          </cell>
        </row>
        <row r="28">
          <cell r="A28">
            <v>225</v>
          </cell>
          <cell r="B28">
            <v>12.820422981193596</v>
          </cell>
          <cell r="C28">
            <v>12.822602600052306</v>
          </cell>
        </row>
        <row r="29">
          <cell r="A29">
            <v>250</v>
          </cell>
          <cell r="B29">
            <v>12.823025111798497</v>
          </cell>
          <cell r="C29">
            <v>12.822602600052306</v>
          </cell>
        </row>
        <row r="30">
          <cell r="A30">
            <v>275</v>
          </cell>
          <cell r="B30">
            <v>12.824298530115929</v>
          </cell>
          <cell r="C30">
            <v>12.822602600052306</v>
          </cell>
        </row>
        <row r="31">
          <cell r="A31">
            <v>300</v>
          </cell>
          <cell r="B31">
            <v>12.824315879498061</v>
          </cell>
          <cell r="C31">
            <v>12.822602600052306</v>
          </cell>
        </row>
        <row r="32">
          <cell r="A32">
            <v>325</v>
          </cell>
          <cell r="B32">
            <v>12.823169102681305</v>
          </cell>
          <cell r="C32">
            <v>12.822602600052306</v>
          </cell>
        </row>
        <row r="33">
          <cell r="A33">
            <v>350</v>
          </cell>
          <cell r="B33">
            <v>12.820956465781148</v>
          </cell>
          <cell r="C33">
            <v>12.822602600052306</v>
          </cell>
        </row>
        <row r="34">
          <cell r="A34">
            <v>375</v>
          </cell>
          <cell r="B34">
            <v>12.822639955248983</v>
          </cell>
          <cell r="C34">
            <v>12.822602600052306</v>
          </cell>
        </row>
        <row r="35">
          <cell r="A35">
            <v>400</v>
          </cell>
          <cell r="B35">
            <v>12.823847919583542</v>
          </cell>
          <cell r="C35">
            <v>12.822602600052306</v>
          </cell>
        </row>
        <row r="36">
          <cell r="A36">
            <v>425</v>
          </cell>
          <cell r="B36">
            <v>12.823594987245025</v>
          </cell>
          <cell r="C36">
            <v>12.822602600052306</v>
          </cell>
        </row>
        <row r="37">
          <cell r="A37">
            <v>450</v>
          </cell>
          <cell r="B37">
            <v>12.82205583783489</v>
          </cell>
          <cell r="C37">
            <v>12.822602600052306</v>
          </cell>
        </row>
        <row r="38">
          <cell r="A38">
            <v>475</v>
          </cell>
          <cell r="B38">
            <v>12.822291619844714</v>
          </cell>
          <cell r="C38">
            <v>12.822602600052306</v>
          </cell>
        </row>
        <row r="39">
          <cell r="A39">
            <v>500</v>
          </cell>
          <cell r="B39">
            <v>12.823568300514527</v>
          </cell>
          <cell r="C39">
            <v>12.822602600052306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eur_call"/>
      <definedName name="BSCall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K39"/>
  <sheetViews>
    <sheetView tabSelected="1" topLeftCell="A20" zoomScale="145" zoomScaleNormal="145" workbookViewId="0">
      <selection activeCell="R49" sqref="R49"/>
    </sheetView>
  </sheetViews>
  <sheetFormatPr defaultRowHeight="13.8" x14ac:dyDescent="0.25"/>
  <cols>
    <col min="1" max="1" width="20.33203125" style="2" customWidth="1"/>
    <col min="2" max="2" width="8.88671875" style="2"/>
    <col min="3" max="4" width="12.44140625" style="2" customWidth="1"/>
    <col min="5" max="11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12" t="s">
        <v>1</v>
      </c>
      <c r="B2" s="13">
        <v>60</v>
      </c>
      <c r="C2" s="2" t="s">
        <v>2</v>
      </c>
    </row>
    <row r="3" spans="1:6" x14ac:dyDescent="0.25">
      <c r="A3" s="12" t="s">
        <v>3</v>
      </c>
      <c r="B3" s="13">
        <v>50</v>
      </c>
      <c r="C3" s="2" t="s">
        <v>4</v>
      </c>
    </row>
    <row r="4" spans="1:6" x14ac:dyDescent="0.25">
      <c r="A4" s="12" t="s">
        <v>5</v>
      </c>
      <c r="B4" s="3">
        <v>0.5</v>
      </c>
      <c r="C4" s="2" t="s">
        <v>6</v>
      </c>
    </row>
    <row r="5" spans="1:6" x14ac:dyDescent="0.25">
      <c r="A5" s="12" t="s">
        <v>7</v>
      </c>
      <c r="B5" s="4">
        <v>0.08</v>
      </c>
      <c r="C5" s="2" t="s">
        <v>8</v>
      </c>
    </row>
    <row r="6" spans="1:6" x14ac:dyDescent="0.25">
      <c r="A6" s="12" t="s">
        <v>9</v>
      </c>
      <c r="B6" s="4">
        <v>0.3</v>
      </c>
      <c r="C6" s="2" t="s">
        <v>10</v>
      </c>
      <c r="D6" s="5"/>
    </row>
    <row r="7" spans="1:6" x14ac:dyDescent="0.25">
      <c r="A7" s="2" t="s">
        <v>11</v>
      </c>
      <c r="B7" s="13">
        <v>20</v>
      </c>
      <c r="C7" s="2" t="s">
        <v>12</v>
      </c>
      <c r="D7" s="5"/>
    </row>
    <row r="9" spans="1:6" x14ac:dyDescent="0.25">
      <c r="A9" s="6" t="s">
        <v>13</v>
      </c>
      <c r="B9" s="14">
        <f>B4/B7</f>
        <v>2.5000000000000001E-2</v>
      </c>
      <c r="C9" s="2" t="str">
        <f ca="1">[2]!getformula(B9)</f>
        <v>&lt;--  =B4/B7</v>
      </c>
    </row>
    <row r="10" spans="1:6" x14ac:dyDescent="0.25">
      <c r="A10" s="2" t="s">
        <v>14</v>
      </c>
      <c r="B10" s="14">
        <f>EXP(B6*SQRT(B9))</f>
        <v>1.0485771656689211</v>
      </c>
      <c r="C10" s="2" t="str">
        <f ca="1">[2]!getformula(B10)</f>
        <v>&lt;--  =EXP(B6*SQRT(B9))</v>
      </c>
    </row>
    <row r="11" spans="1:6" x14ac:dyDescent="0.25">
      <c r="A11" s="2" t="s">
        <v>15</v>
      </c>
      <c r="B11" s="14">
        <f>EXP(-B6*SQRT(B9))</f>
        <v>0.95367325623772081</v>
      </c>
      <c r="C11" s="2" t="str">
        <f ca="1">[2]!getformula(B11)</f>
        <v>&lt;--  =EXP(-B6*SQRT(B9))</v>
      </c>
    </row>
    <row r="12" spans="1:6" x14ac:dyDescent="0.25">
      <c r="A12" s="2" t="s">
        <v>16</v>
      </c>
      <c r="B12" s="3">
        <f>EXP(B5*B9)</f>
        <v>1.0020020013340003</v>
      </c>
      <c r="C12" s="2" t="str">
        <f ca="1">[2]!getformula(B12)</f>
        <v>&lt;--  =EXP(B5*B9)</v>
      </c>
    </row>
    <row r="13" spans="1:6" x14ac:dyDescent="0.25">
      <c r="B13" s="3"/>
    </row>
    <row r="14" spans="1:6" x14ac:dyDescent="0.25">
      <c r="A14" s="7" t="s">
        <v>17</v>
      </c>
      <c r="B14" s="8">
        <f>[2]!Binomial_eur_call(B10,B11,B12,B2,B3,B7)</f>
        <v>12.805544350757691</v>
      </c>
      <c r="C14" s="2" t="str">
        <f ca="1">[2]!getformula(B14)</f>
        <v>&lt;--  =Binomial_eur_call(B10,B11,B12,B2,B3,B7)</v>
      </c>
    </row>
    <row r="15" spans="1:6" x14ac:dyDescent="0.25">
      <c r="A15" s="7" t="s">
        <v>18</v>
      </c>
      <c r="B15" s="7">
        <f>[2]!BSCall(B2,B3,B4,B5,B6)</f>
        <v>12.822602600052306</v>
      </c>
      <c r="C15" s="2" t="str">
        <f ca="1">[2]!getformula(B15)</f>
        <v>&lt;--  =BSCall(B2,B3,B4,B5,B6)</v>
      </c>
    </row>
    <row r="17" spans="1:4" ht="15.6" x14ac:dyDescent="0.3">
      <c r="A17" s="9" t="s">
        <v>19</v>
      </c>
    </row>
    <row r="18" spans="1:4" ht="39.6" x14ac:dyDescent="0.25">
      <c r="A18" s="10" t="s">
        <v>20</v>
      </c>
      <c r="B18" s="10" t="s">
        <v>21</v>
      </c>
      <c r="C18" s="10" t="s">
        <v>22</v>
      </c>
    </row>
    <row r="19" spans="1:4" x14ac:dyDescent="0.25">
      <c r="A19" s="11"/>
      <c r="B19" s="3">
        <f>B14</f>
        <v>12.805544350757691</v>
      </c>
      <c r="C19" s="3">
        <f>B15</f>
        <v>12.822602600052306</v>
      </c>
      <c r="D19" s="2" t="s">
        <v>23</v>
      </c>
    </row>
    <row r="20" spans="1:4" x14ac:dyDescent="0.25">
      <c r="A20" s="11">
        <v>10</v>
      </c>
      <c r="B20" s="3">
        <f t="dataTable" ref="B20:C39" dt2D="0" dtr="0" r1="B7"/>
        <v>12.859284846088762</v>
      </c>
      <c r="C20" s="3">
        <v>12.822602600052306</v>
      </c>
    </row>
    <row r="21" spans="1:4" x14ac:dyDescent="0.25">
      <c r="A21" s="11">
        <v>50</v>
      </c>
      <c r="B21" s="3">
        <v>12.810784030282054</v>
      </c>
      <c r="C21" s="3">
        <v>12.822602600052306</v>
      </c>
    </row>
    <row r="22" spans="1:4" x14ac:dyDescent="0.25">
      <c r="A22" s="11">
        <v>75</v>
      </c>
      <c r="B22" s="3">
        <v>12.82383739551006</v>
      </c>
      <c r="C22" s="3">
        <v>12.822602600052306</v>
      </c>
    </row>
    <row r="23" spans="1:4" x14ac:dyDescent="0.25">
      <c r="A23" s="11">
        <v>100</v>
      </c>
      <c r="B23" s="3">
        <v>12.825523150435874</v>
      </c>
      <c r="C23" s="3">
        <v>12.822602600052306</v>
      </c>
    </row>
    <row r="24" spans="1:4" x14ac:dyDescent="0.25">
      <c r="A24" s="11">
        <v>125</v>
      </c>
      <c r="B24" s="3">
        <v>12.825089065790275</v>
      </c>
      <c r="C24" s="3">
        <v>12.822602600052306</v>
      </c>
    </row>
    <row r="25" spans="1:4" x14ac:dyDescent="0.25">
      <c r="A25" s="11">
        <v>150</v>
      </c>
      <c r="B25" s="3">
        <v>12.824048759215179</v>
      </c>
      <c r="C25" s="3">
        <v>12.822602600052306</v>
      </c>
    </row>
    <row r="26" spans="1:4" x14ac:dyDescent="0.25">
      <c r="A26" s="11">
        <v>175</v>
      </c>
      <c r="B26" s="3">
        <v>12.822559709194001</v>
      </c>
      <c r="C26" s="3">
        <v>12.822602600052306</v>
      </c>
    </row>
    <row r="27" spans="1:4" x14ac:dyDescent="0.25">
      <c r="A27" s="11">
        <v>200</v>
      </c>
      <c r="B27" s="3">
        <v>12.820548672332787</v>
      </c>
      <c r="C27" s="3">
        <v>12.822602600052306</v>
      </c>
    </row>
    <row r="28" spans="1:4" x14ac:dyDescent="0.25">
      <c r="A28" s="11">
        <v>225</v>
      </c>
      <c r="B28" s="3">
        <v>12.820422981193596</v>
      </c>
      <c r="C28" s="3">
        <v>12.822602600052306</v>
      </c>
    </row>
    <row r="29" spans="1:4" x14ac:dyDescent="0.25">
      <c r="A29" s="11">
        <v>250</v>
      </c>
      <c r="B29" s="3">
        <v>12.823025111798497</v>
      </c>
      <c r="C29" s="3">
        <v>12.822602600052306</v>
      </c>
    </row>
    <row r="30" spans="1:4" x14ac:dyDescent="0.25">
      <c r="A30" s="11">
        <v>275</v>
      </c>
      <c r="B30" s="3">
        <v>12.824298530115929</v>
      </c>
      <c r="C30" s="3">
        <v>12.822602600052306</v>
      </c>
    </row>
    <row r="31" spans="1:4" x14ac:dyDescent="0.25">
      <c r="A31" s="11">
        <v>300</v>
      </c>
      <c r="B31" s="3">
        <v>12.824315879498061</v>
      </c>
      <c r="C31" s="3">
        <v>12.822602600052306</v>
      </c>
    </row>
    <row r="32" spans="1:4" x14ac:dyDescent="0.25">
      <c r="A32" s="11">
        <v>325</v>
      </c>
      <c r="B32" s="3">
        <v>12.823169102681305</v>
      </c>
      <c r="C32" s="3">
        <v>12.822602600052306</v>
      </c>
    </row>
    <row r="33" spans="1:3" x14ac:dyDescent="0.25">
      <c r="A33" s="11">
        <v>350</v>
      </c>
      <c r="B33" s="3">
        <v>12.820956465781148</v>
      </c>
      <c r="C33" s="3">
        <v>12.822602600052306</v>
      </c>
    </row>
    <row r="34" spans="1:3" x14ac:dyDescent="0.25">
      <c r="A34" s="11">
        <v>375</v>
      </c>
      <c r="B34" s="3">
        <v>12.822639955248983</v>
      </c>
      <c r="C34" s="3">
        <v>12.822602600052306</v>
      </c>
    </row>
    <row r="35" spans="1:3" x14ac:dyDescent="0.25">
      <c r="A35" s="11">
        <v>400</v>
      </c>
      <c r="B35" s="3">
        <v>12.823847919583542</v>
      </c>
      <c r="C35" s="3">
        <v>12.822602600052306</v>
      </c>
    </row>
    <row r="36" spans="1:3" x14ac:dyDescent="0.25">
      <c r="A36" s="11">
        <v>425</v>
      </c>
      <c r="B36" s="3">
        <v>12.823594987245025</v>
      </c>
      <c r="C36" s="3">
        <v>12.822602600052306</v>
      </c>
    </row>
    <row r="37" spans="1:3" x14ac:dyDescent="0.25">
      <c r="A37" s="11">
        <v>450</v>
      </c>
      <c r="B37" s="3">
        <v>12.82205583783489</v>
      </c>
      <c r="C37" s="3">
        <v>12.822602600052306</v>
      </c>
    </row>
    <row r="38" spans="1:3" x14ac:dyDescent="0.25">
      <c r="A38" s="11">
        <v>475</v>
      </c>
      <c r="B38" s="3">
        <v>12.822291619844714</v>
      </c>
      <c r="C38" s="3">
        <v>12.822602600052306</v>
      </c>
    </row>
    <row r="39" spans="1:3" x14ac:dyDescent="0.25">
      <c r="A39" s="11">
        <v>500</v>
      </c>
      <c r="B39" s="3">
        <v>12.823568300514527</v>
      </c>
      <c r="C39" s="3">
        <v>12.822602600052306</v>
      </c>
    </row>
  </sheetData>
  <mergeCells count="1">
    <mergeCell ref="A1:F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2024-11-20T09:19:21Z</cp:lastPrinted>
  <dcterms:created xsi:type="dcterms:W3CDTF">2024-10-05T13:27:14Z</dcterms:created>
  <dcterms:modified xsi:type="dcterms:W3CDTF">2024-11-20T09:25:30Z</dcterms:modified>
</cp:coreProperties>
</file>