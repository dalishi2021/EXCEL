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7\"/>
    </mc:Choice>
  </mc:AlternateContent>
  <xr:revisionPtr revIDLastSave="0" documentId="13_ncr:1_{DF1C7059-59AA-4FE7-A455-C3B42A14FBAD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" l="1"/>
  <c r="B12" i="1"/>
  <c r="B11" i="1"/>
  <c r="B15" i="1"/>
  <c r="B10" i="1"/>
  <c r="C9" i="1"/>
  <c r="C20" i="1"/>
  <c r="C19" i="1"/>
  <c r="C18" i="1"/>
  <c r="C17" i="1"/>
  <c r="B20" i="1"/>
  <c r="B19" i="1"/>
  <c r="B18" i="1"/>
  <c r="B17" i="1"/>
  <c r="C15" i="1"/>
  <c r="C13" i="1"/>
  <c r="C12" i="1"/>
  <c r="C11" i="1"/>
  <c r="C10" i="1"/>
</calcChain>
</file>

<file path=xl/sharedStrings.xml><?xml version="1.0" encoding="utf-8"?>
<sst xmlns="http://schemas.openxmlformats.org/spreadsheetml/2006/main" count="17" uniqueCount="17">
  <si>
    <r>
      <t xml:space="preserve">VBA FUNCTIONS FOR CALLS AND PUTS
n divisions per year, </t>
    </r>
    <r>
      <rPr>
        <b/>
        <sz val="14"/>
        <rFont val="Symbol"/>
        <family val="1"/>
        <charset val="2"/>
      </rPr>
      <t>D</t>
    </r>
    <r>
      <rPr>
        <b/>
        <sz val="14"/>
        <rFont val="Arial"/>
        <family val="2"/>
      </rPr>
      <t>t = 1/n
Up=exp(</t>
    </r>
    <r>
      <rPr>
        <b/>
        <sz val="14"/>
        <rFont val="Symbol"/>
        <family val="1"/>
        <charset val="2"/>
      </rPr>
      <t>m</t>
    </r>
    <r>
      <rPr>
        <b/>
        <sz val="14"/>
        <rFont val="Arial"/>
        <family val="2"/>
      </rPr>
      <t>*</t>
    </r>
    <r>
      <rPr>
        <b/>
        <sz val="14"/>
        <rFont val="Symbol"/>
        <family val="1"/>
        <charset val="2"/>
      </rPr>
      <t>D</t>
    </r>
    <r>
      <rPr>
        <b/>
        <sz val="14"/>
        <rFont val="Arial"/>
        <family val="2"/>
      </rPr>
      <t xml:space="preserve">t + </t>
    </r>
    <r>
      <rPr>
        <b/>
        <sz val="14"/>
        <rFont val="Symbol"/>
        <family val="1"/>
        <charset val="2"/>
      </rPr>
      <t>s</t>
    </r>
    <r>
      <rPr>
        <b/>
        <sz val="14"/>
        <rFont val="Arial"/>
        <family val="2"/>
      </rPr>
      <t>*sqrt(</t>
    </r>
    <r>
      <rPr>
        <b/>
        <sz val="14"/>
        <rFont val="Symbol"/>
        <family val="1"/>
        <charset val="2"/>
      </rPr>
      <t>D</t>
    </r>
    <r>
      <rPr>
        <b/>
        <sz val="14"/>
        <rFont val="Arial"/>
        <family val="2"/>
      </rPr>
      <t>t)), Down = exp(</t>
    </r>
    <r>
      <rPr>
        <b/>
        <sz val="14"/>
        <rFont val="Symbol"/>
        <family val="1"/>
        <charset val="2"/>
      </rPr>
      <t>m</t>
    </r>
    <r>
      <rPr>
        <b/>
        <sz val="14"/>
        <rFont val="Arial"/>
        <family val="2"/>
      </rPr>
      <t>*</t>
    </r>
    <r>
      <rPr>
        <b/>
        <sz val="14"/>
        <rFont val="Symbol"/>
        <family val="1"/>
        <charset val="2"/>
      </rPr>
      <t>D</t>
    </r>
    <r>
      <rPr>
        <b/>
        <sz val="14"/>
        <rFont val="Arial"/>
        <family val="2"/>
      </rPr>
      <t xml:space="preserve">t - </t>
    </r>
    <r>
      <rPr>
        <b/>
        <sz val="14"/>
        <rFont val="Symbol"/>
        <family val="1"/>
        <charset val="2"/>
      </rPr>
      <t>s</t>
    </r>
    <r>
      <rPr>
        <b/>
        <sz val="14"/>
        <rFont val="Arial"/>
        <family val="2"/>
      </rPr>
      <t>*sqrt(</t>
    </r>
    <r>
      <rPr>
        <b/>
        <sz val="14"/>
        <rFont val="Symbol"/>
        <family val="1"/>
        <charset val="2"/>
      </rPr>
      <t>D</t>
    </r>
    <r>
      <rPr>
        <b/>
        <sz val="14"/>
        <rFont val="Arial"/>
        <family val="2"/>
      </rPr>
      <t>t))</t>
    </r>
  </si>
  <si>
    <r>
      <t xml:space="preserve">Mean return per year, </t>
    </r>
    <r>
      <rPr>
        <sz val="10"/>
        <rFont val="Symbol"/>
        <family val="1"/>
        <charset val="2"/>
      </rPr>
      <t>m</t>
    </r>
  </si>
  <si>
    <r>
      <t>Standard deviation of annual return,</t>
    </r>
    <r>
      <rPr>
        <sz val="10"/>
        <rFont val="Symbol"/>
        <family val="1"/>
        <charset val="2"/>
      </rPr>
      <t xml:space="preserve"> s</t>
    </r>
  </si>
  <si>
    <t>Annual interest rate, r</t>
  </si>
  <si>
    <t>Initial stock price, S</t>
  </si>
  <si>
    <t>Option exercise price, X</t>
  </si>
  <si>
    <t>Number of divisions of 1 year</t>
  </si>
  <si>
    <r>
      <t>D</t>
    </r>
    <r>
      <rPr>
        <sz val="11"/>
        <color theme="1"/>
        <rFont val="等线"/>
        <family val="2"/>
        <charset val="134"/>
        <scheme val="minor"/>
      </rPr>
      <t>t, the length of one division</t>
    </r>
  </si>
  <si>
    <r>
      <t xml:space="preserve">Up move per </t>
    </r>
    <r>
      <rPr>
        <sz val="10"/>
        <rFont val="Symbol"/>
        <family val="1"/>
        <charset val="2"/>
      </rPr>
      <t>D</t>
    </r>
    <r>
      <rPr>
        <sz val="11"/>
        <color theme="1"/>
        <rFont val="等线"/>
        <family val="2"/>
        <charset val="134"/>
        <scheme val="minor"/>
      </rPr>
      <t>t</t>
    </r>
  </si>
  <si>
    <r>
      <t xml:space="preserve">Down move per </t>
    </r>
    <r>
      <rPr>
        <sz val="10"/>
        <rFont val="Symbol"/>
        <family val="1"/>
        <charset val="2"/>
      </rPr>
      <t>D</t>
    </r>
    <r>
      <rPr>
        <sz val="11"/>
        <color theme="1"/>
        <rFont val="等线"/>
        <family val="2"/>
        <charset val="134"/>
        <scheme val="minor"/>
      </rPr>
      <t>t</t>
    </r>
  </si>
  <si>
    <r>
      <t xml:space="preserve">Interest rate per </t>
    </r>
    <r>
      <rPr>
        <sz val="10"/>
        <rFont val="Symbol"/>
        <family val="1"/>
        <charset val="2"/>
      </rPr>
      <t>D</t>
    </r>
    <r>
      <rPr>
        <sz val="11"/>
        <color theme="1"/>
        <rFont val="等线"/>
        <family val="2"/>
        <charset val="134"/>
        <scheme val="minor"/>
      </rPr>
      <t>t</t>
    </r>
  </si>
  <si>
    <t>Number of periods until maturity, n</t>
  </si>
  <si>
    <t>American put</t>
  </si>
  <si>
    <t>European put</t>
  </si>
  <si>
    <t>American call</t>
  </si>
  <si>
    <t>European call</t>
  </si>
  <si>
    <t>Option exercise date (years)T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</si>
</sst>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4"/>
      <name val="Symbol"/>
      <family val="1"/>
      <charset val="2"/>
    </font>
    <font>
      <sz val="10"/>
      <name val="Symbol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0" borderId="0" xfId="0" applyAlignment="1"/>
    <xf numFmtId="9" fontId="0" fillId="0" borderId="0" xfId="1" applyFont="1" applyAlignment="1"/>
    <xf numFmtId="4" fontId="0" fillId="0" borderId="0" xfId="0" applyNumberFormat="1" applyAlignment="1"/>
    <xf numFmtId="0" fontId="5" fillId="0" borderId="0" xfId="0" applyFont="1" applyAlignment="1"/>
    <xf numFmtId="0" fontId="0" fillId="2" borderId="0" xfId="0" applyFill="1" applyAlignment="1"/>
    <xf numFmtId="176" fontId="0" fillId="2" borderId="0" xfId="0" applyNumberFormat="1" applyFill="1" applyAlignment="1"/>
    <xf numFmtId="176" fontId="0" fillId="0" borderId="0" xfId="0" applyNumberForma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182880</xdr:colOff>
      <xdr:row>5</xdr:row>
      <xdr:rowOff>0</xdr:rowOff>
    </xdr:from>
    <xdr:to>
      <xdr:col>12</xdr:col>
      <xdr:colOff>514350</xdr:colOff>
      <xdr:row>28</xdr:row>
      <xdr:rowOff>95251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C50E591C-ED30-7DD4-2FDF-A008657553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981700" y="922020"/>
          <a:ext cx="5806440" cy="4114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7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444-45"/>
      <sheetName val="Pages 444-45中文"/>
      <sheetName val="Page 446, top"/>
      <sheetName val="Page 446, top中文"/>
      <sheetName val="Page 446, bottom"/>
      <sheetName val="Page 446, bottom中文"/>
      <sheetName val="Page 448, picture"/>
      <sheetName val="Page 448，pictures中文"/>
      <sheetName val="Page 448"/>
      <sheetName val="Page 448中文"/>
      <sheetName val="Page 451"/>
      <sheetName val="Page 451中文"/>
      <sheetName val="Page 452"/>
      <sheetName val="Page 452中文"/>
      <sheetName val="Page 454"/>
      <sheetName val="Page 454 (中文)"/>
      <sheetName val="Page 457"/>
      <sheetName val="VBA option functions"/>
      <sheetName val="Page 457中文"/>
      <sheetName val="Page 458"/>
      <sheetName val="Page 458中文"/>
      <sheetName val="Page 460"/>
      <sheetName val="Page 460 (中文)"/>
      <sheetName val="Page 461"/>
      <sheetName val="Page 461 (中文)"/>
      <sheetName val="Page 462"/>
      <sheetName val="Page 462中文"/>
      <sheetName val="Page 463"/>
      <sheetName val="Page 463中文"/>
      <sheetName val="Page 464"/>
      <sheetName val="Page 464中文"/>
      <sheetName val="Page 465"/>
      <sheetName val="Page 465中文"/>
      <sheetName val="Page 466"/>
      <sheetName val="Page 466中文"/>
      <sheetName val="Page 467"/>
      <sheetName val="Page 467中文"/>
      <sheetName val="Page 473"/>
      <sheetName val="Page 473中文"/>
      <sheetName val="Page 474"/>
      <sheetName val="Page 474中文"/>
      <sheetName val="Page 475"/>
      <sheetName val="Page 475中文"/>
      <sheetName val="Page 477"/>
      <sheetName val="Page 477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inomial_amer_call"/>
      <definedName name="Binomial_amer_put"/>
      <definedName name="Binomial_eur_call"/>
      <definedName name="Binomial_eur_put"/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C20"/>
  <sheetViews>
    <sheetView tabSelected="1" zoomScale="160" zoomScaleNormal="160" workbookViewId="0">
      <selection activeCell="N9" sqref="N9"/>
    </sheetView>
  </sheetViews>
  <sheetFormatPr defaultRowHeight="13.8" x14ac:dyDescent="0.25"/>
  <cols>
    <col min="1" max="1" width="35.21875" style="3" customWidth="1"/>
    <col min="2" max="2" width="8.88671875" style="3"/>
    <col min="3" max="3" width="44.33203125" style="3" bestFit="1" customWidth="1"/>
  </cols>
  <sheetData>
    <row r="1" spans="1:3" ht="64.8" customHeight="1" x14ac:dyDescent="0.25">
      <c r="A1" s="1" t="s">
        <v>0</v>
      </c>
      <c r="B1" s="2"/>
      <c r="C1" s="2"/>
    </row>
    <row r="2" spans="1:3" x14ac:dyDescent="0.25">
      <c r="A2" s="3" t="s">
        <v>1</v>
      </c>
      <c r="B2" s="4">
        <v>0.15</v>
      </c>
    </row>
    <row r="3" spans="1:3" x14ac:dyDescent="0.25">
      <c r="A3" s="3" t="s">
        <v>2</v>
      </c>
      <c r="B3" s="4">
        <v>0.35</v>
      </c>
    </row>
    <row r="4" spans="1:3" x14ac:dyDescent="0.25">
      <c r="A4" s="3" t="s">
        <v>3</v>
      </c>
      <c r="B4" s="4">
        <v>0.06</v>
      </c>
    </row>
    <row r="5" spans="1:3" x14ac:dyDescent="0.25">
      <c r="B5" s="5"/>
    </row>
    <row r="6" spans="1:3" x14ac:dyDescent="0.25">
      <c r="A6" s="3" t="s">
        <v>4</v>
      </c>
      <c r="B6" s="5">
        <v>50</v>
      </c>
    </row>
    <row r="7" spans="1:3" x14ac:dyDescent="0.25">
      <c r="A7" s="3" t="s">
        <v>5</v>
      </c>
      <c r="B7" s="5">
        <v>50</v>
      </c>
    </row>
    <row r="8" spans="1:3" x14ac:dyDescent="0.25">
      <c r="A8" s="3" t="s">
        <v>16</v>
      </c>
      <c r="B8" s="5">
        <v>0.75</v>
      </c>
    </row>
    <row r="9" spans="1:3" x14ac:dyDescent="0.25">
      <c r="A9" s="3" t="s">
        <v>6</v>
      </c>
      <c r="B9" s="3">
        <v>25</v>
      </c>
      <c r="C9" s="3" t="str">
        <f>"&lt;-- each year divided into "&amp;TEXT(B9,"0")&amp;" subperiods"</f>
        <v>&lt;-- each year divided into 25 subperiods</v>
      </c>
    </row>
    <row r="10" spans="1:3" x14ac:dyDescent="0.25">
      <c r="A10" s="6" t="s">
        <v>7</v>
      </c>
      <c r="B10" s="3">
        <f>1/B9</f>
        <v>0.04</v>
      </c>
      <c r="C10" s="3" t="str">
        <f ca="1">[2]!getformula(B10)</f>
        <v>&lt;--  =1/B9</v>
      </c>
    </row>
    <row r="11" spans="1:3" x14ac:dyDescent="0.25">
      <c r="A11" s="3" t="s">
        <v>8</v>
      </c>
      <c r="B11" s="3">
        <f>EXP(B2*B10+B3*SQRT(B10))</f>
        <v>1.0789625741572839</v>
      </c>
      <c r="C11" s="3" t="str">
        <f ca="1">[2]!getformula(B11)</f>
        <v>&lt;--  =EXP(B2*B10+B3*SQRT(B10))</v>
      </c>
    </row>
    <row r="12" spans="1:3" x14ac:dyDescent="0.25">
      <c r="A12" s="3" t="s">
        <v>9</v>
      </c>
      <c r="B12" s="3">
        <f>EXP(B2*B10-B3*SQRT(B10))</f>
        <v>0.93800499953072947</v>
      </c>
      <c r="C12" s="3" t="str">
        <f ca="1">[2]!getformula(B12)</f>
        <v>&lt;--  =EXP(B2*B10-B3*SQRT(B10))</v>
      </c>
    </row>
    <row r="13" spans="1:3" x14ac:dyDescent="0.25">
      <c r="A13" s="3" t="s">
        <v>10</v>
      </c>
      <c r="B13" s="3">
        <f>EXP(B4*B10)</f>
        <v>1.002402882305383</v>
      </c>
      <c r="C13" s="3" t="str">
        <f ca="1">[2]!getformula(B13)</f>
        <v>&lt;--  =EXP(B4*B10)</v>
      </c>
    </row>
    <row r="15" spans="1:3" x14ac:dyDescent="0.25">
      <c r="A15" s="3" t="s">
        <v>11</v>
      </c>
      <c r="B15" s="3">
        <f>ROUND(B8*B9,0)</f>
        <v>19</v>
      </c>
      <c r="C15" s="3" t="str">
        <f ca="1">[2]!getformula(B15)</f>
        <v>&lt;--  =ROUND(B8*B9,0)</v>
      </c>
    </row>
    <row r="17" spans="1:3" x14ac:dyDescent="0.25">
      <c r="A17" s="7" t="s">
        <v>12</v>
      </c>
      <c r="B17" s="8">
        <f>[2]!Binomial_amer_put(B11,B12,B13,B6,B7,B15)</f>
        <v>5.1310651212984002</v>
      </c>
      <c r="C17" s="3" t="str">
        <f ca="1">[2]!getformula(B17)</f>
        <v>&lt;--  =Binomial_amer_put(B11,B12,B13,B6,B7,B15)</v>
      </c>
    </row>
    <row r="18" spans="1:3" x14ac:dyDescent="0.25">
      <c r="A18" s="7" t="s">
        <v>13</v>
      </c>
      <c r="B18" s="8">
        <f>[2]!Binomial_eur_put(B11,B12,B13,B6,B7,B15)</f>
        <v>4.9212577078341155</v>
      </c>
      <c r="C18" s="3" t="str">
        <f ca="1">[2]!getformula(B18)</f>
        <v>&lt;--  =Binomial_eur_put(B11,B12,B13,B6,B7,B15)</v>
      </c>
    </row>
    <row r="19" spans="1:3" x14ac:dyDescent="0.25">
      <c r="A19" s="3" t="s">
        <v>14</v>
      </c>
      <c r="B19" s="9">
        <f>[2]!Binomial_amer_call(B11,B12,B13,B6,B7,B15)</f>
        <v>7.1500549383772576</v>
      </c>
      <c r="C19" s="3" t="str">
        <f ca="1">[2]!getformula(B19)</f>
        <v>&lt;--  =Binomial_amer_call(B11,B12,B13,B6,B7,B15)</v>
      </c>
    </row>
    <row r="20" spans="1:3" x14ac:dyDescent="0.25">
      <c r="A20" s="3" t="s">
        <v>15</v>
      </c>
      <c r="B20" s="9">
        <f>[2]!Binomial_eur_call(B11,B12,B13,B6,B7,B15)</f>
        <v>7.1500549383772558</v>
      </c>
      <c r="C20" s="3" t="str">
        <f ca="1">[2]!getformula(B20)</f>
        <v>&lt;--  =Binomial_eur_call(B11,B12,B13,B6,B7,B15)</v>
      </c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2024-11-20T09:10:17Z</dcterms:modified>
</cp:coreProperties>
</file>