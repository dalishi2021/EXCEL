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"/>
    </mc:Choice>
  </mc:AlternateContent>
  <xr:revisionPtr revIDLastSave="0" documentId="13_ncr:1_{B23C2BB6-ED30-4550-B75A-EE7B2F501D5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C11" i="1"/>
  <c r="C12" i="1"/>
  <c r="C9" i="1"/>
  <c r="B11" i="1"/>
  <c r="B9" i="1"/>
  <c r="B10" i="1"/>
  <c r="B12" i="1"/>
</calcChain>
</file>

<file path=xl/sharedStrings.xml><?xml version="1.0" encoding="utf-8"?>
<sst xmlns="http://schemas.openxmlformats.org/spreadsheetml/2006/main" count="11" uniqueCount="11">
  <si>
    <t>Initial stock price, S</t>
  </si>
  <si>
    <t>Option exercise price, X</t>
  </si>
  <si>
    <t>American put</t>
  </si>
  <si>
    <t>European put</t>
  </si>
  <si>
    <t>American call</t>
  </si>
  <si>
    <t>European call</t>
  </si>
  <si>
    <t>VBA FUNCTIONS FOR CALLS AND PUTS</t>
  </si>
  <si>
    <t>Up, U</t>
  </si>
  <si>
    <t>Down, D</t>
  </si>
  <si>
    <t>Interest rate, R</t>
  </si>
  <si>
    <t>Number of periods,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</si>
</sst>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/>
    <xf numFmtId="4" fontId="0" fillId="0" borderId="0" xfId="0" applyNumberFormat="1" applyAlignment="1"/>
    <xf numFmtId="0" fontId="0" fillId="2" borderId="0" xfId="0" applyFill="1" applyAlignment="1"/>
    <xf numFmtId="176" fontId="0" fillId="2" borderId="0" xfId="0" applyNumberFormat="1" applyFill="1" applyAlignment="1"/>
    <xf numFmtId="176" fontId="0" fillId="0" borderId="0" xfId="0" applyNumberFormat="1" applyAlignment="1"/>
    <xf numFmtId="0" fontId="2" fillId="0" borderId="0" xfId="0" applyFont="1" applyAlignment="1">
      <alignment horizontal="center"/>
    </xf>
    <xf numFmtId="3" fontId="0" fillId="2" borderId="0" xfId="0" applyNumberFormat="1" applyFill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251460</xdr:colOff>
      <xdr:row>2</xdr:row>
      <xdr:rowOff>99060</xdr:rowOff>
    </xdr:from>
    <xdr:to>
      <xdr:col>12</xdr:col>
      <xdr:colOff>281940</xdr:colOff>
      <xdr:row>14</xdr:row>
      <xdr:rowOff>114300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55F985F-5C12-CB4C-1A73-CA76FC274D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60720" y="495300"/>
          <a:ext cx="5509260" cy="21183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444-45"/>
      <sheetName val="Pages 444-45中文"/>
      <sheetName val="Page 446, top"/>
      <sheetName val="Page 446, top中文"/>
      <sheetName val="Page 446, bottom"/>
      <sheetName val="Page 446, bottom中文"/>
      <sheetName val="Page 448, picture"/>
      <sheetName val="Page 448，pictures中文"/>
      <sheetName val="Page 448"/>
      <sheetName val="Page 448中文"/>
      <sheetName val="Page 451"/>
      <sheetName val="Page 451中文"/>
      <sheetName val="Page 452"/>
      <sheetName val="Page 452中文"/>
      <sheetName val="Page 454"/>
      <sheetName val="Page 454 (中文)"/>
      <sheetName val="Page 457"/>
      <sheetName val="VBA option functions"/>
      <sheetName val="Page 457中文"/>
      <sheetName val="Page 458"/>
      <sheetName val="Page 458中文"/>
      <sheetName val="Page 460"/>
      <sheetName val="Page 460 (中文)"/>
      <sheetName val="Page 461"/>
      <sheetName val="Page 461 (中文)"/>
      <sheetName val="Page 462"/>
      <sheetName val="Page 462中文"/>
      <sheetName val="Page 463"/>
      <sheetName val="Page 463中文"/>
      <sheetName val="Page 464"/>
      <sheetName val="Page 464中文"/>
      <sheetName val="Page 465"/>
      <sheetName val="Page 465中文"/>
      <sheetName val="Page 466"/>
      <sheetName val="Page 466中文"/>
      <sheetName val="Page 467"/>
      <sheetName val="Page 467中文"/>
      <sheetName val="Page 473"/>
      <sheetName val="Page 473中文"/>
      <sheetName val="Page 474"/>
      <sheetName val="Page 474中文"/>
      <sheetName val="Page 475"/>
      <sheetName val="Page 475中文"/>
      <sheetName val="Page 477"/>
      <sheetName val="Page 47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inomial_amer_call"/>
      <definedName name="Binomial_amer_put"/>
      <definedName name="Binomial_eur_call"/>
      <definedName name="Binomial_eur_put"/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C12"/>
  <sheetViews>
    <sheetView tabSelected="1" zoomScale="175" zoomScaleNormal="175" workbookViewId="0">
      <selection activeCell="C18" sqref="C18"/>
    </sheetView>
  </sheetViews>
  <sheetFormatPr defaultRowHeight="13.8" x14ac:dyDescent="0.25"/>
  <cols>
    <col min="1" max="1" width="31.33203125" style="1" customWidth="1"/>
    <col min="2" max="2" width="8.88671875" style="1"/>
    <col min="3" max="3" width="40.109375" style="1" bestFit="1" customWidth="1"/>
  </cols>
  <sheetData>
    <row r="1" spans="1:3" ht="17.399999999999999" x14ac:dyDescent="0.3">
      <c r="A1" s="6" t="s">
        <v>6</v>
      </c>
      <c r="B1" s="6"/>
      <c r="C1" s="6"/>
    </row>
    <row r="2" spans="1:3" x14ac:dyDescent="0.25">
      <c r="A2" s="1" t="s">
        <v>7</v>
      </c>
      <c r="B2" s="2">
        <v>1.1000000000000001</v>
      </c>
    </row>
    <row r="3" spans="1:3" x14ac:dyDescent="0.25">
      <c r="A3" s="1" t="s">
        <v>8</v>
      </c>
      <c r="B3" s="2">
        <v>0.97</v>
      </c>
    </row>
    <row r="4" spans="1:3" x14ac:dyDescent="0.25">
      <c r="A4" s="1" t="s">
        <v>9</v>
      </c>
      <c r="B4" s="2">
        <v>1.06</v>
      </c>
    </row>
    <row r="5" spans="1:3" x14ac:dyDescent="0.25">
      <c r="A5" s="1" t="s">
        <v>0</v>
      </c>
      <c r="B5" s="2">
        <v>50</v>
      </c>
    </row>
    <row r="6" spans="1:3" x14ac:dyDescent="0.25">
      <c r="A6" s="1" t="s">
        <v>1</v>
      </c>
      <c r="B6" s="2">
        <v>50</v>
      </c>
    </row>
    <row r="7" spans="1:3" x14ac:dyDescent="0.25">
      <c r="A7" s="3" t="s">
        <v>10</v>
      </c>
      <c r="B7" s="7">
        <v>2</v>
      </c>
    </row>
    <row r="9" spans="1:3" x14ac:dyDescent="0.25">
      <c r="A9" s="3" t="s">
        <v>2</v>
      </c>
      <c r="B9" s="4">
        <f>[2]!Binomial_amer_put(B2,B3,B4,B5,B6,B7)</f>
        <v>0.43541364296081259</v>
      </c>
      <c r="C9" s="1" t="str">
        <f ca="1">[2]!getformula(B9)</f>
        <v>&lt;--  =Binomial_amer_put(B2,B3,B4,B5,B6,B7)</v>
      </c>
    </row>
    <row r="10" spans="1:3" x14ac:dyDescent="0.25">
      <c r="A10" s="3" t="s">
        <v>3</v>
      </c>
      <c r="B10" s="5">
        <f>[2]!Binomial_eur_put(B2,B3,B4,B5,B6,B7)</f>
        <v>0.2489883531590138</v>
      </c>
      <c r="C10" s="1" t="str">
        <f ca="1">[2]!getformula(B10)</f>
        <v>&lt;--  =Binomial_eur_put(B2,B3,B4,B5,B6,B7)</v>
      </c>
    </row>
    <row r="11" spans="1:3" x14ac:dyDescent="0.25">
      <c r="A11" s="1" t="s">
        <v>4</v>
      </c>
      <c r="B11" s="5">
        <f>[2]!Binomial_amer_call(B2,B3,B4,B5,B6,B7)</f>
        <v>5.7491663524470225</v>
      </c>
      <c r="C11" s="1" t="str">
        <f ca="1">[2]!getformula(B11)</f>
        <v>&lt;--  =Binomial_amer_call(B2,B3,B4,B5,B6,B7)</v>
      </c>
    </row>
    <row r="12" spans="1:3" x14ac:dyDescent="0.25">
      <c r="A12" s="1" t="s">
        <v>5</v>
      </c>
      <c r="B12" s="5">
        <f>[2]!Binomial_eur_call(B2,B3,B4,B5,B6,B7)</f>
        <v>5.7491663524470225</v>
      </c>
      <c r="C12" s="1" t="str">
        <f ca="1">[2]!getformula(B12)</f>
        <v>&lt;--  =Binomial_eur_call(B2,B3,B4,B5,B6,B7)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2024-11-20T08:51:11Z</dcterms:modified>
</cp:coreProperties>
</file>