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DC5449B9-2735-480A-A57D-C043FEE565D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Sheet1!$A$1:$K$41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3" i="1" s="1"/>
  <c r="C15" i="1"/>
  <c r="C16" i="1"/>
  <c r="B16" i="1"/>
  <c r="B15" i="1"/>
  <c r="C10" i="1"/>
  <c r="C11" i="1"/>
  <c r="C12" i="1"/>
  <c r="C13" i="1"/>
  <c r="C20" i="1" l="1"/>
  <c r="B20" i="1"/>
  <c r="B11" i="1"/>
  <c r="B12" i="1"/>
</calcChain>
</file>

<file path=xl/sharedStrings.xml><?xml version="1.0" encoding="utf-8"?>
<sst xmlns="http://schemas.openxmlformats.org/spreadsheetml/2006/main" count="25" uniqueCount="25">
  <si>
    <r>
      <t>BLACK-SCHOLES AND BINOMIAL PRICING:
U=exp(</t>
    </r>
    <r>
      <rPr>
        <b/>
        <sz val="14"/>
        <rFont val="Symbol"/>
        <family val="1"/>
        <charset val="2"/>
      </rPr>
      <t>mD</t>
    </r>
    <r>
      <rPr>
        <b/>
        <sz val="14"/>
        <rFont val="Arial"/>
        <family val="2"/>
      </rPr>
      <t xml:space="preserve">t + </t>
    </r>
    <r>
      <rPr>
        <b/>
        <sz val="14"/>
        <rFont val="Symbol"/>
        <family val="1"/>
        <charset val="2"/>
      </rPr>
      <t>s</t>
    </r>
    <r>
      <rPr>
        <b/>
        <sz val="14"/>
        <rFont val="Arial"/>
        <family val="2"/>
      </rPr>
      <t>*sqrt(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t) ), D=exp(</t>
    </r>
    <r>
      <rPr>
        <b/>
        <sz val="14"/>
        <rFont val="Symbol"/>
        <family val="1"/>
        <charset val="2"/>
      </rPr>
      <t>mD</t>
    </r>
    <r>
      <rPr>
        <b/>
        <sz val="14"/>
        <rFont val="Arial"/>
        <family val="2"/>
      </rPr>
      <t xml:space="preserve">t - </t>
    </r>
    <r>
      <rPr>
        <b/>
        <sz val="14"/>
        <rFont val="Symbol"/>
        <family val="1"/>
        <charset val="2"/>
      </rPr>
      <t>s</t>
    </r>
    <r>
      <rPr>
        <b/>
        <sz val="14"/>
        <rFont val="Arial"/>
        <family val="2"/>
      </rPr>
      <t>*sqrt(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t) )</t>
    </r>
  </si>
  <si>
    <t>S</t>
  </si>
  <si>
    <t>Current stock price</t>
  </si>
  <si>
    <t>X</t>
  </si>
  <si>
    <t>Option exercise price</t>
  </si>
  <si>
    <t>T</t>
  </si>
  <si>
    <t>Time to option exercise (in years)</t>
  </si>
  <si>
    <t>r</t>
  </si>
  <si>
    <t>Annual interest rate</t>
  </si>
  <si>
    <r>
      <t xml:space="preserve">Mean return, </t>
    </r>
    <r>
      <rPr>
        <sz val="10"/>
        <rFont val="Symbol"/>
        <family val="1"/>
        <charset val="2"/>
      </rPr>
      <t>m</t>
    </r>
  </si>
  <si>
    <r>
      <t xml:space="preserve">Sigma, </t>
    </r>
    <r>
      <rPr>
        <sz val="10"/>
        <rFont val="Symbol"/>
        <family val="1"/>
        <charset val="2"/>
      </rPr>
      <t>s</t>
    </r>
  </si>
  <si>
    <t>Riskiness of stock</t>
  </si>
  <si>
    <t>n</t>
  </si>
  <si>
    <t>Number of subdivisions of T</t>
  </si>
  <si>
    <r>
      <t>D</t>
    </r>
    <r>
      <rPr>
        <sz val="11"/>
        <color theme="1"/>
        <rFont val="等线"/>
        <family val="2"/>
        <charset val="134"/>
        <scheme val="minor"/>
      </rPr>
      <t>t = T/n</t>
    </r>
  </si>
  <si>
    <t>Up, U</t>
  </si>
  <si>
    <t>Down, D</t>
  </si>
  <si>
    <t>Interest rate, R</t>
  </si>
  <si>
    <t>Binomial European call</t>
  </si>
  <si>
    <t>Black-Scholes call</t>
  </si>
  <si>
    <t>Data table:  Binomial price vs Black-Scholes</t>
  </si>
  <si>
    <t>n, number of subdivisions
of T</t>
  </si>
  <si>
    <t>Binomial
price</t>
  </si>
  <si>
    <t>Black-Scholes price</t>
  </si>
  <si>
    <t>&lt;-- Data table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</si>
</sst>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4"/>
      <name val="Symbol"/>
      <family val="1"/>
      <charset val="2"/>
    </font>
    <font>
      <sz val="10"/>
      <name val="Symbol"/>
      <family val="1"/>
      <charset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9" fontId="0" fillId="0" borderId="0" xfId="0" applyNumberFormat="1" applyAlignment="1"/>
    <xf numFmtId="0" fontId="0" fillId="0" borderId="0" xfId="0" quotePrefix="1" applyAlignment="1"/>
    <xf numFmtId="0" fontId="4" fillId="0" borderId="0" xfId="0" applyFon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5" fillId="0" borderId="0" xfId="0" applyFont="1" applyAlignment="1"/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Convergence of Binomial to Black-Scholes</a:t>
            </a:r>
          </a:p>
        </c:rich>
      </c:tx>
      <c:layout>
        <c:manualLayout>
          <c:xMode val="edge"/>
          <c:yMode val="edge"/>
          <c:x val="0.24844761320257852"/>
          <c:y val="3.9660221043798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5758414528368"/>
          <c:y val="0.12747888579082797"/>
          <c:w val="0.77225829018320202"/>
          <c:h val="0.756374722358912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'[1]Page 466'!$B$19</c:f>
              <c:strCache>
                <c:ptCount val="1"/>
                <c:pt idx="0">
                  <c:v>Binomial
price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466'!$A$21:$A$40</c:f>
              <c:numCache>
                <c:formatCode>General</c:formatCode>
                <c:ptCount val="20"/>
                <c:pt idx="0">
                  <c:v>10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</c:numCache>
            </c:numRef>
          </c:xVal>
          <c:yVal>
            <c:numRef>
              <c:f>'[1]Page 466'!$B$21:$B$40</c:f>
              <c:numCache>
                <c:formatCode>0.0000</c:formatCode>
                <c:ptCount val="20"/>
                <c:pt idx="0">
                  <c:v>12.815825630056406</c:v>
                </c:pt>
                <c:pt idx="1">
                  <c:v>12.806242677004651</c:v>
                </c:pt>
                <c:pt idx="2">
                  <c:v>12.826448281444913</c:v>
                </c:pt>
                <c:pt idx="3">
                  <c:v>12.823722035543344</c:v>
                </c:pt>
                <c:pt idx="4">
                  <c:v>12.819097521476522</c:v>
                </c:pt>
                <c:pt idx="5">
                  <c:v>12.816161522847418</c:v>
                </c:pt>
                <c:pt idx="6">
                  <c:v>12.8184297777777</c:v>
                </c:pt>
                <c:pt idx="7">
                  <c:v>12.819429535305256</c:v>
                </c:pt>
                <c:pt idx="8">
                  <c:v>12.819593798476035</c:v>
                </c:pt>
                <c:pt idx="9">
                  <c:v>12.819232933953023</c:v>
                </c:pt>
                <c:pt idx="10">
                  <c:v>12.819541541908489</c:v>
                </c:pt>
                <c:pt idx="11">
                  <c:v>12.821016570090537</c:v>
                </c:pt>
                <c:pt idx="12">
                  <c:v>12.822213603787045</c:v>
                </c:pt>
                <c:pt idx="13">
                  <c:v>12.823030798784128</c:v>
                </c:pt>
                <c:pt idx="14">
                  <c:v>12.82340321495553</c:v>
                </c:pt>
                <c:pt idx="15">
                  <c:v>12.823292583208195</c:v>
                </c:pt>
                <c:pt idx="16">
                  <c:v>12.822679830124699</c:v>
                </c:pt>
                <c:pt idx="17">
                  <c:v>12.821559634501913</c:v>
                </c:pt>
                <c:pt idx="18">
                  <c:v>12.821071870534922</c:v>
                </c:pt>
                <c:pt idx="19">
                  <c:v>12.822491706277603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CA-4081-964C-247335ABBB97}"/>
            </c:ext>
          </c:extLst>
        </c:ser>
        <c:ser>
          <c:idx val="1"/>
          <c:order val="1"/>
          <c:tx>
            <c:strRef>
              <c:f>'[1]Page 466'!$C$19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'[1]Page 466'!$A$21:$A$40</c:f>
              <c:numCache>
                <c:formatCode>General</c:formatCode>
                <c:ptCount val="20"/>
                <c:pt idx="0">
                  <c:v>10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</c:numCache>
            </c:numRef>
          </c:xVal>
          <c:yVal>
            <c:numRef>
              <c:f>'[1]Page 466'!$C$21:$C$40</c:f>
              <c:numCache>
                <c:formatCode>0.0000</c:formatCode>
                <c:ptCount val="20"/>
                <c:pt idx="0">
                  <c:v>12.822602600052306</c:v>
                </c:pt>
                <c:pt idx="1">
                  <c:v>12.822602600052306</c:v>
                </c:pt>
                <c:pt idx="2">
                  <c:v>12.822602600052306</c:v>
                </c:pt>
                <c:pt idx="3">
                  <c:v>12.822602600052306</c:v>
                </c:pt>
                <c:pt idx="4">
                  <c:v>12.822602600052306</c:v>
                </c:pt>
                <c:pt idx="5">
                  <c:v>12.822602600052306</c:v>
                </c:pt>
                <c:pt idx="6">
                  <c:v>12.822602600052306</c:v>
                </c:pt>
                <c:pt idx="7">
                  <c:v>12.822602600052306</c:v>
                </c:pt>
                <c:pt idx="8">
                  <c:v>12.822602600052306</c:v>
                </c:pt>
                <c:pt idx="9">
                  <c:v>12.822602600052306</c:v>
                </c:pt>
                <c:pt idx="10">
                  <c:v>12.822602600052306</c:v>
                </c:pt>
                <c:pt idx="11">
                  <c:v>12.822602600052306</c:v>
                </c:pt>
                <c:pt idx="12">
                  <c:v>12.822602600052306</c:v>
                </c:pt>
                <c:pt idx="13">
                  <c:v>12.822602600052306</c:v>
                </c:pt>
                <c:pt idx="14">
                  <c:v>12.822602600052306</c:v>
                </c:pt>
                <c:pt idx="15">
                  <c:v>12.822602600052306</c:v>
                </c:pt>
                <c:pt idx="16">
                  <c:v>12.822602600052306</c:v>
                </c:pt>
                <c:pt idx="17">
                  <c:v>12.822602600052306</c:v>
                </c:pt>
                <c:pt idx="18">
                  <c:v>12.822602600052306</c:v>
                </c:pt>
                <c:pt idx="19">
                  <c:v>12.822602600052306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CA-4081-964C-247335AB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062944"/>
        <c:axId val="1"/>
      </c:scatterChart>
      <c:valAx>
        <c:axId val="454062944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n, number of subdivisions of T</a:t>
                </a:r>
              </a:p>
            </c:rich>
          </c:tx>
          <c:layout>
            <c:manualLayout>
              <c:xMode val="edge"/>
              <c:yMode val="edge"/>
              <c:x val="0.59006324458198944"/>
              <c:y val="0.804533361901190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540629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1076724862128551"/>
          <c:y val="0.58356991090399413"/>
          <c:w val="0.22360289540921807"/>
          <c:h val="0.13314466644050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20</xdr:row>
      <xdr:rowOff>0</xdr:rowOff>
    </xdr:from>
    <xdr:to>
      <xdr:col>10</xdr:col>
      <xdr:colOff>198120</xdr:colOff>
      <xdr:row>39</xdr:row>
      <xdr:rowOff>106680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A254CAE-7ABF-4EF5-A1B0-9A2D5FEB6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306456</xdr:colOff>
      <xdr:row>1</xdr:row>
      <xdr:rowOff>84482</xdr:rowOff>
    </xdr:from>
    <xdr:to>
      <xdr:col>24</xdr:col>
      <xdr:colOff>363606</xdr:colOff>
      <xdr:row>44</xdr:row>
      <xdr:rowOff>101627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9F35C37-ADEB-5E9D-2551-BD7D6C9EC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324021" y="299830"/>
          <a:ext cx="8025020" cy="785249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19">
          <cell r="B19" t="str">
            <v>Binomial
price</v>
          </cell>
          <cell r="C19" t="str">
            <v>Black-Scholes price</v>
          </cell>
        </row>
        <row r="21">
          <cell r="A21">
            <v>10</v>
          </cell>
          <cell r="B21">
            <v>12.815825630056406</v>
          </cell>
          <cell r="C21">
            <v>12.822602600052306</v>
          </cell>
        </row>
        <row r="22">
          <cell r="A22">
            <v>50</v>
          </cell>
          <cell r="B22">
            <v>12.806242677004651</v>
          </cell>
          <cell r="C22">
            <v>12.822602600052306</v>
          </cell>
        </row>
        <row r="23">
          <cell r="A23">
            <v>75</v>
          </cell>
          <cell r="B23">
            <v>12.826448281444913</v>
          </cell>
          <cell r="C23">
            <v>12.822602600052306</v>
          </cell>
        </row>
        <row r="24">
          <cell r="A24">
            <v>100</v>
          </cell>
          <cell r="B24">
            <v>12.823722035543344</v>
          </cell>
          <cell r="C24">
            <v>12.822602600052306</v>
          </cell>
        </row>
        <row r="25">
          <cell r="A25">
            <v>125</v>
          </cell>
          <cell r="B25">
            <v>12.819097521476522</v>
          </cell>
          <cell r="C25">
            <v>12.822602600052306</v>
          </cell>
        </row>
        <row r="26">
          <cell r="A26">
            <v>150</v>
          </cell>
          <cell r="B26">
            <v>12.816161522847418</v>
          </cell>
          <cell r="C26">
            <v>12.822602600052306</v>
          </cell>
        </row>
        <row r="27">
          <cell r="A27">
            <v>175</v>
          </cell>
          <cell r="B27">
            <v>12.8184297777777</v>
          </cell>
          <cell r="C27">
            <v>12.822602600052306</v>
          </cell>
        </row>
        <row r="28">
          <cell r="A28">
            <v>200</v>
          </cell>
          <cell r="B28">
            <v>12.819429535305256</v>
          </cell>
          <cell r="C28">
            <v>12.822602600052306</v>
          </cell>
        </row>
        <row r="29">
          <cell r="A29">
            <v>225</v>
          </cell>
          <cell r="B29">
            <v>12.819593798476035</v>
          </cell>
          <cell r="C29">
            <v>12.822602600052306</v>
          </cell>
        </row>
        <row r="30">
          <cell r="A30">
            <v>250</v>
          </cell>
          <cell r="B30">
            <v>12.819232933953023</v>
          </cell>
          <cell r="C30">
            <v>12.822602600052306</v>
          </cell>
        </row>
        <row r="31">
          <cell r="A31">
            <v>275</v>
          </cell>
          <cell r="B31">
            <v>12.819541541908489</v>
          </cell>
          <cell r="C31">
            <v>12.822602600052306</v>
          </cell>
        </row>
        <row r="32">
          <cell r="A32">
            <v>300</v>
          </cell>
          <cell r="B32">
            <v>12.821016570090537</v>
          </cell>
          <cell r="C32">
            <v>12.822602600052306</v>
          </cell>
        </row>
        <row r="33">
          <cell r="A33">
            <v>325</v>
          </cell>
          <cell r="B33">
            <v>12.822213603787045</v>
          </cell>
          <cell r="C33">
            <v>12.822602600052306</v>
          </cell>
        </row>
        <row r="34">
          <cell r="A34">
            <v>350</v>
          </cell>
          <cell r="B34">
            <v>12.823030798784128</v>
          </cell>
          <cell r="C34">
            <v>12.822602600052306</v>
          </cell>
        </row>
        <row r="35">
          <cell r="A35">
            <v>375</v>
          </cell>
          <cell r="B35">
            <v>12.82340321495553</v>
          </cell>
          <cell r="C35">
            <v>12.822602600052306</v>
          </cell>
        </row>
        <row r="36">
          <cell r="A36">
            <v>400</v>
          </cell>
          <cell r="B36">
            <v>12.823292583208195</v>
          </cell>
          <cell r="C36">
            <v>12.822602600052306</v>
          </cell>
        </row>
        <row r="37">
          <cell r="A37">
            <v>425</v>
          </cell>
          <cell r="B37">
            <v>12.822679830124699</v>
          </cell>
          <cell r="C37">
            <v>12.822602600052306</v>
          </cell>
        </row>
        <row r="38">
          <cell r="A38">
            <v>450</v>
          </cell>
          <cell r="B38">
            <v>12.821559634501913</v>
          </cell>
          <cell r="C38">
            <v>12.822602600052306</v>
          </cell>
        </row>
        <row r="39">
          <cell r="A39">
            <v>475</v>
          </cell>
          <cell r="B39">
            <v>12.821071870534922</v>
          </cell>
          <cell r="C39">
            <v>12.822602600052306</v>
          </cell>
        </row>
        <row r="40">
          <cell r="A40">
            <v>500</v>
          </cell>
          <cell r="B40">
            <v>12.822491706277603</v>
          </cell>
          <cell r="C40">
            <v>12.822602600052306</v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eur_call"/>
      <definedName name="BSCall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K40"/>
  <sheetViews>
    <sheetView tabSelected="1" zoomScale="115" zoomScaleNormal="115" workbookViewId="0">
      <selection activeCell="I16" sqref="I16"/>
    </sheetView>
  </sheetViews>
  <sheetFormatPr defaultRowHeight="13.8" x14ac:dyDescent="0.25"/>
  <cols>
    <col min="1" max="1" width="20.33203125" style="2" customWidth="1"/>
    <col min="2" max="2" width="8.88671875" style="2"/>
    <col min="3" max="4" width="12.44140625" style="2" customWidth="1"/>
    <col min="5" max="11" width="8.88671875" style="2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60</v>
      </c>
      <c r="C2" s="2" t="s">
        <v>2</v>
      </c>
    </row>
    <row r="3" spans="1:6" x14ac:dyDescent="0.25">
      <c r="A3" s="2" t="s">
        <v>3</v>
      </c>
      <c r="B3" s="2">
        <v>50</v>
      </c>
      <c r="C3" s="2" t="s">
        <v>4</v>
      </c>
    </row>
    <row r="4" spans="1:6" x14ac:dyDescent="0.25">
      <c r="A4" s="2" t="s">
        <v>5</v>
      </c>
      <c r="B4" s="3">
        <v>0.5</v>
      </c>
      <c r="C4" s="2" t="s">
        <v>6</v>
      </c>
    </row>
    <row r="5" spans="1:6" x14ac:dyDescent="0.25">
      <c r="A5" s="2" t="s">
        <v>7</v>
      </c>
      <c r="B5" s="4">
        <v>0.08</v>
      </c>
      <c r="C5" s="2" t="s">
        <v>8</v>
      </c>
    </row>
    <row r="6" spans="1:6" x14ac:dyDescent="0.25">
      <c r="A6" s="2" t="s">
        <v>9</v>
      </c>
      <c r="B6" s="4">
        <v>0.12</v>
      </c>
    </row>
    <row r="7" spans="1:6" x14ac:dyDescent="0.25">
      <c r="A7" s="2" t="s">
        <v>10</v>
      </c>
      <c r="B7" s="4">
        <v>0.3</v>
      </c>
      <c r="C7" s="2" t="s">
        <v>11</v>
      </c>
      <c r="D7" s="5"/>
    </row>
    <row r="8" spans="1:6" x14ac:dyDescent="0.25">
      <c r="A8" s="2" t="s">
        <v>12</v>
      </c>
      <c r="B8" s="2">
        <v>20</v>
      </c>
      <c r="C8" s="2" t="s">
        <v>13</v>
      </c>
      <c r="D8" s="5"/>
    </row>
    <row r="10" spans="1:6" x14ac:dyDescent="0.25">
      <c r="A10" s="6" t="s">
        <v>14</v>
      </c>
      <c r="B10" s="3">
        <f>B4/B8</f>
        <v>2.5000000000000001E-2</v>
      </c>
      <c r="C10" s="2" t="str">
        <f ca="1">[2]!getformula(B10)</f>
        <v>&lt;--  =B4/B8</v>
      </c>
    </row>
    <row r="11" spans="1:6" x14ac:dyDescent="0.25">
      <c r="A11" s="2" t="s">
        <v>15</v>
      </c>
      <c r="B11" s="3">
        <f>EXP(B6*B10+B7*SQRT(B10))</f>
        <v>1.0517276204853117</v>
      </c>
      <c r="C11" s="2" t="str">
        <f ca="1">[2]!getformula(B11)</f>
        <v>&lt;--  =EXP(B6*B10+B7*SQRT(B10))</v>
      </c>
    </row>
    <row r="12" spans="1:6" x14ac:dyDescent="0.25">
      <c r="A12" s="2" t="s">
        <v>16</v>
      </c>
      <c r="B12" s="3">
        <f>EXP(B6*B10-B7*SQRT(B10))</f>
        <v>0.95653857183083724</v>
      </c>
      <c r="C12" s="2" t="str">
        <f ca="1">[2]!getformula(B12)</f>
        <v>&lt;--  =EXP(B6*B10-B7*SQRT(B10))</v>
      </c>
    </row>
    <row r="13" spans="1:6" x14ac:dyDescent="0.25">
      <c r="A13" s="2" t="s">
        <v>17</v>
      </c>
      <c r="B13" s="3">
        <f>EXP(B5*B10)</f>
        <v>1.0020020013340003</v>
      </c>
      <c r="C13" s="2" t="str">
        <f ca="1">[2]!getformula(B13)</f>
        <v>&lt;--  =EXP(B5*B10)</v>
      </c>
    </row>
    <row r="14" spans="1:6" x14ac:dyDescent="0.25">
      <c r="B14" s="3"/>
    </row>
    <row r="15" spans="1:6" x14ac:dyDescent="0.25">
      <c r="A15" s="7" t="s">
        <v>18</v>
      </c>
      <c r="B15" s="8">
        <f>[2]!Binomial_eur_call(B11,B12,B13,B2,B3,B8)</f>
        <v>12.838838386858649</v>
      </c>
      <c r="C15" s="2" t="str">
        <f ca="1">[2]!getformula(B15)</f>
        <v>&lt;--  =Binomial_eur_call(B11,B12,B13,B2,B3,B8)</v>
      </c>
    </row>
    <row r="16" spans="1:6" x14ac:dyDescent="0.25">
      <c r="A16" s="7" t="s">
        <v>19</v>
      </c>
      <c r="B16" s="7">
        <f>[2]!BSCall(B2,B3,B4,B5,B7)</f>
        <v>12.822602600052306</v>
      </c>
      <c r="C16" s="2" t="str">
        <f ca="1">[2]!getformula(B16)</f>
        <v>&lt;--  =BSCall(B2,B3,B4,B5,B7)</v>
      </c>
    </row>
    <row r="18" spans="1:4" ht="15.6" x14ac:dyDescent="0.3">
      <c r="A18" s="9" t="s">
        <v>20</v>
      </c>
    </row>
    <row r="19" spans="1:4" ht="39.6" x14ac:dyDescent="0.25">
      <c r="A19" s="10" t="s">
        <v>21</v>
      </c>
      <c r="B19" s="10" t="s">
        <v>22</v>
      </c>
      <c r="C19" s="10" t="s">
        <v>23</v>
      </c>
    </row>
    <row r="20" spans="1:4" x14ac:dyDescent="0.25">
      <c r="A20" s="11"/>
      <c r="B20" s="3">
        <f>B15</f>
        <v>12.838838386858649</v>
      </c>
      <c r="C20" s="3">
        <f>B16</f>
        <v>12.822602600052306</v>
      </c>
      <c r="D20" s="2" t="s">
        <v>24</v>
      </c>
    </row>
    <row r="21" spans="1:4" x14ac:dyDescent="0.25">
      <c r="A21" s="11">
        <v>10</v>
      </c>
      <c r="B21" s="3">
        <v>12.815825630056406</v>
      </c>
      <c r="C21" s="3">
        <v>12.822602600052306</v>
      </c>
    </row>
    <row r="22" spans="1:4" x14ac:dyDescent="0.25">
      <c r="A22" s="11">
        <v>50</v>
      </c>
      <c r="B22" s="3">
        <v>12.806242677004651</v>
      </c>
      <c r="C22" s="3">
        <v>12.822602600052306</v>
      </c>
    </row>
    <row r="23" spans="1:4" x14ac:dyDescent="0.25">
      <c r="A23" s="11">
        <v>75</v>
      </c>
      <c r="B23" s="3">
        <v>12.826448281444913</v>
      </c>
      <c r="C23" s="3">
        <v>12.822602600052306</v>
      </c>
    </row>
    <row r="24" spans="1:4" x14ac:dyDescent="0.25">
      <c r="A24" s="11">
        <v>100</v>
      </c>
      <c r="B24" s="3">
        <v>12.823722035543344</v>
      </c>
      <c r="C24" s="3">
        <v>12.822602600052306</v>
      </c>
    </row>
    <row r="25" spans="1:4" x14ac:dyDescent="0.25">
      <c r="A25" s="11">
        <v>125</v>
      </c>
      <c r="B25" s="3">
        <v>12.819097521476522</v>
      </c>
      <c r="C25" s="3">
        <v>12.822602600052306</v>
      </c>
    </row>
    <row r="26" spans="1:4" x14ac:dyDescent="0.25">
      <c r="A26" s="11">
        <v>150</v>
      </c>
      <c r="B26" s="3">
        <v>12.816161522847418</v>
      </c>
      <c r="C26" s="3">
        <v>12.822602600052306</v>
      </c>
    </row>
    <row r="27" spans="1:4" x14ac:dyDescent="0.25">
      <c r="A27" s="11">
        <v>175</v>
      </c>
      <c r="B27" s="3">
        <v>12.8184297777777</v>
      </c>
      <c r="C27" s="3">
        <v>12.822602600052306</v>
      </c>
    </row>
    <row r="28" spans="1:4" x14ac:dyDescent="0.25">
      <c r="A28" s="11">
        <v>200</v>
      </c>
      <c r="B28" s="3">
        <v>12.819429535305256</v>
      </c>
      <c r="C28" s="3">
        <v>12.822602600052306</v>
      </c>
    </row>
    <row r="29" spans="1:4" x14ac:dyDescent="0.25">
      <c r="A29" s="11">
        <v>225</v>
      </c>
      <c r="B29" s="3">
        <v>12.819593798476035</v>
      </c>
      <c r="C29" s="3">
        <v>12.822602600052306</v>
      </c>
    </row>
    <row r="30" spans="1:4" x14ac:dyDescent="0.25">
      <c r="A30" s="11">
        <v>250</v>
      </c>
      <c r="B30" s="3">
        <v>12.819232933953023</v>
      </c>
      <c r="C30" s="3">
        <v>12.822602600052306</v>
      </c>
    </row>
    <row r="31" spans="1:4" x14ac:dyDescent="0.25">
      <c r="A31" s="11">
        <v>275</v>
      </c>
      <c r="B31" s="3">
        <v>12.819541541908489</v>
      </c>
      <c r="C31" s="3">
        <v>12.822602600052306</v>
      </c>
    </row>
    <row r="32" spans="1:4" x14ac:dyDescent="0.25">
      <c r="A32" s="11">
        <v>300</v>
      </c>
      <c r="B32" s="3">
        <v>12.821016570090537</v>
      </c>
      <c r="C32" s="3">
        <v>12.822602600052306</v>
      </c>
    </row>
    <row r="33" spans="1:3" x14ac:dyDescent="0.25">
      <c r="A33" s="11">
        <v>325</v>
      </c>
      <c r="B33" s="3">
        <v>12.822213603787045</v>
      </c>
      <c r="C33" s="3">
        <v>12.822602600052306</v>
      </c>
    </row>
    <row r="34" spans="1:3" x14ac:dyDescent="0.25">
      <c r="A34" s="11">
        <v>350</v>
      </c>
      <c r="B34" s="3">
        <v>12.823030798784128</v>
      </c>
      <c r="C34" s="3">
        <v>12.822602600052306</v>
      </c>
    </row>
    <row r="35" spans="1:3" x14ac:dyDescent="0.25">
      <c r="A35" s="11">
        <v>375</v>
      </c>
      <c r="B35" s="3">
        <v>12.82340321495553</v>
      </c>
      <c r="C35" s="3">
        <v>12.822602600052306</v>
      </c>
    </row>
    <row r="36" spans="1:3" x14ac:dyDescent="0.25">
      <c r="A36" s="11">
        <v>400</v>
      </c>
      <c r="B36" s="3">
        <v>12.823292583208195</v>
      </c>
      <c r="C36" s="3">
        <v>12.822602600052306</v>
      </c>
    </row>
    <row r="37" spans="1:3" x14ac:dyDescent="0.25">
      <c r="A37" s="11">
        <v>425</v>
      </c>
      <c r="B37" s="3">
        <v>12.822679830124699</v>
      </c>
      <c r="C37" s="3">
        <v>12.822602600052306</v>
      </c>
    </row>
    <row r="38" spans="1:3" x14ac:dyDescent="0.25">
      <c r="A38" s="11">
        <v>450</v>
      </c>
      <c r="B38" s="3">
        <v>12.821559634501913</v>
      </c>
      <c r="C38" s="3">
        <v>12.822602600052306</v>
      </c>
    </row>
    <row r="39" spans="1:3" x14ac:dyDescent="0.25">
      <c r="A39" s="11">
        <v>475</v>
      </c>
      <c r="B39" s="3">
        <v>12.821071870534922</v>
      </c>
      <c r="C39" s="3">
        <v>12.822602600052306</v>
      </c>
    </row>
    <row r="40" spans="1:3" x14ac:dyDescent="0.25">
      <c r="A40" s="11">
        <v>500</v>
      </c>
      <c r="B40" s="3">
        <v>12.822491706277603</v>
      </c>
      <c r="C40" s="3">
        <v>12.822602600052306</v>
      </c>
    </row>
  </sheetData>
  <mergeCells count="1">
    <mergeCell ref="A1:F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9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2024-11-20T09:23:24Z</cp:lastPrinted>
  <dcterms:created xsi:type="dcterms:W3CDTF">2024-10-05T13:27:14Z</dcterms:created>
  <dcterms:modified xsi:type="dcterms:W3CDTF">2024-11-20T09:23:39Z</dcterms:modified>
</cp:coreProperties>
</file>