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7\"/>
    </mc:Choice>
  </mc:AlternateContent>
  <xr:revisionPtr revIDLastSave="0" documentId="13_ncr:1_{4233AF8F-4ECF-4D53-A666-1519A7A9753C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8" i="1" l="1"/>
  <c r="B17" i="1"/>
  <c r="B14" i="1"/>
  <c r="B13" i="1"/>
  <c r="B10" i="1"/>
  <c r="B9" i="1"/>
  <c r="C18" i="1"/>
  <c r="C17" i="1"/>
  <c r="C14" i="1"/>
  <c r="C13" i="1"/>
  <c r="C10" i="1"/>
  <c r="C9" i="1"/>
</calcChain>
</file>

<file path=xl/sharedStrings.xml><?xml version="1.0" encoding="utf-8"?>
<sst xmlns="http://schemas.openxmlformats.org/spreadsheetml/2006/main" count="16" uniqueCount="16">
  <si>
    <t>Up, U</t>
  </si>
  <si>
    <t>Down, D</t>
  </si>
  <si>
    <t>Interest rate, R</t>
  </si>
  <si>
    <t>Initial stock price, S</t>
  </si>
  <si>
    <t>Option exercise price, X</t>
  </si>
  <si>
    <t>State prices</t>
  </si>
  <si>
    <r>
      <t>q</t>
    </r>
    <r>
      <rPr>
        <vertAlign val="subscript"/>
        <sz val="10"/>
        <rFont val="Arial"/>
        <family val="2"/>
      </rPr>
      <t>U</t>
    </r>
  </si>
  <si>
    <r>
      <t>q</t>
    </r>
    <r>
      <rPr>
        <vertAlign val="subscript"/>
        <sz val="10"/>
        <rFont val="Arial"/>
        <family val="2"/>
      </rPr>
      <t>D</t>
    </r>
  </si>
  <si>
    <t>Pricing the call and the put</t>
  </si>
  <si>
    <t>Call price</t>
  </si>
  <si>
    <t>Put price</t>
  </si>
  <si>
    <t>Put-call parity</t>
  </si>
  <si>
    <t>Stock + put</t>
  </si>
  <si>
    <t>Call + PV(X)</t>
  </si>
  <si>
    <t>BINOMIAL OPTION PRICING WITH STATE PRICES IN A ONE-PERIOD (TWO-DATE) MODEL</t>
    <phoneticPr fontId="1" type="noConversion"/>
  </si>
  <si>
    <r>
      <t xml:space="preserve">Note about PV(X) in put-call parity:
</t>
    </r>
    <r>
      <rPr>
        <sz val="10"/>
        <rFont val="Arial"/>
        <family val="2"/>
      </rPr>
      <t xml:space="preserve">In the </t>
    </r>
    <r>
      <rPr>
        <sz val="10"/>
        <color rgb="FFFF0000"/>
        <rFont val="Arial"/>
        <family val="2"/>
      </rPr>
      <t>continuous-time</t>
    </r>
    <r>
      <rPr>
        <sz val="10"/>
        <rFont val="Arial"/>
        <family val="2"/>
      </rPr>
      <t xml:space="preserve"> framework (the standard Black-Scholes framework), PV(X) = X*Exp(-r*T).  Because the framework here is </t>
    </r>
    <r>
      <rPr>
        <sz val="10"/>
        <color rgb="FFFF0000"/>
        <rFont val="Arial"/>
        <family val="2"/>
      </rPr>
      <t>discrete</t>
    </r>
    <r>
      <rPr>
        <sz val="10"/>
        <rFont val="Arial"/>
        <family val="2"/>
      </rPr>
      <t xml:space="preserve"> time, PV(X) is also discrete-time:  PV(X)=X/(1+r)=X/R.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</si>
</sst>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#,##0.0000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/>
    <xf numFmtId="4" fontId="0" fillId="0" borderId="0" xfId="0" applyNumberFormat="1" applyAlignment="1"/>
    <xf numFmtId="0" fontId="3" fillId="0" borderId="0" xfId="0" applyFont="1" applyAlignment="1"/>
    <xf numFmtId="176" fontId="0" fillId="0" borderId="0" xfId="0" applyNumberFormat="1" applyAlignment="1"/>
    <xf numFmtId="0" fontId="3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2" borderId="0" xfId="0" applyFill="1" applyAlignment="1"/>
    <xf numFmtId="176" fontId="0" fillId="2" borderId="0" xfId="0" applyNumberFormat="1" applyFill="1" applyAlignment="1"/>
    <xf numFmtId="177" fontId="0" fillId="2" borderId="0" xfId="0" applyNumberFormat="1" applyFill="1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266700</xdr:colOff>
      <xdr:row>3</xdr:row>
      <xdr:rowOff>121920</xdr:rowOff>
    </xdr:from>
    <xdr:to>
      <xdr:col>14</xdr:col>
      <xdr:colOff>245745</xdr:colOff>
      <xdr:row>24</xdr:row>
      <xdr:rowOff>44987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4991E44F-8AD0-6E14-A4C7-EB7C4010E0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957060" y="693420"/>
          <a:ext cx="6088380" cy="42900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7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7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s 444-45"/>
      <sheetName val="Pages 444-45中文"/>
      <sheetName val="Page 446, top"/>
      <sheetName val="Page 446, top中文"/>
      <sheetName val="Page 446, bottom"/>
      <sheetName val="Page 446, bottom中文"/>
      <sheetName val="Page 448, picture"/>
      <sheetName val="Page 448，pictures中文"/>
      <sheetName val="Page 448"/>
      <sheetName val="Page 448中文"/>
      <sheetName val="Page 451"/>
      <sheetName val="Page 451中文"/>
      <sheetName val="Page 452"/>
      <sheetName val="Page 452中文"/>
      <sheetName val="Page 454"/>
      <sheetName val="Page 454 (中文)"/>
      <sheetName val="Page 457"/>
      <sheetName val="VBA option functions"/>
      <sheetName val="Page 457中文"/>
      <sheetName val="Page 458"/>
      <sheetName val="Page 458中文"/>
      <sheetName val="Page 460"/>
      <sheetName val="Page 460 (中文)"/>
      <sheetName val="Page 461"/>
      <sheetName val="Page 461 (中文)"/>
      <sheetName val="Page 462"/>
      <sheetName val="Page 462中文"/>
      <sheetName val="Page 463"/>
      <sheetName val="Page 463中文"/>
      <sheetName val="Page 464"/>
      <sheetName val="Page 464中文"/>
      <sheetName val="Page 465"/>
      <sheetName val="Page 465中文"/>
      <sheetName val="Page 466"/>
      <sheetName val="Page 466中文"/>
      <sheetName val="Page 467"/>
      <sheetName val="Page 467中文"/>
      <sheetName val="Page 473"/>
      <sheetName val="Page 473中文"/>
      <sheetName val="Page 474"/>
      <sheetName val="Page 474中文"/>
      <sheetName val="Page 475"/>
      <sheetName val="Page 475中文"/>
      <sheetName val="Page 477"/>
      <sheetName val="Page 477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C20"/>
  <sheetViews>
    <sheetView tabSelected="1" zoomScale="130" zoomScaleNormal="130" workbookViewId="0">
      <selection activeCell="B24" sqref="B24"/>
    </sheetView>
  </sheetViews>
  <sheetFormatPr defaultRowHeight="13.8" x14ac:dyDescent="0.25"/>
  <cols>
    <col min="1" max="1" width="36.109375" style="2" customWidth="1"/>
    <col min="2" max="2" width="8.88671875" style="2"/>
    <col min="3" max="3" width="43.6640625" style="2" bestFit="1" customWidth="1"/>
  </cols>
  <sheetData>
    <row r="1" spans="1:3" ht="40.799999999999997" customHeight="1" x14ac:dyDescent="0.25">
      <c r="A1" s="1" t="s">
        <v>14</v>
      </c>
      <c r="B1" s="1"/>
      <c r="C1" s="1"/>
    </row>
    <row r="2" spans="1:3" x14ac:dyDescent="0.25">
      <c r="A2" s="2" t="s">
        <v>0</v>
      </c>
      <c r="B2" s="3">
        <v>1.1000000000000001</v>
      </c>
    </row>
    <row r="3" spans="1:3" x14ac:dyDescent="0.25">
      <c r="A3" s="2" t="s">
        <v>1</v>
      </c>
      <c r="B3" s="3">
        <v>0.97</v>
      </c>
    </row>
    <row r="4" spans="1:3" x14ac:dyDescent="0.25">
      <c r="A4" s="2" t="s">
        <v>2</v>
      </c>
      <c r="B4" s="3">
        <v>1.06</v>
      </c>
    </row>
    <row r="5" spans="1:3" x14ac:dyDescent="0.25">
      <c r="A5" s="2" t="s">
        <v>3</v>
      </c>
      <c r="B5" s="3">
        <v>50</v>
      </c>
    </row>
    <row r="6" spans="1:3" x14ac:dyDescent="0.25">
      <c r="A6" s="2" t="s">
        <v>4</v>
      </c>
      <c r="B6" s="3">
        <v>50</v>
      </c>
    </row>
    <row r="8" spans="1:3" x14ac:dyDescent="0.25">
      <c r="A8" s="4" t="s">
        <v>5</v>
      </c>
    </row>
    <row r="9" spans="1:3" ht="15.6" x14ac:dyDescent="0.35">
      <c r="A9" s="2" t="s">
        <v>6</v>
      </c>
      <c r="B9" s="5">
        <f>(B4-B3)/(B4*(B2-B3))</f>
        <v>0.65312046444121918</v>
      </c>
      <c r="C9" s="2" t="str">
        <f ca="1">[2]!getformula(B9)</f>
        <v>&lt;--  =(B4-B3)/(B4*(B2-B3))</v>
      </c>
    </row>
    <row r="10" spans="1:3" ht="15.6" x14ac:dyDescent="0.35">
      <c r="A10" s="2" t="s">
        <v>7</v>
      </c>
      <c r="B10" s="5">
        <f>(B2-B4)/(B4*(B2-B3))</f>
        <v>0.29027576197387517</v>
      </c>
      <c r="C10" s="2" t="str">
        <f ca="1">[2]!getformula(B10)</f>
        <v>&lt;--  =(B2-B4)/(B4*(B2-B3))</v>
      </c>
    </row>
    <row r="11" spans="1:3" x14ac:dyDescent="0.25">
      <c r="B11" s="5"/>
    </row>
    <row r="12" spans="1:3" x14ac:dyDescent="0.25">
      <c r="A12" s="4" t="s">
        <v>8</v>
      </c>
      <c r="B12" s="5"/>
    </row>
    <row r="13" spans="1:3" x14ac:dyDescent="0.25">
      <c r="A13" s="8" t="s">
        <v>9</v>
      </c>
      <c r="B13" s="9">
        <f>B9*MAX(B5*B2-B6,0)+B10*MAX(B5*B3-B6,0)</f>
        <v>3.2656023222061004</v>
      </c>
      <c r="C13" s="2" t="str">
        <f ca="1">[2]!getformula(B13)</f>
        <v>&lt;--  =B9*MAX(B5*B2-B6,0)+B10*MAX(B5*B3-B6,0)</v>
      </c>
    </row>
    <row r="14" spans="1:3" x14ac:dyDescent="0.25">
      <c r="A14" s="8" t="s">
        <v>10</v>
      </c>
      <c r="B14" s="9">
        <f>B9*MAX(B6-B5*B2,0)+B10*MAX(B6-B5*B3,0)</f>
        <v>0.43541364296081275</v>
      </c>
      <c r="C14" s="2" t="str">
        <f ca="1">[2]!getformula(B14)</f>
        <v>&lt;--  =B9*MAX(B6-B5*B2,0)+B10*MAX(B6-B5*B3,0)</v>
      </c>
    </row>
    <row r="16" spans="1:3" x14ac:dyDescent="0.25">
      <c r="A16" s="4" t="s">
        <v>11</v>
      </c>
    </row>
    <row r="17" spans="1:3" x14ac:dyDescent="0.25">
      <c r="A17" s="8" t="s">
        <v>12</v>
      </c>
      <c r="B17" s="10">
        <f>B5+B14</f>
        <v>50.43541364296081</v>
      </c>
      <c r="C17" s="2" t="str">
        <f ca="1">[2]!getformula(B17)</f>
        <v>&lt;--  =B5+B14</v>
      </c>
    </row>
    <row r="18" spans="1:3" x14ac:dyDescent="0.25">
      <c r="A18" s="8" t="s">
        <v>13</v>
      </c>
      <c r="B18" s="10">
        <f>B13+B6/B4</f>
        <v>50.435413642960818</v>
      </c>
      <c r="C18" s="2" t="str">
        <f ca="1">[2]!getformula(B18)</f>
        <v>&lt;--  =B13+B6/B4</v>
      </c>
    </row>
    <row r="20" spans="1:3" ht="63" customHeight="1" x14ac:dyDescent="0.25">
      <c r="A20" s="6" t="s">
        <v>15</v>
      </c>
      <c r="B20" s="7"/>
      <c r="C20" s="7"/>
    </row>
  </sheetData>
  <mergeCells count="2">
    <mergeCell ref="A1:C1"/>
    <mergeCell ref="A20:C20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2024-11-20T03:37:23Z</dcterms:modified>
</cp:coreProperties>
</file>