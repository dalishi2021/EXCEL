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D54043CE-F841-451D-AAFC-2E5418A93EA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Page 458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" l="1"/>
  <c r="E24" i="2" s="1"/>
  <c r="E35" i="2" s="1"/>
  <c r="I14" i="2"/>
  <c r="C14" i="2"/>
  <c r="A13" i="2"/>
  <c r="I12" i="2"/>
  <c r="C12" i="2"/>
  <c r="E13" i="2" s="1"/>
  <c r="E22" i="2" s="1"/>
  <c r="E33" i="2" s="1"/>
  <c r="K11" i="2"/>
  <c r="K13" i="2" s="1"/>
  <c r="K15" i="2" s="1"/>
  <c r="F5" i="2"/>
  <c r="E5" i="2"/>
  <c r="F4" i="2"/>
  <c r="E4" i="2"/>
  <c r="A22" i="1"/>
  <c r="C23" i="1"/>
  <c r="E24" i="1"/>
  <c r="E22" i="1"/>
  <c r="E20" i="1"/>
  <c r="I14" i="1"/>
  <c r="A13" i="1"/>
  <c r="C14" i="1" s="1"/>
  <c r="I12" i="1"/>
  <c r="C12" i="1"/>
  <c r="E11" i="1" s="1"/>
  <c r="E31" i="1" s="1"/>
  <c r="K11" i="1"/>
  <c r="K13" i="1" s="1"/>
  <c r="K15" i="1" s="1"/>
  <c r="E5" i="1"/>
  <c r="E4" i="1"/>
  <c r="F5" i="1"/>
  <c r="F4" i="1"/>
  <c r="C34" i="2" l="1"/>
  <c r="C23" i="2"/>
  <c r="E11" i="2"/>
  <c r="E20" i="2" s="1"/>
  <c r="E31" i="2" s="1"/>
  <c r="C32" i="2" s="1"/>
  <c r="A33" i="2" s="1"/>
  <c r="E15" i="1"/>
  <c r="E35" i="1" s="1"/>
  <c r="E13" i="1"/>
  <c r="E33" i="1" s="1"/>
  <c r="C32" i="1" s="1"/>
  <c r="C21" i="2" l="1"/>
  <c r="A22" i="2" s="1"/>
  <c r="C34" i="1"/>
  <c r="A33" i="1" s="1"/>
  <c r="C21" i="1"/>
</calcChain>
</file>

<file path=xl/sharedStrings.xml><?xml version="1.0" encoding="utf-8"?>
<sst xmlns="http://schemas.openxmlformats.org/spreadsheetml/2006/main" count="32" uniqueCount="22">
  <si>
    <t>AMERICAN CALL PRICING IN A TWO-PERIOD MODEL</t>
  </si>
  <si>
    <t>Up, U</t>
  </si>
  <si>
    <t>Down, D</t>
  </si>
  <si>
    <t>State prices</t>
  </si>
  <si>
    <t>Interest rate, R</t>
  </si>
  <si>
    <r>
      <t>q</t>
    </r>
    <r>
      <rPr>
        <vertAlign val="subscript"/>
        <sz val="10"/>
        <rFont val="Arial"/>
        <family val="2"/>
      </rPr>
      <t>U</t>
    </r>
  </si>
  <si>
    <t>Initial stock price, S</t>
  </si>
  <si>
    <r>
      <t>q</t>
    </r>
    <r>
      <rPr>
        <vertAlign val="subscript"/>
        <sz val="10"/>
        <rFont val="Arial"/>
        <family val="2"/>
      </rPr>
      <t>D</t>
    </r>
  </si>
  <si>
    <t>Option exercise price, X</t>
  </si>
  <si>
    <t>Stock price</t>
  </si>
  <si>
    <t>Bond price</t>
  </si>
  <si>
    <t>American call option</t>
  </si>
  <si>
    <r>
      <t xml:space="preserve">          =MAX(MAX(S*U-X,0),q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*call_payoff</t>
    </r>
    <r>
      <rPr>
        <vertAlign val="subscript"/>
        <sz val="10"/>
        <rFont val="Arial"/>
        <family val="2"/>
      </rPr>
      <t>UU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*call_payoff</t>
    </r>
    <r>
      <rPr>
        <vertAlign val="subscript"/>
        <sz val="10"/>
        <rFont val="Arial"/>
        <family val="2"/>
      </rPr>
      <t>UD</t>
    </r>
    <r>
      <rPr>
        <sz val="11"/>
        <color theme="1"/>
        <rFont val="等线"/>
        <family val="2"/>
        <charset val="134"/>
        <scheme val="minor"/>
      </rPr>
      <t>)</t>
    </r>
  </si>
  <si>
    <r>
      <t xml:space="preserve">          =MAX(MAX(S*D-X,0),q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*call_payoff</t>
    </r>
    <r>
      <rPr>
        <vertAlign val="subscript"/>
        <sz val="10"/>
        <rFont val="Arial"/>
        <family val="2"/>
      </rPr>
      <t>UD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*call_payoff</t>
    </r>
    <r>
      <rPr>
        <vertAlign val="subscript"/>
        <sz val="10"/>
        <rFont val="Arial"/>
        <family val="2"/>
      </rPr>
      <t>DD</t>
    </r>
    <r>
      <rPr>
        <sz val="11"/>
        <color theme="1"/>
        <rFont val="等线"/>
        <family val="2"/>
        <charset val="134"/>
        <scheme val="minor"/>
      </rPr>
      <t>)</t>
    </r>
  </si>
  <si>
    <r>
      <t>=MAX(MAX(S-X,0),q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*call_value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*call_value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)</t>
    </r>
  </si>
  <si>
    <t>European call option</t>
  </si>
  <si>
    <r>
      <t xml:space="preserve">          =MAX(MAX(X-S*U,0),q</t>
    </r>
    <r>
      <rPr>
        <vertAlign val="subscript"/>
        <sz val="10"/>
        <rFont val="等线"/>
        <family val="2"/>
        <charset val="134"/>
      </rPr>
      <t>U</t>
    </r>
    <r>
      <rPr>
        <sz val="11"/>
        <color theme="1"/>
        <rFont val="等线"/>
        <family val="2"/>
        <charset val="134"/>
        <scheme val="minor"/>
      </rPr>
      <t>*put_payoff</t>
    </r>
    <r>
      <rPr>
        <vertAlign val="subscript"/>
        <sz val="10"/>
        <rFont val="等线"/>
        <family val="2"/>
        <charset val="134"/>
      </rPr>
      <t>UU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等线"/>
        <family val="2"/>
        <charset val="134"/>
      </rPr>
      <t>D</t>
    </r>
    <r>
      <rPr>
        <sz val="11"/>
        <color theme="1"/>
        <rFont val="等线"/>
        <family val="2"/>
        <charset val="134"/>
        <scheme val="minor"/>
      </rPr>
      <t>*put_payoff</t>
    </r>
    <r>
      <rPr>
        <vertAlign val="subscript"/>
        <sz val="10"/>
        <rFont val="等线"/>
        <family val="2"/>
        <charset val="134"/>
      </rPr>
      <t>UD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</si>
  <si>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 xml:space="preserve">          =MAX(MAX(X-S*D,0),q</t>
    </r>
    <r>
      <rPr>
        <vertAlign val="subscript"/>
        <sz val="10"/>
        <rFont val="等线"/>
        <family val="2"/>
        <charset val="134"/>
      </rPr>
      <t>U</t>
    </r>
    <r>
      <rPr>
        <sz val="11"/>
        <color theme="1"/>
        <rFont val="等线"/>
        <family val="2"/>
        <charset val="134"/>
        <scheme val="minor"/>
      </rPr>
      <t>*put_payoff</t>
    </r>
    <r>
      <rPr>
        <vertAlign val="subscript"/>
        <sz val="11"/>
        <color theme="1"/>
        <rFont val="等线"/>
        <family val="3"/>
        <charset val="134"/>
        <scheme val="minor"/>
      </rPr>
      <t>DU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等线"/>
        <family val="2"/>
        <charset val="134"/>
      </rPr>
      <t>D</t>
    </r>
    <r>
      <rPr>
        <sz val="11"/>
        <color theme="1"/>
        <rFont val="等线"/>
        <family val="2"/>
        <charset val="134"/>
        <scheme val="minor"/>
      </rPr>
      <t>*put_payoff</t>
    </r>
    <r>
      <rPr>
        <vertAlign val="subscript"/>
        <sz val="11"/>
        <color theme="1"/>
        <rFont val="等线"/>
        <family val="3"/>
        <charset val="134"/>
        <scheme val="minor"/>
      </rPr>
      <t>D</t>
    </r>
    <r>
      <rPr>
        <vertAlign val="subscript"/>
        <sz val="10"/>
        <rFont val="等线"/>
        <family val="3"/>
        <charset val="134"/>
      </rPr>
      <t>D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</si>
  <si>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=MAX(MAX(X-S,0),q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*put_value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*put_value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</si>
  <si>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t>American put option</t>
    <phoneticPr fontId="1" type="noConversion"/>
  </si>
  <si>
    <t>AMERICAN put PRICING IN A TWO-PERIOD MODEL</t>
    <phoneticPr fontId="1" type="noConversion"/>
  </si>
  <si>
    <t>European put option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</si>
</sst>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vertAlign val="subscript"/>
      <sz val="10"/>
      <name val="等线"/>
      <family val="2"/>
      <charset val="134"/>
    </font>
    <font>
      <vertAlign val="subscript"/>
      <sz val="11"/>
      <color theme="1"/>
      <name val="等线"/>
      <family val="3"/>
      <charset val="134"/>
      <scheme val="minor"/>
    </font>
    <font>
      <vertAlign val="subscript"/>
      <sz val="10"/>
      <name val="等线"/>
      <family val="3"/>
      <charset val="134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31">
    <xf numFmtId="0" fontId="0" fillId="0" borderId="0" xfId="0">
      <alignment vertical="center"/>
    </xf>
    <xf numFmtId="0" fontId="0" fillId="0" borderId="0" xfId="0" applyAlignment="1"/>
    <xf numFmtId="4" fontId="0" fillId="0" borderId="0" xfId="0" applyNumberFormat="1" applyAlignment="1"/>
    <xf numFmtId="0" fontId="0" fillId="0" borderId="0" xfId="0" applyAlignment="1">
      <alignment horizontal="left"/>
    </xf>
    <xf numFmtId="0" fontId="3" fillId="0" borderId="0" xfId="0" applyFont="1" applyAlignment="1"/>
    <xf numFmtId="176" fontId="0" fillId="0" borderId="0" xfId="0" applyNumberFormat="1" applyAlignment="1"/>
    <xf numFmtId="0" fontId="3" fillId="0" borderId="0" xfId="0" applyFont="1" applyAlignment="1">
      <alignment horizontal="right"/>
    </xf>
    <xf numFmtId="176" fontId="0" fillId="0" borderId="0" xfId="0" applyNumberFormat="1" applyAlignment="1">
      <alignment horizontal="center"/>
    </xf>
    <xf numFmtId="176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quotePrefix="1" applyAlignment="1">
      <alignment horizontal="left"/>
    </xf>
    <xf numFmtId="176" fontId="0" fillId="2" borderId="0" xfId="0" applyNumberFormat="1" applyFill="1" applyAlignment="1">
      <alignment horizontal="right"/>
    </xf>
    <xf numFmtId="0" fontId="0" fillId="0" borderId="0" xfId="0" quotePrefix="1" applyAlignment="1"/>
    <xf numFmtId="0" fontId="2" fillId="0" borderId="0" xfId="0" applyFont="1" applyAlignment="1">
      <alignment horizontal="center"/>
    </xf>
    <xf numFmtId="0" fontId="2" fillId="0" borderId="0" xfId="1" applyFont="1" applyAlignment="1">
      <alignment horizontal="center"/>
    </xf>
    <xf numFmtId="0" fontId="8" fillId="0" borderId="0" xfId="1"/>
    <xf numFmtId="4" fontId="8" fillId="0" borderId="0" xfId="1" applyNumberFormat="1"/>
    <xf numFmtId="0" fontId="8" fillId="0" borderId="0" xfId="1" applyAlignment="1">
      <alignment horizontal="left"/>
    </xf>
    <xf numFmtId="0" fontId="3" fillId="0" borderId="0" xfId="1" applyFont="1"/>
    <xf numFmtId="176" fontId="8" fillId="0" borderId="0" xfId="1" applyNumberFormat="1"/>
    <xf numFmtId="0" fontId="3" fillId="0" borderId="0" xfId="1" applyFont="1" applyAlignment="1">
      <alignment horizontal="right"/>
    </xf>
    <xf numFmtId="176" fontId="8" fillId="0" borderId="0" xfId="1" applyNumberFormat="1" applyAlignment="1">
      <alignment horizontal="center"/>
    </xf>
    <xf numFmtId="176" fontId="8" fillId="0" borderId="0" xfId="1" quotePrefix="1" applyNumberFormat="1" applyAlignment="1">
      <alignment horizontal="center"/>
    </xf>
    <xf numFmtId="0" fontId="8" fillId="0" borderId="0" xfId="1" applyAlignment="1">
      <alignment horizontal="center"/>
    </xf>
    <xf numFmtId="2" fontId="8" fillId="0" borderId="0" xfId="1" applyNumberFormat="1" applyAlignment="1">
      <alignment horizontal="center"/>
    </xf>
    <xf numFmtId="0" fontId="8" fillId="0" borderId="0" xfId="1" quotePrefix="1" applyAlignment="1">
      <alignment horizontal="left"/>
    </xf>
    <xf numFmtId="176" fontId="8" fillId="2" borderId="0" xfId="1" applyNumberFormat="1" applyFill="1" applyAlignment="1">
      <alignment horizontal="right"/>
    </xf>
    <xf numFmtId="0" fontId="8" fillId="0" borderId="0" xfId="1" quotePrefix="1"/>
    <xf numFmtId="176" fontId="0" fillId="3" borderId="0" xfId="0" applyNumberFormat="1" applyFill="1" applyAlignment="1">
      <alignment horizontal="center"/>
    </xf>
    <xf numFmtId="176" fontId="0" fillId="3" borderId="0" xfId="0" quotePrefix="1" applyNumberFormat="1" applyFill="1" applyAlignment="1">
      <alignment horizontal="center"/>
    </xf>
  </cellXfs>
  <cellStyles count="2">
    <cellStyle name="常规" xfId="0" builtinId="0"/>
    <cellStyle name="常规 2" xfId="1" xr:uid="{54FF751A-218E-4670-82F0-A0905AB8745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60960</xdr:rowOff>
    </xdr:from>
    <xdr:to>
      <xdr:col>2</xdr:col>
      <xdr:colOff>0</xdr:colOff>
      <xdr:row>12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F0EB2F6-F481-4D82-8EC5-40A8D45DEA5B}"/>
            </a:ext>
          </a:extLst>
        </xdr:cNvPr>
        <xdr:cNvSpPr>
          <a:spLocks noChangeShapeType="1"/>
        </xdr:cNvSpPr>
      </xdr:nvSpPr>
      <xdr:spPr bwMode="auto">
        <a:xfrm flipV="1">
          <a:off x="1504950" y="20478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12</xdr:row>
      <xdr:rowOff>76200</xdr:rowOff>
    </xdr:from>
    <xdr:to>
      <xdr:col>2</xdr:col>
      <xdr:colOff>7620</xdr:colOff>
      <xdr:row>13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F502E6A-F56C-4EE7-AE02-461612484A20}"/>
            </a:ext>
          </a:extLst>
        </xdr:cNvPr>
        <xdr:cNvSpPr>
          <a:spLocks noChangeShapeType="1"/>
        </xdr:cNvSpPr>
      </xdr:nvSpPr>
      <xdr:spPr bwMode="auto">
        <a:xfrm>
          <a:off x="1504950" y="22383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11</xdr:row>
      <xdr:rowOff>45720</xdr:rowOff>
    </xdr:from>
    <xdr:to>
      <xdr:col>8</xdr:col>
      <xdr:colOff>0</xdr:colOff>
      <xdr:row>12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69FBA30-0F1E-4356-ABC9-18AFD05CA6DD}"/>
            </a:ext>
          </a:extLst>
        </xdr:cNvPr>
        <xdr:cNvSpPr>
          <a:spLocks noChangeShapeType="1"/>
        </xdr:cNvSpPr>
      </xdr:nvSpPr>
      <xdr:spPr bwMode="auto">
        <a:xfrm flipV="1">
          <a:off x="5191125" y="2038350"/>
          <a:ext cx="6000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83820</xdr:rowOff>
    </xdr:from>
    <xdr:to>
      <xdr:col>7</xdr:col>
      <xdr:colOff>480060</xdr:colOff>
      <xdr:row>13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B0F88206-91EF-4793-998F-C59D8EBE4483}"/>
            </a:ext>
          </a:extLst>
        </xdr:cNvPr>
        <xdr:cNvSpPr>
          <a:spLocks noChangeShapeType="1"/>
        </xdr:cNvSpPr>
      </xdr:nvSpPr>
      <xdr:spPr bwMode="auto">
        <a:xfrm>
          <a:off x="5181600" y="2247900"/>
          <a:ext cx="4762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53340</xdr:rowOff>
    </xdr:from>
    <xdr:to>
      <xdr:col>4</xdr:col>
      <xdr:colOff>0</xdr:colOff>
      <xdr:row>11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2F20DAD7-8EDA-4CDB-9566-84FC8A9F8686}"/>
            </a:ext>
          </a:extLst>
        </xdr:cNvPr>
        <xdr:cNvSpPr>
          <a:spLocks noChangeShapeType="1"/>
        </xdr:cNvSpPr>
      </xdr:nvSpPr>
      <xdr:spPr bwMode="auto">
        <a:xfrm flipV="1">
          <a:off x="2724150" y="18764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76200</xdr:rowOff>
    </xdr:from>
    <xdr:to>
      <xdr:col>4</xdr:col>
      <xdr:colOff>7620</xdr:colOff>
      <xdr:row>12</xdr:row>
      <xdr:rowOff>76200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F59DDA4A-D503-4C8D-8462-4F208FDD1B1A}"/>
            </a:ext>
          </a:extLst>
        </xdr:cNvPr>
        <xdr:cNvSpPr>
          <a:spLocks noChangeShapeType="1"/>
        </xdr:cNvSpPr>
      </xdr:nvSpPr>
      <xdr:spPr bwMode="auto">
        <a:xfrm>
          <a:off x="2724150" y="20669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12</xdr:row>
      <xdr:rowOff>68580</xdr:rowOff>
    </xdr:from>
    <xdr:to>
      <xdr:col>4</xdr:col>
      <xdr:colOff>15240</xdr:colOff>
      <xdr:row>13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D07CB02C-9C95-41D1-BA40-69EB2E09FD0B}"/>
            </a:ext>
          </a:extLst>
        </xdr:cNvPr>
        <xdr:cNvSpPr>
          <a:spLocks noChangeShapeType="1"/>
        </xdr:cNvSpPr>
      </xdr:nvSpPr>
      <xdr:spPr bwMode="auto">
        <a:xfrm flipV="1">
          <a:off x="2743200" y="222885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13</xdr:row>
      <xdr:rowOff>76200</xdr:rowOff>
    </xdr:from>
    <xdr:to>
      <xdr:col>4</xdr:col>
      <xdr:colOff>7620</xdr:colOff>
      <xdr:row>14</xdr:row>
      <xdr:rowOff>60960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3010619B-0D4F-4C16-B878-A71C5E8FF4C7}"/>
            </a:ext>
          </a:extLst>
        </xdr:cNvPr>
        <xdr:cNvSpPr>
          <a:spLocks noChangeShapeType="1"/>
        </xdr:cNvSpPr>
      </xdr:nvSpPr>
      <xdr:spPr bwMode="auto">
        <a:xfrm>
          <a:off x="2743200" y="2409825"/>
          <a:ext cx="60007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60960</xdr:rowOff>
    </xdr:from>
    <xdr:to>
      <xdr:col>2</xdr:col>
      <xdr:colOff>0</xdr:colOff>
      <xdr:row>21</xdr:row>
      <xdr:rowOff>68580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76D29912-B53F-4415-905D-9B42C309E10F}"/>
            </a:ext>
          </a:extLst>
        </xdr:cNvPr>
        <xdr:cNvSpPr>
          <a:spLocks noChangeShapeType="1"/>
        </xdr:cNvSpPr>
      </xdr:nvSpPr>
      <xdr:spPr bwMode="auto">
        <a:xfrm flipV="1">
          <a:off x="1504950" y="3619500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21</xdr:row>
      <xdr:rowOff>76200</xdr:rowOff>
    </xdr:from>
    <xdr:to>
      <xdr:col>2</xdr:col>
      <xdr:colOff>7620</xdr:colOff>
      <xdr:row>22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FA25A148-93D9-4EBE-AB3B-5F575EDFF6C0}"/>
            </a:ext>
          </a:extLst>
        </xdr:cNvPr>
        <xdr:cNvSpPr>
          <a:spLocks noChangeShapeType="1"/>
        </xdr:cNvSpPr>
      </xdr:nvSpPr>
      <xdr:spPr bwMode="auto">
        <a:xfrm>
          <a:off x="1504950" y="3810000"/>
          <a:ext cx="61912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480060</xdr:colOff>
      <xdr:row>19</xdr:row>
      <xdr:rowOff>53340</xdr:rowOff>
    </xdr:from>
    <xdr:to>
      <xdr:col>4</xdr:col>
      <xdr:colOff>0</xdr:colOff>
      <xdr:row>20</xdr:row>
      <xdr:rowOff>60960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E3B74B6E-988C-41AD-99C2-83CD8F171126}"/>
            </a:ext>
          </a:extLst>
        </xdr:cNvPr>
        <xdr:cNvSpPr>
          <a:spLocks noChangeShapeType="1"/>
        </xdr:cNvSpPr>
      </xdr:nvSpPr>
      <xdr:spPr bwMode="auto">
        <a:xfrm flipV="1">
          <a:off x="2590800" y="344805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20</xdr:row>
      <xdr:rowOff>60960</xdr:rowOff>
    </xdr:from>
    <xdr:to>
      <xdr:col>4</xdr:col>
      <xdr:colOff>0</xdr:colOff>
      <xdr:row>21</xdr:row>
      <xdr:rowOff>60960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462A424A-5B0A-4327-AC10-93C916EE4FDE}"/>
            </a:ext>
          </a:extLst>
        </xdr:cNvPr>
        <xdr:cNvSpPr>
          <a:spLocks noChangeShapeType="1"/>
        </xdr:cNvSpPr>
      </xdr:nvSpPr>
      <xdr:spPr bwMode="auto">
        <a:xfrm>
          <a:off x="2724150" y="36195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21</xdr:row>
      <xdr:rowOff>68580</xdr:rowOff>
    </xdr:from>
    <xdr:to>
      <xdr:col>3</xdr:col>
      <xdr:colOff>480060</xdr:colOff>
      <xdr:row>22</xdr:row>
      <xdr:rowOff>68580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BEFB1939-ADFE-4610-A75B-BD5308728D82}"/>
            </a:ext>
          </a:extLst>
        </xdr:cNvPr>
        <xdr:cNvSpPr>
          <a:spLocks noChangeShapeType="1"/>
        </xdr:cNvSpPr>
      </xdr:nvSpPr>
      <xdr:spPr bwMode="auto">
        <a:xfrm flipV="1">
          <a:off x="2724150" y="3800475"/>
          <a:ext cx="4762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22</xdr:row>
      <xdr:rowOff>76200</xdr:rowOff>
    </xdr:from>
    <xdr:to>
      <xdr:col>4</xdr:col>
      <xdr:colOff>0</xdr:colOff>
      <xdr:row>23</xdr:row>
      <xdr:rowOff>60960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D34E75EE-4808-42CE-B8AB-7C10F7E42EB1}"/>
            </a:ext>
          </a:extLst>
        </xdr:cNvPr>
        <xdr:cNvSpPr>
          <a:spLocks noChangeShapeType="1"/>
        </xdr:cNvSpPr>
      </xdr:nvSpPr>
      <xdr:spPr bwMode="auto">
        <a:xfrm>
          <a:off x="2724150" y="398145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31</xdr:row>
      <xdr:rowOff>60960</xdr:rowOff>
    </xdr:from>
    <xdr:to>
      <xdr:col>2</xdr:col>
      <xdr:colOff>0</xdr:colOff>
      <xdr:row>32</xdr:row>
      <xdr:rowOff>68580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B5E10B98-3522-4804-99D3-CE5C0FC9366F}"/>
            </a:ext>
          </a:extLst>
        </xdr:cNvPr>
        <xdr:cNvSpPr>
          <a:spLocks noChangeShapeType="1"/>
        </xdr:cNvSpPr>
      </xdr:nvSpPr>
      <xdr:spPr bwMode="auto">
        <a:xfrm flipV="1">
          <a:off x="1504950" y="55626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32</xdr:row>
      <xdr:rowOff>76200</xdr:rowOff>
    </xdr:from>
    <xdr:to>
      <xdr:col>2</xdr:col>
      <xdr:colOff>7620</xdr:colOff>
      <xdr:row>33</xdr:row>
      <xdr:rowOff>68580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4E917F1A-7B56-403A-8521-4E4A836200D7}"/>
            </a:ext>
          </a:extLst>
        </xdr:cNvPr>
        <xdr:cNvSpPr>
          <a:spLocks noChangeShapeType="1"/>
        </xdr:cNvSpPr>
      </xdr:nvSpPr>
      <xdr:spPr bwMode="auto">
        <a:xfrm>
          <a:off x="1504950" y="57531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480060</xdr:colOff>
      <xdr:row>30</xdr:row>
      <xdr:rowOff>53340</xdr:rowOff>
    </xdr:from>
    <xdr:to>
      <xdr:col>4</xdr:col>
      <xdr:colOff>0</xdr:colOff>
      <xdr:row>31</xdr:row>
      <xdr:rowOff>60960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D991285F-DADA-4F88-8BF2-6FF234A6E4BD}"/>
            </a:ext>
          </a:extLst>
        </xdr:cNvPr>
        <xdr:cNvSpPr>
          <a:spLocks noChangeShapeType="1"/>
        </xdr:cNvSpPr>
      </xdr:nvSpPr>
      <xdr:spPr bwMode="auto">
        <a:xfrm flipV="1">
          <a:off x="2590800" y="5391150"/>
          <a:ext cx="7429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31</xdr:row>
      <xdr:rowOff>60960</xdr:rowOff>
    </xdr:from>
    <xdr:to>
      <xdr:col>4</xdr:col>
      <xdr:colOff>0</xdr:colOff>
      <xdr:row>32</xdr:row>
      <xdr:rowOff>60960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347E1FC2-371C-46B2-B9EE-266479ECDBF9}"/>
            </a:ext>
          </a:extLst>
        </xdr:cNvPr>
        <xdr:cNvSpPr>
          <a:spLocks noChangeShapeType="1"/>
        </xdr:cNvSpPr>
      </xdr:nvSpPr>
      <xdr:spPr bwMode="auto">
        <a:xfrm>
          <a:off x="2724150" y="556260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32</xdr:row>
      <xdr:rowOff>68580</xdr:rowOff>
    </xdr:from>
    <xdr:to>
      <xdr:col>3</xdr:col>
      <xdr:colOff>480060</xdr:colOff>
      <xdr:row>33</xdr:row>
      <xdr:rowOff>68580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E051BAEB-01E5-4161-9BFC-3C00B0DAE242}"/>
            </a:ext>
          </a:extLst>
        </xdr:cNvPr>
        <xdr:cNvSpPr>
          <a:spLocks noChangeShapeType="1"/>
        </xdr:cNvSpPr>
      </xdr:nvSpPr>
      <xdr:spPr bwMode="auto">
        <a:xfrm flipV="1">
          <a:off x="2724150" y="5743575"/>
          <a:ext cx="4762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33</xdr:row>
      <xdr:rowOff>76200</xdr:rowOff>
    </xdr:from>
    <xdr:to>
      <xdr:col>4</xdr:col>
      <xdr:colOff>0</xdr:colOff>
      <xdr:row>34</xdr:row>
      <xdr:rowOff>60960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51EA57B2-97B1-4371-A043-42C8237A0B27}"/>
            </a:ext>
          </a:extLst>
        </xdr:cNvPr>
        <xdr:cNvSpPr>
          <a:spLocks noChangeShapeType="1"/>
        </xdr:cNvSpPr>
      </xdr:nvSpPr>
      <xdr:spPr bwMode="auto">
        <a:xfrm>
          <a:off x="2724150" y="592455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205740</xdr:colOff>
      <xdr:row>22</xdr:row>
      <xdr:rowOff>30480</xdr:rowOff>
    </xdr:from>
    <xdr:to>
      <xdr:col>10</xdr:col>
      <xdr:colOff>464820</xdr:colOff>
      <xdr:row>24</xdr:row>
      <xdr:rowOff>121920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52DC7868-8FF5-44D7-B9C9-FFA9A5945B9C}"/>
            </a:ext>
          </a:extLst>
        </xdr:cNvPr>
        <xdr:cNvSpPr>
          <a:spLocks noChangeArrowheads="1"/>
        </xdr:cNvSpPr>
      </xdr:nvSpPr>
      <xdr:spPr bwMode="auto">
        <a:xfrm>
          <a:off x="4171950" y="3933825"/>
          <a:ext cx="3324225" cy="4667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281940</xdr:colOff>
      <xdr:row>17</xdr:row>
      <xdr:rowOff>15240</xdr:rowOff>
    </xdr:from>
    <xdr:to>
      <xdr:col>10</xdr:col>
      <xdr:colOff>457200</xdr:colOff>
      <xdr:row>19</xdr:row>
      <xdr:rowOff>114300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EB449E68-94A8-4869-B250-0873D01C7387}"/>
            </a:ext>
          </a:extLst>
        </xdr:cNvPr>
        <xdr:cNvSpPr>
          <a:spLocks noChangeArrowheads="1"/>
        </xdr:cNvSpPr>
      </xdr:nvSpPr>
      <xdr:spPr bwMode="auto">
        <a:xfrm>
          <a:off x="4248150" y="3038475"/>
          <a:ext cx="3238500" cy="4667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66254AF9-4586-4029-936E-1A0EABBE6C5E}"/>
            </a:ext>
          </a:extLst>
        </xdr:cNvPr>
        <xdr:cNvSpPr>
          <a:spLocks noChangeShapeType="1"/>
        </xdr:cNvSpPr>
      </xdr:nvSpPr>
      <xdr:spPr bwMode="auto">
        <a:xfrm flipV="1"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8484A865-C308-4F60-8968-29938ED08AA0}"/>
            </a:ext>
          </a:extLst>
        </xdr:cNvPr>
        <xdr:cNvSpPr>
          <a:spLocks noChangeShapeType="1"/>
        </xdr:cNvSpPr>
      </xdr:nvSpPr>
      <xdr:spPr bwMode="auto">
        <a:xfrm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511EA31E-C543-4C89-B97C-CAE6957BCA66}"/>
            </a:ext>
          </a:extLst>
        </xdr:cNvPr>
        <xdr:cNvSpPr>
          <a:spLocks noChangeShapeType="1"/>
        </xdr:cNvSpPr>
      </xdr:nvSpPr>
      <xdr:spPr bwMode="auto">
        <a:xfrm flipV="1"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FBD8C505-B37F-4CEF-83CD-CB17E4B5053D}"/>
            </a:ext>
          </a:extLst>
        </xdr:cNvPr>
        <xdr:cNvSpPr>
          <a:spLocks noChangeShapeType="1"/>
        </xdr:cNvSpPr>
      </xdr:nvSpPr>
      <xdr:spPr bwMode="auto">
        <a:xfrm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9AF6D39A-9E18-44DD-BDE0-4CD1420EBDB3}"/>
            </a:ext>
          </a:extLst>
        </xdr:cNvPr>
        <xdr:cNvSpPr>
          <a:spLocks noChangeShapeType="1"/>
        </xdr:cNvSpPr>
      </xdr:nvSpPr>
      <xdr:spPr bwMode="auto">
        <a:xfrm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E5849B53-0640-40C5-8B84-C73530290E6F}"/>
            </a:ext>
          </a:extLst>
        </xdr:cNvPr>
        <xdr:cNvSpPr>
          <a:spLocks noChangeShapeType="1"/>
        </xdr:cNvSpPr>
      </xdr:nvSpPr>
      <xdr:spPr bwMode="auto">
        <a:xfrm flipV="1"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975360</xdr:colOff>
      <xdr:row>25</xdr:row>
      <xdr:rowOff>38100</xdr:rowOff>
    </xdr:from>
    <xdr:to>
      <xdr:col>5</xdr:col>
      <xdr:colOff>297180</xdr:colOff>
      <xdr:row>27</xdr:row>
      <xdr:rowOff>91440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1D8FDDE0-90FC-476F-B812-C2E133D627E5}"/>
            </a:ext>
          </a:extLst>
        </xdr:cNvPr>
        <xdr:cNvSpPr>
          <a:spLocks noChangeArrowheads="1"/>
        </xdr:cNvSpPr>
      </xdr:nvSpPr>
      <xdr:spPr bwMode="auto">
        <a:xfrm>
          <a:off x="971550" y="4486275"/>
          <a:ext cx="3286125" cy="4286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53340</xdr:rowOff>
    </xdr:from>
    <xdr:to>
      <xdr:col>10</xdr:col>
      <xdr:colOff>7620</xdr:colOff>
      <xdr:row>13</xdr:row>
      <xdr:rowOff>76200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25CF7B0C-8079-477D-8496-2974E0C64FB1}"/>
            </a:ext>
          </a:extLst>
        </xdr:cNvPr>
        <xdr:cNvSpPr>
          <a:spLocks noChangeShapeType="1"/>
        </xdr:cNvSpPr>
      </xdr:nvSpPr>
      <xdr:spPr bwMode="auto">
        <a:xfrm flipV="1">
          <a:off x="6419850" y="221932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13</xdr:row>
      <xdr:rowOff>76200</xdr:rowOff>
    </xdr:from>
    <xdr:to>
      <xdr:col>10</xdr:col>
      <xdr:colOff>0</xdr:colOff>
      <xdr:row>14</xdr:row>
      <xdr:rowOff>68580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12020E6B-16C9-4A61-A1EA-67874CF8DBB4}"/>
            </a:ext>
          </a:extLst>
        </xdr:cNvPr>
        <xdr:cNvSpPr>
          <a:spLocks noChangeShapeType="1"/>
        </xdr:cNvSpPr>
      </xdr:nvSpPr>
      <xdr:spPr bwMode="auto">
        <a:xfrm>
          <a:off x="6419850" y="24098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11</xdr:row>
      <xdr:rowOff>68580</xdr:rowOff>
    </xdr:from>
    <xdr:to>
      <xdr:col>10</xdr:col>
      <xdr:colOff>0</xdr:colOff>
      <xdr:row>12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AA40E537-13E0-4C89-A9FF-BEB3239E240A}"/>
            </a:ext>
          </a:extLst>
        </xdr:cNvPr>
        <xdr:cNvSpPr>
          <a:spLocks noChangeShapeType="1"/>
        </xdr:cNvSpPr>
      </xdr:nvSpPr>
      <xdr:spPr bwMode="auto">
        <a:xfrm>
          <a:off x="6419850" y="205740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10</xdr:row>
      <xdr:rowOff>68580</xdr:rowOff>
    </xdr:from>
    <xdr:to>
      <xdr:col>10</xdr:col>
      <xdr:colOff>7620</xdr:colOff>
      <xdr:row>11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440968B6-889B-43AA-8243-3D1E6F8D3E7A}"/>
            </a:ext>
          </a:extLst>
        </xdr:cNvPr>
        <xdr:cNvSpPr>
          <a:spLocks noChangeShapeType="1"/>
        </xdr:cNvSpPr>
      </xdr:nvSpPr>
      <xdr:spPr bwMode="auto">
        <a:xfrm flipV="1">
          <a:off x="6429375" y="188595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D005C1EA-B386-44BE-9D4F-417351F77C8E}"/>
            </a:ext>
          </a:extLst>
        </xdr:cNvPr>
        <xdr:cNvSpPr>
          <a:spLocks noChangeShapeType="1"/>
        </xdr:cNvSpPr>
      </xdr:nvSpPr>
      <xdr:spPr bwMode="auto">
        <a:xfrm flipV="1">
          <a:off x="5181600" y="6362700"/>
          <a:ext cx="609600" cy="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22860</xdr:colOff>
      <xdr:row>36</xdr:row>
      <xdr:rowOff>0</xdr:rowOff>
    </xdr:from>
    <xdr:to>
      <xdr:col>10</xdr:col>
      <xdr:colOff>15240</xdr:colOff>
      <xdr:row>36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4B7264E-45C2-43CA-ADAB-1DCCDA3CC77F}"/>
            </a:ext>
          </a:extLst>
        </xdr:cNvPr>
        <xdr:cNvSpPr>
          <a:spLocks noChangeShapeType="1"/>
        </xdr:cNvSpPr>
      </xdr:nvSpPr>
      <xdr:spPr bwMode="auto">
        <a:xfrm flipV="1">
          <a:off x="6438900" y="6362700"/>
          <a:ext cx="609600" cy="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251460</xdr:colOff>
      <xdr:row>17</xdr:row>
      <xdr:rowOff>60960</xdr:rowOff>
    </xdr:from>
    <xdr:to>
      <xdr:col>6</xdr:col>
      <xdr:colOff>182880</xdr:colOff>
      <xdr:row>19</xdr:row>
      <xdr:rowOff>106680</xdr:rowOff>
    </xdr:to>
    <xdr:sp macro="" textlink="">
      <xdr:nvSpPr>
        <xdr:cNvPr id="37" name="Arc 36">
          <a:extLst>
            <a:ext uri="{FF2B5EF4-FFF2-40B4-BE49-F238E27FC236}">
              <a16:creationId xmlns:a16="http://schemas.microsoft.com/office/drawing/2014/main" id="{88861828-C77D-4853-9127-3315BC35F39E}"/>
            </a:ext>
          </a:extLst>
        </xdr:cNvPr>
        <xdr:cNvSpPr>
          <a:spLocks/>
        </xdr:cNvSpPr>
      </xdr:nvSpPr>
      <xdr:spPr bwMode="auto">
        <a:xfrm flipH="1">
          <a:off x="2362200" y="3076575"/>
          <a:ext cx="2390775" cy="4191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937260</xdr:colOff>
      <xdr:row>21</xdr:row>
      <xdr:rowOff>114300</xdr:rowOff>
    </xdr:from>
    <xdr:to>
      <xdr:col>0</xdr:col>
      <xdr:colOff>998220</xdr:colOff>
      <xdr:row>26</xdr:row>
      <xdr:rowOff>22860</xdr:rowOff>
    </xdr:to>
    <xdr:sp macro="" textlink="">
      <xdr:nvSpPr>
        <xdr:cNvPr id="38" name="AutoShape 37">
          <a:extLst>
            <a:ext uri="{FF2B5EF4-FFF2-40B4-BE49-F238E27FC236}">
              <a16:creationId xmlns:a16="http://schemas.microsoft.com/office/drawing/2014/main" id="{187CA85F-A99A-4D21-B4C8-4B78F28A5AA1}"/>
            </a:ext>
          </a:extLst>
        </xdr:cNvPr>
        <xdr:cNvSpPr>
          <a:spLocks/>
        </xdr:cNvSpPr>
      </xdr:nvSpPr>
      <xdr:spPr bwMode="auto">
        <a:xfrm>
          <a:off x="933450" y="3848100"/>
          <a:ext cx="66675" cy="790575"/>
        </a:xfrm>
        <a:prstGeom prst="leftBracket">
          <a:avLst>
            <a:gd name="adj" fmla="val 10625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23</xdr:row>
      <xdr:rowOff>0</xdr:rowOff>
    </xdr:from>
    <xdr:to>
      <xdr:col>6</xdr:col>
      <xdr:colOff>251460</xdr:colOff>
      <xdr:row>24</xdr:row>
      <xdr:rowOff>99060</xdr:rowOff>
    </xdr:to>
    <xdr:sp macro="" textlink="">
      <xdr:nvSpPr>
        <xdr:cNvPr id="39" name="Arc 38">
          <a:extLst>
            <a:ext uri="{FF2B5EF4-FFF2-40B4-BE49-F238E27FC236}">
              <a16:creationId xmlns:a16="http://schemas.microsoft.com/office/drawing/2014/main" id="{5047D480-E671-4D99-BB8F-B31EFA123EEA}"/>
            </a:ext>
          </a:extLst>
        </xdr:cNvPr>
        <xdr:cNvSpPr>
          <a:spLocks/>
        </xdr:cNvSpPr>
      </xdr:nvSpPr>
      <xdr:spPr bwMode="auto">
        <a:xfrm flipH="1" flipV="1">
          <a:off x="2381250" y="4076700"/>
          <a:ext cx="2438400" cy="295275"/>
        </a:xfrm>
        <a:custGeom>
          <a:avLst/>
          <a:gdLst>
            <a:gd name="G0" fmla="+- 0 0 0"/>
            <a:gd name="G1" fmla="+- 21585 0 0"/>
            <a:gd name="G2" fmla="+- 21600 0 0"/>
            <a:gd name="T0" fmla="*/ 815 w 21600"/>
            <a:gd name="T1" fmla="*/ 0 h 21585"/>
            <a:gd name="T2" fmla="*/ 21600 w 21600"/>
            <a:gd name="T3" fmla="*/ 21585 h 21585"/>
            <a:gd name="T4" fmla="*/ 0 w 21600"/>
            <a:gd name="T5" fmla="*/ 21585 h 215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585" fill="none" extrusionOk="0">
              <a:moveTo>
                <a:pt x="814" y="0"/>
              </a:moveTo>
              <a:cubicBezTo>
                <a:pt x="12418" y="438"/>
                <a:pt x="21600" y="9972"/>
                <a:pt x="21600" y="21585"/>
              </a:cubicBezTo>
            </a:path>
            <a:path w="21600" h="21585" stroke="0" extrusionOk="0">
              <a:moveTo>
                <a:pt x="814" y="0"/>
              </a:moveTo>
              <a:cubicBezTo>
                <a:pt x="12418" y="438"/>
                <a:pt x="21600" y="9972"/>
                <a:pt x="21600" y="21585"/>
              </a:cubicBezTo>
              <a:lnTo>
                <a:pt x="0" y="21585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oneCell">
    <xdr:from>
      <xdr:col>13</xdr:col>
      <xdr:colOff>556260</xdr:colOff>
      <xdr:row>4</xdr:row>
      <xdr:rowOff>30480</xdr:rowOff>
    </xdr:from>
    <xdr:to>
      <xdr:col>26</xdr:col>
      <xdr:colOff>266700</xdr:colOff>
      <xdr:row>39</xdr:row>
      <xdr:rowOff>156796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873AEE65-595E-5D81-395F-F417CE64E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03080" y="800100"/>
          <a:ext cx="7635240" cy="6355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60960</xdr:rowOff>
    </xdr:from>
    <xdr:to>
      <xdr:col>2</xdr:col>
      <xdr:colOff>0</xdr:colOff>
      <xdr:row>12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425AD62-F02B-4EE4-B454-3F52F3E3322A}"/>
            </a:ext>
          </a:extLst>
        </xdr:cNvPr>
        <xdr:cNvSpPr>
          <a:spLocks noChangeShapeType="1"/>
        </xdr:cNvSpPr>
      </xdr:nvSpPr>
      <xdr:spPr bwMode="auto">
        <a:xfrm flipV="1">
          <a:off x="1504950" y="20478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12</xdr:row>
      <xdr:rowOff>76200</xdr:rowOff>
    </xdr:from>
    <xdr:to>
      <xdr:col>2</xdr:col>
      <xdr:colOff>7620</xdr:colOff>
      <xdr:row>13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5768FC7-0AA1-43AA-8F29-31CC9AD38C57}"/>
            </a:ext>
          </a:extLst>
        </xdr:cNvPr>
        <xdr:cNvSpPr>
          <a:spLocks noChangeShapeType="1"/>
        </xdr:cNvSpPr>
      </xdr:nvSpPr>
      <xdr:spPr bwMode="auto">
        <a:xfrm>
          <a:off x="1504950" y="22383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11</xdr:row>
      <xdr:rowOff>45720</xdr:rowOff>
    </xdr:from>
    <xdr:to>
      <xdr:col>8</xdr:col>
      <xdr:colOff>0</xdr:colOff>
      <xdr:row>12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D0D30036-10F4-4C27-AB43-6A43BA1CE7F7}"/>
            </a:ext>
          </a:extLst>
        </xdr:cNvPr>
        <xdr:cNvSpPr>
          <a:spLocks noChangeShapeType="1"/>
        </xdr:cNvSpPr>
      </xdr:nvSpPr>
      <xdr:spPr bwMode="auto">
        <a:xfrm flipV="1">
          <a:off x="5191125" y="2038350"/>
          <a:ext cx="6000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83820</xdr:rowOff>
    </xdr:from>
    <xdr:to>
      <xdr:col>7</xdr:col>
      <xdr:colOff>480060</xdr:colOff>
      <xdr:row>13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AEDBD5C-7D06-4422-BB0A-8F8882956FCC}"/>
            </a:ext>
          </a:extLst>
        </xdr:cNvPr>
        <xdr:cNvSpPr>
          <a:spLocks noChangeShapeType="1"/>
        </xdr:cNvSpPr>
      </xdr:nvSpPr>
      <xdr:spPr bwMode="auto">
        <a:xfrm>
          <a:off x="5181600" y="2247900"/>
          <a:ext cx="4762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53340</xdr:rowOff>
    </xdr:from>
    <xdr:to>
      <xdr:col>4</xdr:col>
      <xdr:colOff>0</xdr:colOff>
      <xdr:row>11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DF5CEE64-CE77-4D48-8565-9CA0C9DFB7A8}"/>
            </a:ext>
          </a:extLst>
        </xdr:cNvPr>
        <xdr:cNvSpPr>
          <a:spLocks noChangeShapeType="1"/>
        </xdr:cNvSpPr>
      </xdr:nvSpPr>
      <xdr:spPr bwMode="auto">
        <a:xfrm flipV="1">
          <a:off x="2724150" y="18764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76200</xdr:rowOff>
    </xdr:from>
    <xdr:to>
      <xdr:col>4</xdr:col>
      <xdr:colOff>7620</xdr:colOff>
      <xdr:row>12</xdr:row>
      <xdr:rowOff>76200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FD324E5-0F20-4C4C-884A-9AF0A24B1D75}"/>
            </a:ext>
          </a:extLst>
        </xdr:cNvPr>
        <xdr:cNvSpPr>
          <a:spLocks noChangeShapeType="1"/>
        </xdr:cNvSpPr>
      </xdr:nvSpPr>
      <xdr:spPr bwMode="auto">
        <a:xfrm>
          <a:off x="2724150" y="20669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12</xdr:row>
      <xdr:rowOff>68580</xdr:rowOff>
    </xdr:from>
    <xdr:to>
      <xdr:col>4</xdr:col>
      <xdr:colOff>15240</xdr:colOff>
      <xdr:row>13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6911F5A4-A065-418D-B0A5-322F8826B0C8}"/>
            </a:ext>
          </a:extLst>
        </xdr:cNvPr>
        <xdr:cNvSpPr>
          <a:spLocks noChangeShapeType="1"/>
        </xdr:cNvSpPr>
      </xdr:nvSpPr>
      <xdr:spPr bwMode="auto">
        <a:xfrm flipV="1">
          <a:off x="2743200" y="222885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13</xdr:row>
      <xdr:rowOff>76200</xdr:rowOff>
    </xdr:from>
    <xdr:to>
      <xdr:col>4</xdr:col>
      <xdr:colOff>7620</xdr:colOff>
      <xdr:row>14</xdr:row>
      <xdr:rowOff>60960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EFDB5E21-AF83-4AD3-B894-E705BDC8C676}"/>
            </a:ext>
          </a:extLst>
        </xdr:cNvPr>
        <xdr:cNvSpPr>
          <a:spLocks noChangeShapeType="1"/>
        </xdr:cNvSpPr>
      </xdr:nvSpPr>
      <xdr:spPr bwMode="auto">
        <a:xfrm>
          <a:off x="2743200" y="2409825"/>
          <a:ext cx="60007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60960</xdr:rowOff>
    </xdr:from>
    <xdr:to>
      <xdr:col>2</xdr:col>
      <xdr:colOff>0</xdr:colOff>
      <xdr:row>21</xdr:row>
      <xdr:rowOff>68580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67F26EEC-1105-4840-8A98-586926FD47DD}"/>
            </a:ext>
          </a:extLst>
        </xdr:cNvPr>
        <xdr:cNvSpPr>
          <a:spLocks noChangeShapeType="1"/>
        </xdr:cNvSpPr>
      </xdr:nvSpPr>
      <xdr:spPr bwMode="auto">
        <a:xfrm flipV="1">
          <a:off x="1504950" y="3619500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21</xdr:row>
      <xdr:rowOff>76200</xdr:rowOff>
    </xdr:from>
    <xdr:to>
      <xdr:col>2</xdr:col>
      <xdr:colOff>7620</xdr:colOff>
      <xdr:row>22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B014BA50-3657-40D2-A428-4D7E41521783}"/>
            </a:ext>
          </a:extLst>
        </xdr:cNvPr>
        <xdr:cNvSpPr>
          <a:spLocks noChangeShapeType="1"/>
        </xdr:cNvSpPr>
      </xdr:nvSpPr>
      <xdr:spPr bwMode="auto">
        <a:xfrm>
          <a:off x="1504950" y="3810000"/>
          <a:ext cx="61912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480060</xdr:colOff>
      <xdr:row>19</xdr:row>
      <xdr:rowOff>53340</xdr:rowOff>
    </xdr:from>
    <xdr:to>
      <xdr:col>4</xdr:col>
      <xdr:colOff>0</xdr:colOff>
      <xdr:row>20</xdr:row>
      <xdr:rowOff>60960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375A502E-1AEB-4426-8E86-4F52380D8269}"/>
            </a:ext>
          </a:extLst>
        </xdr:cNvPr>
        <xdr:cNvSpPr>
          <a:spLocks noChangeShapeType="1"/>
        </xdr:cNvSpPr>
      </xdr:nvSpPr>
      <xdr:spPr bwMode="auto">
        <a:xfrm flipV="1">
          <a:off x="2590800" y="344805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20</xdr:row>
      <xdr:rowOff>60960</xdr:rowOff>
    </xdr:from>
    <xdr:to>
      <xdr:col>4</xdr:col>
      <xdr:colOff>0</xdr:colOff>
      <xdr:row>21</xdr:row>
      <xdr:rowOff>60960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E70E80C2-0EA9-402C-867A-2E1D396EECF1}"/>
            </a:ext>
          </a:extLst>
        </xdr:cNvPr>
        <xdr:cNvSpPr>
          <a:spLocks noChangeShapeType="1"/>
        </xdr:cNvSpPr>
      </xdr:nvSpPr>
      <xdr:spPr bwMode="auto">
        <a:xfrm>
          <a:off x="2724150" y="36195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21</xdr:row>
      <xdr:rowOff>68580</xdr:rowOff>
    </xdr:from>
    <xdr:to>
      <xdr:col>3</xdr:col>
      <xdr:colOff>480060</xdr:colOff>
      <xdr:row>22</xdr:row>
      <xdr:rowOff>68580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FD2A684C-27DC-4FA4-A794-70872F8DD805}"/>
            </a:ext>
          </a:extLst>
        </xdr:cNvPr>
        <xdr:cNvSpPr>
          <a:spLocks noChangeShapeType="1"/>
        </xdr:cNvSpPr>
      </xdr:nvSpPr>
      <xdr:spPr bwMode="auto">
        <a:xfrm flipV="1">
          <a:off x="2724150" y="3800475"/>
          <a:ext cx="4762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22</xdr:row>
      <xdr:rowOff>76200</xdr:rowOff>
    </xdr:from>
    <xdr:to>
      <xdr:col>4</xdr:col>
      <xdr:colOff>0</xdr:colOff>
      <xdr:row>23</xdr:row>
      <xdr:rowOff>60960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69B3D6A2-EE92-4C2B-BA9C-282C9963CAF6}"/>
            </a:ext>
          </a:extLst>
        </xdr:cNvPr>
        <xdr:cNvSpPr>
          <a:spLocks noChangeShapeType="1"/>
        </xdr:cNvSpPr>
      </xdr:nvSpPr>
      <xdr:spPr bwMode="auto">
        <a:xfrm>
          <a:off x="2724150" y="398145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31</xdr:row>
      <xdr:rowOff>60960</xdr:rowOff>
    </xdr:from>
    <xdr:to>
      <xdr:col>2</xdr:col>
      <xdr:colOff>0</xdr:colOff>
      <xdr:row>32</xdr:row>
      <xdr:rowOff>68580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D18759C-3F41-46A9-ADEC-33ACCA483C08}"/>
            </a:ext>
          </a:extLst>
        </xdr:cNvPr>
        <xdr:cNvSpPr>
          <a:spLocks noChangeShapeType="1"/>
        </xdr:cNvSpPr>
      </xdr:nvSpPr>
      <xdr:spPr bwMode="auto">
        <a:xfrm flipV="1">
          <a:off x="1504950" y="55626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32</xdr:row>
      <xdr:rowOff>76200</xdr:rowOff>
    </xdr:from>
    <xdr:to>
      <xdr:col>2</xdr:col>
      <xdr:colOff>7620</xdr:colOff>
      <xdr:row>33</xdr:row>
      <xdr:rowOff>68580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AC3A22F-A193-4ED1-8183-3D7B44F42C89}"/>
            </a:ext>
          </a:extLst>
        </xdr:cNvPr>
        <xdr:cNvSpPr>
          <a:spLocks noChangeShapeType="1"/>
        </xdr:cNvSpPr>
      </xdr:nvSpPr>
      <xdr:spPr bwMode="auto">
        <a:xfrm>
          <a:off x="1504950" y="57531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480060</xdr:colOff>
      <xdr:row>30</xdr:row>
      <xdr:rowOff>53340</xdr:rowOff>
    </xdr:from>
    <xdr:to>
      <xdr:col>4</xdr:col>
      <xdr:colOff>0</xdr:colOff>
      <xdr:row>31</xdr:row>
      <xdr:rowOff>60960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C8A32467-1CAA-4ED4-9DC7-71C26E310485}"/>
            </a:ext>
          </a:extLst>
        </xdr:cNvPr>
        <xdr:cNvSpPr>
          <a:spLocks noChangeShapeType="1"/>
        </xdr:cNvSpPr>
      </xdr:nvSpPr>
      <xdr:spPr bwMode="auto">
        <a:xfrm flipV="1">
          <a:off x="2590800" y="5391150"/>
          <a:ext cx="7429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31</xdr:row>
      <xdr:rowOff>60960</xdr:rowOff>
    </xdr:from>
    <xdr:to>
      <xdr:col>4</xdr:col>
      <xdr:colOff>0</xdr:colOff>
      <xdr:row>32</xdr:row>
      <xdr:rowOff>60960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8F4B4FE-B9BB-4CBA-AB73-C2CC1574606B}"/>
            </a:ext>
          </a:extLst>
        </xdr:cNvPr>
        <xdr:cNvSpPr>
          <a:spLocks noChangeShapeType="1"/>
        </xdr:cNvSpPr>
      </xdr:nvSpPr>
      <xdr:spPr bwMode="auto">
        <a:xfrm>
          <a:off x="2724150" y="556260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32</xdr:row>
      <xdr:rowOff>68580</xdr:rowOff>
    </xdr:from>
    <xdr:to>
      <xdr:col>3</xdr:col>
      <xdr:colOff>480060</xdr:colOff>
      <xdr:row>33</xdr:row>
      <xdr:rowOff>68580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C602AB2C-B1D0-4705-BFBB-5DCF0D4CEB11}"/>
            </a:ext>
          </a:extLst>
        </xdr:cNvPr>
        <xdr:cNvSpPr>
          <a:spLocks noChangeShapeType="1"/>
        </xdr:cNvSpPr>
      </xdr:nvSpPr>
      <xdr:spPr bwMode="auto">
        <a:xfrm flipV="1">
          <a:off x="2724150" y="5743575"/>
          <a:ext cx="4762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33</xdr:row>
      <xdr:rowOff>76200</xdr:rowOff>
    </xdr:from>
    <xdr:to>
      <xdr:col>4</xdr:col>
      <xdr:colOff>0</xdr:colOff>
      <xdr:row>34</xdr:row>
      <xdr:rowOff>60960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C17F0F1E-701E-457E-ADF5-9360B0202E88}"/>
            </a:ext>
          </a:extLst>
        </xdr:cNvPr>
        <xdr:cNvSpPr>
          <a:spLocks noChangeShapeType="1"/>
        </xdr:cNvSpPr>
      </xdr:nvSpPr>
      <xdr:spPr bwMode="auto">
        <a:xfrm>
          <a:off x="2724150" y="592455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205740</xdr:colOff>
      <xdr:row>22</xdr:row>
      <xdr:rowOff>30480</xdr:rowOff>
    </xdr:from>
    <xdr:to>
      <xdr:col>10</xdr:col>
      <xdr:colOff>464820</xdr:colOff>
      <xdr:row>24</xdr:row>
      <xdr:rowOff>121920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CBB48D2C-62DD-4286-A8F4-9954C56CEB01}"/>
            </a:ext>
          </a:extLst>
        </xdr:cNvPr>
        <xdr:cNvSpPr>
          <a:spLocks noChangeArrowheads="1"/>
        </xdr:cNvSpPr>
      </xdr:nvSpPr>
      <xdr:spPr bwMode="auto">
        <a:xfrm>
          <a:off x="4171950" y="3933825"/>
          <a:ext cx="3324225" cy="4667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281940</xdr:colOff>
      <xdr:row>17</xdr:row>
      <xdr:rowOff>15240</xdr:rowOff>
    </xdr:from>
    <xdr:to>
      <xdr:col>10</xdr:col>
      <xdr:colOff>457200</xdr:colOff>
      <xdr:row>19</xdr:row>
      <xdr:rowOff>114300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8653C9AB-3CE3-42A0-A756-6E6BD6DA926E}"/>
            </a:ext>
          </a:extLst>
        </xdr:cNvPr>
        <xdr:cNvSpPr>
          <a:spLocks noChangeArrowheads="1"/>
        </xdr:cNvSpPr>
      </xdr:nvSpPr>
      <xdr:spPr bwMode="auto">
        <a:xfrm>
          <a:off x="4248150" y="3038475"/>
          <a:ext cx="3238500" cy="4667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64B7AC65-97B1-45EC-9E4B-DA0AB81FABE9}"/>
            </a:ext>
          </a:extLst>
        </xdr:cNvPr>
        <xdr:cNvSpPr>
          <a:spLocks noChangeShapeType="1"/>
        </xdr:cNvSpPr>
      </xdr:nvSpPr>
      <xdr:spPr bwMode="auto">
        <a:xfrm flipV="1"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AC2F5CC8-D5EB-4C7A-A649-2077A09163DE}"/>
            </a:ext>
          </a:extLst>
        </xdr:cNvPr>
        <xdr:cNvSpPr>
          <a:spLocks noChangeShapeType="1"/>
        </xdr:cNvSpPr>
      </xdr:nvSpPr>
      <xdr:spPr bwMode="auto">
        <a:xfrm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DB509FC8-E8B4-4CDA-9D9D-6C60DBB9982A}"/>
            </a:ext>
          </a:extLst>
        </xdr:cNvPr>
        <xdr:cNvSpPr>
          <a:spLocks noChangeShapeType="1"/>
        </xdr:cNvSpPr>
      </xdr:nvSpPr>
      <xdr:spPr bwMode="auto">
        <a:xfrm flipV="1"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80A2DAA-D5CA-45EB-86C8-CCA3CD87339B}"/>
            </a:ext>
          </a:extLst>
        </xdr:cNvPr>
        <xdr:cNvSpPr>
          <a:spLocks noChangeShapeType="1"/>
        </xdr:cNvSpPr>
      </xdr:nvSpPr>
      <xdr:spPr bwMode="auto">
        <a:xfrm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3660332E-4DAC-4862-B1D4-2023C8A6A041}"/>
            </a:ext>
          </a:extLst>
        </xdr:cNvPr>
        <xdr:cNvSpPr>
          <a:spLocks noChangeShapeType="1"/>
        </xdr:cNvSpPr>
      </xdr:nvSpPr>
      <xdr:spPr bwMode="auto">
        <a:xfrm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681BF4FE-E951-479E-A575-A895D4DA99FC}"/>
            </a:ext>
          </a:extLst>
        </xdr:cNvPr>
        <xdr:cNvSpPr>
          <a:spLocks noChangeShapeType="1"/>
        </xdr:cNvSpPr>
      </xdr:nvSpPr>
      <xdr:spPr bwMode="auto">
        <a:xfrm flipV="1">
          <a:off x="2724150" y="6362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975360</xdr:colOff>
      <xdr:row>25</xdr:row>
      <xdr:rowOff>38100</xdr:rowOff>
    </xdr:from>
    <xdr:to>
      <xdr:col>5</xdr:col>
      <xdr:colOff>297180</xdr:colOff>
      <xdr:row>27</xdr:row>
      <xdr:rowOff>91440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6066753E-701A-4876-B5E3-026EDE4DFCBD}"/>
            </a:ext>
          </a:extLst>
        </xdr:cNvPr>
        <xdr:cNvSpPr>
          <a:spLocks noChangeArrowheads="1"/>
        </xdr:cNvSpPr>
      </xdr:nvSpPr>
      <xdr:spPr bwMode="auto">
        <a:xfrm>
          <a:off x="971550" y="4486275"/>
          <a:ext cx="3286125" cy="4286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53340</xdr:rowOff>
    </xdr:from>
    <xdr:to>
      <xdr:col>10</xdr:col>
      <xdr:colOff>7620</xdr:colOff>
      <xdr:row>13</xdr:row>
      <xdr:rowOff>76200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54366486-DB8D-49F6-91EC-9C6A35044FCE}"/>
            </a:ext>
          </a:extLst>
        </xdr:cNvPr>
        <xdr:cNvSpPr>
          <a:spLocks noChangeShapeType="1"/>
        </xdr:cNvSpPr>
      </xdr:nvSpPr>
      <xdr:spPr bwMode="auto">
        <a:xfrm flipV="1">
          <a:off x="6419850" y="221932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13</xdr:row>
      <xdr:rowOff>76200</xdr:rowOff>
    </xdr:from>
    <xdr:to>
      <xdr:col>10</xdr:col>
      <xdr:colOff>0</xdr:colOff>
      <xdr:row>14</xdr:row>
      <xdr:rowOff>68580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F2528C59-8E8D-41EF-9DA4-C97D1E0D8F42}"/>
            </a:ext>
          </a:extLst>
        </xdr:cNvPr>
        <xdr:cNvSpPr>
          <a:spLocks noChangeShapeType="1"/>
        </xdr:cNvSpPr>
      </xdr:nvSpPr>
      <xdr:spPr bwMode="auto">
        <a:xfrm>
          <a:off x="6419850" y="24098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11</xdr:row>
      <xdr:rowOff>68580</xdr:rowOff>
    </xdr:from>
    <xdr:to>
      <xdr:col>10</xdr:col>
      <xdr:colOff>0</xdr:colOff>
      <xdr:row>12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97757824-FD90-408E-88C5-11A70D7417DC}"/>
            </a:ext>
          </a:extLst>
        </xdr:cNvPr>
        <xdr:cNvSpPr>
          <a:spLocks noChangeShapeType="1"/>
        </xdr:cNvSpPr>
      </xdr:nvSpPr>
      <xdr:spPr bwMode="auto">
        <a:xfrm>
          <a:off x="6419850" y="205740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10</xdr:row>
      <xdr:rowOff>68580</xdr:rowOff>
    </xdr:from>
    <xdr:to>
      <xdr:col>10</xdr:col>
      <xdr:colOff>7620</xdr:colOff>
      <xdr:row>11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E0DFFC7D-DFE1-4066-A595-D875985EA4B1}"/>
            </a:ext>
          </a:extLst>
        </xdr:cNvPr>
        <xdr:cNvSpPr>
          <a:spLocks noChangeShapeType="1"/>
        </xdr:cNvSpPr>
      </xdr:nvSpPr>
      <xdr:spPr bwMode="auto">
        <a:xfrm flipV="1">
          <a:off x="6429375" y="188595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C1BF0FB4-CEEE-4F5E-90A2-930B1FF9BF36}"/>
            </a:ext>
          </a:extLst>
        </xdr:cNvPr>
        <xdr:cNvSpPr>
          <a:spLocks noChangeShapeType="1"/>
        </xdr:cNvSpPr>
      </xdr:nvSpPr>
      <xdr:spPr bwMode="auto">
        <a:xfrm flipV="1">
          <a:off x="5181600" y="6362700"/>
          <a:ext cx="609600" cy="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22860</xdr:colOff>
      <xdr:row>36</xdr:row>
      <xdr:rowOff>0</xdr:rowOff>
    </xdr:from>
    <xdr:to>
      <xdr:col>10</xdr:col>
      <xdr:colOff>15240</xdr:colOff>
      <xdr:row>36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919188B-91B7-4918-86EA-360006584CF5}"/>
            </a:ext>
          </a:extLst>
        </xdr:cNvPr>
        <xdr:cNvSpPr>
          <a:spLocks noChangeShapeType="1"/>
        </xdr:cNvSpPr>
      </xdr:nvSpPr>
      <xdr:spPr bwMode="auto">
        <a:xfrm flipV="1">
          <a:off x="6438900" y="6362700"/>
          <a:ext cx="609600" cy="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251460</xdr:colOff>
      <xdr:row>17</xdr:row>
      <xdr:rowOff>60960</xdr:rowOff>
    </xdr:from>
    <xdr:to>
      <xdr:col>6</xdr:col>
      <xdr:colOff>182880</xdr:colOff>
      <xdr:row>19</xdr:row>
      <xdr:rowOff>106680</xdr:rowOff>
    </xdr:to>
    <xdr:sp macro="" textlink="">
      <xdr:nvSpPr>
        <xdr:cNvPr id="37" name="Arc 36">
          <a:extLst>
            <a:ext uri="{FF2B5EF4-FFF2-40B4-BE49-F238E27FC236}">
              <a16:creationId xmlns:a16="http://schemas.microsoft.com/office/drawing/2014/main" id="{A5855373-A6CB-4399-8158-67554B4F4755}"/>
            </a:ext>
          </a:extLst>
        </xdr:cNvPr>
        <xdr:cNvSpPr>
          <a:spLocks/>
        </xdr:cNvSpPr>
      </xdr:nvSpPr>
      <xdr:spPr bwMode="auto">
        <a:xfrm flipH="1">
          <a:off x="2362200" y="3076575"/>
          <a:ext cx="2390775" cy="4191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937260</xdr:colOff>
      <xdr:row>21</xdr:row>
      <xdr:rowOff>114300</xdr:rowOff>
    </xdr:from>
    <xdr:to>
      <xdr:col>0</xdr:col>
      <xdr:colOff>998220</xdr:colOff>
      <xdr:row>26</xdr:row>
      <xdr:rowOff>22860</xdr:rowOff>
    </xdr:to>
    <xdr:sp macro="" textlink="">
      <xdr:nvSpPr>
        <xdr:cNvPr id="38" name="AutoShape 37">
          <a:extLst>
            <a:ext uri="{FF2B5EF4-FFF2-40B4-BE49-F238E27FC236}">
              <a16:creationId xmlns:a16="http://schemas.microsoft.com/office/drawing/2014/main" id="{CDFA36A5-7120-414D-BA43-4365960C1393}"/>
            </a:ext>
          </a:extLst>
        </xdr:cNvPr>
        <xdr:cNvSpPr>
          <a:spLocks/>
        </xdr:cNvSpPr>
      </xdr:nvSpPr>
      <xdr:spPr bwMode="auto">
        <a:xfrm>
          <a:off x="933450" y="3848100"/>
          <a:ext cx="66675" cy="790575"/>
        </a:xfrm>
        <a:prstGeom prst="leftBracket">
          <a:avLst>
            <a:gd name="adj" fmla="val 10625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23</xdr:row>
      <xdr:rowOff>0</xdr:rowOff>
    </xdr:from>
    <xdr:to>
      <xdr:col>6</xdr:col>
      <xdr:colOff>251460</xdr:colOff>
      <xdr:row>24</xdr:row>
      <xdr:rowOff>99060</xdr:rowOff>
    </xdr:to>
    <xdr:sp macro="" textlink="">
      <xdr:nvSpPr>
        <xdr:cNvPr id="39" name="Arc 38">
          <a:extLst>
            <a:ext uri="{FF2B5EF4-FFF2-40B4-BE49-F238E27FC236}">
              <a16:creationId xmlns:a16="http://schemas.microsoft.com/office/drawing/2014/main" id="{69A339FC-4D57-4312-9584-EE4B70EBDCF5}"/>
            </a:ext>
          </a:extLst>
        </xdr:cNvPr>
        <xdr:cNvSpPr>
          <a:spLocks/>
        </xdr:cNvSpPr>
      </xdr:nvSpPr>
      <xdr:spPr bwMode="auto">
        <a:xfrm flipH="1" flipV="1">
          <a:off x="2381250" y="4076700"/>
          <a:ext cx="2438400" cy="295275"/>
        </a:xfrm>
        <a:custGeom>
          <a:avLst/>
          <a:gdLst>
            <a:gd name="G0" fmla="+- 0 0 0"/>
            <a:gd name="G1" fmla="+- 21585 0 0"/>
            <a:gd name="G2" fmla="+- 21600 0 0"/>
            <a:gd name="T0" fmla="*/ 815 w 21600"/>
            <a:gd name="T1" fmla="*/ 0 h 21585"/>
            <a:gd name="T2" fmla="*/ 21600 w 21600"/>
            <a:gd name="T3" fmla="*/ 21585 h 21585"/>
            <a:gd name="T4" fmla="*/ 0 w 21600"/>
            <a:gd name="T5" fmla="*/ 21585 h 2158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585" fill="none" extrusionOk="0">
              <a:moveTo>
                <a:pt x="814" y="0"/>
              </a:moveTo>
              <a:cubicBezTo>
                <a:pt x="12418" y="438"/>
                <a:pt x="21600" y="9972"/>
                <a:pt x="21600" y="21585"/>
              </a:cubicBezTo>
            </a:path>
            <a:path w="21600" h="21585" stroke="0" extrusionOk="0">
              <a:moveTo>
                <a:pt x="814" y="0"/>
              </a:moveTo>
              <a:cubicBezTo>
                <a:pt x="12418" y="438"/>
                <a:pt x="21600" y="9972"/>
                <a:pt x="21600" y="21585"/>
              </a:cubicBezTo>
              <a:lnTo>
                <a:pt x="0" y="21585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36"/>
  <sheetViews>
    <sheetView tabSelected="1" zoomScale="130" zoomScaleNormal="130" workbookViewId="0">
      <selection activeCell="D39" sqref="D39"/>
    </sheetView>
  </sheetViews>
  <sheetFormatPr defaultRowHeight="13.8" x14ac:dyDescent="0.25"/>
  <cols>
    <col min="1" max="1" width="21.88671875" style="1" customWidth="1"/>
    <col min="2" max="4" width="8.88671875" style="1"/>
    <col min="5" max="5" width="9.109375" style="3" customWidth="1"/>
    <col min="6" max="8" width="8.88671875" style="1"/>
    <col min="9" max="9" width="9.109375" style="3" customWidth="1"/>
    <col min="10" max="11" width="8.88671875" style="1"/>
  </cols>
  <sheetData>
    <row r="1" spans="1:11" ht="17.399999999999999" x14ac:dyDescent="0.3">
      <c r="A1" s="14" t="s">
        <v>20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x14ac:dyDescent="0.25">
      <c r="A2" s="1" t="s">
        <v>1</v>
      </c>
      <c r="B2" s="2">
        <v>1.1000000000000001</v>
      </c>
    </row>
    <row r="3" spans="1:11" x14ac:dyDescent="0.25">
      <c r="A3" s="1" t="s">
        <v>2</v>
      </c>
      <c r="B3" s="2">
        <v>0.97</v>
      </c>
      <c r="D3" s="4" t="s">
        <v>3</v>
      </c>
      <c r="E3" s="1"/>
    </row>
    <row r="4" spans="1:11" ht="15.6" x14ac:dyDescent="0.35">
      <c r="A4" s="1" t="s">
        <v>4</v>
      </c>
      <c r="B4" s="2">
        <v>1.06</v>
      </c>
      <c r="D4" s="1" t="s">
        <v>5</v>
      </c>
      <c r="E4" s="5">
        <f>(B4-B3)/(B4*(B2-B3))</f>
        <v>0.65312046444121918</v>
      </c>
      <c r="F4" s="1" t="str">
        <f ca="1">[1]!getformula(E4)</f>
        <v>&lt;--  =(B4-B3)/(B4*(B2-B3))</v>
      </c>
    </row>
    <row r="5" spans="1:11" ht="15.6" x14ac:dyDescent="0.35">
      <c r="A5" s="1" t="s">
        <v>6</v>
      </c>
      <c r="B5" s="2">
        <v>50</v>
      </c>
      <c r="D5" s="1" t="s">
        <v>7</v>
      </c>
      <c r="E5" s="5">
        <f>(B2-B4)/(B4*(B2-B3))</f>
        <v>0.29027576197387517</v>
      </c>
      <c r="F5" s="1" t="str">
        <f ca="1">[1]!getformula(E5)</f>
        <v>&lt;--  =(B2-B4)/(B4*(B2-B3))</v>
      </c>
    </row>
    <row r="6" spans="1:11" x14ac:dyDescent="0.25">
      <c r="A6" s="1" t="s">
        <v>8</v>
      </c>
      <c r="B6" s="2">
        <v>50</v>
      </c>
    </row>
    <row r="10" spans="1:11" x14ac:dyDescent="0.25">
      <c r="A10" s="6" t="s">
        <v>9</v>
      </c>
      <c r="E10" s="1"/>
      <c r="G10" s="4" t="s">
        <v>10</v>
      </c>
    </row>
    <row r="11" spans="1:11" x14ac:dyDescent="0.25">
      <c r="C11" s="3"/>
      <c r="D11" s="3"/>
      <c r="E11" s="7">
        <f>C12*B2</f>
        <v>60.500000000000014</v>
      </c>
      <c r="K11" s="8">
        <f>B4^2</f>
        <v>1.1236000000000002</v>
      </c>
    </row>
    <row r="12" spans="1:11" x14ac:dyDescent="0.25">
      <c r="C12" s="7">
        <f>A13*B2</f>
        <v>55.000000000000007</v>
      </c>
      <c r="D12" s="3"/>
      <c r="E12" s="7"/>
      <c r="I12" s="7">
        <f>$B$4</f>
        <v>1.06</v>
      </c>
      <c r="K12" s="7"/>
    </row>
    <row r="13" spans="1:11" x14ac:dyDescent="0.25">
      <c r="A13" s="5">
        <f>B6</f>
        <v>50</v>
      </c>
      <c r="C13" s="7"/>
      <c r="D13" s="3"/>
      <c r="E13" s="7">
        <f>C12*B3</f>
        <v>53.350000000000009</v>
      </c>
      <c r="G13" s="5">
        <v>1</v>
      </c>
      <c r="I13" s="9"/>
      <c r="K13" s="8">
        <f>K11</f>
        <v>1.1236000000000002</v>
      </c>
    </row>
    <row r="14" spans="1:11" x14ac:dyDescent="0.25">
      <c r="C14" s="7">
        <f>A13*B3</f>
        <v>48.5</v>
      </c>
      <c r="D14" s="3"/>
      <c r="E14" s="7"/>
      <c r="I14" s="7">
        <f>B4</f>
        <v>1.06</v>
      </c>
      <c r="K14" s="7"/>
    </row>
    <row r="15" spans="1:11" x14ac:dyDescent="0.25">
      <c r="C15" s="10"/>
      <c r="E15" s="7">
        <f>C14*B3</f>
        <v>47.045000000000002</v>
      </c>
      <c r="K15" s="8">
        <f>K13</f>
        <v>1.1236000000000002</v>
      </c>
    </row>
    <row r="16" spans="1:11" x14ac:dyDescent="0.25">
      <c r="C16" s="10"/>
      <c r="E16" s="7"/>
    </row>
    <row r="18" spans="1:9" x14ac:dyDescent="0.25">
      <c r="A18" s="4" t="s">
        <v>19</v>
      </c>
      <c r="E18" s="1"/>
      <c r="I18" s="1"/>
    </row>
    <row r="19" spans="1:9" ht="15.6" x14ac:dyDescent="0.35">
      <c r="F19" s="11" t="s">
        <v>16</v>
      </c>
    </row>
    <row r="20" spans="1:9" x14ac:dyDescent="0.25">
      <c r="C20" s="3"/>
      <c r="D20" s="3"/>
      <c r="E20" s="7">
        <f>MAX($B$6-E11,0)</f>
        <v>0</v>
      </c>
    </row>
    <row r="21" spans="1:9" x14ac:dyDescent="0.25">
      <c r="C21" s="8">
        <f>MAX(MAX($B$6-C12,0),$E$4*E20+$E$5*E22)</f>
        <v>0</v>
      </c>
      <c r="D21" s="3"/>
      <c r="E21" s="10"/>
    </row>
    <row r="22" spans="1:9" x14ac:dyDescent="0.25">
      <c r="A22" s="12">
        <f>MAX(MAX($B$6-A13,0),$E$4*C21+$E$5*C23)</f>
        <v>0.43541364296081275</v>
      </c>
      <c r="C22" s="3"/>
      <c r="D22" s="3"/>
      <c r="E22" s="7">
        <f>MAX($B$6-E13,0)</f>
        <v>0</v>
      </c>
    </row>
    <row r="23" spans="1:9" x14ac:dyDescent="0.25">
      <c r="C23" s="30">
        <f>MAX(MAX($B$6-C14,0),$E$4*E22+$E$5*E24)</f>
        <v>1.5</v>
      </c>
      <c r="D23" s="3"/>
      <c r="E23" s="10"/>
    </row>
    <row r="24" spans="1:9" ht="16.2" x14ac:dyDescent="0.35">
      <c r="E24" s="7">
        <f>MAX($B$6-E15,0)</f>
        <v>2.9549999999999983</v>
      </c>
      <c r="F24" s="11" t="s">
        <v>17</v>
      </c>
    </row>
    <row r="27" spans="1:9" ht="15.6" x14ac:dyDescent="0.35">
      <c r="B27" s="13" t="s">
        <v>18</v>
      </c>
    </row>
    <row r="30" spans="1:9" x14ac:dyDescent="0.25">
      <c r="A30" s="4" t="s">
        <v>21</v>
      </c>
    </row>
    <row r="31" spans="1:9" x14ac:dyDescent="0.25">
      <c r="C31" s="3"/>
      <c r="D31" s="3"/>
      <c r="E31" s="7">
        <f>E20</f>
        <v>0</v>
      </c>
    </row>
    <row r="32" spans="1:9" x14ac:dyDescent="0.25">
      <c r="C32" s="7">
        <f>$E$4*E31+$E$5*E33</f>
        <v>0</v>
      </c>
      <c r="D32" s="3"/>
      <c r="E32" s="10"/>
    </row>
    <row r="33" spans="1:5" x14ac:dyDescent="0.25">
      <c r="A33" s="12">
        <f>E4*C32+E5*C34</f>
        <v>0.24898835315901324</v>
      </c>
      <c r="C33" s="9"/>
      <c r="D33" s="3"/>
      <c r="E33" s="7">
        <f>E22</f>
        <v>0</v>
      </c>
    </row>
    <row r="34" spans="1:5" x14ac:dyDescent="0.25">
      <c r="C34" s="29">
        <f>E4*E33+E5*E35</f>
        <v>0.85776487663280065</v>
      </c>
      <c r="D34" s="3"/>
      <c r="E34" s="10"/>
    </row>
    <row r="35" spans="1:5" x14ac:dyDescent="0.25">
      <c r="C35" s="9"/>
      <c r="E35" s="7">
        <f>E24</f>
        <v>2.9549999999999983</v>
      </c>
    </row>
    <row r="36" spans="1:5" x14ac:dyDescent="0.25">
      <c r="C36" s="9"/>
    </row>
  </sheetData>
  <mergeCells count="1">
    <mergeCell ref="A1:K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65CFC-CF91-4313-877F-50E615EE0BC2}">
  <sheetPr codeName="Sheet14">
    <pageSetUpPr fitToPage="1"/>
  </sheetPr>
  <dimension ref="A1:K36"/>
  <sheetViews>
    <sheetView workbookViewId="0">
      <selection activeCell="F38" sqref="F38"/>
    </sheetView>
  </sheetViews>
  <sheetFormatPr defaultRowHeight="13.2" x14ac:dyDescent="0.25"/>
  <cols>
    <col min="1" max="1" width="21.88671875" style="16" customWidth="1"/>
    <col min="2" max="4" width="8.88671875" style="16"/>
    <col min="5" max="5" width="9.109375" style="18" customWidth="1"/>
    <col min="6" max="8" width="8.88671875" style="16"/>
    <col min="9" max="9" width="9.109375" style="18" customWidth="1"/>
    <col min="10" max="256" width="8.88671875" style="16"/>
    <col min="257" max="257" width="21.88671875" style="16" customWidth="1"/>
    <col min="258" max="260" width="8.88671875" style="16"/>
    <col min="261" max="261" width="9.109375" style="16" customWidth="1"/>
    <col min="262" max="264" width="8.88671875" style="16"/>
    <col min="265" max="265" width="9.109375" style="16" customWidth="1"/>
    <col min="266" max="512" width="8.88671875" style="16"/>
    <col min="513" max="513" width="21.88671875" style="16" customWidth="1"/>
    <col min="514" max="516" width="8.88671875" style="16"/>
    <col min="517" max="517" width="9.109375" style="16" customWidth="1"/>
    <col min="518" max="520" width="8.88671875" style="16"/>
    <col min="521" max="521" width="9.109375" style="16" customWidth="1"/>
    <col min="522" max="768" width="8.88671875" style="16"/>
    <col min="769" max="769" width="21.88671875" style="16" customWidth="1"/>
    <col min="770" max="772" width="8.88671875" style="16"/>
    <col min="773" max="773" width="9.109375" style="16" customWidth="1"/>
    <col min="774" max="776" width="8.88671875" style="16"/>
    <col min="777" max="777" width="9.109375" style="16" customWidth="1"/>
    <col min="778" max="1024" width="8.88671875" style="16"/>
    <col min="1025" max="1025" width="21.88671875" style="16" customWidth="1"/>
    <col min="1026" max="1028" width="8.88671875" style="16"/>
    <col min="1029" max="1029" width="9.109375" style="16" customWidth="1"/>
    <col min="1030" max="1032" width="8.88671875" style="16"/>
    <col min="1033" max="1033" width="9.109375" style="16" customWidth="1"/>
    <col min="1034" max="1280" width="8.88671875" style="16"/>
    <col min="1281" max="1281" width="21.88671875" style="16" customWidth="1"/>
    <col min="1282" max="1284" width="8.88671875" style="16"/>
    <col min="1285" max="1285" width="9.109375" style="16" customWidth="1"/>
    <col min="1286" max="1288" width="8.88671875" style="16"/>
    <col min="1289" max="1289" width="9.109375" style="16" customWidth="1"/>
    <col min="1290" max="1536" width="8.88671875" style="16"/>
    <col min="1537" max="1537" width="21.88671875" style="16" customWidth="1"/>
    <col min="1538" max="1540" width="8.88671875" style="16"/>
    <col min="1541" max="1541" width="9.109375" style="16" customWidth="1"/>
    <col min="1542" max="1544" width="8.88671875" style="16"/>
    <col min="1545" max="1545" width="9.109375" style="16" customWidth="1"/>
    <col min="1546" max="1792" width="8.88671875" style="16"/>
    <col min="1793" max="1793" width="21.88671875" style="16" customWidth="1"/>
    <col min="1794" max="1796" width="8.88671875" style="16"/>
    <col min="1797" max="1797" width="9.109375" style="16" customWidth="1"/>
    <col min="1798" max="1800" width="8.88671875" style="16"/>
    <col min="1801" max="1801" width="9.109375" style="16" customWidth="1"/>
    <col min="1802" max="2048" width="8.88671875" style="16"/>
    <col min="2049" max="2049" width="21.88671875" style="16" customWidth="1"/>
    <col min="2050" max="2052" width="8.88671875" style="16"/>
    <col min="2053" max="2053" width="9.109375" style="16" customWidth="1"/>
    <col min="2054" max="2056" width="8.88671875" style="16"/>
    <col min="2057" max="2057" width="9.109375" style="16" customWidth="1"/>
    <col min="2058" max="2304" width="8.88671875" style="16"/>
    <col min="2305" max="2305" width="21.88671875" style="16" customWidth="1"/>
    <col min="2306" max="2308" width="8.88671875" style="16"/>
    <col min="2309" max="2309" width="9.109375" style="16" customWidth="1"/>
    <col min="2310" max="2312" width="8.88671875" style="16"/>
    <col min="2313" max="2313" width="9.109375" style="16" customWidth="1"/>
    <col min="2314" max="2560" width="8.88671875" style="16"/>
    <col min="2561" max="2561" width="21.88671875" style="16" customWidth="1"/>
    <col min="2562" max="2564" width="8.88671875" style="16"/>
    <col min="2565" max="2565" width="9.109375" style="16" customWidth="1"/>
    <col min="2566" max="2568" width="8.88671875" style="16"/>
    <col min="2569" max="2569" width="9.109375" style="16" customWidth="1"/>
    <col min="2570" max="2816" width="8.88671875" style="16"/>
    <col min="2817" max="2817" width="21.88671875" style="16" customWidth="1"/>
    <col min="2818" max="2820" width="8.88671875" style="16"/>
    <col min="2821" max="2821" width="9.109375" style="16" customWidth="1"/>
    <col min="2822" max="2824" width="8.88671875" style="16"/>
    <col min="2825" max="2825" width="9.109375" style="16" customWidth="1"/>
    <col min="2826" max="3072" width="8.88671875" style="16"/>
    <col min="3073" max="3073" width="21.88671875" style="16" customWidth="1"/>
    <col min="3074" max="3076" width="8.88671875" style="16"/>
    <col min="3077" max="3077" width="9.109375" style="16" customWidth="1"/>
    <col min="3078" max="3080" width="8.88671875" style="16"/>
    <col min="3081" max="3081" width="9.109375" style="16" customWidth="1"/>
    <col min="3082" max="3328" width="8.88671875" style="16"/>
    <col min="3329" max="3329" width="21.88671875" style="16" customWidth="1"/>
    <col min="3330" max="3332" width="8.88671875" style="16"/>
    <col min="3333" max="3333" width="9.109375" style="16" customWidth="1"/>
    <col min="3334" max="3336" width="8.88671875" style="16"/>
    <col min="3337" max="3337" width="9.109375" style="16" customWidth="1"/>
    <col min="3338" max="3584" width="8.88671875" style="16"/>
    <col min="3585" max="3585" width="21.88671875" style="16" customWidth="1"/>
    <col min="3586" max="3588" width="8.88671875" style="16"/>
    <col min="3589" max="3589" width="9.109375" style="16" customWidth="1"/>
    <col min="3590" max="3592" width="8.88671875" style="16"/>
    <col min="3593" max="3593" width="9.109375" style="16" customWidth="1"/>
    <col min="3594" max="3840" width="8.88671875" style="16"/>
    <col min="3841" max="3841" width="21.88671875" style="16" customWidth="1"/>
    <col min="3842" max="3844" width="8.88671875" style="16"/>
    <col min="3845" max="3845" width="9.109375" style="16" customWidth="1"/>
    <col min="3846" max="3848" width="8.88671875" style="16"/>
    <col min="3849" max="3849" width="9.109375" style="16" customWidth="1"/>
    <col min="3850" max="4096" width="8.88671875" style="16"/>
    <col min="4097" max="4097" width="21.88671875" style="16" customWidth="1"/>
    <col min="4098" max="4100" width="8.88671875" style="16"/>
    <col min="4101" max="4101" width="9.109375" style="16" customWidth="1"/>
    <col min="4102" max="4104" width="8.88671875" style="16"/>
    <col min="4105" max="4105" width="9.109375" style="16" customWidth="1"/>
    <col min="4106" max="4352" width="8.88671875" style="16"/>
    <col min="4353" max="4353" width="21.88671875" style="16" customWidth="1"/>
    <col min="4354" max="4356" width="8.88671875" style="16"/>
    <col min="4357" max="4357" width="9.109375" style="16" customWidth="1"/>
    <col min="4358" max="4360" width="8.88671875" style="16"/>
    <col min="4361" max="4361" width="9.109375" style="16" customWidth="1"/>
    <col min="4362" max="4608" width="8.88671875" style="16"/>
    <col min="4609" max="4609" width="21.88671875" style="16" customWidth="1"/>
    <col min="4610" max="4612" width="8.88671875" style="16"/>
    <col min="4613" max="4613" width="9.109375" style="16" customWidth="1"/>
    <col min="4614" max="4616" width="8.88671875" style="16"/>
    <col min="4617" max="4617" width="9.109375" style="16" customWidth="1"/>
    <col min="4618" max="4864" width="8.88671875" style="16"/>
    <col min="4865" max="4865" width="21.88671875" style="16" customWidth="1"/>
    <col min="4866" max="4868" width="8.88671875" style="16"/>
    <col min="4869" max="4869" width="9.109375" style="16" customWidth="1"/>
    <col min="4870" max="4872" width="8.88671875" style="16"/>
    <col min="4873" max="4873" width="9.109375" style="16" customWidth="1"/>
    <col min="4874" max="5120" width="8.88671875" style="16"/>
    <col min="5121" max="5121" width="21.88671875" style="16" customWidth="1"/>
    <col min="5122" max="5124" width="8.88671875" style="16"/>
    <col min="5125" max="5125" width="9.109375" style="16" customWidth="1"/>
    <col min="5126" max="5128" width="8.88671875" style="16"/>
    <col min="5129" max="5129" width="9.109375" style="16" customWidth="1"/>
    <col min="5130" max="5376" width="8.88671875" style="16"/>
    <col min="5377" max="5377" width="21.88671875" style="16" customWidth="1"/>
    <col min="5378" max="5380" width="8.88671875" style="16"/>
    <col min="5381" max="5381" width="9.109375" style="16" customWidth="1"/>
    <col min="5382" max="5384" width="8.88671875" style="16"/>
    <col min="5385" max="5385" width="9.109375" style="16" customWidth="1"/>
    <col min="5386" max="5632" width="8.88671875" style="16"/>
    <col min="5633" max="5633" width="21.88671875" style="16" customWidth="1"/>
    <col min="5634" max="5636" width="8.88671875" style="16"/>
    <col min="5637" max="5637" width="9.109375" style="16" customWidth="1"/>
    <col min="5638" max="5640" width="8.88671875" style="16"/>
    <col min="5641" max="5641" width="9.109375" style="16" customWidth="1"/>
    <col min="5642" max="5888" width="8.88671875" style="16"/>
    <col min="5889" max="5889" width="21.88671875" style="16" customWidth="1"/>
    <col min="5890" max="5892" width="8.88671875" style="16"/>
    <col min="5893" max="5893" width="9.109375" style="16" customWidth="1"/>
    <col min="5894" max="5896" width="8.88671875" style="16"/>
    <col min="5897" max="5897" width="9.109375" style="16" customWidth="1"/>
    <col min="5898" max="6144" width="8.88671875" style="16"/>
    <col min="6145" max="6145" width="21.88671875" style="16" customWidth="1"/>
    <col min="6146" max="6148" width="8.88671875" style="16"/>
    <col min="6149" max="6149" width="9.109375" style="16" customWidth="1"/>
    <col min="6150" max="6152" width="8.88671875" style="16"/>
    <col min="6153" max="6153" width="9.109375" style="16" customWidth="1"/>
    <col min="6154" max="6400" width="8.88671875" style="16"/>
    <col min="6401" max="6401" width="21.88671875" style="16" customWidth="1"/>
    <col min="6402" max="6404" width="8.88671875" style="16"/>
    <col min="6405" max="6405" width="9.109375" style="16" customWidth="1"/>
    <col min="6406" max="6408" width="8.88671875" style="16"/>
    <col min="6409" max="6409" width="9.109375" style="16" customWidth="1"/>
    <col min="6410" max="6656" width="8.88671875" style="16"/>
    <col min="6657" max="6657" width="21.88671875" style="16" customWidth="1"/>
    <col min="6658" max="6660" width="8.88671875" style="16"/>
    <col min="6661" max="6661" width="9.109375" style="16" customWidth="1"/>
    <col min="6662" max="6664" width="8.88671875" style="16"/>
    <col min="6665" max="6665" width="9.109375" style="16" customWidth="1"/>
    <col min="6666" max="6912" width="8.88671875" style="16"/>
    <col min="6913" max="6913" width="21.88671875" style="16" customWidth="1"/>
    <col min="6914" max="6916" width="8.88671875" style="16"/>
    <col min="6917" max="6917" width="9.109375" style="16" customWidth="1"/>
    <col min="6918" max="6920" width="8.88671875" style="16"/>
    <col min="6921" max="6921" width="9.109375" style="16" customWidth="1"/>
    <col min="6922" max="7168" width="8.88671875" style="16"/>
    <col min="7169" max="7169" width="21.88671875" style="16" customWidth="1"/>
    <col min="7170" max="7172" width="8.88671875" style="16"/>
    <col min="7173" max="7173" width="9.109375" style="16" customWidth="1"/>
    <col min="7174" max="7176" width="8.88671875" style="16"/>
    <col min="7177" max="7177" width="9.109375" style="16" customWidth="1"/>
    <col min="7178" max="7424" width="8.88671875" style="16"/>
    <col min="7425" max="7425" width="21.88671875" style="16" customWidth="1"/>
    <col min="7426" max="7428" width="8.88671875" style="16"/>
    <col min="7429" max="7429" width="9.109375" style="16" customWidth="1"/>
    <col min="7430" max="7432" width="8.88671875" style="16"/>
    <col min="7433" max="7433" width="9.109375" style="16" customWidth="1"/>
    <col min="7434" max="7680" width="8.88671875" style="16"/>
    <col min="7681" max="7681" width="21.88671875" style="16" customWidth="1"/>
    <col min="7682" max="7684" width="8.88671875" style="16"/>
    <col min="7685" max="7685" width="9.109375" style="16" customWidth="1"/>
    <col min="7686" max="7688" width="8.88671875" style="16"/>
    <col min="7689" max="7689" width="9.109375" style="16" customWidth="1"/>
    <col min="7690" max="7936" width="8.88671875" style="16"/>
    <col min="7937" max="7937" width="21.88671875" style="16" customWidth="1"/>
    <col min="7938" max="7940" width="8.88671875" style="16"/>
    <col min="7941" max="7941" width="9.109375" style="16" customWidth="1"/>
    <col min="7942" max="7944" width="8.88671875" style="16"/>
    <col min="7945" max="7945" width="9.109375" style="16" customWidth="1"/>
    <col min="7946" max="8192" width="8.88671875" style="16"/>
    <col min="8193" max="8193" width="21.88671875" style="16" customWidth="1"/>
    <col min="8194" max="8196" width="8.88671875" style="16"/>
    <col min="8197" max="8197" width="9.109375" style="16" customWidth="1"/>
    <col min="8198" max="8200" width="8.88671875" style="16"/>
    <col min="8201" max="8201" width="9.109375" style="16" customWidth="1"/>
    <col min="8202" max="8448" width="8.88671875" style="16"/>
    <col min="8449" max="8449" width="21.88671875" style="16" customWidth="1"/>
    <col min="8450" max="8452" width="8.88671875" style="16"/>
    <col min="8453" max="8453" width="9.109375" style="16" customWidth="1"/>
    <col min="8454" max="8456" width="8.88671875" style="16"/>
    <col min="8457" max="8457" width="9.109375" style="16" customWidth="1"/>
    <col min="8458" max="8704" width="8.88671875" style="16"/>
    <col min="8705" max="8705" width="21.88671875" style="16" customWidth="1"/>
    <col min="8706" max="8708" width="8.88671875" style="16"/>
    <col min="8709" max="8709" width="9.109375" style="16" customWidth="1"/>
    <col min="8710" max="8712" width="8.88671875" style="16"/>
    <col min="8713" max="8713" width="9.109375" style="16" customWidth="1"/>
    <col min="8714" max="8960" width="8.88671875" style="16"/>
    <col min="8961" max="8961" width="21.88671875" style="16" customWidth="1"/>
    <col min="8962" max="8964" width="8.88671875" style="16"/>
    <col min="8965" max="8965" width="9.109375" style="16" customWidth="1"/>
    <col min="8966" max="8968" width="8.88671875" style="16"/>
    <col min="8969" max="8969" width="9.109375" style="16" customWidth="1"/>
    <col min="8970" max="9216" width="8.88671875" style="16"/>
    <col min="9217" max="9217" width="21.88671875" style="16" customWidth="1"/>
    <col min="9218" max="9220" width="8.88671875" style="16"/>
    <col min="9221" max="9221" width="9.109375" style="16" customWidth="1"/>
    <col min="9222" max="9224" width="8.88671875" style="16"/>
    <col min="9225" max="9225" width="9.109375" style="16" customWidth="1"/>
    <col min="9226" max="9472" width="8.88671875" style="16"/>
    <col min="9473" max="9473" width="21.88671875" style="16" customWidth="1"/>
    <col min="9474" max="9476" width="8.88671875" style="16"/>
    <col min="9477" max="9477" width="9.109375" style="16" customWidth="1"/>
    <col min="9478" max="9480" width="8.88671875" style="16"/>
    <col min="9481" max="9481" width="9.109375" style="16" customWidth="1"/>
    <col min="9482" max="9728" width="8.88671875" style="16"/>
    <col min="9729" max="9729" width="21.88671875" style="16" customWidth="1"/>
    <col min="9730" max="9732" width="8.88671875" style="16"/>
    <col min="9733" max="9733" width="9.109375" style="16" customWidth="1"/>
    <col min="9734" max="9736" width="8.88671875" style="16"/>
    <col min="9737" max="9737" width="9.109375" style="16" customWidth="1"/>
    <col min="9738" max="9984" width="8.88671875" style="16"/>
    <col min="9985" max="9985" width="21.88671875" style="16" customWidth="1"/>
    <col min="9986" max="9988" width="8.88671875" style="16"/>
    <col min="9989" max="9989" width="9.109375" style="16" customWidth="1"/>
    <col min="9990" max="9992" width="8.88671875" style="16"/>
    <col min="9993" max="9993" width="9.109375" style="16" customWidth="1"/>
    <col min="9994" max="10240" width="8.88671875" style="16"/>
    <col min="10241" max="10241" width="21.88671875" style="16" customWidth="1"/>
    <col min="10242" max="10244" width="8.88671875" style="16"/>
    <col min="10245" max="10245" width="9.109375" style="16" customWidth="1"/>
    <col min="10246" max="10248" width="8.88671875" style="16"/>
    <col min="10249" max="10249" width="9.109375" style="16" customWidth="1"/>
    <col min="10250" max="10496" width="8.88671875" style="16"/>
    <col min="10497" max="10497" width="21.88671875" style="16" customWidth="1"/>
    <col min="10498" max="10500" width="8.88671875" style="16"/>
    <col min="10501" max="10501" width="9.109375" style="16" customWidth="1"/>
    <col min="10502" max="10504" width="8.88671875" style="16"/>
    <col min="10505" max="10505" width="9.109375" style="16" customWidth="1"/>
    <col min="10506" max="10752" width="8.88671875" style="16"/>
    <col min="10753" max="10753" width="21.88671875" style="16" customWidth="1"/>
    <col min="10754" max="10756" width="8.88671875" style="16"/>
    <col min="10757" max="10757" width="9.109375" style="16" customWidth="1"/>
    <col min="10758" max="10760" width="8.88671875" style="16"/>
    <col min="10761" max="10761" width="9.109375" style="16" customWidth="1"/>
    <col min="10762" max="11008" width="8.88671875" style="16"/>
    <col min="11009" max="11009" width="21.88671875" style="16" customWidth="1"/>
    <col min="11010" max="11012" width="8.88671875" style="16"/>
    <col min="11013" max="11013" width="9.109375" style="16" customWidth="1"/>
    <col min="11014" max="11016" width="8.88671875" style="16"/>
    <col min="11017" max="11017" width="9.109375" style="16" customWidth="1"/>
    <col min="11018" max="11264" width="8.88671875" style="16"/>
    <col min="11265" max="11265" width="21.88671875" style="16" customWidth="1"/>
    <col min="11266" max="11268" width="8.88671875" style="16"/>
    <col min="11269" max="11269" width="9.109375" style="16" customWidth="1"/>
    <col min="11270" max="11272" width="8.88671875" style="16"/>
    <col min="11273" max="11273" width="9.109375" style="16" customWidth="1"/>
    <col min="11274" max="11520" width="8.88671875" style="16"/>
    <col min="11521" max="11521" width="21.88671875" style="16" customWidth="1"/>
    <col min="11522" max="11524" width="8.88671875" style="16"/>
    <col min="11525" max="11525" width="9.109375" style="16" customWidth="1"/>
    <col min="11526" max="11528" width="8.88671875" style="16"/>
    <col min="11529" max="11529" width="9.109375" style="16" customWidth="1"/>
    <col min="11530" max="11776" width="8.88671875" style="16"/>
    <col min="11777" max="11777" width="21.88671875" style="16" customWidth="1"/>
    <col min="11778" max="11780" width="8.88671875" style="16"/>
    <col min="11781" max="11781" width="9.109375" style="16" customWidth="1"/>
    <col min="11782" max="11784" width="8.88671875" style="16"/>
    <col min="11785" max="11785" width="9.109375" style="16" customWidth="1"/>
    <col min="11786" max="12032" width="8.88671875" style="16"/>
    <col min="12033" max="12033" width="21.88671875" style="16" customWidth="1"/>
    <col min="12034" max="12036" width="8.88671875" style="16"/>
    <col min="12037" max="12037" width="9.109375" style="16" customWidth="1"/>
    <col min="12038" max="12040" width="8.88671875" style="16"/>
    <col min="12041" max="12041" width="9.109375" style="16" customWidth="1"/>
    <col min="12042" max="12288" width="8.88671875" style="16"/>
    <col min="12289" max="12289" width="21.88671875" style="16" customWidth="1"/>
    <col min="12290" max="12292" width="8.88671875" style="16"/>
    <col min="12293" max="12293" width="9.109375" style="16" customWidth="1"/>
    <col min="12294" max="12296" width="8.88671875" style="16"/>
    <col min="12297" max="12297" width="9.109375" style="16" customWidth="1"/>
    <col min="12298" max="12544" width="8.88671875" style="16"/>
    <col min="12545" max="12545" width="21.88671875" style="16" customWidth="1"/>
    <col min="12546" max="12548" width="8.88671875" style="16"/>
    <col min="12549" max="12549" width="9.109375" style="16" customWidth="1"/>
    <col min="12550" max="12552" width="8.88671875" style="16"/>
    <col min="12553" max="12553" width="9.109375" style="16" customWidth="1"/>
    <col min="12554" max="12800" width="8.88671875" style="16"/>
    <col min="12801" max="12801" width="21.88671875" style="16" customWidth="1"/>
    <col min="12802" max="12804" width="8.88671875" style="16"/>
    <col min="12805" max="12805" width="9.109375" style="16" customWidth="1"/>
    <col min="12806" max="12808" width="8.88671875" style="16"/>
    <col min="12809" max="12809" width="9.109375" style="16" customWidth="1"/>
    <col min="12810" max="13056" width="8.88671875" style="16"/>
    <col min="13057" max="13057" width="21.88671875" style="16" customWidth="1"/>
    <col min="13058" max="13060" width="8.88671875" style="16"/>
    <col min="13061" max="13061" width="9.109375" style="16" customWidth="1"/>
    <col min="13062" max="13064" width="8.88671875" style="16"/>
    <col min="13065" max="13065" width="9.109375" style="16" customWidth="1"/>
    <col min="13066" max="13312" width="8.88671875" style="16"/>
    <col min="13313" max="13313" width="21.88671875" style="16" customWidth="1"/>
    <col min="13314" max="13316" width="8.88671875" style="16"/>
    <col min="13317" max="13317" width="9.109375" style="16" customWidth="1"/>
    <col min="13318" max="13320" width="8.88671875" style="16"/>
    <col min="13321" max="13321" width="9.109375" style="16" customWidth="1"/>
    <col min="13322" max="13568" width="8.88671875" style="16"/>
    <col min="13569" max="13569" width="21.88671875" style="16" customWidth="1"/>
    <col min="13570" max="13572" width="8.88671875" style="16"/>
    <col min="13573" max="13573" width="9.109375" style="16" customWidth="1"/>
    <col min="13574" max="13576" width="8.88671875" style="16"/>
    <col min="13577" max="13577" width="9.109375" style="16" customWidth="1"/>
    <col min="13578" max="13824" width="8.88671875" style="16"/>
    <col min="13825" max="13825" width="21.88671875" style="16" customWidth="1"/>
    <col min="13826" max="13828" width="8.88671875" style="16"/>
    <col min="13829" max="13829" width="9.109375" style="16" customWidth="1"/>
    <col min="13830" max="13832" width="8.88671875" style="16"/>
    <col min="13833" max="13833" width="9.109375" style="16" customWidth="1"/>
    <col min="13834" max="14080" width="8.88671875" style="16"/>
    <col min="14081" max="14081" width="21.88671875" style="16" customWidth="1"/>
    <col min="14082" max="14084" width="8.88671875" style="16"/>
    <col min="14085" max="14085" width="9.109375" style="16" customWidth="1"/>
    <col min="14086" max="14088" width="8.88671875" style="16"/>
    <col min="14089" max="14089" width="9.109375" style="16" customWidth="1"/>
    <col min="14090" max="14336" width="8.88671875" style="16"/>
    <col min="14337" max="14337" width="21.88671875" style="16" customWidth="1"/>
    <col min="14338" max="14340" width="8.88671875" style="16"/>
    <col min="14341" max="14341" width="9.109375" style="16" customWidth="1"/>
    <col min="14342" max="14344" width="8.88671875" style="16"/>
    <col min="14345" max="14345" width="9.109375" style="16" customWidth="1"/>
    <col min="14346" max="14592" width="8.88671875" style="16"/>
    <col min="14593" max="14593" width="21.88671875" style="16" customWidth="1"/>
    <col min="14594" max="14596" width="8.88671875" style="16"/>
    <col min="14597" max="14597" width="9.109375" style="16" customWidth="1"/>
    <col min="14598" max="14600" width="8.88671875" style="16"/>
    <col min="14601" max="14601" width="9.109375" style="16" customWidth="1"/>
    <col min="14602" max="14848" width="8.88671875" style="16"/>
    <col min="14849" max="14849" width="21.88671875" style="16" customWidth="1"/>
    <col min="14850" max="14852" width="8.88671875" style="16"/>
    <col min="14853" max="14853" width="9.109375" style="16" customWidth="1"/>
    <col min="14854" max="14856" width="8.88671875" style="16"/>
    <col min="14857" max="14857" width="9.109375" style="16" customWidth="1"/>
    <col min="14858" max="15104" width="8.88671875" style="16"/>
    <col min="15105" max="15105" width="21.88671875" style="16" customWidth="1"/>
    <col min="15106" max="15108" width="8.88671875" style="16"/>
    <col min="15109" max="15109" width="9.109375" style="16" customWidth="1"/>
    <col min="15110" max="15112" width="8.88671875" style="16"/>
    <col min="15113" max="15113" width="9.109375" style="16" customWidth="1"/>
    <col min="15114" max="15360" width="8.88671875" style="16"/>
    <col min="15361" max="15361" width="21.88671875" style="16" customWidth="1"/>
    <col min="15362" max="15364" width="8.88671875" style="16"/>
    <col min="15365" max="15365" width="9.109375" style="16" customWidth="1"/>
    <col min="15366" max="15368" width="8.88671875" style="16"/>
    <col min="15369" max="15369" width="9.109375" style="16" customWidth="1"/>
    <col min="15370" max="15616" width="8.88671875" style="16"/>
    <col min="15617" max="15617" width="21.88671875" style="16" customWidth="1"/>
    <col min="15618" max="15620" width="8.88671875" style="16"/>
    <col min="15621" max="15621" width="9.109375" style="16" customWidth="1"/>
    <col min="15622" max="15624" width="8.88671875" style="16"/>
    <col min="15625" max="15625" width="9.109375" style="16" customWidth="1"/>
    <col min="15626" max="15872" width="8.88671875" style="16"/>
    <col min="15873" max="15873" width="21.88671875" style="16" customWidth="1"/>
    <col min="15874" max="15876" width="8.88671875" style="16"/>
    <col min="15877" max="15877" width="9.109375" style="16" customWidth="1"/>
    <col min="15878" max="15880" width="8.88671875" style="16"/>
    <col min="15881" max="15881" width="9.109375" style="16" customWidth="1"/>
    <col min="15882" max="16128" width="8.88671875" style="16"/>
    <col min="16129" max="16129" width="21.88671875" style="16" customWidth="1"/>
    <col min="16130" max="16132" width="8.88671875" style="16"/>
    <col min="16133" max="16133" width="9.109375" style="16" customWidth="1"/>
    <col min="16134" max="16136" width="8.88671875" style="16"/>
    <col min="16137" max="16137" width="9.109375" style="16" customWidth="1"/>
    <col min="16138" max="16384" width="8.88671875" style="16"/>
  </cols>
  <sheetData>
    <row r="1" spans="1:11" ht="17.399999999999999" x14ac:dyDescent="0.3">
      <c r="A1" s="15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x14ac:dyDescent="0.25">
      <c r="A2" s="16" t="s">
        <v>1</v>
      </c>
      <c r="B2" s="17">
        <v>1.1000000000000001</v>
      </c>
    </row>
    <row r="3" spans="1:11" x14ac:dyDescent="0.25">
      <c r="A3" s="16" t="s">
        <v>2</v>
      </c>
      <c r="B3" s="17">
        <v>0.97</v>
      </c>
      <c r="D3" s="19" t="s">
        <v>3</v>
      </c>
      <c r="E3" s="16"/>
    </row>
    <row r="4" spans="1:11" ht="15.6" x14ac:dyDescent="0.35">
      <c r="A4" s="16" t="s">
        <v>4</v>
      </c>
      <c r="B4" s="17">
        <v>1.06</v>
      </c>
      <c r="D4" s="16" t="s">
        <v>5</v>
      </c>
      <c r="E4" s="20">
        <f>(B4-B3)/(B4*(B2-B3))</f>
        <v>0.65312046444121918</v>
      </c>
      <c r="F4" s="16" t="e">
        <f ca="1">getformula(E4)</f>
        <v>#NAME?</v>
      </c>
    </row>
    <row r="5" spans="1:11" ht="15.6" x14ac:dyDescent="0.35">
      <c r="A5" s="16" t="s">
        <v>6</v>
      </c>
      <c r="B5" s="17">
        <v>50</v>
      </c>
      <c r="D5" s="16" t="s">
        <v>7</v>
      </c>
      <c r="E5" s="20">
        <f>(B2-B4)/(B4*(B2-B3))</f>
        <v>0.29027576197387517</v>
      </c>
      <c r="F5" s="16" t="e">
        <f ca="1">getformula(E5)</f>
        <v>#NAME?</v>
      </c>
    </row>
    <row r="6" spans="1:11" x14ac:dyDescent="0.25">
      <c r="A6" s="16" t="s">
        <v>8</v>
      </c>
      <c r="B6" s="17">
        <v>50</v>
      </c>
    </row>
    <row r="10" spans="1:11" x14ac:dyDescent="0.25">
      <c r="A10" s="21" t="s">
        <v>9</v>
      </c>
      <c r="E10" s="16"/>
      <c r="G10" s="19" t="s">
        <v>10</v>
      </c>
    </row>
    <row r="11" spans="1:11" x14ac:dyDescent="0.25">
      <c r="C11" s="18"/>
      <c r="D11" s="18"/>
      <c r="E11" s="22">
        <f>C12*B2</f>
        <v>60.500000000000014</v>
      </c>
      <c r="K11" s="23">
        <f>B4^2</f>
        <v>1.1236000000000002</v>
      </c>
    </row>
    <row r="12" spans="1:11" x14ac:dyDescent="0.25">
      <c r="C12" s="22">
        <f>A13*B2</f>
        <v>55.000000000000007</v>
      </c>
      <c r="D12" s="18"/>
      <c r="E12" s="22"/>
      <c r="I12" s="22">
        <f>$B$4</f>
        <v>1.06</v>
      </c>
      <c r="K12" s="22"/>
    </row>
    <row r="13" spans="1:11" x14ac:dyDescent="0.25">
      <c r="A13" s="20">
        <f>B6</f>
        <v>50</v>
      </c>
      <c r="C13" s="22"/>
      <c r="D13" s="18"/>
      <c r="E13" s="22">
        <f>C12*B3</f>
        <v>53.350000000000009</v>
      </c>
      <c r="G13" s="20">
        <v>1</v>
      </c>
      <c r="I13" s="24"/>
      <c r="K13" s="23">
        <f>K11</f>
        <v>1.1236000000000002</v>
      </c>
    </row>
    <row r="14" spans="1:11" x14ac:dyDescent="0.25">
      <c r="C14" s="22">
        <f>A13*B3</f>
        <v>48.5</v>
      </c>
      <c r="D14" s="18"/>
      <c r="E14" s="22"/>
      <c r="I14" s="22">
        <f>B4</f>
        <v>1.06</v>
      </c>
      <c r="K14" s="22"/>
    </row>
    <row r="15" spans="1:11" x14ac:dyDescent="0.25">
      <c r="C15" s="25"/>
      <c r="E15" s="22">
        <f>C14*B3</f>
        <v>47.045000000000002</v>
      </c>
      <c r="K15" s="23">
        <f>K13</f>
        <v>1.1236000000000002</v>
      </c>
    </row>
    <row r="16" spans="1:11" x14ac:dyDescent="0.25">
      <c r="C16" s="25"/>
      <c r="E16" s="22"/>
    </row>
    <row r="18" spans="1:9" x14ac:dyDescent="0.25">
      <c r="A18" s="19" t="s">
        <v>11</v>
      </c>
      <c r="E18" s="16"/>
      <c r="I18" s="16"/>
    </row>
    <row r="19" spans="1:9" ht="15.6" x14ac:dyDescent="0.35">
      <c r="F19" s="26" t="s">
        <v>12</v>
      </c>
    </row>
    <row r="20" spans="1:9" x14ac:dyDescent="0.25">
      <c r="C20" s="18"/>
      <c r="D20" s="18"/>
      <c r="E20" s="22">
        <f>MAX(E11-$B$6,0)</f>
        <v>10.500000000000014</v>
      </c>
    </row>
    <row r="21" spans="1:9" x14ac:dyDescent="0.25">
      <c r="C21" s="23">
        <f>MAX(MAX($B$6-C12,0),$E$4*E20+$E$5*E22)</f>
        <v>7.8301886792452944</v>
      </c>
      <c r="D21" s="18"/>
      <c r="E21" s="25"/>
    </row>
    <row r="22" spans="1:9" x14ac:dyDescent="0.25">
      <c r="A22" s="27">
        <f>MAX(MAX(A13-$B$6,0),$E$4*C21+$E$5*C23)</f>
        <v>5.7491663524470251</v>
      </c>
      <c r="C22" s="18"/>
      <c r="D22" s="18"/>
      <c r="E22" s="22">
        <f>MAX(E13-$B$6,0)</f>
        <v>3.3500000000000085</v>
      </c>
    </row>
    <row r="23" spans="1:9" x14ac:dyDescent="0.25">
      <c r="C23" s="23">
        <f>MAX(MAX(C14-$B$6,0),$E$4*E22+$E$5*E24)</f>
        <v>2.18795355587809</v>
      </c>
      <c r="D23" s="18"/>
      <c r="E23" s="25"/>
    </row>
    <row r="24" spans="1:9" ht="15.6" x14ac:dyDescent="0.35">
      <c r="E24" s="22">
        <f>MAX(E15-$B$6,0)</f>
        <v>0</v>
      </c>
      <c r="F24" s="26" t="s">
        <v>13</v>
      </c>
    </row>
    <row r="27" spans="1:9" ht="15.6" x14ac:dyDescent="0.35">
      <c r="B27" s="28" t="s">
        <v>14</v>
      </c>
    </row>
    <row r="30" spans="1:9" x14ac:dyDescent="0.25">
      <c r="A30" s="19" t="s">
        <v>15</v>
      </c>
    </row>
    <row r="31" spans="1:9" x14ac:dyDescent="0.25">
      <c r="C31" s="18"/>
      <c r="D31" s="18"/>
      <c r="E31" s="22">
        <f>E20</f>
        <v>10.500000000000014</v>
      </c>
    </row>
    <row r="32" spans="1:9" x14ac:dyDescent="0.25">
      <c r="C32" s="22">
        <f>$E$4*E31+$E$5*E33</f>
        <v>7.8301886792452944</v>
      </c>
      <c r="D32" s="18"/>
      <c r="E32" s="25"/>
    </row>
    <row r="33" spans="1:5" x14ac:dyDescent="0.25">
      <c r="A33" s="27">
        <f>E4*C32+E5*C34</f>
        <v>5.7491663524470251</v>
      </c>
      <c r="C33" s="24"/>
      <c r="D33" s="18"/>
      <c r="E33" s="22">
        <f>E22</f>
        <v>3.3500000000000085</v>
      </c>
    </row>
    <row r="34" spans="1:5" x14ac:dyDescent="0.25">
      <c r="C34" s="22">
        <f>E4*E33+E5*E35</f>
        <v>2.18795355587809</v>
      </c>
      <c r="D34" s="18"/>
      <c r="E34" s="25"/>
    </row>
    <row r="35" spans="1:5" x14ac:dyDescent="0.25">
      <c r="C35" s="24"/>
      <c r="E35" s="22">
        <f>E24</f>
        <v>0</v>
      </c>
    </row>
    <row r="36" spans="1:5" x14ac:dyDescent="0.25">
      <c r="C36" s="24"/>
    </row>
  </sheetData>
  <mergeCells count="1">
    <mergeCell ref="A1:K1"/>
  </mergeCells>
  <phoneticPr fontId="1" type="noConversion"/>
  <printOptions headings="1" gridLines="1"/>
  <pageMargins left="0.75" right="0.75" top="1" bottom="1" header="0.5" footer="0.5"/>
  <pageSetup scale="95" orientation="landscape" horizontalDpi="1200" verticalDpi="300" r:id="rId1"/>
  <headerFooter alignWithMargins="0">
    <oddHeader>&amp;CUN-11N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458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2024-11-20T07:14:20Z</dcterms:modified>
</cp:coreProperties>
</file>