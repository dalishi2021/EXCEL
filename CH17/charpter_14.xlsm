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E634D274-D8B9-45E6-9F21-BB660C4534D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1" l="1"/>
  <c r="B23" i="1"/>
  <c r="B22" i="1"/>
  <c r="B21" i="1"/>
  <c r="B20" i="1"/>
  <c r="B19" i="1"/>
  <c r="B18" i="1"/>
  <c r="C19" i="1"/>
  <c r="C20" i="1"/>
  <c r="C21" i="1"/>
  <c r="C22" i="1"/>
  <c r="C23" i="1"/>
  <c r="C24" i="1"/>
  <c r="C18" i="1"/>
  <c r="C14" i="1"/>
  <c r="C13" i="1"/>
  <c r="B14" i="1"/>
  <c r="B13" i="1"/>
</calcChain>
</file>

<file path=xl/sharedStrings.xml><?xml version="1.0" encoding="utf-8"?>
<sst xmlns="http://schemas.openxmlformats.org/spreadsheetml/2006/main" count="27" uniqueCount="27">
  <si>
    <r>
      <t xml:space="preserve">A BINOMIAL EMPLOYEE STOCK OPTION PRICING MODEL
</t>
    </r>
    <r>
      <rPr>
        <b/>
        <sz val="12"/>
        <rFont val="Arial"/>
        <family val="2"/>
      </rPr>
      <t>Based on Hull-White (2004)</t>
    </r>
  </si>
  <si>
    <t>S</t>
  </si>
  <si>
    <t>Current stock price</t>
  </si>
  <si>
    <t>X</t>
  </si>
  <si>
    <t>Option exercise price</t>
  </si>
  <si>
    <t>T</t>
  </si>
  <si>
    <t>Time to option exercise (in years)</t>
  </si>
  <si>
    <t>Interest</t>
  </si>
  <si>
    <t>Annual interest rate</t>
  </si>
  <si>
    <t>Sigma</t>
  </si>
  <si>
    <t>Riskiness of stock</t>
  </si>
  <si>
    <t>Stock dividend rate</t>
  </si>
  <si>
    <t>Annual dividend rate on stock</t>
  </si>
  <si>
    <t>Exit rate, e</t>
  </si>
  <si>
    <t>Option exercise multiple, m</t>
  </si>
  <si>
    <t>n</t>
  </si>
  <si>
    <t>Employee stock option value</t>
  </si>
  <si>
    <t>Black-Scholes call</t>
  </si>
  <si>
    <t>Up</t>
  </si>
  <si>
    <t>Down</t>
  </si>
  <si>
    <t>r</t>
  </si>
  <si>
    <t>Div</t>
  </si>
  <si>
    <t>Exit</t>
  </si>
  <si>
    <t>piUp</t>
  </si>
  <si>
    <t>piDown</t>
  </si>
  <si>
    <t>Vesting period (years)</t>
    <phoneticPr fontId="1" type="noConversion"/>
  </si>
  <si>
    <t>Number of subdivisions of one 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</si>
</sst>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2" fontId="0" fillId="0" borderId="0" xfId="0" applyNumberFormat="1" applyAlignment="1"/>
    <xf numFmtId="0" fontId="0" fillId="2" borderId="0" xfId="0" applyFill="1" applyAlignment="1"/>
    <xf numFmtId="2" fontId="0" fillId="2" borderId="0" xfId="0" applyNumberFormat="1" applyFill="1" applyAlignment="1"/>
    <xf numFmtId="0" fontId="0" fillId="3" borderId="0" xfId="0" applyFill="1" applyAlignment="1"/>
    <xf numFmtId="2" fontId="0" fillId="3" borderId="0" xfId="0" applyNumberFormat="1" applyFill="1" applyAlignment="1"/>
    <xf numFmtId="10" fontId="0" fillId="3" borderId="0" xfId="0" applyNumberFormat="1" applyFill="1" applyAlignment="1"/>
    <xf numFmtId="9" fontId="0" fillId="3" borderId="0" xfId="0" applyNumberFormat="1" applyFill="1" applyAlignment="1"/>
    <xf numFmtId="0" fontId="0" fillId="4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236220</xdr:colOff>
      <xdr:row>6</xdr:row>
      <xdr:rowOff>22860</xdr:rowOff>
    </xdr:from>
    <xdr:to>
      <xdr:col>13</xdr:col>
      <xdr:colOff>135255</xdr:colOff>
      <xdr:row>31</xdr:row>
      <xdr:rowOff>59055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0D1D5CE-5CAB-FB93-A2F0-48AD459733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25540" y="1120140"/>
          <a:ext cx="5394960" cy="44272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ESO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37"/>
  <sheetViews>
    <sheetView tabSelected="1" zoomScale="130" zoomScaleNormal="130" workbookViewId="0">
      <selection activeCell="R29" sqref="R29"/>
    </sheetView>
  </sheetViews>
  <sheetFormatPr defaultRowHeight="13.8" x14ac:dyDescent="0.25"/>
  <cols>
    <col min="1" max="1" width="25.33203125" style="2" customWidth="1"/>
    <col min="2" max="2" width="11.5546875" style="2" bestFit="1" customWidth="1"/>
    <col min="3" max="3" width="41.5546875" style="2" customWidth="1"/>
  </cols>
  <sheetData>
    <row r="1" spans="1:3" ht="53.4" customHeight="1" x14ac:dyDescent="0.25">
      <c r="A1" s="1" t="s">
        <v>0</v>
      </c>
      <c r="B1" s="1"/>
      <c r="C1" s="1"/>
    </row>
    <row r="2" spans="1:3" x14ac:dyDescent="0.25">
      <c r="A2" s="2" t="s">
        <v>1</v>
      </c>
      <c r="B2" s="6">
        <v>50</v>
      </c>
      <c r="C2" s="10" t="s">
        <v>2</v>
      </c>
    </row>
    <row r="3" spans="1:3" x14ac:dyDescent="0.25">
      <c r="A3" s="2" t="s">
        <v>3</v>
      </c>
      <c r="B3" s="6">
        <v>50</v>
      </c>
      <c r="C3" s="10" t="s">
        <v>4</v>
      </c>
    </row>
    <row r="4" spans="1:3" x14ac:dyDescent="0.25">
      <c r="A4" s="2" t="s">
        <v>5</v>
      </c>
      <c r="B4" s="7">
        <v>10</v>
      </c>
      <c r="C4" s="10" t="s">
        <v>6</v>
      </c>
    </row>
    <row r="5" spans="1:3" x14ac:dyDescent="0.25">
      <c r="A5" s="2" t="s">
        <v>25</v>
      </c>
      <c r="B5" s="7">
        <v>3</v>
      </c>
    </row>
    <row r="6" spans="1:3" x14ac:dyDescent="0.25">
      <c r="A6" s="2" t="s">
        <v>7</v>
      </c>
      <c r="B6" s="8">
        <v>0.05</v>
      </c>
      <c r="C6" s="10" t="s">
        <v>8</v>
      </c>
    </row>
    <row r="7" spans="1:3" x14ac:dyDescent="0.25">
      <c r="A7" s="2" t="s">
        <v>9</v>
      </c>
      <c r="B7" s="9">
        <v>0.35</v>
      </c>
      <c r="C7" s="10" t="s">
        <v>10</v>
      </c>
    </row>
    <row r="8" spans="1:3" x14ac:dyDescent="0.25">
      <c r="A8" s="2" t="s">
        <v>11</v>
      </c>
      <c r="B8" s="8">
        <v>2.5000000000000001E-2</v>
      </c>
      <c r="C8" s="10" t="s">
        <v>12</v>
      </c>
    </row>
    <row r="9" spans="1:3" x14ac:dyDescent="0.25">
      <c r="A9" s="2" t="s">
        <v>13</v>
      </c>
      <c r="B9" s="8">
        <v>0.1</v>
      </c>
    </row>
    <row r="10" spans="1:3" x14ac:dyDescent="0.25">
      <c r="A10" s="2" t="s">
        <v>14</v>
      </c>
      <c r="B10" s="7">
        <v>3</v>
      </c>
    </row>
    <row r="11" spans="1:3" x14ac:dyDescent="0.25">
      <c r="A11" s="2" t="s">
        <v>15</v>
      </c>
      <c r="B11" s="6">
        <v>50</v>
      </c>
      <c r="C11" s="2" t="s">
        <v>26</v>
      </c>
    </row>
    <row r="13" spans="1:3" x14ac:dyDescent="0.25">
      <c r="A13" s="4" t="s">
        <v>16</v>
      </c>
      <c r="B13" s="5">
        <f>[2]!ESO(B2,B3,B4,B5,B6,B7,B8,B9,B10,B11)</f>
        <v>13.564559664268787</v>
      </c>
      <c r="C13" s="2" t="str">
        <f ca="1">[2]!getformula(B13)</f>
        <v>&lt;--  =ESO(B2,B3,B4,B5,B6,B7,B8,B9,B10,B11)</v>
      </c>
    </row>
    <row r="14" spans="1:3" x14ac:dyDescent="0.25">
      <c r="A14" s="4" t="s">
        <v>17</v>
      </c>
      <c r="B14" s="5">
        <f>[2]!BSCall(B2*EXP(-B8*B4),B3,B4,B6,B7)</f>
        <v>19.184213151700067</v>
      </c>
      <c r="C14" s="2" t="str">
        <f ca="1">[2]!getformula(B14)</f>
        <v>&lt;--  =BSCall(B2*EXP(-B8*B4),B3,B4,B6,B7)</v>
      </c>
    </row>
    <row r="18" spans="1:3" x14ac:dyDescent="0.25">
      <c r="A18" s="2" t="s">
        <v>18</v>
      </c>
      <c r="B18" s="2">
        <f>EXP(B7*SQRT(1/B11))</f>
        <v>1.0507429387525293</v>
      </c>
      <c r="C18" s="2" t="str">
        <f ca="1">[2]!getformula(B18)</f>
        <v>&lt;--  =EXP(B7*SQRT(1/B11))</v>
      </c>
    </row>
    <row r="19" spans="1:3" x14ac:dyDescent="0.25">
      <c r="A19" s="2" t="s">
        <v>19</v>
      </c>
      <c r="B19" s="2">
        <f>EXP(-B7*SQRT(1/B11))</f>
        <v>0.95170756149665614</v>
      </c>
      <c r="C19" s="2" t="str">
        <f ca="1">[2]!getformula(B19)</f>
        <v>&lt;--  =EXP(-B7*SQRT(1/B11))</v>
      </c>
    </row>
    <row r="20" spans="1:3" x14ac:dyDescent="0.25">
      <c r="A20" s="2" t="s">
        <v>20</v>
      </c>
      <c r="B20" s="2">
        <f>EXP(B6/B11)</f>
        <v>1.0010005001667084</v>
      </c>
      <c r="C20" s="2" t="str">
        <f ca="1">[2]!getformula(B20)</f>
        <v>&lt;--  =EXP(B6/B11)</v>
      </c>
    </row>
    <row r="21" spans="1:3" x14ac:dyDescent="0.25">
      <c r="A21" s="2" t="s">
        <v>21</v>
      </c>
      <c r="B21" s="2">
        <f>EXP(-B8*B4/B11)</f>
        <v>0.99501247919268232</v>
      </c>
      <c r="C21" s="2" t="str">
        <f ca="1">[2]!getformula(B21)</f>
        <v>&lt;--  =EXP(-B8*B4/B11)</v>
      </c>
    </row>
    <row r="22" spans="1:3" x14ac:dyDescent="0.25">
      <c r="A22" s="2" t="s">
        <v>22</v>
      </c>
      <c r="B22" s="2">
        <f>B9/B11</f>
        <v>2E-3</v>
      </c>
      <c r="C22" s="2" t="str">
        <f ca="1">[2]!getformula(B22)</f>
        <v>&lt;--  =B9/B11</v>
      </c>
    </row>
    <row r="23" spans="1:3" x14ac:dyDescent="0.25">
      <c r="A23" s="2" t="s">
        <v>23</v>
      </c>
      <c r="B23" s="2">
        <f>(B20*B21-B19)/(B18-B19)</f>
        <v>0.44731922142204139</v>
      </c>
      <c r="C23" s="2" t="str">
        <f ca="1">[2]!getformula(B23)</f>
        <v>&lt;--  =(B20*B21-B19)/(B18-B19)</v>
      </c>
    </row>
    <row r="24" spans="1:3" x14ac:dyDescent="0.25">
      <c r="A24" s="2" t="s">
        <v>24</v>
      </c>
      <c r="B24" s="2">
        <f>(B18-B20*B21)/(B18-B19)</f>
        <v>0.55268077857795861</v>
      </c>
      <c r="C24" s="2" t="str">
        <f ca="1">[2]!getformula(B24)</f>
        <v>&lt;--  =(B18-B20*B21)/(B18-B19)</v>
      </c>
    </row>
    <row r="37" spans="3:3" x14ac:dyDescent="0.25">
      <c r="C37" s="3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2024-11-21T03:34:05Z</dcterms:modified>
</cp:coreProperties>
</file>