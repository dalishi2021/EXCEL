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33BE4F17-4E52-4EAA-9242-1F76ABCDC2A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2" sheetId="2" r:id="rId1"/>
    <sheet name="Sheet1" sheetId="1" r:id="rId2"/>
  </sheets>
  <externalReferences>
    <externalReference r:id="rId3"/>
  </externalReferences>
  <definedNames>
    <definedName name="_xlnm.Print_Area" localSheetId="0">Sheet2!$A$1:$H$20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2" l="1"/>
  <c r="B14" i="2"/>
  <c r="F14" i="2" s="1"/>
  <c r="B13" i="2"/>
  <c r="E13" i="2" s="1"/>
  <c r="F12" i="2"/>
  <c r="D12" i="2"/>
  <c r="C12" i="2"/>
  <c r="B12" i="2"/>
  <c r="B11" i="2"/>
  <c r="F11" i="2" s="1"/>
  <c r="E10" i="2"/>
  <c r="B10" i="2"/>
  <c r="C10" i="2" s="1"/>
  <c r="D10" i="2" s="1"/>
  <c r="E5" i="2"/>
  <c r="E12" i="2" s="1"/>
  <c r="E4" i="2"/>
  <c r="E14" i="2" s="1"/>
  <c r="C24" i="1"/>
  <c r="E25" i="1" s="1"/>
  <c r="C22" i="1"/>
  <c r="E23" i="1" s="1"/>
  <c r="G22" i="1" s="1"/>
  <c r="I21" i="1" s="1"/>
  <c r="E15" i="1"/>
  <c r="G16" i="1" s="1"/>
  <c r="I17" i="1" s="1"/>
  <c r="I38" i="1" s="1"/>
  <c r="E13" i="1"/>
  <c r="G14" i="1" s="1"/>
  <c r="I15" i="1" s="1"/>
  <c r="I36" i="1" s="1"/>
  <c r="A13" i="1"/>
  <c r="C14" i="1" s="1"/>
  <c r="E11" i="1"/>
  <c r="G12" i="1" s="1"/>
  <c r="I13" i="1" s="1"/>
  <c r="I34" i="1" s="1"/>
  <c r="G5" i="1"/>
  <c r="F5" i="1"/>
  <c r="G4" i="1"/>
  <c r="F4" i="1"/>
  <c r="H11" i="2"/>
  <c r="H10" i="2"/>
  <c r="F5" i="2"/>
  <c r="F4" i="2"/>
  <c r="H16" i="2"/>
  <c r="H15" i="2"/>
  <c r="G12" i="2" l="1"/>
  <c r="C13" i="2"/>
  <c r="D13" i="2" s="1"/>
  <c r="G13" i="2" s="1"/>
  <c r="F10" i="2"/>
  <c r="G10" i="2" s="1"/>
  <c r="G15" i="2" s="1"/>
  <c r="G16" i="2" s="1"/>
  <c r="F13" i="2"/>
  <c r="C11" i="2"/>
  <c r="D11" i="2" s="1"/>
  <c r="G11" i="2" s="1"/>
  <c r="E11" i="2"/>
  <c r="C14" i="2"/>
  <c r="D14" i="2" s="1"/>
  <c r="G14" i="2" s="1"/>
  <c r="G37" i="1"/>
  <c r="G35" i="1"/>
  <c r="G26" i="1"/>
  <c r="G24" i="1"/>
  <c r="I23" i="1" s="1"/>
  <c r="G10" i="1"/>
  <c r="E21" i="1"/>
  <c r="G20" i="1" s="1"/>
  <c r="I19" i="1" s="1"/>
  <c r="C12" i="1"/>
  <c r="E36" i="1"/>
  <c r="I11" i="1" l="1"/>
  <c r="I32" i="1" s="1"/>
  <c r="G33" i="1" s="1"/>
  <c r="E34" i="1" s="1"/>
  <c r="C35" i="1" s="1"/>
  <c r="I9" i="1"/>
  <c r="I30" i="1" s="1"/>
  <c r="G31" i="1" s="1"/>
  <c r="E32" i="1" s="1"/>
  <c r="C33" i="1" s="1"/>
  <c r="I25" i="1"/>
  <c r="I27" i="1"/>
  <c r="A34" i="1" l="1"/>
</calcChain>
</file>

<file path=xl/sharedStrings.xml><?xml version="1.0" encoding="utf-8"?>
<sst xmlns="http://schemas.openxmlformats.org/spreadsheetml/2006/main" count="37" uniqueCount="36">
  <si>
    <t>FIVE DATE EUROPEAN BINOMIAL OPTION PRICING</t>
  </si>
  <si>
    <t>up</t>
  </si>
  <si>
    <t>down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</si>
  <si>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</si>
  <si>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</si>
  <si>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t>initial stock price</t>
  </si>
  <si>
    <r>
      <t>q</t>
    </r>
    <r>
      <rPr>
        <vertAlign val="subscript"/>
        <sz val="10"/>
        <rFont val="Arial"/>
        <family val="2"/>
      </rPr>
      <t>d</t>
    </r>
  </si>
  <si>
    <t>interest rate</t>
  </si>
  <si>
    <t>exercise price</t>
  </si>
  <si>
    <t>Stock price</t>
  </si>
  <si>
    <t>Bond price</t>
  </si>
  <si>
    <t>Call price</t>
  </si>
  <si>
    <t>Date 0</t>
  </si>
  <si>
    <t>Date 1</t>
  </si>
  <si>
    <t>Date 2</t>
  </si>
  <si>
    <t>Date 3</t>
  </si>
  <si>
    <t>Date 4</t>
  </si>
  <si>
    <t>BINOMIAL OPTION PRICING WITH STATE PRICES 
IN A FOUR-PERIOD (FIVE-DATE) MODEL</t>
  </si>
  <si>
    <t>Up, U</t>
  </si>
  <si>
    <t>Down, D</t>
  </si>
  <si>
    <t>State prices</t>
  </si>
  <si>
    <t>Interest rate, R</t>
  </si>
  <si>
    <r>
      <t>q</t>
    </r>
    <r>
      <rPr>
        <vertAlign val="subscript"/>
        <sz val="10"/>
        <rFont val="Arial"/>
        <family val="2"/>
      </rPr>
      <t>U</t>
    </r>
  </si>
  <si>
    <t>Initial stock price, S</t>
  </si>
  <si>
    <r>
      <t>q</t>
    </r>
    <r>
      <rPr>
        <vertAlign val="subscript"/>
        <sz val="10"/>
        <rFont val="Arial"/>
        <family val="2"/>
      </rPr>
      <t>D</t>
    </r>
  </si>
  <si>
    <t>Option exercise price, X</t>
  </si>
  <si>
    <t>Number of "up" steps at terminal date</t>
  </si>
  <si>
    <t>Number of "down" steps at terminal date</t>
  </si>
  <si>
    <t>Terminal stock price 
= S*U^(# up)
*D^(# down)</t>
  </si>
  <si>
    <t>Option payoff at terminal state</t>
  </si>
  <si>
    <r>
      <t>State price for terminal date 
= q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>^(# up)
*q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^(# down)</t>
    </r>
  </si>
  <si>
    <t>Number of paths to terminal state</t>
  </si>
  <si>
    <t>Value
=payoff*state price*#paths</t>
  </si>
  <si>
    <t>Put price</t>
  </si>
  <si>
    <t>Notes</t>
  </si>
  <si>
    <t>There are 5 dates in this model (0, 1, ... , 5) but only 4 periods and thus only 4 possible "up" or "down" steps.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</si>
</sst>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#,##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vertAlign val="subscript"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0" fillId="0" borderId="0" xfId="0" applyAlignment="1">
      <alignment horizontal="left"/>
    </xf>
    <xf numFmtId="176" fontId="0" fillId="0" borderId="0" xfId="0" quotePrefix="1" applyNumberFormat="1" applyAlignment="1"/>
    <xf numFmtId="176" fontId="0" fillId="0" borderId="0" xfId="0" applyNumberFormat="1" applyAlignment="1"/>
    <xf numFmtId="176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/>
    </xf>
    <xf numFmtId="176" fontId="4" fillId="0" borderId="0" xfId="0" applyNumberFormat="1" applyFont="1" applyAlignment="1"/>
    <xf numFmtId="176" fontId="0" fillId="0" borderId="0" xfId="0" quotePrefix="1" applyNumberFormat="1" applyAlignment="1">
      <alignment horizontal="center"/>
    </xf>
    <xf numFmtId="176" fontId="0" fillId="0" borderId="0" xfId="0" applyNumberForma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 vertical="center" wrapText="1"/>
    </xf>
    <xf numFmtId="176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176" fontId="7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76" fontId="7" fillId="2" borderId="0" xfId="0" applyNumberFormat="1" applyFont="1" applyFill="1" applyAlignment="1">
      <alignment horizontal="center"/>
    </xf>
    <xf numFmtId="177" fontId="0" fillId="2" borderId="0" xfId="0" applyNumberFormat="1" applyFill="1" applyAlignment="1">
      <alignment horizontal="center"/>
    </xf>
    <xf numFmtId="0" fontId="7" fillId="2" borderId="0" xfId="0" applyFont="1" applyFill="1" applyAlignment="1">
      <alignment horizontal="center"/>
    </xf>
    <xf numFmtId="176" fontId="0" fillId="2" borderId="0" xfId="0" applyNumberForma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60960</xdr:rowOff>
    </xdr:from>
    <xdr:to>
      <xdr:col>2</xdr:col>
      <xdr:colOff>0</xdr:colOff>
      <xdr:row>12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7751FBB6-575E-4748-8B48-97F3F0BD4085}"/>
            </a:ext>
          </a:extLst>
        </xdr:cNvPr>
        <xdr:cNvSpPr>
          <a:spLocks noChangeShapeType="1"/>
        </xdr:cNvSpPr>
      </xdr:nvSpPr>
      <xdr:spPr bwMode="auto">
        <a:xfrm flipV="1">
          <a:off x="1028700" y="20478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12</xdr:row>
      <xdr:rowOff>76200</xdr:rowOff>
    </xdr:from>
    <xdr:to>
      <xdr:col>2</xdr:col>
      <xdr:colOff>7620</xdr:colOff>
      <xdr:row>13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61A7948-7EF4-4FFF-8928-E4332F255643}"/>
            </a:ext>
          </a:extLst>
        </xdr:cNvPr>
        <xdr:cNvSpPr>
          <a:spLocks noChangeShapeType="1"/>
        </xdr:cNvSpPr>
      </xdr:nvSpPr>
      <xdr:spPr bwMode="auto">
        <a:xfrm>
          <a:off x="1028700" y="22383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12</xdr:row>
      <xdr:rowOff>68580</xdr:rowOff>
    </xdr:from>
    <xdr:to>
      <xdr:col>4</xdr:col>
      <xdr:colOff>7620</xdr:colOff>
      <xdr:row>13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2F40A7C9-0A01-477E-820A-93A5EC6D63F5}"/>
            </a:ext>
          </a:extLst>
        </xdr:cNvPr>
        <xdr:cNvSpPr>
          <a:spLocks noChangeShapeType="1"/>
        </xdr:cNvSpPr>
      </xdr:nvSpPr>
      <xdr:spPr bwMode="auto">
        <a:xfrm flipV="1">
          <a:off x="2266950" y="22288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13</xdr:row>
      <xdr:rowOff>91440</xdr:rowOff>
    </xdr:from>
    <xdr:to>
      <xdr:col>4</xdr:col>
      <xdr:colOff>0</xdr:colOff>
      <xdr:row>14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0ED9152-DC95-417F-896D-E6224C22B2D6}"/>
            </a:ext>
          </a:extLst>
        </xdr:cNvPr>
        <xdr:cNvSpPr>
          <a:spLocks noChangeShapeType="1"/>
        </xdr:cNvSpPr>
      </xdr:nvSpPr>
      <xdr:spPr bwMode="auto">
        <a:xfrm>
          <a:off x="2266950" y="24288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60960</xdr:rowOff>
    </xdr:from>
    <xdr:to>
      <xdr:col>4</xdr:col>
      <xdr:colOff>7620</xdr:colOff>
      <xdr:row>12</xdr:row>
      <xdr:rowOff>60960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B97FC578-DE30-4948-8633-C8E9B3EB86CB}"/>
            </a:ext>
          </a:extLst>
        </xdr:cNvPr>
        <xdr:cNvSpPr>
          <a:spLocks noChangeShapeType="1"/>
        </xdr:cNvSpPr>
      </xdr:nvSpPr>
      <xdr:spPr bwMode="auto">
        <a:xfrm>
          <a:off x="2247900" y="20478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10</xdr:row>
      <xdr:rowOff>53340</xdr:rowOff>
    </xdr:from>
    <xdr:to>
      <xdr:col>4</xdr:col>
      <xdr:colOff>7620</xdr:colOff>
      <xdr:row>11</xdr:row>
      <xdr:rowOff>53340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7D83E4D9-DA77-4985-BEC6-2BD11E2CA0EE}"/>
            </a:ext>
          </a:extLst>
        </xdr:cNvPr>
        <xdr:cNvSpPr>
          <a:spLocks noChangeShapeType="1"/>
        </xdr:cNvSpPr>
      </xdr:nvSpPr>
      <xdr:spPr bwMode="auto">
        <a:xfrm flipV="1">
          <a:off x="2266950" y="18764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11</xdr:row>
      <xdr:rowOff>68580</xdr:rowOff>
    </xdr:from>
    <xdr:to>
      <xdr:col>6</xdr:col>
      <xdr:colOff>7620</xdr:colOff>
      <xdr:row>12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96C07031-82E2-4863-A075-41D51EA92037}"/>
            </a:ext>
          </a:extLst>
        </xdr:cNvPr>
        <xdr:cNvSpPr>
          <a:spLocks noChangeShapeType="1"/>
        </xdr:cNvSpPr>
      </xdr:nvSpPr>
      <xdr:spPr bwMode="auto">
        <a:xfrm flipV="1">
          <a:off x="3505200" y="20574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12</xdr:row>
      <xdr:rowOff>91440</xdr:rowOff>
    </xdr:from>
    <xdr:to>
      <xdr:col>6</xdr:col>
      <xdr:colOff>0</xdr:colOff>
      <xdr:row>13</xdr:row>
      <xdr:rowOff>83820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A3050A19-E296-4CF4-9702-C06BE2639280}"/>
            </a:ext>
          </a:extLst>
        </xdr:cNvPr>
        <xdr:cNvSpPr>
          <a:spLocks noChangeShapeType="1"/>
        </xdr:cNvSpPr>
      </xdr:nvSpPr>
      <xdr:spPr bwMode="auto">
        <a:xfrm>
          <a:off x="3505200" y="22574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10</xdr:row>
      <xdr:rowOff>60960</xdr:rowOff>
    </xdr:from>
    <xdr:to>
      <xdr:col>6</xdr:col>
      <xdr:colOff>7620</xdr:colOff>
      <xdr:row>11</xdr:row>
      <xdr:rowOff>60960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F2983B4C-8598-4CDB-ACD7-1EC9328722E4}"/>
            </a:ext>
          </a:extLst>
        </xdr:cNvPr>
        <xdr:cNvSpPr>
          <a:spLocks noChangeShapeType="1"/>
        </xdr:cNvSpPr>
      </xdr:nvSpPr>
      <xdr:spPr bwMode="auto">
        <a:xfrm>
          <a:off x="3486150" y="18764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9</xdr:row>
      <xdr:rowOff>53340</xdr:rowOff>
    </xdr:from>
    <xdr:to>
      <xdr:col>6</xdr:col>
      <xdr:colOff>7620</xdr:colOff>
      <xdr:row>10</xdr:row>
      <xdr:rowOff>53340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F8ABDEEC-F804-443F-A481-B1D6C5A0452C}"/>
            </a:ext>
          </a:extLst>
        </xdr:cNvPr>
        <xdr:cNvSpPr>
          <a:spLocks noChangeShapeType="1"/>
        </xdr:cNvSpPr>
      </xdr:nvSpPr>
      <xdr:spPr bwMode="auto">
        <a:xfrm flipV="1">
          <a:off x="3505200" y="170497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10</xdr:row>
      <xdr:rowOff>68580</xdr:rowOff>
    </xdr:from>
    <xdr:to>
      <xdr:col>8</xdr:col>
      <xdr:colOff>7620</xdr:colOff>
      <xdr:row>11</xdr:row>
      <xdr:rowOff>76200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DCEBA6A2-7744-45D3-886C-CFF662B140EC}"/>
            </a:ext>
          </a:extLst>
        </xdr:cNvPr>
        <xdr:cNvSpPr>
          <a:spLocks noChangeShapeType="1"/>
        </xdr:cNvSpPr>
      </xdr:nvSpPr>
      <xdr:spPr bwMode="auto">
        <a:xfrm flipV="1">
          <a:off x="4724400" y="18859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11</xdr:row>
      <xdr:rowOff>83820</xdr:rowOff>
    </xdr:from>
    <xdr:to>
      <xdr:col>8</xdr:col>
      <xdr:colOff>0</xdr:colOff>
      <xdr:row>12</xdr:row>
      <xdr:rowOff>76200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8A9A0F8-6033-4464-BF29-1001A67C271C}"/>
            </a:ext>
          </a:extLst>
        </xdr:cNvPr>
        <xdr:cNvSpPr>
          <a:spLocks noChangeShapeType="1"/>
        </xdr:cNvSpPr>
      </xdr:nvSpPr>
      <xdr:spPr bwMode="auto">
        <a:xfrm>
          <a:off x="4724400" y="207645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60960</xdr:rowOff>
    </xdr:from>
    <xdr:to>
      <xdr:col>8</xdr:col>
      <xdr:colOff>7620</xdr:colOff>
      <xdr:row>10</xdr:row>
      <xdr:rowOff>60960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3E1B575F-BE9D-45E7-9CD9-E195C59A9C68}"/>
            </a:ext>
          </a:extLst>
        </xdr:cNvPr>
        <xdr:cNvSpPr>
          <a:spLocks noChangeShapeType="1"/>
        </xdr:cNvSpPr>
      </xdr:nvSpPr>
      <xdr:spPr bwMode="auto">
        <a:xfrm>
          <a:off x="4705350" y="17049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</xdr:row>
      <xdr:rowOff>53340</xdr:rowOff>
    </xdr:from>
    <xdr:to>
      <xdr:col>8</xdr:col>
      <xdr:colOff>7620</xdr:colOff>
      <xdr:row>9</xdr:row>
      <xdr:rowOff>53340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DBC6AB9F-7E9B-4904-8C5C-269DAD0C73D2}"/>
            </a:ext>
          </a:extLst>
        </xdr:cNvPr>
        <xdr:cNvSpPr>
          <a:spLocks noChangeShapeType="1"/>
        </xdr:cNvSpPr>
      </xdr:nvSpPr>
      <xdr:spPr bwMode="auto">
        <a:xfrm flipV="1">
          <a:off x="4724400" y="15335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14</xdr:row>
      <xdr:rowOff>68580</xdr:rowOff>
    </xdr:from>
    <xdr:to>
      <xdr:col>8</xdr:col>
      <xdr:colOff>7620</xdr:colOff>
      <xdr:row>15</xdr:row>
      <xdr:rowOff>76200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C54A290-60E7-496A-BFAA-8B6C84FD6895}"/>
            </a:ext>
          </a:extLst>
        </xdr:cNvPr>
        <xdr:cNvSpPr>
          <a:spLocks noChangeShapeType="1"/>
        </xdr:cNvSpPr>
      </xdr:nvSpPr>
      <xdr:spPr bwMode="auto">
        <a:xfrm flipV="1">
          <a:off x="4724400" y="25717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15</xdr:row>
      <xdr:rowOff>91440</xdr:rowOff>
    </xdr:from>
    <xdr:to>
      <xdr:col>8</xdr:col>
      <xdr:colOff>0</xdr:colOff>
      <xdr:row>16</xdr:row>
      <xdr:rowOff>83820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C24A335E-4409-4070-A804-139E8E72D798}"/>
            </a:ext>
          </a:extLst>
        </xdr:cNvPr>
        <xdr:cNvSpPr>
          <a:spLocks noChangeShapeType="1"/>
        </xdr:cNvSpPr>
      </xdr:nvSpPr>
      <xdr:spPr bwMode="auto">
        <a:xfrm>
          <a:off x="4724400" y="27717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60960</xdr:rowOff>
    </xdr:from>
    <xdr:to>
      <xdr:col>8</xdr:col>
      <xdr:colOff>7620</xdr:colOff>
      <xdr:row>14</xdr:row>
      <xdr:rowOff>60960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CF1F3DDE-2E3C-4C38-A628-F7517006AE35}"/>
            </a:ext>
          </a:extLst>
        </xdr:cNvPr>
        <xdr:cNvSpPr>
          <a:spLocks noChangeShapeType="1"/>
        </xdr:cNvSpPr>
      </xdr:nvSpPr>
      <xdr:spPr bwMode="auto">
        <a:xfrm>
          <a:off x="4705350" y="23907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12</xdr:row>
      <xdr:rowOff>68580</xdr:rowOff>
    </xdr:from>
    <xdr:to>
      <xdr:col>8</xdr:col>
      <xdr:colOff>7620</xdr:colOff>
      <xdr:row>13</xdr:row>
      <xdr:rowOff>53340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1A43B754-4B9C-4C2D-91EA-C6946AFB58F9}"/>
            </a:ext>
          </a:extLst>
        </xdr:cNvPr>
        <xdr:cNvSpPr>
          <a:spLocks noChangeShapeType="1"/>
        </xdr:cNvSpPr>
      </xdr:nvSpPr>
      <xdr:spPr bwMode="auto">
        <a:xfrm flipV="1">
          <a:off x="4724400" y="222885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13</xdr:row>
      <xdr:rowOff>83820</xdr:rowOff>
    </xdr:from>
    <xdr:to>
      <xdr:col>6</xdr:col>
      <xdr:colOff>15240</xdr:colOff>
      <xdr:row>14</xdr:row>
      <xdr:rowOff>60960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C8EB7FA8-9737-4C5D-89E0-F22AF2927EAC}"/>
            </a:ext>
          </a:extLst>
        </xdr:cNvPr>
        <xdr:cNvSpPr>
          <a:spLocks noChangeShapeType="1"/>
        </xdr:cNvSpPr>
      </xdr:nvSpPr>
      <xdr:spPr bwMode="auto">
        <a:xfrm flipV="1">
          <a:off x="3486150" y="2419350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14</xdr:row>
      <xdr:rowOff>60960</xdr:rowOff>
    </xdr:from>
    <xdr:to>
      <xdr:col>6</xdr:col>
      <xdr:colOff>0</xdr:colOff>
      <xdr:row>15</xdr:row>
      <xdr:rowOff>68580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18E1F049-581E-40C7-8714-0B22D69B331D}"/>
            </a:ext>
          </a:extLst>
        </xdr:cNvPr>
        <xdr:cNvSpPr>
          <a:spLocks noChangeShapeType="1"/>
        </xdr:cNvSpPr>
      </xdr:nvSpPr>
      <xdr:spPr bwMode="auto">
        <a:xfrm>
          <a:off x="3495675" y="25622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21</xdr:row>
      <xdr:rowOff>60960</xdr:rowOff>
    </xdr:from>
    <xdr:to>
      <xdr:col>2</xdr:col>
      <xdr:colOff>0</xdr:colOff>
      <xdr:row>22</xdr:row>
      <xdr:rowOff>68580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25B4289B-DA03-4DBA-B082-46B034DCB3A4}"/>
            </a:ext>
          </a:extLst>
        </xdr:cNvPr>
        <xdr:cNvSpPr>
          <a:spLocks noChangeShapeType="1"/>
        </xdr:cNvSpPr>
      </xdr:nvSpPr>
      <xdr:spPr bwMode="auto">
        <a:xfrm flipV="1">
          <a:off x="1028700" y="37623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22</xdr:row>
      <xdr:rowOff>76200</xdr:rowOff>
    </xdr:from>
    <xdr:to>
      <xdr:col>2</xdr:col>
      <xdr:colOff>7620</xdr:colOff>
      <xdr:row>23</xdr:row>
      <xdr:rowOff>68580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FF4F032D-1EC7-4FB7-AD4A-C38E19F988AF}"/>
            </a:ext>
          </a:extLst>
        </xdr:cNvPr>
        <xdr:cNvSpPr>
          <a:spLocks noChangeShapeType="1"/>
        </xdr:cNvSpPr>
      </xdr:nvSpPr>
      <xdr:spPr bwMode="auto">
        <a:xfrm>
          <a:off x="1028700" y="39528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22</xdr:row>
      <xdr:rowOff>68580</xdr:rowOff>
    </xdr:from>
    <xdr:to>
      <xdr:col>4</xdr:col>
      <xdr:colOff>7620</xdr:colOff>
      <xdr:row>23</xdr:row>
      <xdr:rowOff>76200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82729A04-6739-444C-A468-90C5649FB52B}"/>
            </a:ext>
          </a:extLst>
        </xdr:cNvPr>
        <xdr:cNvSpPr>
          <a:spLocks noChangeShapeType="1"/>
        </xdr:cNvSpPr>
      </xdr:nvSpPr>
      <xdr:spPr bwMode="auto">
        <a:xfrm flipV="1">
          <a:off x="2266950" y="39433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23</xdr:row>
      <xdr:rowOff>91440</xdr:rowOff>
    </xdr:from>
    <xdr:to>
      <xdr:col>4</xdr:col>
      <xdr:colOff>0</xdr:colOff>
      <xdr:row>24</xdr:row>
      <xdr:rowOff>83820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827F764-8E3A-48B7-AD83-F9A72501F975}"/>
            </a:ext>
          </a:extLst>
        </xdr:cNvPr>
        <xdr:cNvSpPr>
          <a:spLocks noChangeShapeType="1"/>
        </xdr:cNvSpPr>
      </xdr:nvSpPr>
      <xdr:spPr bwMode="auto">
        <a:xfrm>
          <a:off x="2266950" y="41433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21</xdr:row>
      <xdr:rowOff>60960</xdr:rowOff>
    </xdr:from>
    <xdr:to>
      <xdr:col>4</xdr:col>
      <xdr:colOff>7620</xdr:colOff>
      <xdr:row>22</xdr:row>
      <xdr:rowOff>60960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16778BAB-4113-442A-BF71-AE05E0FD7075}"/>
            </a:ext>
          </a:extLst>
        </xdr:cNvPr>
        <xdr:cNvSpPr>
          <a:spLocks noChangeShapeType="1"/>
        </xdr:cNvSpPr>
      </xdr:nvSpPr>
      <xdr:spPr bwMode="auto">
        <a:xfrm>
          <a:off x="2247900" y="37623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20</xdr:row>
      <xdr:rowOff>53340</xdr:rowOff>
    </xdr:from>
    <xdr:to>
      <xdr:col>4</xdr:col>
      <xdr:colOff>7620</xdr:colOff>
      <xdr:row>21</xdr:row>
      <xdr:rowOff>53340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C5A80903-D615-42E5-A9F3-702600686C87}"/>
            </a:ext>
          </a:extLst>
        </xdr:cNvPr>
        <xdr:cNvSpPr>
          <a:spLocks noChangeShapeType="1"/>
        </xdr:cNvSpPr>
      </xdr:nvSpPr>
      <xdr:spPr bwMode="auto">
        <a:xfrm flipV="1">
          <a:off x="2266950" y="35909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21</xdr:row>
      <xdr:rowOff>68580</xdr:rowOff>
    </xdr:from>
    <xdr:to>
      <xdr:col>6</xdr:col>
      <xdr:colOff>7620</xdr:colOff>
      <xdr:row>22</xdr:row>
      <xdr:rowOff>76200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C3C698E7-EA61-4EAE-A3F9-10A0450AA0C4}"/>
            </a:ext>
          </a:extLst>
        </xdr:cNvPr>
        <xdr:cNvSpPr>
          <a:spLocks noChangeShapeType="1"/>
        </xdr:cNvSpPr>
      </xdr:nvSpPr>
      <xdr:spPr bwMode="auto">
        <a:xfrm flipV="1">
          <a:off x="3505200" y="37719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22</xdr:row>
      <xdr:rowOff>91440</xdr:rowOff>
    </xdr:from>
    <xdr:to>
      <xdr:col>6</xdr:col>
      <xdr:colOff>0</xdr:colOff>
      <xdr:row>23</xdr:row>
      <xdr:rowOff>83820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1F2A73BA-01AA-487A-82F8-367C354FF6B5}"/>
            </a:ext>
          </a:extLst>
        </xdr:cNvPr>
        <xdr:cNvSpPr>
          <a:spLocks noChangeShapeType="1"/>
        </xdr:cNvSpPr>
      </xdr:nvSpPr>
      <xdr:spPr bwMode="auto">
        <a:xfrm>
          <a:off x="3505200" y="39719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20</xdr:row>
      <xdr:rowOff>60960</xdr:rowOff>
    </xdr:from>
    <xdr:to>
      <xdr:col>6</xdr:col>
      <xdr:colOff>7620</xdr:colOff>
      <xdr:row>21</xdr:row>
      <xdr:rowOff>60960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9CB7B086-E6E9-421B-84FB-E2DC5DAFBEB8}"/>
            </a:ext>
          </a:extLst>
        </xdr:cNvPr>
        <xdr:cNvSpPr>
          <a:spLocks noChangeShapeType="1"/>
        </xdr:cNvSpPr>
      </xdr:nvSpPr>
      <xdr:spPr bwMode="auto">
        <a:xfrm>
          <a:off x="3486150" y="35909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19</xdr:row>
      <xdr:rowOff>53340</xdr:rowOff>
    </xdr:from>
    <xdr:to>
      <xdr:col>6</xdr:col>
      <xdr:colOff>7620</xdr:colOff>
      <xdr:row>20</xdr:row>
      <xdr:rowOff>53340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27E6D568-2034-4DCE-9F9F-D5B00BA214F1}"/>
            </a:ext>
          </a:extLst>
        </xdr:cNvPr>
        <xdr:cNvSpPr>
          <a:spLocks noChangeShapeType="1"/>
        </xdr:cNvSpPr>
      </xdr:nvSpPr>
      <xdr:spPr bwMode="auto">
        <a:xfrm flipV="1">
          <a:off x="3505200" y="341947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20</xdr:row>
      <xdr:rowOff>68580</xdr:rowOff>
    </xdr:from>
    <xdr:to>
      <xdr:col>8</xdr:col>
      <xdr:colOff>7620</xdr:colOff>
      <xdr:row>21</xdr:row>
      <xdr:rowOff>76200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AA40F3EC-6FCA-4DD2-A614-52FED99D1556}"/>
            </a:ext>
          </a:extLst>
        </xdr:cNvPr>
        <xdr:cNvSpPr>
          <a:spLocks noChangeShapeType="1"/>
        </xdr:cNvSpPr>
      </xdr:nvSpPr>
      <xdr:spPr bwMode="auto">
        <a:xfrm flipV="1">
          <a:off x="4724400" y="36004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21</xdr:row>
      <xdr:rowOff>91440</xdr:rowOff>
    </xdr:from>
    <xdr:to>
      <xdr:col>8</xdr:col>
      <xdr:colOff>0</xdr:colOff>
      <xdr:row>22</xdr:row>
      <xdr:rowOff>83820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ECE457BC-D3E7-4085-BB1A-D4D03BE2213A}"/>
            </a:ext>
          </a:extLst>
        </xdr:cNvPr>
        <xdr:cNvSpPr>
          <a:spLocks noChangeShapeType="1"/>
        </xdr:cNvSpPr>
      </xdr:nvSpPr>
      <xdr:spPr bwMode="auto">
        <a:xfrm>
          <a:off x="4724400" y="38004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19</xdr:row>
      <xdr:rowOff>60960</xdr:rowOff>
    </xdr:from>
    <xdr:to>
      <xdr:col>8</xdr:col>
      <xdr:colOff>7620</xdr:colOff>
      <xdr:row>20</xdr:row>
      <xdr:rowOff>60960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183A2054-3031-4E47-A364-B89983831B5D}"/>
            </a:ext>
          </a:extLst>
        </xdr:cNvPr>
        <xdr:cNvSpPr>
          <a:spLocks noChangeShapeType="1"/>
        </xdr:cNvSpPr>
      </xdr:nvSpPr>
      <xdr:spPr bwMode="auto">
        <a:xfrm>
          <a:off x="4705350" y="34194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18</xdr:row>
      <xdr:rowOff>53340</xdr:rowOff>
    </xdr:from>
    <xdr:to>
      <xdr:col>8</xdr:col>
      <xdr:colOff>7620</xdr:colOff>
      <xdr:row>19</xdr:row>
      <xdr:rowOff>53340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D7ABAB83-B4B9-4176-A1C9-25A7F79AC40B}"/>
            </a:ext>
          </a:extLst>
        </xdr:cNvPr>
        <xdr:cNvSpPr>
          <a:spLocks noChangeShapeType="1"/>
        </xdr:cNvSpPr>
      </xdr:nvSpPr>
      <xdr:spPr bwMode="auto">
        <a:xfrm flipV="1">
          <a:off x="4724400" y="32480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24</xdr:row>
      <xdr:rowOff>68580</xdr:rowOff>
    </xdr:from>
    <xdr:to>
      <xdr:col>8</xdr:col>
      <xdr:colOff>7620</xdr:colOff>
      <xdr:row>25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8A437DDA-0974-48AB-A783-ECE977892F70}"/>
            </a:ext>
          </a:extLst>
        </xdr:cNvPr>
        <xdr:cNvSpPr>
          <a:spLocks noChangeShapeType="1"/>
        </xdr:cNvSpPr>
      </xdr:nvSpPr>
      <xdr:spPr bwMode="auto">
        <a:xfrm flipV="1">
          <a:off x="4724400" y="42862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25</xdr:row>
      <xdr:rowOff>91440</xdr:rowOff>
    </xdr:from>
    <xdr:to>
      <xdr:col>8</xdr:col>
      <xdr:colOff>0</xdr:colOff>
      <xdr:row>26</xdr:row>
      <xdr:rowOff>83820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8DA15DE-5E74-453B-B041-B6DA12C46D6E}"/>
            </a:ext>
          </a:extLst>
        </xdr:cNvPr>
        <xdr:cNvSpPr>
          <a:spLocks noChangeShapeType="1"/>
        </xdr:cNvSpPr>
      </xdr:nvSpPr>
      <xdr:spPr bwMode="auto">
        <a:xfrm>
          <a:off x="4724400" y="44862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480060</xdr:colOff>
      <xdr:row>23</xdr:row>
      <xdr:rowOff>76200</xdr:rowOff>
    </xdr:from>
    <xdr:to>
      <xdr:col>8</xdr:col>
      <xdr:colOff>22860</xdr:colOff>
      <xdr:row>24</xdr:row>
      <xdr:rowOff>68580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34EF422E-4BD4-43D4-BF28-BAB4CDEF7A4D}"/>
            </a:ext>
          </a:extLst>
        </xdr:cNvPr>
        <xdr:cNvSpPr>
          <a:spLocks noChangeShapeType="1"/>
        </xdr:cNvSpPr>
      </xdr:nvSpPr>
      <xdr:spPr bwMode="auto">
        <a:xfrm>
          <a:off x="4572000" y="4124325"/>
          <a:ext cx="7810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23</xdr:row>
      <xdr:rowOff>83820</xdr:rowOff>
    </xdr:from>
    <xdr:to>
      <xdr:col>6</xdr:col>
      <xdr:colOff>15240</xdr:colOff>
      <xdr:row>24</xdr:row>
      <xdr:rowOff>60960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5FA3C536-8F0E-43D4-A4A5-2E1032D13AD3}"/>
            </a:ext>
          </a:extLst>
        </xdr:cNvPr>
        <xdr:cNvSpPr>
          <a:spLocks noChangeShapeType="1"/>
        </xdr:cNvSpPr>
      </xdr:nvSpPr>
      <xdr:spPr bwMode="auto">
        <a:xfrm flipV="1">
          <a:off x="3486150" y="4133850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24</xdr:row>
      <xdr:rowOff>60960</xdr:rowOff>
    </xdr:from>
    <xdr:to>
      <xdr:col>6</xdr:col>
      <xdr:colOff>0</xdr:colOff>
      <xdr:row>25</xdr:row>
      <xdr:rowOff>68580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38B364D0-A418-4EAE-82C2-D472C1110985}"/>
            </a:ext>
          </a:extLst>
        </xdr:cNvPr>
        <xdr:cNvSpPr>
          <a:spLocks noChangeShapeType="1"/>
        </xdr:cNvSpPr>
      </xdr:nvSpPr>
      <xdr:spPr bwMode="auto">
        <a:xfrm>
          <a:off x="3495675" y="42767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68580</xdr:rowOff>
    </xdr:from>
    <xdr:to>
      <xdr:col>7</xdr:col>
      <xdr:colOff>487680</xdr:colOff>
      <xdr:row>23</xdr:row>
      <xdr:rowOff>76200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54DDD90E-D601-4DDC-AE41-2A52F6912AB2}"/>
            </a:ext>
          </a:extLst>
        </xdr:cNvPr>
        <xdr:cNvSpPr>
          <a:spLocks noChangeShapeType="1"/>
        </xdr:cNvSpPr>
      </xdr:nvSpPr>
      <xdr:spPr bwMode="auto">
        <a:xfrm flipV="1">
          <a:off x="4705350" y="3943350"/>
          <a:ext cx="4857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24</xdr:row>
      <xdr:rowOff>68580</xdr:rowOff>
    </xdr:from>
    <xdr:to>
      <xdr:col>8</xdr:col>
      <xdr:colOff>7620</xdr:colOff>
      <xdr:row>25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6CF8ED92-F1E7-4517-9698-9AC8F56CADB0}"/>
            </a:ext>
          </a:extLst>
        </xdr:cNvPr>
        <xdr:cNvSpPr>
          <a:spLocks noChangeShapeType="1"/>
        </xdr:cNvSpPr>
      </xdr:nvSpPr>
      <xdr:spPr bwMode="auto">
        <a:xfrm flipV="1">
          <a:off x="4724400" y="42862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32</xdr:row>
      <xdr:rowOff>60960</xdr:rowOff>
    </xdr:from>
    <xdr:to>
      <xdr:col>2</xdr:col>
      <xdr:colOff>0</xdr:colOff>
      <xdr:row>33</xdr:row>
      <xdr:rowOff>68580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6CAFFBCB-66A4-42A0-9DEA-5F7A0028A6E8}"/>
            </a:ext>
          </a:extLst>
        </xdr:cNvPr>
        <xdr:cNvSpPr>
          <a:spLocks noChangeShapeType="1"/>
        </xdr:cNvSpPr>
      </xdr:nvSpPr>
      <xdr:spPr bwMode="auto">
        <a:xfrm flipV="1">
          <a:off x="1028700" y="56483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33</xdr:row>
      <xdr:rowOff>76200</xdr:rowOff>
    </xdr:from>
    <xdr:to>
      <xdr:col>2</xdr:col>
      <xdr:colOff>7620</xdr:colOff>
      <xdr:row>34</xdr:row>
      <xdr:rowOff>68580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2AECA2ED-D4C5-4DC9-AC5F-036BB5F3AAE7}"/>
            </a:ext>
          </a:extLst>
        </xdr:cNvPr>
        <xdr:cNvSpPr>
          <a:spLocks noChangeShapeType="1"/>
        </xdr:cNvSpPr>
      </xdr:nvSpPr>
      <xdr:spPr bwMode="auto">
        <a:xfrm>
          <a:off x="1028700" y="58388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33</xdr:row>
      <xdr:rowOff>68580</xdr:rowOff>
    </xdr:from>
    <xdr:to>
      <xdr:col>4</xdr:col>
      <xdr:colOff>7620</xdr:colOff>
      <xdr:row>34</xdr:row>
      <xdr:rowOff>76200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2AD3DA30-B003-45A0-9600-E3458B4F8AA0}"/>
            </a:ext>
          </a:extLst>
        </xdr:cNvPr>
        <xdr:cNvSpPr>
          <a:spLocks noChangeShapeType="1"/>
        </xdr:cNvSpPr>
      </xdr:nvSpPr>
      <xdr:spPr bwMode="auto">
        <a:xfrm flipV="1">
          <a:off x="2266950" y="58293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34</xdr:row>
      <xdr:rowOff>91440</xdr:rowOff>
    </xdr:from>
    <xdr:to>
      <xdr:col>4</xdr:col>
      <xdr:colOff>0</xdr:colOff>
      <xdr:row>35</xdr:row>
      <xdr:rowOff>83820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371BAD24-F5AE-4926-95E8-B17B9ACF6240}"/>
            </a:ext>
          </a:extLst>
        </xdr:cNvPr>
        <xdr:cNvSpPr>
          <a:spLocks noChangeShapeType="1"/>
        </xdr:cNvSpPr>
      </xdr:nvSpPr>
      <xdr:spPr bwMode="auto">
        <a:xfrm>
          <a:off x="2266950" y="60293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32</xdr:row>
      <xdr:rowOff>60960</xdr:rowOff>
    </xdr:from>
    <xdr:to>
      <xdr:col>4</xdr:col>
      <xdr:colOff>7620</xdr:colOff>
      <xdr:row>33</xdr:row>
      <xdr:rowOff>60960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EE3CD788-0874-4279-8F43-CBEE155DED14}"/>
            </a:ext>
          </a:extLst>
        </xdr:cNvPr>
        <xdr:cNvSpPr>
          <a:spLocks noChangeShapeType="1"/>
        </xdr:cNvSpPr>
      </xdr:nvSpPr>
      <xdr:spPr bwMode="auto">
        <a:xfrm>
          <a:off x="2247900" y="56483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31</xdr:row>
      <xdr:rowOff>53340</xdr:rowOff>
    </xdr:from>
    <xdr:to>
      <xdr:col>4</xdr:col>
      <xdr:colOff>7620</xdr:colOff>
      <xdr:row>32</xdr:row>
      <xdr:rowOff>53340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680FC0D3-6932-49CF-A6C5-45971F127849}"/>
            </a:ext>
          </a:extLst>
        </xdr:cNvPr>
        <xdr:cNvSpPr>
          <a:spLocks noChangeShapeType="1"/>
        </xdr:cNvSpPr>
      </xdr:nvSpPr>
      <xdr:spPr bwMode="auto">
        <a:xfrm flipV="1">
          <a:off x="2266950" y="54768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32</xdr:row>
      <xdr:rowOff>68580</xdr:rowOff>
    </xdr:from>
    <xdr:to>
      <xdr:col>6</xdr:col>
      <xdr:colOff>7620</xdr:colOff>
      <xdr:row>33</xdr:row>
      <xdr:rowOff>76200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DCB701A1-3DC0-4DAE-A62F-97591E1E7585}"/>
            </a:ext>
          </a:extLst>
        </xdr:cNvPr>
        <xdr:cNvSpPr>
          <a:spLocks noChangeShapeType="1"/>
        </xdr:cNvSpPr>
      </xdr:nvSpPr>
      <xdr:spPr bwMode="auto">
        <a:xfrm flipV="1">
          <a:off x="3505200" y="56578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33</xdr:row>
      <xdr:rowOff>91440</xdr:rowOff>
    </xdr:from>
    <xdr:to>
      <xdr:col>6</xdr:col>
      <xdr:colOff>0</xdr:colOff>
      <xdr:row>34</xdr:row>
      <xdr:rowOff>83820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54BB3BD9-2A64-4616-AAD8-3E0E0F0030A8}"/>
            </a:ext>
          </a:extLst>
        </xdr:cNvPr>
        <xdr:cNvSpPr>
          <a:spLocks noChangeShapeType="1"/>
        </xdr:cNvSpPr>
      </xdr:nvSpPr>
      <xdr:spPr bwMode="auto">
        <a:xfrm>
          <a:off x="3505200" y="585787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31</xdr:row>
      <xdr:rowOff>60960</xdr:rowOff>
    </xdr:from>
    <xdr:to>
      <xdr:col>6</xdr:col>
      <xdr:colOff>7620</xdr:colOff>
      <xdr:row>32</xdr:row>
      <xdr:rowOff>60960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2EF294B3-080D-4E44-9A4E-8E26AFA42EFC}"/>
            </a:ext>
          </a:extLst>
        </xdr:cNvPr>
        <xdr:cNvSpPr>
          <a:spLocks noChangeShapeType="1"/>
        </xdr:cNvSpPr>
      </xdr:nvSpPr>
      <xdr:spPr bwMode="auto">
        <a:xfrm>
          <a:off x="3486150" y="54768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30</xdr:row>
      <xdr:rowOff>53340</xdr:rowOff>
    </xdr:from>
    <xdr:to>
      <xdr:col>6</xdr:col>
      <xdr:colOff>7620</xdr:colOff>
      <xdr:row>31</xdr:row>
      <xdr:rowOff>53340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91609F59-6EB5-462B-A17B-B95ED6C4570A}"/>
            </a:ext>
          </a:extLst>
        </xdr:cNvPr>
        <xdr:cNvSpPr>
          <a:spLocks noChangeShapeType="1"/>
        </xdr:cNvSpPr>
      </xdr:nvSpPr>
      <xdr:spPr bwMode="auto">
        <a:xfrm flipV="1">
          <a:off x="3505200" y="530542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31</xdr:row>
      <xdr:rowOff>68580</xdr:rowOff>
    </xdr:from>
    <xdr:to>
      <xdr:col>8</xdr:col>
      <xdr:colOff>7620</xdr:colOff>
      <xdr:row>32</xdr:row>
      <xdr:rowOff>76200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62983A58-B58C-4293-90B5-E38E7AD24B1C}"/>
            </a:ext>
          </a:extLst>
        </xdr:cNvPr>
        <xdr:cNvSpPr>
          <a:spLocks noChangeShapeType="1"/>
        </xdr:cNvSpPr>
      </xdr:nvSpPr>
      <xdr:spPr bwMode="auto">
        <a:xfrm flipV="1">
          <a:off x="4724400" y="54864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32</xdr:row>
      <xdr:rowOff>91440</xdr:rowOff>
    </xdr:from>
    <xdr:to>
      <xdr:col>8</xdr:col>
      <xdr:colOff>0</xdr:colOff>
      <xdr:row>33</xdr:row>
      <xdr:rowOff>83820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87E776BA-3935-43E6-BDFA-305C57C50939}"/>
            </a:ext>
          </a:extLst>
        </xdr:cNvPr>
        <xdr:cNvSpPr>
          <a:spLocks noChangeShapeType="1"/>
        </xdr:cNvSpPr>
      </xdr:nvSpPr>
      <xdr:spPr bwMode="auto">
        <a:xfrm>
          <a:off x="4724400" y="56864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30</xdr:row>
      <xdr:rowOff>60960</xdr:rowOff>
    </xdr:from>
    <xdr:to>
      <xdr:col>8</xdr:col>
      <xdr:colOff>7620</xdr:colOff>
      <xdr:row>31</xdr:row>
      <xdr:rowOff>60960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1FA79CD4-9241-4E91-A72A-B25B212CFD0C}"/>
            </a:ext>
          </a:extLst>
        </xdr:cNvPr>
        <xdr:cNvSpPr>
          <a:spLocks noChangeShapeType="1"/>
        </xdr:cNvSpPr>
      </xdr:nvSpPr>
      <xdr:spPr bwMode="auto">
        <a:xfrm>
          <a:off x="4705350" y="53054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29</xdr:row>
      <xdr:rowOff>53340</xdr:rowOff>
    </xdr:from>
    <xdr:to>
      <xdr:col>8</xdr:col>
      <xdr:colOff>7620</xdr:colOff>
      <xdr:row>30</xdr:row>
      <xdr:rowOff>53340</xdr:rowOff>
    </xdr:to>
    <xdr:sp macro="" textlink="">
      <xdr:nvSpPr>
        <xdr:cNvPr id="56" name="Line 55">
          <a:extLst>
            <a:ext uri="{FF2B5EF4-FFF2-40B4-BE49-F238E27FC236}">
              <a16:creationId xmlns:a16="http://schemas.microsoft.com/office/drawing/2014/main" id="{1064E1F6-BF97-41E1-9F94-B4143669BFF3}"/>
            </a:ext>
          </a:extLst>
        </xdr:cNvPr>
        <xdr:cNvSpPr>
          <a:spLocks noChangeShapeType="1"/>
        </xdr:cNvSpPr>
      </xdr:nvSpPr>
      <xdr:spPr bwMode="auto">
        <a:xfrm flipV="1">
          <a:off x="4724400" y="51339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35</xdr:row>
      <xdr:rowOff>68580</xdr:rowOff>
    </xdr:from>
    <xdr:to>
      <xdr:col>8</xdr:col>
      <xdr:colOff>7620</xdr:colOff>
      <xdr:row>36</xdr:row>
      <xdr:rowOff>76200</xdr:rowOff>
    </xdr:to>
    <xdr:sp macro="" textlink="">
      <xdr:nvSpPr>
        <xdr:cNvPr id="57" name="Line 56">
          <a:extLst>
            <a:ext uri="{FF2B5EF4-FFF2-40B4-BE49-F238E27FC236}">
              <a16:creationId xmlns:a16="http://schemas.microsoft.com/office/drawing/2014/main" id="{D92E1758-BDEA-458C-8CCD-EF6BF9CBD41C}"/>
            </a:ext>
          </a:extLst>
        </xdr:cNvPr>
        <xdr:cNvSpPr>
          <a:spLocks noChangeShapeType="1"/>
        </xdr:cNvSpPr>
      </xdr:nvSpPr>
      <xdr:spPr bwMode="auto">
        <a:xfrm flipV="1">
          <a:off x="4724400" y="61722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36</xdr:row>
      <xdr:rowOff>91440</xdr:rowOff>
    </xdr:from>
    <xdr:to>
      <xdr:col>8</xdr:col>
      <xdr:colOff>0</xdr:colOff>
      <xdr:row>37</xdr:row>
      <xdr:rowOff>83820</xdr:rowOff>
    </xdr:to>
    <xdr:sp macro="" textlink="">
      <xdr:nvSpPr>
        <xdr:cNvPr id="58" name="Line 57">
          <a:extLst>
            <a:ext uri="{FF2B5EF4-FFF2-40B4-BE49-F238E27FC236}">
              <a16:creationId xmlns:a16="http://schemas.microsoft.com/office/drawing/2014/main" id="{1606F09D-8EF6-4CA1-8772-B03EC62847FB}"/>
            </a:ext>
          </a:extLst>
        </xdr:cNvPr>
        <xdr:cNvSpPr>
          <a:spLocks noChangeShapeType="1"/>
        </xdr:cNvSpPr>
      </xdr:nvSpPr>
      <xdr:spPr bwMode="auto">
        <a:xfrm>
          <a:off x="4724400" y="63722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34</xdr:row>
      <xdr:rowOff>60960</xdr:rowOff>
    </xdr:from>
    <xdr:to>
      <xdr:col>8</xdr:col>
      <xdr:colOff>7620</xdr:colOff>
      <xdr:row>35</xdr:row>
      <xdr:rowOff>60960</xdr:rowOff>
    </xdr:to>
    <xdr:sp macro="" textlink="">
      <xdr:nvSpPr>
        <xdr:cNvPr id="59" name="Line 58">
          <a:extLst>
            <a:ext uri="{FF2B5EF4-FFF2-40B4-BE49-F238E27FC236}">
              <a16:creationId xmlns:a16="http://schemas.microsoft.com/office/drawing/2014/main" id="{39681032-768A-4BD8-9F16-897900E3BD03}"/>
            </a:ext>
          </a:extLst>
        </xdr:cNvPr>
        <xdr:cNvSpPr>
          <a:spLocks noChangeShapeType="1"/>
        </xdr:cNvSpPr>
      </xdr:nvSpPr>
      <xdr:spPr bwMode="auto">
        <a:xfrm>
          <a:off x="4705350" y="59912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34</xdr:row>
      <xdr:rowOff>83820</xdr:rowOff>
    </xdr:from>
    <xdr:to>
      <xdr:col>6</xdr:col>
      <xdr:colOff>15240</xdr:colOff>
      <xdr:row>35</xdr:row>
      <xdr:rowOff>60960</xdr:rowOff>
    </xdr:to>
    <xdr:sp macro="" textlink="">
      <xdr:nvSpPr>
        <xdr:cNvPr id="60" name="Line 59">
          <a:extLst>
            <a:ext uri="{FF2B5EF4-FFF2-40B4-BE49-F238E27FC236}">
              <a16:creationId xmlns:a16="http://schemas.microsoft.com/office/drawing/2014/main" id="{A1271B9A-5604-4B78-A9E7-BF17CBA5F15D}"/>
            </a:ext>
          </a:extLst>
        </xdr:cNvPr>
        <xdr:cNvSpPr>
          <a:spLocks noChangeShapeType="1"/>
        </xdr:cNvSpPr>
      </xdr:nvSpPr>
      <xdr:spPr bwMode="auto">
        <a:xfrm flipV="1">
          <a:off x="3486150" y="6019800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35</xdr:row>
      <xdr:rowOff>60960</xdr:rowOff>
    </xdr:from>
    <xdr:to>
      <xdr:col>6</xdr:col>
      <xdr:colOff>0</xdr:colOff>
      <xdr:row>36</xdr:row>
      <xdr:rowOff>68580</xdr:rowOff>
    </xdr:to>
    <xdr:sp macro="" textlink="">
      <xdr:nvSpPr>
        <xdr:cNvPr id="61" name="Line 60">
          <a:extLst>
            <a:ext uri="{FF2B5EF4-FFF2-40B4-BE49-F238E27FC236}">
              <a16:creationId xmlns:a16="http://schemas.microsoft.com/office/drawing/2014/main" id="{06A45DD7-D10B-420D-BFFE-2FF9E5737427}"/>
            </a:ext>
          </a:extLst>
        </xdr:cNvPr>
        <xdr:cNvSpPr>
          <a:spLocks noChangeShapeType="1"/>
        </xdr:cNvSpPr>
      </xdr:nvSpPr>
      <xdr:spPr bwMode="auto">
        <a:xfrm>
          <a:off x="3495675" y="61626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33</xdr:row>
      <xdr:rowOff>68580</xdr:rowOff>
    </xdr:from>
    <xdr:to>
      <xdr:col>8</xdr:col>
      <xdr:colOff>7620</xdr:colOff>
      <xdr:row>34</xdr:row>
      <xdr:rowOff>76200</xdr:rowOff>
    </xdr:to>
    <xdr:sp macro="" textlink="">
      <xdr:nvSpPr>
        <xdr:cNvPr id="62" name="Line 61">
          <a:extLst>
            <a:ext uri="{FF2B5EF4-FFF2-40B4-BE49-F238E27FC236}">
              <a16:creationId xmlns:a16="http://schemas.microsoft.com/office/drawing/2014/main" id="{2769C7D6-9F95-4219-AC6F-C72E0E0A2E93}"/>
            </a:ext>
          </a:extLst>
        </xdr:cNvPr>
        <xdr:cNvSpPr>
          <a:spLocks noChangeShapeType="1"/>
        </xdr:cNvSpPr>
      </xdr:nvSpPr>
      <xdr:spPr bwMode="auto">
        <a:xfrm flipV="1">
          <a:off x="4724400" y="58293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35</xdr:row>
      <xdr:rowOff>68580</xdr:rowOff>
    </xdr:from>
    <xdr:to>
      <xdr:col>8</xdr:col>
      <xdr:colOff>7620</xdr:colOff>
      <xdr:row>36</xdr:row>
      <xdr:rowOff>76200</xdr:rowOff>
    </xdr:to>
    <xdr:sp macro="" textlink="">
      <xdr:nvSpPr>
        <xdr:cNvPr id="63" name="Line 62">
          <a:extLst>
            <a:ext uri="{FF2B5EF4-FFF2-40B4-BE49-F238E27FC236}">
              <a16:creationId xmlns:a16="http://schemas.microsoft.com/office/drawing/2014/main" id="{838E1815-4062-443E-9A9F-4D0683DDA414}"/>
            </a:ext>
          </a:extLst>
        </xdr:cNvPr>
        <xdr:cNvSpPr>
          <a:spLocks noChangeShapeType="1"/>
        </xdr:cNvSpPr>
      </xdr:nvSpPr>
      <xdr:spPr bwMode="auto">
        <a:xfrm flipV="1">
          <a:off x="4724400" y="61722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34</xdr:row>
      <xdr:rowOff>60960</xdr:rowOff>
    </xdr:from>
    <xdr:to>
      <xdr:col>8</xdr:col>
      <xdr:colOff>7620</xdr:colOff>
      <xdr:row>35</xdr:row>
      <xdr:rowOff>60960</xdr:rowOff>
    </xdr:to>
    <xdr:sp macro="" textlink="">
      <xdr:nvSpPr>
        <xdr:cNvPr id="64" name="Line 63">
          <a:extLst>
            <a:ext uri="{FF2B5EF4-FFF2-40B4-BE49-F238E27FC236}">
              <a16:creationId xmlns:a16="http://schemas.microsoft.com/office/drawing/2014/main" id="{DA699546-019F-442F-8958-A7EE4048E58D}"/>
            </a:ext>
          </a:extLst>
        </xdr:cNvPr>
        <xdr:cNvSpPr>
          <a:spLocks noChangeShapeType="1"/>
        </xdr:cNvSpPr>
      </xdr:nvSpPr>
      <xdr:spPr bwMode="auto">
        <a:xfrm>
          <a:off x="4705350" y="59912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31</xdr:row>
      <xdr:rowOff>53340</xdr:rowOff>
    </xdr:from>
    <xdr:to>
      <xdr:col>4</xdr:col>
      <xdr:colOff>7620</xdr:colOff>
      <xdr:row>32</xdr:row>
      <xdr:rowOff>53340</xdr:rowOff>
    </xdr:to>
    <xdr:sp macro="" textlink="">
      <xdr:nvSpPr>
        <xdr:cNvPr id="65" name="Line 64">
          <a:extLst>
            <a:ext uri="{FF2B5EF4-FFF2-40B4-BE49-F238E27FC236}">
              <a16:creationId xmlns:a16="http://schemas.microsoft.com/office/drawing/2014/main" id="{63AF663E-58F6-402F-A007-71CC10320E02}"/>
            </a:ext>
          </a:extLst>
        </xdr:cNvPr>
        <xdr:cNvSpPr>
          <a:spLocks noChangeShapeType="1"/>
        </xdr:cNvSpPr>
      </xdr:nvSpPr>
      <xdr:spPr bwMode="auto">
        <a:xfrm flipV="1">
          <a:off x="2266950" y="54768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1B9D-C6CD-46AF-803E-ADFF8941C9CE}">
  <sheetPr>
    <pageSetUpPr fitToPage="1"/>
  </sheetPr>
  <dimension ref="A1:H22"/>
  <sheetViews>
    <sheetView tabSelected="1" zoomScale="160" zoomScaleNormal="160" workbookViewId="0">
      <selection activeCell="C13" sqref="C13"/>
    </sheetView>
  </sheetViews>
  <sheetFormatPr defaultRowHeight="13.8" x14ac:dyDescent="0.25"/>
  <cols>
    <col min="1" max="1" width="21" style="2" bestFit="1" customWidth="1"/>
    <col min="2" max="3" width="14.109375" style="2" customWidth="1"/>
    <col min="4" max="4" width="14.109375" style="4" customWidth="1"/>
    <col min="5" max="7" width="14.109375" style="2" customWidth="1"/>
    <col min="8" max="8" width="22.77734375" style="4" customWidth="1"/>
  </cols>
  <sheetData>
    <row r="1" spans="1:8" ht="17.399999999999999" x14ac:dyDescent="0.25">
      <c r="A1" s="12" t="s">
        <v>17</v>
      </c>
      <c r="B1" s="13"/>
      <c r="C1" s="13"/>
      <c r="D1" s="13"/>
      <c r="E1" s="13"/>
      <c r="F1" s="13"/>
      <c r="G1" s="13"/>
      <c r="H1" s="13"/>
    </row>
    <row r="2" spans="1:8" x14ac:dyDescent="0.25">
      <c r="A2" s="2" t="s">
        <v>18</v>
      </c>
      <c r="B2" s="14">
        <v>1.1000000000000001</v>
      </c>
      <c r="D2" s="2"/>
      <c r="E2" s="4"/>
    </row>
    <row r="3" spans="1:8" x14ac:dyDescent="0.25">
      <c r="A3" s="2" t="s">
        <v>19</v>
      </c>
      <c r="B3" s="14">
        <v>0.97</v>
      </c>
      <c r="D3" s="15" t="s">
        <v>20</v>
      </c>
    </row>
    <row r="4" spans="1:8" ht="15.6" x14ac:dyDescent="0.35">
      <c r="A4" s="2" t="s">
        <v>21</v>
      </c>
      <c r="B4" s="14">
        <v>1.06</v>
      </c>
      <c r="D4" s="2" t="s">
        <v>22</v>
      </c>
      <c r="E4" s="6">
        <f>(B4-B3)/(B4*(B2-B3))</f>
        <v>0.65312046444121918</v>
      </c>
      <c r="F4" s="2" t="str">
        <f ca="1">[1]!getformula(E4)</f>
        <v>&lt;--  =(B4-B3)/(B4*(B2-B3))</v>
      </c>
    </row>
    <row r="5" spans="1:8" ht="15.6" x14ac:dyDescent="0.35">
      <c r="A5" s="2" t="s">
        <v>23</v>
      </c>
      <c r="B5" s="14">
        <v>50</v>
      </c>
      <c r="D5" s="2" t="s">
        <v>24</v>
      </c>
      <c r="E5" s="6">
        <f>(B2-B4)/(B4*(B2-B3))</f>
        <v>0.29027576197387517</v>
      </c>
      <c r="F5" s="2" t="str">
        <f ca="1">[1]!getformula(E5)</f>
        <v>&lt;--  =(B2-B4)/(B4*(B2-B3))</v>
      </c>
    </row>
    <row r="6" spans="1:8" x14ac:dyDescent="0.25">
      <c r="A6" s="2" t="s">
        <v>25</v>
      </c>
      <c r="B6" s="14">
        <v>50</v>
      </c>
      <c r="D6" s="2"/>
      <c r="E6" s="4"/>
    </row>
    <row r="7" spans="1:8" x14ac:dyDescent="0.25">
      <c r="D7" s="2"/>
      <c r="E7" s="4"/>
      <c r="H7" s="2"/>
    </row>
    <row r="8" spans="1:8" x14ac:dyDescent="0.25">
      <c r="D8" s="2"/>
      <c r="E8" s="4"/>
      <c r="H8" s="2"/>
    </row>
    <row r="9" spans="1:8" ht="57.6" x14ac:dyDescent="0.25">
      <c r="A9" s="16" t="s">
        <v>26</v>
      </c>
      <c r="B9" s="16" t="s">
        <v>27</v>
      </c>
      <c r="C9" s="16" t="s">
        <v>28</v>
      </c>
      <c r="D9" s="16" t="s">
        <v>29</v>
      </c>
      <c r="E9" s="17" t="s">
        <v>30</v>
      </c>
      <c r="F9" s="16" t="s">
        <v>31</v>
      </c>
      <c r="G9" s="16" t="s">
        <v>32</v>
      </c>
      <c r="H9" s="18"/>
    </row>
    <row r="10" spans="1:8" x14ac:dyDescent="0.25">
      <c r="A10" s="19">
        <v>4</v>
      </c>
      <c r="B10" s="19">
        <f>4-A10</f>
        <v>0</v>
      </c>
      <c r="C10" s="20">
        <f>$B$5*$B$2^A10*$B$3^B10</f>
        <v>73.205000000000027</v>
      </c>
      <c r="D10" s="21">
        <f>MAX(C10-$B$6,0)</f>
        <v>23.205000000000027</v>
      </c>
      <c r="E10" s="20">
        <f>$E$4^A10*$E$5^B10</f>
        <v>0.18195884333548037</v>
      </c>
      <c r="F10" s="22">
        <f>COMBIN(4,B10)</f>
        <v>1</v>
      </c>
      <c r="G10" s="20">
        <f>D10*E10*F10</f>
        <v>4.2223549595998273</v>
      </c>
      <c r="H10" s="4" t="str">
        <f ca="1">_xlfn.FORMULATEXT(G10)</f>
        <v>=D10*E10*F10</v>
      </c>
    </row>
    <row r="11" spans="1:8" x14ac:dyDescent="0.25">
      <c r="A11" s="23">
        <v>3</v>
      </c>
      <c r="B11" s="23">
        <f>4-A11</f>
        <v>1</v>
      </c>
      <c r="C11" s="24">
        <f>$B$5*$B$2^A11*$B$3^B11</f>
        <v>64.553500000000028</v>
      </c>
      <c r="D11" s="25">
        <f>MAX(C11-$B$6,0)</f>
        <v>14.553500000000028</v>
      </c>
      <c r="E11" s="24">
        <f>$E$4^A11*$E$5^B11</f>
        <v>8.0870597037991265E-2</v>
      </c>
      <c r="F11" s="26">
        <f>COMBIN(4,B11)</f>
        <v>4</v>
      </c>
      <c r="G11" s="24">
        <f>D11*E11*F11</f>
        <v>4.7078009359696322</v>
      </c>
      <c r="H11" s="4" t="str">
        <f ca="1">_xlfn.FORMULATEXT(F11)</f>
        <v>=COMBIN(4,B11)</v>
      </c>
    </row>
    <row r="12" spans="1:8" x14ac:dyDescent="0.25">
      <c r="A12" s="19">
        <v>2</v>
      </c>
      <c r="B12" s="19">
        <f>4-A12</f>
        <v>2</v>
      </c>
      <c r="C12" s="20">
        <f>$B$5*$B$2^A12*$B$3^B12</f>
        <v>56.924450000000007</v>
      </c>
      <c r="D12" s="21">
        <f>MAX(C12-$B$6,0)</f>
        <v>6.9244500000000073</v>
      </c>
      <c r="E12" s="20">
        <f>$E$4^A12*$E$5^B12</f>
        <v>3.5942487572440562E-2</v>
      </c>
      <c r="F12" s="22">
        <f>COMBIN(4,B12)</f>
        <v>6</v>
      </c>
      <c r="G12" s="20">
        <f>D12*E12*F12</f>
        <v>1.4932917484259178</v>
      </c>
    </row>
    <row r="13" spans="1:8" x14ac:dyDescent="0.25">
      <c r="A13" s="19">
        <v>1</v>
      </c>
      <c r="B13" s="19">
        <f>4-A13</f>
        <v>3</v>
      </c>
      <c r="C13" s="20">
        <f>$B$5*$B$2^A13*$B$3^B13</f>
        <v>50.197015000000007</v>
      </c>
      <c r="D13" s="21">
        <f>MAX(C13-$B$6,0)</f>
        <v>0.19701500000000749</v>
      </c>
      <c r="E13" s="20">
        <f>$E$4^A13*$E$5^B13</f>
        <v>1.5974438921084692E-2</v>
      </c>
      <c r="F13" s="22">
        <f>COMBIN(4,B13)</f>
        <v>4</v>
      </c>
      <c r="G13" s="20">
        <f>D13*E13*F13</f>
        <v>1.258881633615048E-2</v>
      </c>
    </row>
    <row r="14" spans="1:8" x14ac:dyDescent="0.25">
      <c r="A14" s="19">
        <v>0</v>
      </c>
      <c r="B14" s="19">
        <f>4-A14</f>
        <v>4</v>
      </c>
      <c r="C14" s="20">
        <f>$B$5*$B$2^A14*$B$3^B14</f>
        <v>44.264640499999999</v>
      </c>
      <c r="D14" s="21">
        <f>MAX(C14-$B$6,0)</f>
        <v>0</v>
      </c>
      <c r="E14" s="20">
        <f>$E$4^A14*$E$5^B14</f>
        <v>7.0997506315931954E-3</v>
      </c>
      <c r="F14" s="22">
        <f>COMBIN(4,B14)</f>
        <v>1</v>
      </c>
      <c r="G14" s="20">
        <f>D14*E14*F14</f>
        <v>0</v>
      </c>
    </row>
    <row r="15" spans="1:8" x14ac:dyDescent="0.25">
      <c r="A15" s="6"/>
      <c r="B15" s="8"/>
      <c r="C15" s="19"/>
      <c r="D15" s="19"/>
      <c r="F15" s="27" t="s">
        <v>11</v>
      </c>
      <c r="G15" s="24">
        <f>SUM(G10:G14)</f>
        <v>10.436036460331527</v>
      </c>
      <c r="H15" s="4" t="str">
        <f ca="1">[1]!getformula(G15)</f>
        <v>&lt;--  =SUM(G10:G14)</v>
      </c>
    </row>
    <row r="16" spans="1:8" x14ac:dyDescent="0.25">
      <c r="A16" s="6"/>
      <c r="B16" s="8"/>
      <c r="C16" s="19"/>
      <c r="D16" s="19"/>
      <c r="F16" s="27" t="s">
        <v>33</v>
      </c>
      <c r="G16" s="24">
        <f>G15+B6/B4^4-B5</f>
        <v>4.0719622232550989E-2</v>
      </c>
      <c r="H16" s="4" t="str">
        <f ca="1">[1]!getformula(G16)</f>
        <v>&lt;--  =G15+B6/B4^4-B5</v>
      </c>
    </row>
    <row r="17" spans="1:7" x14ac:dyDescent="0.25">
      <c r="B17" s="19"/>
      <c r="C17" s="19"/>
      <c r="D17" s="19"/>
      <c r="E17" s="8"/>
      <c r="F17" s="19"/>
      <c r="G17" s="6"/>
    </row>
    <row r="18" spans="1:7" x14ac:dyDescent="0.25">
      <c r="A18" s="9" t="s">
        <v>34</v>
      </c>
      <c r="B18" s="8"/>
      <c r="C18" s="19"/>
      <c r="D18" s="19"/>
      <c r="E18" s="8"/>
      <c r="F18" s="19"/>
      <c r="G18" s="6"/>
    </row>
    <row r="19" spans="1:7" x14ac:dyDescent="0.25">
      <c r="A19" s="6" t="s">
        <v>35</v>
      </c>
      <c r="B19" s="19"/>
      <c r="C19" s="19"/>
      <c r="D19" s="19"/>
      <c r="E19" s="8"/>
      <c r="F19" s="19"/>
      <c r="G19" s="6"/>
    </row>
    <row r="20" spans="1:7" x14ac:dyDescent="0.25">
      <c r="A20" s="6" t="str">
        <f>"The put price in cell "&amp;CHAR(COLUMN(G16)+64)&amp;ROW(G16)&amp;" is computed using put-call parity:  put = call + PV(X) - stock "</f>
        <v xml:space="preserve">The put price in cell G16 is computed using put-call parity:  put = call + PV(X) - stock </v>
      </c>
      <c r="B20" s="8"/>
      <c r="C20" s="19"/>
      <c r="D20" s="19"/>
      <c r="E20" s="8"/>
      <c r="F20" s="19"/>
      <c r="G20" s="6"/>
    </row>
    <row r="21" spans="1:7" x14ac:dyDescent="0.25">
      <c r="B21" s="19"/>
      <c r="C21" s="19"/>
      <c r="D21" s="2"/>
      <c r="F21" s="6"/>
    </row>
    <row r="22" spans="1:7" x14ac:dyDescent="0.25">
      <c r="B22" s="19"/>
      <c r="C22" s="19"/>
      <c r="D22" s="2"/>
      <c r="E22" s="15"/>
      <c r="G22" s="6"/>
    </row>
  </sheetData>
  <mergeCells count="1">
    <mergeCell ref="A1:H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40"/>
  <sheetViews>
    <sheetView workbookViewId="0">
      <selection activeCell="L17" sqref="L17"/>
    </sheetView>
  </sheetViews>
  <sheetFormatPr defaultRowHeight="13.8" x14ac:dyDescent="0.25"/>
  <cols>
    <col min="1" max="1" width="15" style="2" customWidth="1"/>
    <col min="2" max="3" width="8.88671875" style="2"/>
    <col min="4" max="4" width="9.109375" style="4" customWidth="1"/>
    <col min="5" max="7" width="8.88671875" style="2"/>
    <col min="8" max="8" width="9.109375" style="4" customWidth="1"/>
    <col min="9" max="9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3">
        <v>0.1</v>
      </c>
    </row>
    <row r="3" spans="1:9" x14ac:dyDescent="0.25">
      <c r="A3" s="2" t="s">
        <v>2</v>
      </c>
      <c r="B3" s="3">
        <v>-0.03</v>
      </c>
      <c r="E3" s="2" t="s">
        <v>3</v>
      </c>
    </row>
    <row r="4" spans="1:9" ht="15.6" x14ac:dyDescent="0.35">
      <c r="E4" s="2" t="s">
        <v>4</v>
      </c>
      <c r="F4" s="5">
        <f>(B6-B3)/((1+B6)*(B2-B3))</f>
        <v>0.65312046444121907</v>
      </c>
      <c r="G4" s="2" t="e">
        <f ca="1">getformula(F4)</f>
        <v>#NAME?</v>
      </c>
    </row>
    <row r="5" spans="1:9" ht="15.6" x14ac:dyDescent="0.35">
      <c r="A5" s="2" t="s">
        <v>5</v>
      </c>
      <c r="B5" s="2">
        <v>50</v>
      </c>
      <c r="E5" s="2" t="s">
        <v>6</v>
      </c>
      <c r="F5" s="5">
        <f>(B2-B6)/((1+B6)*(B2-B3))</f>
        <v>0.29027576197387522</v>
      </c>
      <c r="G5" s="2" t="e">
        <f ca="1">getformula(F5)</f>
        <v>#NAME?</v>
      </c>
    </row>
    <row r="6" spans="1:9" x14ac:dyDescent="0.25">
      <c r="A6" s="2" t="s">
        <v>7</v>
      </c>
      <c r="B6" s="3">
        <v>0.06</v>
      </c>
    </row>
    <row r="7" spans="1:9" x14ac:dyDescent="0.25">
      <c r="A7" s="2" t="s">
        <v>8</v>
      </c>
      <c r="B7" s="2">
        <v>50</v>
      </c>
    </row>
    <row r="9" spans="1:9" x14ac:dyDescent="0.25">
      <c r="A9" s="6"/>
      <c r="B9" s="6"/>
      <c r="C9" s="6"/>
      <c r="D9" s="7"/>
      <c r="E9" s="6"/>
      <c r="F9" s="6"/>
      <c r="G9" s="6"/>
      <c r="H9" s="7"/>
      <c r="I9" s="8">
        <f>G10*(1+B2)</f>
        <v>73.205000000000013</v>
      </c>
    </row>
    <row r="10" spans="1:9" x14ac:dyDescent="0.25">
      <c r="A10" s="6"/>
      <c r="B10" s="9" t="s">
        <v>9</v>
      </c>
      <c r="C10" s="6"/>
      <c r="D10" s="6"/>
      <c r="E10" s="6"/>
      <c r="F10" s="9"/>
      <c r="G10" s="8">
        <f>E11*(1+B2)</f>
        <v>66.550000000000011</v>
      </c>
      <c r="H10" s="7"/>
      <c r="I10" s="6"/>
    </row>
    <row r="11" spans="1:9" x14ac:dyDescent="0.25">
      <c r="A11" s="6"/>
      <c r="B11" s="6"/>
      <c r="C11" s="7"/>
      <c r="D11" s="6"/>
      <c r="E11" s="8">
        <f>B5*(1+B2)^2</f>
        <v>60.500000000000007</v>
      </c>
      <c r="F11" s="6"/>
      <c r="G11" s="6"/>
      <c r="H11" s="7"/>
      <c r="I11" s="10">
        <f>G10*(1+$B$3)</f>
        <v>64.553500000000014</v>
      </c>
    </row>
    <row r="12" spans="1:9" x14ac:dyDescent="0.25">
      <c r="A12" s="6"/>
      <c r="B12" s="6"/>
      <c r="C12" s="8">
        <f>$A$13*(1+B2)</f>
        <v>55.000000000000007</v>
      </c>
      <c r="D12" s="6"/>
      <c r="E12" s="11"/>
      <c r="F12" s="6"/>
      <c r="G12" s="8">
        <f>E11*(1+B3)</f>
        <v>58.685000000000002</v>
      </c>
      <c r="H12" s="7"/>
      <c r="I12" s="11"/>
    </row>
    <row r="13" spans="1:9" x14ac:dyDescent="0.25">
      <c r="A13" s="6">
        <f>B5</f>
        <v>50</v>
      </c>
      <c r="B13" s="6"/>
      <c r="C13" s="7"/>
      <c r="D13" s="6"/>
      <c r="E13" s="8">
        <f>B5*(1+B2)*(1+B3)</f>
        <v>53.350000000000009</v>
      </c>
      <c r="F13" s="6"/>
      <c r="G13" s="6"/>
      <c r="H13" s="7"/>
      <c r="I13" s="10">
        <f>G12*(1+$B$3)</f>
        <v>56.92445</v>
      </c>
    </row>
    <row r="14" spans="1:9" x14ac:dyDescent="0.25">
      <c r="A14" s="6"/>
      <c r="B14" s="6"/>
      <c r="C14" s="8">
        <f>$A$13*(1+B3)</f>
        <v>48.5</v>
      </c>
      <c r="D14" s="6"/>
      <c r="E14" s="11"/>
      <c r="F14" s="6"/>
      <c r="G14" s="8">
        <f>E13*(1+B3)</f>
        <v>51.749500000000005</v>
      </c>
      <c r="H14" s="7"/>
      <c r="I14" s="11"/>
    </row>
    <row r="15" spans="1:9" x14ac:dyDescent="0.25">
      <c r="A15" s="6"/>
      <c r="B15" s="6"/>
      <c r="C15" s="6"/>
      <c r="D15" s="6"/>
      <c r="E15" s="8">
        <f>B5*(1+B3)^2</f>
        <v>47.044999999999995</v>
      </c>
      <c r="F15" s="6"/>
      <c r="G15" s="6"/>
      <c r="H15" s="7"/>
      <c r="I15" s="10">
        <f>G14*(1+$B$3)</f>
        <v>50.197015</v>
      </c>
    </row>
    <row r="16" spans="1:9" x14ac:dyDescent="0.25">
      <c r="A16" s="6"/>
      <c r="B16" s="6"/>
      <c r="C16" s="6"/>
      <c r="D16" s="7"/>
      <c r="E16" s="6"/>
      <c r="F16" s="6"/>
      <c r="G16" s="8">
        <f>E15*(1+B3)</f>
        <v>45.633649999999996</v>
      </c>
      <c r="H16" s="7"/>
      <c r="I16" s="6"/>
    </row>
    <row r="17" spans="1:9" x14ac:dyDescent="0.25">
      <c r="A17" s="6"/>
      <c r="B17" s="9"/>
      <c r="C17" s="6"/>
      <c r="D17" s="7"/>
      <c r="E17" s="6"/>
      <c r="F17" s="6"/>
      <c r="G17" s="6"/>
      <c r="H17" s="7"/>
      <c r="I17" s="10">
        <f>G16*(1+$B$3)</f>
        <v>44.264640499999992</v>
      </c>
    </row>
    <row r="18" spans="1:9" x14ac:dyDescent="0.25">
      <c r="A18" s="6"/>
      <c r="B18" s="6"/>
      <c r="C18" s="7"/>
      <c r="D18" s="11"/>
      <c r="E18" s="6"/>
      <c r="F18" s="6"/>
      <c r="G18" s="6"/>
      <c r="H18" s="7"/>
      <c r="I18" s="6"/>
    </row>
    <row r="19" spans="1:9" x14ac:dyDescent="0.25">
      <c r="A19" s="6"/>
      <c r="B19" s="6"/>
      <c r="C19" s="6"/>
      <c r="D19" s="7"/>
      <c r="E19" s="6"/>
      <c r="F19" s="6"/>
      <c r="G19" s="6"/>
      <c r="H19" s="7"/>
      <c r="I19" s="8">
        <f>G20*(1+$B$6)</f>
        <v>1.2624769600000003</v>
      </c>
    </row>
    <row r="20" spans="1:9" x14ac:dyDescent="0.25">
      <c r="A20" s="6"/>
      <c r="B20" s="9" t="s">
        <v>10</v>
      </c>
      <c r="C20" s="6"/>
      <c r="D20" s="6"/>
      <c r="E20" s="6"/>
      <c r="F20" s="9"/>
      <c r="G20" s="8">
        <f>E21*(1+$B$6)</f>
        <v>1.1910160000000003</v>
      </c>
      <c r="H20" s="7"/>
      <c r="I20" s="6"/>
    </row>
    <row r="21" spans="1:9" x14ac:dyDescent="0.25">
      <c r="A21" s="6"/>
      <c r="B21" s="6"/>
      <c r="C21" s="7"/>
      <c r="D21" s="6"/>
      <c r="E21" s="8">
        <f>C22*(1+$B$6)</f>
        <v>1.1236000000000002</v>
      </c>
      <c r="F21" s="6"/>
      <c r="G21" s="6"/>
      <c r="H21" s="7"/>
      <c r="I21" s="8">
        <f>G22*(1+$B$6)</f>
        <v>1.2624769600000003</v>
      </c>
    </row>
    <row r="22" spans="1:9" x14ac:dyDescent="0.25">
      <c r="A22" s="6"/>
      <c r="B22" s="6"/>
      <c r="C22" s="8">
        <f>A23*(1+$B$6)</f>
        <v>1.06</v>
      </c>
      <c r="D22" s="6"/>
      <c r="E22" s="11"/>
      <c r="F22" s="6"/>
      <c r="G22" s="8">
        <f>E23*(1+$B$6)</f>
        <v>1.1910160000000003</v>
      </c>
      <c r="H22" s="7"/>
      <c r="I22" s="11"/>
    </row>
    <row r="23" spans="1:9" x14ac:dyDescent="0.25">
      <c r="A23" s="6">
        <v>1</v>
      </c>
      <c r="B23" s="6"/>
      <c r="C23" s="7"/>
      <c r="D23" s="6"/>
      <c r="E23" s="8">
        <f>C22*(1+$B$6)</f>
        <v>1.1236000000000002</v>
      </c>
      <c r="F23" s="6"/>
      <c r="G23" s="6"/>
      <c r="H23" s="7"/>
      <c r="I23" s="8">
        <f>G24*(1+$B$6)</f>
        <v>1.2624769600000003</v>
      </c>
    </row>
    <row r="24" spans="1:9" x14ac:dyDescent="0.25">
      <c r="A24" s="6"/>
      <c r="B24" s="6"/>
      <c r="C24" s="8">
        <f>A23*(1+$B$6)</f>
        <v>1.06</v>
      </c>
      <c r="D24" s="6"/>
      <c r="E24" s="11"/>
      <c r="F24" s="6"/>
      <c r="G24" s="8">
        <f>E25*(1+$B$6)</f>
        <v>1.1910160000000003</v>
      </c>
      <c r="H24" s="7"/>
      <c r="I24" s="11"/>
    </row>
    <row r="25" spans="1:9" x14ac:dyDescent="0.25">
      <c r="A25" s="6"/>
      <c r="B25" s="6"/>
      <c r="C25" s="6"/>
      <c r="D25" s="6"/>
      <c r="E25" s="8">
        <f>C24*(1+$B$6)</f>
        <v>1.1236000000000002</v>
      </c>
      <c r="F25" s="6"/>
      <c r="G25" s="6"/>
      <c r="H25" s="7"/>
      <c r="I25" s="8">
        <f>G26*(1+$B$6)</f>
        <v>1.2624769600000003</v>
      </c>
    </row>
    <row r="26" spans="1:9" x14ac:dyDescent="0.25">
      <c r="A26" s="6"/>
      <c r="B26" s="6"/>
      <c r="C26" s="6"/>
      <c r="D26" s="7"/>
      <c r="E26" s="6"/>
      <c r="F26" s="6"/>
      <c r="G26" s="8">
        <f>E25*(1+B6)</f>
        <v>1.1910160000000003</v>
      </c>
      <c r="H26" s="7"/>
      <c r="I26" s="6"/>
    </row>
    <row r="27" spans="1:9" x14ac:dyDescent="0.25">
      <c r="A27" s="6"/>
      <c r="B27" s="9"/>
      <c r="C27" s="6"/>
      <c r="D27" s="7"/>
      <c r="E27" s="6"/>
      <c r="F27" s="6"/>
      <c r="G27" s="6"/>
      <c r="H27" s="7"/>
      <c r="I27" s="8">
        <f>G26*(1+$B$6)</f>
        <v>1.2624769600000003</v>
      </c>
    </row>
    <row r="28" spans="1:9" x14ac:dyDescent="0.25">
      <c r="A28" s="6"/>
      <c r="B28" s="9"/>
      <c r="C28" s="6"/>
      <c r="D28" s="7"/>
      <c r="E28" s="6"/>
      <c r="F28" s="6"/>
      <c r="G28" s="6"/>
      <c r="H28" s="7"/>
      <c r="I28" s="8"/>
    </row>
    <row r="29" spans="1:9" x14ac:dyDescent="0.25">
      <c r="A29" s="6"/>
      <c r="B29" s="6"/>
      <c r="C29" s="6"/>
      <c r="D29" s="7"/>
      <c r="E29" s="6"/>
      <c r="F29" s="6"/>
      <c r="G29" s="6"/>
      <c r="H29" s="7"/>
      <c r="I29" s="6"/>
    </row>
    <row r="30" spans="1:9" x14ac:dyDescent="0.25">
      <c r="A30" s="6"/>
      <c r="B30" s="6"/>
      <c r="C30" s="6"/>
      <c r="D30" s="7"/>
      <c r="E30" s="6"/>
      <c r="F30" s="6"/>
      <c r="G30" s="6"/>
      <c r="H30" s="7"/>
      <c r="I30" s="7">
        <f>MAX(I9-$B$7,0)</f>
        <v>23.205000000000013</v>
      </c>
    </row>
    <row r="31" spans="1:9" x14ac:dyDescent="0.25">
      <c r="A31" s="6"/>
      <c r="B31" s="9" t="s">
        <v>11</v>
      </c>
      <c r="C31" s="6"/>
      <c r="D31" s="6"/>
      <c r="E31" s="6"/>
      <c r="F31" s="9"/>
      <c r="G31" s="8">
        <f>$F$4*I30+$F$5*I32</f>
        <v>19.380188679245293</v>
      </c>
      <c r="H31" s="7"/>
      <c r="I31" s="6"/>
    </row>
    <row r="32" spans="1:9" x14ac:dyDescent="0.25">
      <c r="A32" s="6"/>
      <c r="B32" s="6"/>
      <c r="C32" s="7"/>
      <c r="D32" s="6"/>
      <c r="E32" s="8">
        <f>$F$4*G31+$F$5*G33</f>
        <v>16.00017799928801</v>
      </c>
      <c r="F32" s="6"/>
      <c r="G32" s="8"/>
      <c r="H32" s="7"/>
      <c r="I32" s="7">
        <f>MAX(I11-$B$7,0)</f>
        <v>14.553500000000014</v>
      </c>
    </row>
    <row r="33" spans="1:9" x14ac:dyDescent="0.25">
      <c r="A33" s="6"/>
      <c r="B33" s="6"/>
      <c r="C33" s="8">
        <f>$F$4*E32+$F$5*E34</f>
        <v>13.019035848384913</v>
      </c>
      <c r="D33" s="6"/>
      <c r="E33" s="8"/>
      <c r="F33" s="6"/>
      <c r="G33" s="8">
        <f>$F$4*I32+$F$5*I34</f>
        <v>11.515188679245291</v>
      </c>
      <c r="H33" s="7"/>
      <c r="I33" s="11"/>
    </row>
    <row r="34" spans="1:9" x14ac:dyDescent="0.25">
      <c r="A34" s="11">
        <f>$F$4*C33+$F$5*C35</f>
        <v>10.436036460331513</v>
      </c>
      <c r="B34" s="6"/>
      <c r="C34" s="8"/>
      <c r="D34" s="6"/>
      <c r="E34" s="8">
        <f>$F$4*G33+$F$5*G35</f>
        <v>8.8501779992880074</v>
      </c>
      <c r="F34" s="6"/>
      <c r="G34" s="8"/>
      <c r="H34" s="7"/>
      <c r="I34" s="7">
        <f>MAX(I13-$B$7,0)</f>
        <v>6.9244500000000002</v>
      </c>
    </row>
    <row r="35" spans="1:9" x14ac:dyDescent="0.25">
      <c r="A35" s="6"/>
      <c r="B35" s="6"/>
      <c r="C35" s="8">
        <f>$F$4*E34+$F$5*E36</f>
        <v>6.6593149469760071</v>
      </c>
      <c r="D35" s="6"/>
      <c r="E35" s="8"/>
      <c r="F35" s="6"/>
      <c r="G35" s="8">
        <f>$F$4*I34+$F$5*I36</f>
        <v>4.5796886792452831</v>
      </c>
      <c r="H35" s="7"/>
      <c r="I35" s="11"/>
    </row>
    <row r="36" spans="1:9" x14ac:dyDescent="0.25">
      <c r="A36" s="6"/>
      <c r="B36" s="6"/>
      <c r="C36" s="6"/>
      <c r="D36" s="6"/>
      <c r="E36" s="8">
        <f>$F$4*G35+$F$5*G37</f>
        <v>3.0284394939343318</v>
      </c>
      <c r="F36" s="6"/>
      <c r="G36" s="8"/>
      <c r="H36" s="7"/>
      <c r="I36" s="7">
        <f>MAX(I15-$B$7,0)</f>
        <v>0.19701500000000038</v>
      </c>
    </row>
    <row r="37" spans="1:9" x14ac:dyDescent="0.25">
      <c r="A37" s="6"/>
      <c r="B37" s="6"/>
      <c r="C37" s="6"/>
      <c r="D37" s="7"/>
      <c r="E37" s="6"/>
      <c r="F37" s="6"/>
      <c r="G37" s="8">
        <f>$F$4*I36+$F$5*I38</f>
        <v>0.12867452830188703</v>
      </c>
      <c r="H37" s="7"/>
      <c r="I37" s="6"/>
    </row>
    <row r="38" spans="1:9" x14ac:dyDescent="0.25">
      <c r="A38" s="6"/>
      <c r="B38" s="9"/>
      <c r="C38" s="6"/>
      <c r="D38" s="7"/>
      <c r="E38" s="6"/>
      <c r="F38" s="6"/>
      <c r="G38" s="6"/>
      <c r="H38" s="7"/>
      <c r="I38" s="7">
        <f>MAX(I17-$B$7,0)</f>
        <v>0</v>
      </c>
    </row>
    <row r="40" spans="1:9" x14ac:dyDescent="0.25">
      <c r="A40" s="11" t="s">
        <v>12</v>
      </c>
      <c r="B40" s="9"/>
      <c r="C40" s="8" t="s">
        <v>13</v>
      </c>
      <c r="D40" s="8"/>
      <c r="E40" s="8" t="s">
        <v>14</v>
      </c>
      <c r="F40" s="8"/>
      <c r="G40" s="8" t="s">
        <v>15</v>
      </c>
      <c r="H40" s="8"/>
      <c r="I40" s="8" t="s">
        <v>16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Sheet2</vt:lpstr>
      <vt:lpstr>Sheet1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2024-11-20T06:16:32Z</cp:lastPrinted>
  <dcterms:created xsi:type="dcterms:W3CDTF">2024-10-05T13:27:14Z</dcterms:created>
  <dcterms:modified xsi:type="dcterms:W3CDTF">2024-11-20T06:16:45Z</dcterms:modified>
</cp:coreProperties>
</file>