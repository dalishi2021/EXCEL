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practice\"/>
    </mc:Choice>
  </mc:AlternateContent>
  <xr:revisionPtr revIDLastSave="0" documentId="13_ncr:1_{6D21684E-629F-495D-96BE-FCA63DF722F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B19" i="1"/>
  <c r="D20" i="1" s="1"/>
  <c r="F21" i="1" s="1"/>
  <c r="H22" i="1" s="1"/>
  <c r="B10" i="1"/>
  <c r="B9" i="1"/>
  <c r="E62" i="1"/>
  <c r="F5" i="1" l="1"/>
  <c r="H61" i="1"/>
  <c r="H48" i="1"/>
  <c r="H32" i="1"/>
  <c r="D18" i="1"/>
  <c r="B13" i="1"/>
  <c r="B14" i="1"/>
  <c r="F19" i="1" l="1"/>
  <c r="H20" i="1" s="1"/>
  <c r="F17" i="1"/>
  <c r="H18" i="1" l="1"/>
  <c r="H16" i="1"/>
  <c r="F52" i="1"/>
  <c r="H46" i="1"/>
  <c r="H59" i="1"/>
  <c r="F60" i="1" s="1"/>
  <c r="H30" i="1"/>
  <c r="F39" i="1" l="1"/>
  <c r="F31" i="1"/>
  <c r="H42" i="1"/>
  <c r="H26" i="1"/>
  <c r="H55" i="1"/>
  <c r="H28" i="1"/>
  <c r="H44" i="1"/>
  <c r="H57" i="1"/>
  <c r="F58" i="1" l="1"/>
  <c r="E63" i="1"/>
  <c r="F29" i="1"/>
  <c r="F37" i="1"/>
  <c r="F27" i="1"/>
  <c r="F35" i="1"/>
  <c r="F56" i="1"/>
  <c r="F53" i="1"/>
  <c r="D36" i="1" l="1"/>
  <c r="D28" i="1"/>
  <c r="D38" i="1"/>
  <c r="D30" i="1"/>
  <c r="B29" i="1" l="1"/>
</calcChain>
</file>

<file path=xl/sharedStrings.xml><?xml version="1.0" encoding="utf-8"?>
<sst xmlns="http://schemas.openxmlformats.org/spreadsheetml/2006/main" count="28" uniqueCount="23">
  <si>
    <t>TIME-DEPENDENT EXERCISE PRICES</t>
  </si>
  <si>
    <t>Initial stock price</t>
  </si>
  <si>
    <t>Exercise prices</t>
  </si>
  <si>
    <t>Up</t>
  </si>
  <si>
    <t>Date 1</t>
  </si>
  <si>
    <t>Down</t>
  </si>
  <si>
    <t>Date 2</t>
  </si>
  <si>
    <t>Interest rate</t>
  </si>
  <si>
    <t>Date 3</t>
  </si>
  <si>
    <t>State prices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</si>
  <si>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</si>
  <si>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</si>
  <si>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Check</t>
  </si>
  <si>
    <r>
      <t>1/(q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)</t>
    </r>
  </si>
  <si>
    <r>
      <t>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*Up+q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*Down</t>
    </r>
  </si>
  <si>
    <t>Stock price</t>
  </si>
  <si>
    <t>Date 0</t>
  </si>
  <si>
    <t>Value at each node</t>
  </si>
  <si>
    <t>Early exercise?</t>
  </si>
  <si>
    <t>Illustration--Date 3 payoffs</t>
  </si>
  <si>
    <t>exercise</t>
  </si>
  <si>
    <t>PV</t>
  </si>
  <si>
    <t>Illustration--Date 2 &amp; 3 market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</si>
</sst>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4" fillId="0" borderId="0" xfId="0" applyFont="1" applyAlignment="1">
      <alignment horizontal="centerContinuous"/>
    </xf>
    <xf numFmtId="0" fontId="4" fillId="0" borderId="0" xfId="0" applyFont="1" applyAlignment="1"/>
    <xf numFmtId="2" fontId="0" fillId="0" borderId="0" xfId="0" applyNumberFormat="1" applyAlignment="1"/>
    <xf numFmtId="176" fontId="0" fillId="0" borderId="0" xfId="0" applyNumberFormat="1" applyAlignme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 applyAlignment="1"/>
    <xf numFmtId="0" fontId="0" fillId="0" borderId="1" xfId="0" applyBorder="1" applyAlignment="1"/>
    <xf numFmtId="177" fontId="0" fillId="0" borderId="2" xfId="0" applyNumberFormat="1" applyBorder="1" applyAlignment="1"/>
    <xf numFmtId="0" fontId="0" fillId="0" borderId="3" xfId="0" applyBorder="1" applyAlignment="1"/>
    <xf numFmtId="177" fontId="0" fillId="0" borderId="4" xfId="0" applyNumberFormat="1" applyBorder="1" applyAlignment="1"/>
    <xf numFmtId="177" fontId="2" fillId="0" borderId="2" xfId="0" applyNumberFormat="1" applyFont="1" applyBorder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16</xdr:row>
      <xdr:rowOff>53340</xdr:rowOff>
    </xdr:from>
    <xdr:to>
      <xdr:col>5</xdr:col>
      <xdr:colOff>7620</xdr:colOff>
      <xdr:row>17</xdr:row>
      <xdr:rowOff>60960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E6BFDF9A-2CDB-4040-B62F-1FC941696EDD}"/>
            </a:ext>
          </a:extLst>
        </xdr:cNvPr>
        <xdr:cNvSpPr>
          <a:spLocks noChangeShapeType="1"/>
        </xdr:cNvSpPr>
      </xdr:nvSpPr>
      <xdr:spPr bwMode="auto">
        <a:xfrm flipV="1">
          <a:off x="3429000" y="2943225"/>
          <a:ext cx="619125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17</xdr:row>
      <xdr:rowOff>76200</xdr:rowOff>
    </xdr:from>
    <xdr:to>
      <xdr:col>5</xdr:col>
      <xdr:colOff>7620</xdr:colOff>
      <xdr:row>18</xdr:row>
      <xdr:rowOff>53340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F5B29BF-DF3A-41B4-9AB0-C3EF9E3F7F06}"/>
            </a:ext>
          </a:extLst>
        </xdr:cNvPr>
        <xdr:cNvSpPr>
          <a:spLocks noChangeShapeType="1"/>
        </xdr:cNvSpPr>
      </xdr:nvSpPr>
      <xdr:spPr bwMode="auto">
        <a:xfrm>
          <a:off x="3438525" y="313372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15</xdr:row>
      <xdr:rowOff>76200</xdr:rowOff>
    </xdr:from>
    <xdr:to>
      <xdr:col>7</xdr:col>
      <xdr:colOff>0</xdr:colOff>
      <xdr:row>16</xdr:row>
      <xdr:rowOff>53340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24FD669E-4C27-4B0A-ABCE-FE115EC531B0}"/>
            </a:ext>
          </a:extLst>
        </xdr:cNvPr>
        <xdr:cNvSpPr>
          <a:spLocks noChangeShapeType="1"/>
        </xdr:cNvSpPr>
      </xdr:nvSpPr>
      <xdr:spPr bwMode="auto">
        <a:xfrm flipV="1">
          <a:off x="4648200" y="279082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16</xdr:row>
      <xdr:rowOff>68580</xdr:rowOff>
    </xdr:from>
    <xdr:to>
      <xdr:col>7</xdr:col>
      <xdr:colOff>0</xdr:colOff>
      <xdr:row>17</xdr:row>
      <xdr:rowOff>53340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F4748678-7878-49BA-97EE-0C57D5466011}"/>
            </a:ext>
          </a:extLst>
        </xdr:cNvPr>
        <xdr:cNvSpPr>
          <a:spLocks noChangeShapeType="1"/>
        </xdr:cNvSpPr>
      </xdr:nvSpPr>
      <xdr:spPr bwMode="auto">
        <a:xfrm>
          <a:off x="4657725" y="2952750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17</xdr:row>
      <xdr:rowOff>60960</xdr:rowOff>
    </xdr:from>
    <xdr:to>
      <xdr:col>7</xdr:col>
      <xdr:colOff>0</xdr:colOff>
      <xdr:row>18</xdr:row>
      <xdr:rowOff>68580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E9465C55-BE4C-49F8-A3B5-01D312F5A0C4}"/>
            </a:ext>
          </a:extLst>
        </xdr:cNvPr>
        <xdr:cNvSpPr>
          <a:spLocks noChangeShapeType="1"/>
        </xdr:cNvSpPr>
      </xdr:nvSpPr>
      <xdr:spPr bwMode="auto">
        <a:xfrm flipH="1">
          <a:off x="4648200" y="3114675"/>
          <a:ext cx="60960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18</xdr:row>
      <xdr:rowOff>76200</xdr:rowOff>
    </xdr:from>
    <xdr:to>
      <xdr:col>7</xdr:col>
      <xdr:colOff>0</xdr:colOff>
      <xdr:row>19</xdr:row>
      <xdr:rowOff>60960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C21983A3-BA8D-49EA-9ECF-A754D061446E}"/>
            </a:ext>
          </a:extLst>
        </xdr:cNvPr>
        <xdr:cNvSpPr>
          <a:spLocks noChangeShapeType="1"/>
        </xdr:cNvSpPr>
      </xdr:nvSpPr>
      <xdr:spPr bwMode="auto">
        <a:xfrm>
          <a:off x="4648200" y="330517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19</xdr:row>
      <xdr:rowOff>68580</xdr:rowOff>
    </xdr:from>
    <xdr:to>
      <xdr:col>7</xdr:col>
      <xdr:colOff>0</xdr:colOff>
      <xdr:row>20</xdr:row>
      <xdr:rowOff>68580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A78FD487-660D-4762-B954-EE0D4600FC96}"/>
            </a:ext>
          </a:extLst>
        </xdr:cNvPr>
        <xdr:cNvSpPr>
          <a:spLocks noChangeShapeType="1"/>
        </xdr:cNvSpPr>
      </xdr:nvSpPr>
      <xdr:spPr bwMode="auto">
        <a:xfrm flipH="1">
          <a:off x="4648200" y="3467100"/>
          <a:ext cx="60960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</xdr:colOff>
      <xdr:row>20</xdr:row>
      <xdr:rowOff>68580</xdr:rowOff>
    </xdr:from>
    <xdr:to>
      <xdr:col>7</xdr:col>
      <xdr:colOff>7620</xdr:colOff>
      <xdr:row>21</xdr:row>
      <xdr:rowOff>76200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3669E8BE-F84D-4D52-8D99-E5534554E88B}"/>
            </a:ext>
          </a:extLst>
        </xdr:cNvPr>
        <xdr:cNvSpPr>
          <a:spLocks noChangeShapeType="1"/>
        </xdr:cNvSpPr>
      </xdr:nvSpPr>
      <xdr:spPr bwMode="auto">
        <a:xfrm>
          <a:off x="4667250" y="3638550"/>
          <a:ext cx="600075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17</xdr:row>
      <xdr:rowOff>68580</xdr:rowOff>
    </xdr:from>
    <xdr:to>
      <xdr:col>3</xdr:col>
      <xdr:colOff>0</xdr:colOff>
      <xdr:row>18</xdr:row>
      <xdr:rowOff>68580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5DD84640-5BE0-4826-8CA1-9A8C8E275373}"/>
            </a:ext>
          </a:extLst>
        </xdr:cNvPr>
        <xdr:cNvSpPr>
          <a:spLocks noChangeShapeType="1"/>
        </xdr:cNvSpPr>
      </xdr:nvSpPr>
      <xdr:spPr bwMode="auto">
        <a:xfrm flipH="1">
          <a:off x="2076450" y="3124200"/>
          <a:ext cx="7429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472440</xdr:colOff>
      <xdr:row>18</xdr:row>
      <xdr:rowOff>76200</xdr:rowOff>
    </xdr:from>
    <xdr:to>
      <xdr:col>3</xdr:col>
      <xdr:colOff>0</xdr:colOff>
      <xdr:row>19</xdr:row>
      <xdr:rowOff>83820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BAC8EC99-4355-451B-A262-EB283635CFC0}"/>
            </a:ext>
          </a:extLst>
        </xdr:cNvPr>
        <xdr:cNvSpPr>
          <a:spLocks noChangeShapeType="1"/>
        </xdr:cNvSpPr>
      </xdr:nvSpPr>
      <xdr:spPr bwMode="auto">
        <a:xfrm>
          <a:off x="2076450" y="3305175"/>
          <a:ext cx="74295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26</xdr:row>
      <xdr:rowOff>53340</xdr:rowOff>
    </xdr:from>
    <xdr:to>
      <xdr:col>5</xdr:col>
      <xdr:colOff>7620</xdr:colOff>
      <xdr:row>27</xdr:row>
      <xdr:rowOff>60960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FF7139F5-C795-443C-848C-B96338F5C51D}"/>
            </a:ext>
          </a:extLst>
        </xdr:cNvPr>
        <xdr:cNvSpPr>
          <a:spLocks noChangeShapeType="1"/>
        </xdr:cNvSpPr>
      </xdr:nvSpPr>
      <xdr:spPr bwMode="auto">
        <a:xfrm flipV="1">
          <a:off x="3429000" y="4657725"/>
          <a:ext cx="619125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27</xdr:row>
      <xdr:rowOff>76200</xdr:rowOff>
    </xdr:from>
    <xdr:to>
      <xdr:col>5</xdr:col>
      <xdr:colOff>7620</xdr:colOff>
      <xdr:row>28</xdr:row>
      <xdr:rowOff>53340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ECFCB85F-F68D-4868-92BE-3442EBE8FDC4}"/>
            </a:ext>
          </a:extLst>
        </xdr:cNvPr>
        <xdr:cNvSpPr>
          <a:spLocks noChangeShapeType="1"/>
        </xdr:cNvSpPr>
      </xdr:nvSpPr>
      <xdr:spPr bwMode="auto">
        <a:xfrm>
          <a:off x="3438525" y="4848225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</xdr:colOff>
      <xdr:row>25</xdr:row>
      <xdr:rowOff>76200</xdr:rowOff>
    </xdr:from>
    <xdr:to>
      <xdr:col>7</xdr:col>
      <xdr:colOff>0</xdr:colOff>
      <xdr:row>26</xdr:row>
      <xdr:rowOff>53340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0CC77282-AF1E-41EE-AD67-4C312567B470}"/>
            </a:ext>
          </a:extLst>
        </xdr:cNvPr>
        <xdr:cNvSpPr>
          <a:spLocks noChangeShapeType="1"/>
        </xdr:cNvSpPr>
      </xdr:nvSpPr>
      <xdr:spPr bwMode="auto">
        <a:xfrm flipV="1">
          <a:off x="4667250" y="4505325"/>
          <a:ext cx="59055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26</xdr:row>
      <xdr:rowOff>68580</xdr:rowOff>
    </xdr:from>
    <xdr:to>
      <xdr:col>7</xdr:col>
      <xdr:colOff>0</xdr:colOff>
      <xdr:row>27</xdr:row>
      <xdr:rowOff>53340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76712185-A0DE-45CD-829B-BCF406442867}"/>
            </a:ext>
          </a:extLst>
        </xdr:cNvPr>
        <xdr:cNvSpPr>
          <a:spLocks noChangeShapeType="1"/>
        </xdr:cNvSpPr>
      </xdr:nvSpPr>
      <xdr:spPr bwMode="auto">
        <a:xfrm>
          <a:off x="4657725" y="4667250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27</xdr:row>
      <xdr:rowOff>60960</xdr:rowOff>
    </xdr:from>
    <xdr:to>
      <xdr:col>7</xdr:col>
      <xdr:colOff>0</xdr:colOff>
      <xdr:row>28</xdr:row>
      <xdr:rowOff>68580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15E91A01-F712-4CA2-9CC0-766B22A70E73}"/>
            </a:ext>
          </a:extLst>
        </xdr:cNvPr>
        <xdr:cNvSpPr>
          <a:spLocks noChangeShapeType="1"/>
        </xdr:cNvSpPr>
      </xdr:nvSpPr>
      <xdr:spPr bwMode="auto">
        <a:xfrm flipH="1">
          <a:off x="4648200" y="4829175"/>
          <a:ext cx="60960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7</xdr:col>
      <xdr:colOff>0</xdr:colOff>
      <xdr:row>29</xdr:row>
      <xdr:rowOff>60960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2C525622-F549-4D1E-8663-AF00398A669D}"/>
            </a:ext>
          </a:extLst>
        </xdr:cNvPr>
        <xdr:cNvSpPr>
          <a:spLocks noChangeShapeType="1"/>
        </xdr:cNvSpPr>
      </xdr:nvSpPr>
      <xdr:spPr bwMode="auto">
        <a:xfrm>
          <a:off x="4648200" y="501967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29</xdr:row>
      <xdr:rowOff>68580</xdr:rowOff>
    </xdr:from>
    <xdr:to>
      <xdr:col>7</xdr:col>
      <xdr:colOff>0</xdr:colOff>
      <xdr:row>30</xdr:row>
      <xdr:rowOff>68580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32642E94-06FB-4889-B552-7DA2C536FFC5}"/>
            </a:ext>
          </a:extLst>
        </xdr:cNvPr>
        <xdr:cNvSpPr>
          <a:spLocks noChangeShapeType="1"/>
        </xdr:cNvSpPr>
      </xdr:nvSpPr>
      <xdr:spPr bwMode="auto">
        <a:xfrm flipH="1">
          <a:off x="4648200" y="5181600"/>
          <a:ext cx="60960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27</xdr:row>
      <xdr:rowOff>68580</xdr:rowOff>
    </xdr:from>
    <xdr:to>
      <xdr:col>3</xdr:col>
      <xdr:colOff>0</xdr:colOff>
      <xdr:row>28</xdr:row>
      <xdr:rowOff>68580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8135CFE9-9368-4FFD-9C47-2C97E29497B9}"/>
            </a:ext>
          </a:extLst>
        </xdr:cNvPr>
        <xdr:cNvSpPr>
          <a:spLocks noChangeShapeType="1"/>
        </xdr:cNvSpPr>
      </xdr:nvSpPr>
      <xdr:spPr bwMode="auto">
        <a:xfrm flipH="1">
          <a:off x="2076450" y="4838700"/>
          <a:ext cx="7429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472440</xdr:colOff>
      <xdr:row>28</xdr:row>
      <xdr:rowOff>76200</xdr:rowOff>
    </xdr:from>
    <xdr:to>
      <xdr:col>3</xdr:col>
      <xdr:colOff>0</xdr:colOff>
      <xdr:row>29</xdr:row>
      <xdr:rowOff>83820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B573F871-5D9A-4F23-94FB-557856634D13}"/>
            </a:ext>
          </a:extLst>
        </xdr:cNvPr>
        <xdr:cNvSpPr>
          <a:spLocks noChangeShapeType="1"/>
        </xdr:cNvSpPr>
      </xdr:nvSpPr>
      <xdr:spPr bwMode="auto">
        <a:xfrm>
          <a:off x="2076450" y="5019675"/>
          <a:ext cx="74295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482</xdr:row>
      <xdr:rowOff>0</xdr:rowOff>
    </xdr:from>
    <xdr:to>
      <xdr:col>7</xdr:col>
      <xdr:colOff>7620</xdr:colOff>
      <xdr:row>482</xdr:row>
      <xdr:rowOff>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FC02701D-0B64-4537-BF5A-70D2E6FFF707}"/>
            </a:ext>
          </a:extLst>
        </xdr:cNvPr>
        <xdr:cNvSpPr>
          <a:spLocks noChangeShapeType="1"/>
        </xdr:cNvSpPr>
      </xdr:nvSpPr>
      <xdr:spPr bwMode="auto">
        <a:xfrm flipV="1">
          <a:off x="4648200" y="82772250"/>
          <a:ext cx="619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482</xdr:row>
      <xdr:rowOff>0</xdr:rowOff>
    </xdr:from>
    <xdr:to>
      <xdr:col>7</xdr:col>
      <xdr:colOff>7620</xdr:colOff>
      <xdr:row>482</xdr:row>
      <xdr:rowOff>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FC432BAE-CFCE-450D-B905-F7941CBC7360}"/>
            </a:ext>
          </a:extLst>
        </xdr:cNvPr>
        <xdr:cNvSpPr>
          <a:spLocks noChangeShapeType="1"/>
        </xdr:cNvSpPr>
      </xdr:nvSpPr>
      <xdr:spPr bwMode="auto">
        <a:xfrm>
          <a:off x="4657725" y="82772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482</xdr:row>
      <xdr:rowOff>0</xdr:rowOff>
    </xdr:from>
    <xdr:to>
      <xdr:col>9</xdr:col>
      <xdr:colOff>0</xdr:colOff>
      <xdr:row>482</xdr:row>
      <xdr:rowOff>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CC3CC011-7B80-4404-879C-73C2DC743E5C}"/>
            </a:ext>
          </a:extLst>
        </xdr:cNvPr>
        <xdr:cNvSpPr>
          <a:spLocks noChangeShapeType="1"/>
        </xdr:cNvSpPr>
      </xdr:nvSpPr>
      <xdr:spPr bwMode="auto">
        <a:xfrm flipV="1">
          <a:off x="5867400" y="82772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482</xdr:row>
      <xdr:rowOff>0</xdr:rowOff>
    </xdr:from>
    <xdr:to>
      <xdr:col>9</xdr:col>
      <xdr:colOff>0</xdr:colOff>
      <xdr:row>482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CC7C6BA9-B044-4078-A73A-B79F9A223270}"/>
            </a:ext>
          </a:extLst>
        </xdr:cNvPr>
        <xdr:cNvSpPr>
          <a:spLocks noChangeShapeType="1"/>
        </xdr:cNvSpPr>
      </xdr:nvSpPr>
      <xdr:spPr bwMode="auto">
        <a:xfrm>
          <a:off x="5876925" y="8277225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482</xdr:row>
      <xdr:rowOff>0</xdr:rowOff>
    </xdr:from>
    <xdr:to>
      <xdr:col>9</xdr:col>
      <xdr:colOff>0</xdr:colOff>
      <xdr:row>482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EDE5117D-605E-4F9D-8B5B-21670005EDB5}"/>
            </a:ext>
          </a:extLst>
        </xdr:cNvPr>
        <xdr:cNvSpPr>
          <a:spLocks noChangeShapeType="1"/>
        </xdr:cNvSpPr>
      </xdr:nvSpPr>
      <xdr:spPr bwMode="auto">
        <a:xfrm flipH="1">
          <a:off x="5867400" y="82772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482</xdr:row>
      <xdr:rowOff>0</xdr:rowOff>
    </xdr:from>
    <xdr:to>
      <xdr:col>9</xdr:col>
      <xdr:colOff>0</xdr:colOff>
      <xdr:row>482</xdr:row>
      <xdr:rowOff>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CAFA705D-0EC4-4929-A923-13095A7C3C4A}"/>
            </a:ext>
          </a:extLst>
        </xdr:cNvPr>
        <xdr:cNvSpPr>
          <a:spLocks noChangeShapeType="1"/>
        </xdr:cNvSpPr>
      </xdr:nvSpPr>
      <xdr:spPr bwMode="auto">
        <a:xfrm>
          <a:off x="5867400" y="82772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482</xdr:row>
      <xdr:rowOff>0</xdr:rowOff>
    </xdr:from>
    <xdr:to>
      <xdr:col>9</xdr:col>
      <xdr:colOff>0</xdr:colOff>
      <xdr:row>482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15CFA6BE-B79C-44D1-BCCC-E59EDD813C26}"/>
            </a:ext>
          </a:extLst>
        </xdr:cNvPr>
        <xdr:cNvSpPr>
          <a:spLocks noChangeShapeType="1"/>
        </xdr:cNvSpPr>
      </xdr:nvSpPr>
      <xdr:spPr bwMode="auto">
        <a:xfrm flipH="1">
          <a:off x="5867400" y="82772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482</xdr:row>
      <xdr:rowOff>0</xdr:rowOff>
    </xdr:from>
    <xdr:to>
      <xdr:col>9</xdr:col>
      <xdr:colOff>7620</xdr:colOff>
      <xdr:row>482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56E7E42A-5D6D-41BA-AEC4-994424ED5738}"/>
            </a:ext>
          </a:extLst>
        </xdr:cNvPr>
        <xdr:cNvSpPr>
          <a:spLocks noChangeShapeType="1"/>
        </xdr:cNvSpPr>
      </xdr:nvSpPr>
      <xdr:spPr bwMode="auto">
        <a:xfrm>
          <a:off x="5886450" y="8277225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480060</xdr:colOff>
      <xdr:row>482</xdr:row>
      <xdr:rowOff>0</xdr:rowOff>
    </xdr:from>
    <xdr:to>
      <xdr:col>5</xdr:col>
      <xdr:colOff>0</xdr:colOff>
      <xdr:row>482</xdr:row>
      <xdr:rowOff>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B60DF497-1E21-458E-B6F3-1321779AA7A8}"/>
            </a:ext>
          </a:extLst>
        </xdr:cNvPr>
        <xdr:cNvSpPr>
          <a:spLocks noChangeShapeType="1"/>
        </xdr:cNvSpPr>
      </xdr:nvSpPr>
      <xdr:spPr bwMode="auto">
        <a:xfrm flipH="1">
          <a:off x="3295650" y="82772250"/>
          <a:ext cx="7429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472440</xdr:colOff>
      <xdr:row>482</xdr:row>
      <xdr:rowOff>0</xdr:rowOff>
    </xdr:from>
    <xdr:to>
      <xdr:col>5</xdr:col>
      <xdr:colOff>0</xdr:colOff>
      <xdr:row>482</xdr:row>
      <xdr:rowOff>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5A73A0AA-9404-4D52-8B20-0FB1515DD923}"/>
            </a:ext>
          </a:extLst>
        </xdr:cNvPr>
        <xdr:cNvSpPr>
          <a:spLocks noChangeShapeType="1"/>
        </xdr:cNvSpPr>
      </xdr:nvSpPr>
      <xdr:spPr bwMode="auto">
        <a:xfrm>
          <a:off x="3295650" y="82772250"/>
          <a:ext cx="7429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482</xdr:row>
      <xdr:rowOff>0</xdr:rowOff>
    </xdr:from>
    <xdr:to>
      <xdr:col>7</xdr:col>
      <xdr:colOff>7620</xdr:colOff>
      <xdr:row>482</xdr:row>
      <xdr:rowOff>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B5B8171E-3335-4212-9F7E-A176BAA4A91C}"/>
            </a:ext>
          </a:extLst>
        </xdr:cNvPr>
        <xdr:cNvSpPr>
          <a:spLocks noChangeShapeType="1"/>
        </xdr:cNvSpPr>
      </xdr:nvSpPr>
      <xdr:spPr bwMode="auto">
        <a:xfrm flipV="1">
          <a:off x="4648200" y="82772250"/>
          <a:ext cx="619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482</xdr:row>
      <xdr:rowOff>0</xdr:rowOff>
    </xdr:from>
    <xdr:to>
      <xdr:col>7</xdr:col>
      <xdr:colOff>7620</xdr:colOff>
      <xdr:row>482</xdr:row>
      <xdr:rowOff>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8765E780-F5DD-4B1F-BC98-8E8FCB1A9C75}"/>
            </a:ext>
          </a:extLst>
        </xdr:cNvPr>
        <xdr:cNvSpPr>
          <a:spLocks noChangeShapeType="1"/>
        </xdr:cNvSpPr>
      </xdr:nvSpPr>
      <xdr:spPr bwMode="auto">
        <a:xfrm>
          <a:off x="4657725" y="82772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482</xdr:row>
      <xdr:rowOff>0</xdr:rowOff>
    </xdr:from>
    <xdr:to>
      <xdr:col>9</xdr:col>
      <xdr:colOff>0</xdr:colOff>
      <xdr:row>482</xdr:row>
      <xdr:rowOff>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DA6ED2E2-4B22-4AA7-9DC4-61CB34EDDD43}"/>
            </a:ext>
          </a:extLst>
        </xdr:cNvPr>
        <xdr:cNvSpPr>
          <a:spLocks noChangeShapeType="1"/>
        </xdr:cNvSpPr>
      </xdr:nvSpPr>
      <xdr:spPr bwMode="auto">
        <a:xfrm flipV="1">
          <a:off x="5867400" y="82772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482</xdr:row>
      <xdr:rowOff>0</xdr:rowOff>
    </xdr:from>
    <xdr:to>
      <xdr:col>9</xdr:col>
      <xdr:colOff>0</xdr:colOff>
      <xdr:row>482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75937C64-B08D-47FE-A7CD-50834B128176}"/>
            </a:ext>
          </a:extLst>
        </xdr:cNvPr>
        <xdr:cNvSpPr>
          <a:spLocks noChangeShapeType="1"/>
        </xdr:cNvSpPr>
      </xdr:nvSpPr>
      <xdr:spPr bwMode="auto">
        <a:xfrm>
          <a:off x="5876925" y="8277225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482</xdr:row>
      <xdr:rowOff>0</xdr:rowOff>
    </xdr:from>
    <xdr:to>
      <xdr:col>9</xdr:col>
      <xdr:colOff>0</xdr:colOff>
      <xdr:row>482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C9EE0FFF-236F-46DE-8968-A4D1319B87E2}"/>
            </a:ext>
          </a:extLst>
        </xdr:cNvPr>
        <xdr:cNvSpPr>
          <a:spLocks noChangeShapeType="1"/>
        </xdr:cNvSpPr>
      </xdr:nvSpPr>
      <xdr:spPr bwMode="auto">
        <a:xfrm flipH="1">
          <a:off x="5867400" y="82772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482</xdr:row>
      <xdr:rowOff>0</xdr:rowOff>
    </xdr:from>
    <xdr:to>
      <xdr:col>9</xdr:col>
      <xdr:colOff>0</xdr:colOff>
      <xdr:row>482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9ED06CAA-EE7C-4432-80FA-A4863D250127}"/>
            </a:ext>
          </a:extLst>
        </xdr:cNvPr>
        <xdr:cNvSpPr>
          <a:spLocks noChangeShapeType="1"/>
        </xdr:cNvSpPr>
      </xdr:nvSpPr>
      <xdr:spPr bwMode="auto">
        <a:xfrm>
          <a:off x="5867400" y="82772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482</xdr:row>
      <xdr:rowOff>0</xdr:rowOff>
    </xdr:from>
    <xdr:to>
      <xdr:col>9</xdr:col>
      <xdr:colOff>0</xdr:colOff>
      <xdr:row>482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184C393-2F1A-4646-A0D8-0A0778D17EEF}"/>
            </a:ext>
          </a:extLst>
        </xdr:cNvPr>
        <xdr:cNvSpPr>
          <a:spLocks noChangeShapeType="1"/>
        </xdr:cNvSpPr>
      </xdr:nvSpPr>
      <xdr:spPr bwMode="auto">
        <a:xfrm flipH="1">
          <a:off x="5867400" y="82772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482</xdr:row>
      <xdr:rowOff>0</xdr:rowOff>
    </xdr:from>
    <xdr:to>
      <xdr:col>9</xdr:col>
      <xdr:colOff>7620</xdr:colOff>
      <xdr:row>482</xdr:row>
      <xdr:rowOff>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8927C54B-8C2C-49EB-8090-998FA758B3D8}"/>
            </a:ext>
          </a:extLst>
        </xdr:cNvPr>
        <xdr:cNvSpPr>
          <a:spLocks noChangeShapeType="1"/>
        </xdr:cNvSpPr>
      </xdr:nvSpPr>
      <xdr:spPr bwMode="auto">
        <a:xfrm>
          <a:off x="5886450" y="8277225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480060</xdr:colOff>
      <xdr:row>482</xdr:row>
      <xdr:rowOff>0</xdr:rowOff>
    </xdr:from>
    <xdr:to>
      <xdr:col>5</xdr:col>
      <xdr:colOff>0</xdr:colOff>
      <xdr:row>482</xdr:row>
      <xdr:rowOff>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214D4865-BF4A-4536-9C39-7F62C146F4D4}"/>
            </a:ext>
          </a:extLst>
        </xdr:cNvPr>
        <xdr:cNvSpPr>
          <a:spLocks noChangeShapeType="1"/>
        </xdr:cNvSpPr>
      </xdr:nvSpPr>
      <xdr:spPr bwMode="auto">
        <a:xfrm flipH="1">
          <a:off x="3295650" y="82772250"/>
          <a:ext cx="7429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472440</xdr:colOff>
      <xdr:row>482</xdr:row>
      <xdr:rowOff>0</xdr:rowOff>
    </xdr:from>
    <xdr:to>
      <xdr:col>5</xdr:col>
      <xdr:colOff>0</xdr:colOff>
      <xdr:row>482</xdr:row>
      <xdr:rowOff>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8A74AA43-E679-4A01-80B7-C57ECE8B79BC}"/>
            </a:ext>
          </a:extLst>
        </xdr:cNvPr>
        <xdr:cNvSpPr>
          <a:spLocks noChangeShapeType="1"/>
        </xdr:cNvSpPr>
      </xdr:nvSpPr>
      <xdr:spPr bwMode="auto">
        <a:xfrm>
          <a:off x="3295650" y="82772250"/>
          <a:ext cx="7429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18</xdr:row>
      <xdr:rowOff>53340</xdr:rowOff>
    </xdr:from>
    <xdr:to>
      <xdr:col>5</xdr:col>
      <xdr:colOff>15240</xdr:colOff>
      <xdr:row>19</xdr:row>
      <xdr:rowOff>76200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257431D8-6B43-40FD-9C78-78CF5C2DE575}"/>
            </a:ext>
          </a:extLst>
        </xdr:cNvPr>
        <xdr:cNvSpPr>
          <a:spLocks noChangeShapeType="1"/>
        </xdr:cNvSpPr>
      </xdr:nvSpPr>
      <xdr:spPr bwMode="auto">
        <a:xfrm flipV="1">
          <a:off x="3429000" y="3286125"/>
          <a:ext cx="628650" cy="1905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19</xdr:row>
      <xdr:rowOff>91440</xdr:rowOff>
    </xdr:from>
    <xdr:to>
      <xdr:col>5</xdr:col>
      <xdr:colOff>7620</xdr:colOff>
      <xdr:row>20</xdr:row>
      <xdr:rowOff>76200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866ECC50-7458-4931-BBC6-6E5E1F464687}"/>
            </a:ext>
          </a:extLst>
        </xdr:cNvPr>
        <xdr:cNvSpPr>
          <a:spLocks noChangeShapeType="1"/>
        </xdr:cNvSpPr>
      </xdr:nvSpPr>
      <xdr:spPr bwMode="auto">
        <a:xfrm>
          <a:off x="3448050" y="3495675"/>
          <a:ext cx="600075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27</xdr:row>
      <xdr:rowOff>76200</xdr:rowOff>
    </xdr:from>
    <xdr:to>
      <xdr:col>5</xdr:col>
      <xdr:colOff>7620</xdr:colOff>
      <xdr:row>28</xdr:row>
      <xdr:rowOff>53340</xdr:rowOff>
    </xdr:to>
    <xdr:sp macro="" textlink="">
      <xdr:nvSpPr>
        <xdr:cNvPr id="43" name="Line 42">
          <a:extLst>
            <a:ext uri="{FF2B5EF4-FFF2-40B4-BE49-F238E27FC236}">
              <a16:creationId xmlns:a16="http://schemas.microsoft.com/office/drawing/2014/main" id="{1E64021E-FB26-4FBF-841D-73BE689A1E7C}"/>
            </a:ext>
          </a:extLst>
        </xdr:cNvPr>
        <xdr:cNvSpPr>
          <a:spLocks noChangeShapeType="1"/>
        </xdr:cNvSpPr>
      </xdr:nvSpPr>
      <xdr:spPr bwMode="auto">
        <a:xfrm>
          <a:off x="3438525" y="4848225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27</xdr:row>
      <xdr:rowOff>76200</xdr:rowOff>
    </xdr:from>
    <xdr:to>
      <xdr:col>5</xdr:col>
      <xdr:colOff>7620</xdr:colOff>
      <xdr:row>28</xdr:row>
      <xdr:rowOff>53340</xdr:rowOff>
    </xdr:to>
    <xdr:sp macro="" textlink="">
      <xdr:nvSpPr>
        <xdr:cNvPr id="44" name="Line 43">
          <a:extLst>
            <a:ext uri="{FF2B5EF4-FFF2-40B4-BE49-F238E27FC236}">
              <a16:creationId xmlns:a16="http://schemas.microsoft.com/office/drawing/2014/main" id="{A1CA191A-3C5A-4A2A-B09F-5AD277D689A8}"/>
            </a:ext>
          </a:extLst>
        </xdr:cNvPr>
        <xdr:cNvSpPr>
          <a:spLocks noChangeShapeType="1"/>
        </xdr:cNvSpPr>
      </xdr:nvSpPr>
      <xdr:spPr bwMode="auto">
        <a:xfrm>
          <a:off x="3438525" y="484822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28</xdr:row>
      <xdr:rowOff>53340</xdr:rowOff>
    </xdr:from>
    <xdr:to>
      <xdr:col>5</xdr:col>
      <xdr:colOff>15240</xdr:colOff>
      <xdr:row>29</xdr:row>
      <xdr:rowOff>76200</xdr:rowOff>
    </xdr:to>
    <xdr:sp macro="" textlink="">
      <xdr:nvSpPr>
        <xdr:cNvPr id="45" name="Line 44">
          <a:extLst>
            <a:ext uri="{FF2B5EF4-FFF2-40B4-BE49-F238E27FC236}">
              <a16:creationId xmlns:a16="http://schemas.microsoft.com/office/drawing/2014/main" id="{8152B5FD-6F4D-4F4E-A23D-EE941FFD4B8B}"/>
            </a:ext>
          </a:extLst>
        </xdr:cNvPr>
        <xdr:cNvSpPr>
          <a:spLocks noChangeShapeType="1"/>
        </xdr:cNvSpPr>
      </xdr:nvSpPr>
      <xdr:spPr bwMode="auto">
        <a:xfrm flipV="1">
          <a:off x="3429000" y="5000625"/>
          <a:ext cx="628650" cy="1905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29</xdr:row>
      <xdr:rowOff>91440</xdr:rowOff>
    </xdr:from>
    <xdr:to>
      <xdr:col>5</xdr:col>
      <xdr:colOff>7620</xdr:colOff>
      <xdr:row>30</xdr:row>
      <xdr:rowOff>76200</xdr:rowOff>
    </xdr:to>
    <xdr:sp macro="" textlink="">
      <xdr:nvSpPr>
        <xdr:cNvPr id="46" name="Line 45">
          <a:extLst>
            <a:ext uri="{FF2B5EF4-FFF2-40B4-BE49-F238E27FC236}">
              <a16:creationId xmlns:a16="http://schemas.microsoft.com/office/drawing/2014/main" id="{B7EE6CE1-DF44-41A5-AB8F-34FDE2937620}"/>
            </a:ext>
          </a:extLst>
        </xdr:cNvPr>
        <xdr:cNvSpPr>
          <a:spLocks noChangeShapeType="1"/>
        </xdr:cNvSpPr>
      </xdr:nvSpPr>
      <xdr:spPr bwMode="auto">
        <a:xfrm>
          <a:off x="3448050" y="5210175"/>
          <a:ext cx="600075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482</xdr:row>
      <xdr:rowOff>0</xdr:rowOff>
    </xdr:from>
    <xdr:to>
      <xdr:col>7</xdr:col>
      <xdr:colOff>7620</xdr:colOff>
      <xdr:row>482</xdr:row>
      <xdr:rowOff>0</xdr:rowOff>
    </xdr:to>
    <xdr:sp macro="" textlink="">
      <xdr:nvSpPr>
        <xdr:cNvPr id="47" name="Line 46">
          <a:extLst>
            <a:ext uri="{FF2B5EF4-FFF2-40B4-BE49-F238E27FC236}">
              <a16:creationId xmlns:a16="http://schemas.microsoft.com/office/drawing/2014/main" id="{7CB6D044-4B89-4271-85FA-0A681591A439}"/>
            </a:ext>
          </a:extLst>
        </xdr:cNvPr>
        <xdr:cNvSpPr>
          <a:spLocks noChangeShapeType="1"/>
        </xdr:cNvSpPr>
      </xdr:nvSpPr>
      <xdr:spPr bwMode="auto">
        <a:xfrm>
          <a:off x="4657725" y="82772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482</xdr:row>
      <xdr:rowOff>0</xdr:rowOff>
    </xdr:from>
    <xdr:to>
      <xdr:col>7</xdr:col>
      <xdr:colOff>7620</xdr:colOff>
      <xdr:row>482</xdr:row>
      <xdr:rowOff>0</xdr:rowOff>
    </xdr:to>
    <xdr:sp macro="" textlink="">
      <xdr:nvSpPr>
        <xdr:cNvPr id="48" name="Line 47">
          <a:extLst>
            <a:ext uri="{FF2B5EF4-FFF2-40B4-BE49-F238E27FC236}">
              <a16:creationId xmlns:a16="http://schemas.microsoft.com/office/drawing/2014/main" id="{D7B1445E-288D-48F8-ABC4-0936621C6DDD}"/>
            </a:ext>
          </a:extLst>
        </xdr:cNvPr>
        <xdr:cNvSpPr>
          <a:spLocks noChangeShapeType="1"/>
        </xdr:cNvSpPr>
      </xdr:nvSpPr>
      <xdr:spPr bwMode="auto">
        <a:xfrm>
          <a:off x="4657725" y="82772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482</xdr:row>
      <xdr:rowOff>0</xdr:rowOff>
    </xdr:from>
    <xdr:to>
      <xdr:col>7</xdr:col>
      <xdr:colOff>15240</xdr:colOff>
      <xdr:row>482</xdr:row>
      <xdr:rowOff>0</xdr:rowOff>
    </xdr:to>
    <xdr:sp macro="" textlink="">
      <xdr:nvSpPr>
        <xdr:cNvPr id="49" name="Line 48">
          <a:extLst>
            <a:ext uri="{FF2B5EF4-FFF2-40B4-BE49-F238E27FC236}">
              <a16:creationId xmlns:a16="http://schemas.microsoft.com/office/drawing/2014/main" id="{7F9CD3FF-371C-4DA2-B810-DC98D55835B9}"/>
            </a:ext>
          </a:extLst>
        </xdr:cNvPr>
        <xdr:cNvSpPr>
          <a:spLocks noChangeShapeType="1"/>
        </xdr:cNvSpPr>
      </xdr:nvSpPr>
      <xdr:spPr bwMode="auto">
        <a:xfrm flipV="1">
          <a:off x="4648200" y="82772250"/>
          <a:ext cx="628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</xdr:colOff>
      <xdr:row>482</xdr:row>
      <xdr:rowOff>0</xdr:rowOff>
    </xdr:from>
    <xdr:to>
      <xdr:col>7</xdr:col>
      <xdr:colOff>7620</xdr:colOff>
      <xdr:row>482</xdr:row>
      <xdr:rowOff>0</xdr:rowOff>
    </xdr:to>
    <xdr:sp macro="" textlink="">
      <xdr:nvSpPr>
        <xdr:cNvPr id="50" name="Line 49">
          <a:extLst>
            <a:ext uri="{FF2B5EF4-FFF2-40B4-BE49-F238E27FC236}">
              <a16:creationId xmlns:a16="http://schemas.microsoft.com/office/drawing/2014/main" id="{194C3E1B-13AB-4C1B-8A86-C78D77508402}"/>
            </a:ext>
          </a:extLst>
        </xdr:cNvPr>
        <xdr:cNvSpPr>
          <a:spLocks noChangeShapeType="1"/>
        </xdr:cNvSpPr>
      </xdr:nvSpPr>
      <xdr:spPr bwMode="auto">
        <a:xfrm>
          <a:off x="4667250" y="8277225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482</xdr:row>
      <xdr:rowOff>0</xdr:rowOff>
    </xdr:from>
    <xdr:to>
      <xdr:col>7</xdr:col>
      <xdr:colOff>7620</xdr:colOff>
      <xdr:row>482</xdr:row>
      <xdr:rowOff>0</xdr:rowOff>
    </xdr:to>
    <xdr:sp macro="" textlink="">
      <xdr:nvSpPr>
        <xdr:cNvPr id="51" name="Line 50">
          <a:extLst>
            <a:ext uri="{FF2B5EF4-FFF2-40B4-BE49-F238E27FC236}">
              <a16:creationId xmlns:a16="http://schemas.microsoft.com/office/drawing/2014/main" id="{C7E3316D-4057-49D1-83DA-26321CB80440}"/>
            </a:ext>
          </a:extLst>
        </xdr:cNvPr>
        <xdr:cNvSpPr>
          <a:spLocks noChangeShapeType="1"/>
        </xdr:cNvSpPr>
      </xdr:nvSpPr>
      <xdr:spPr bwMode="auto">
        <a:xfrm>
          <a:off x="4657725" y="82772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482</xdr:row>
      <xdr:rowOff>0</xdr:rowOff>
    </xdr:from>
    <xdr:to>
      <xdr:col>7</xdr:col>
      <xdr:colOff>7620</xdr:colOff>
      <xdr:row>482</xdr:row>
      <xdr:rowOff>0</xdr:rowOff>
    </xdr:to>
    <xdr:sp macro="" textlink="">
      <xdr:nvSpPr>
        <xdr:cNvPr id="52" name="Line 51">
          <a:extLst>
            <a:ext uri="{FF2B5EF4-FFF2-40B4-BE49-F238E27FC236}">
              <a16:creationId xmlns:a16="http://schemas.microsoft.com/office/drawing/2014/main" id="{4301503B-5892-4DC7-B8C1-28273DE195BA}"/>
            </a:ext>
          </a:extLst>
        </xdr:cNvPr>
        <xdr:cNvSpPr>
          <a:spLocks noChangeShapeType="1"/>
        </xdr:cNvSpPr>
      </xdr:nvSpPr>
      <xdr:spPr bwMode="auto">
        <a:xfrm>
          <a:off x="4657725" y="82772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30</xdr:row>
      <xdr:rowOff>76200</xdr:rowOff>
    </xdr:from>
    <xdr:to>
      <xdr:col>7</xdr:col>
      <xdr:colOff>0</xdr:colOff>
      <xdr:row>31</xdr:row>
      <xdr:rowOff>68580</xdr:rowOff>
    </xdr:to>
    <xdr:sp macro="" textlink="">
      <xdr:nvSpPr>
        <xdr:cNvPr id="53" name="Line 52">
          <a:extLst>
            <a:ext uri="{FF2B5EF4-FFF2-40B4-BE49-F238E27FC236}">
              <a16:creationId xmlns:a16="http://schemas.microsoft.com/office/drawing/2014/main" id="{5DE007C0-FECF-4193-A863-828E2D0BF907}"/>
            </a:ext>
          </a:extLst>
        </xdr:cNvPr>
        <xdr:cNvSpPr>
          <a:spLocks noChangeShapeType="1"/>
        </xdr:cNvSpPr>
      </xdr:nvSpPr>
      <xdr:spPr bwMode="auto">
        <a:xfrm>
          <a:off x="4657725" y="5362575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34</xdr:row>
      <xdr:rowOff>53340</xdr:rowOff>
    </xdr:from>
    <xdr:to>
      <xdr:col>5</xdr:col>
      <xdr:colOff>7620</xdr:colOff>
      <xdr:row>35</xdr:row>
      <xdr:rowOff>60960</xdr:rowOff>
    </xdr:to>
    <xdr:sp macro="" textlink="">
      <xdr:nvSpPr>
        <xdr:cNvPr id="54" name="Line 53">
          <a:extLst>
            <a:ext uri="{FF2B5EF4-FFF2-40B4-BE49-F238E27FC236}">
              <a16:creationId xmlns:a16="http://schemas.microsoft.com/office/drawing/2014/main" id="{A9C0B420-4D8E-47DD-BEA7-B00E375B5296}"/>
            </a:ext>
          </a:extLst>
        </xdr:cNvPr>
        <xdr:cNvSpPr>
          <a:spLocks noChangeShapeType="1"/>
        </xdr:cNvSpPr>
      </xdr:nvSpPr>
      <xdr:spPr bwMode="auto">
        <a:xfrm flipV="1">
          <a:off x="3429000" y="6029325"/>
          <a:ext cx="619125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35</xdr:row>
      <xdr:rowOff>76200</xdr:rowOff>
    </xdr:from>
    <xdr:to>
      <xdr:col>5</xdr:col>
      <xdr:colOff>7620</xdr:colOff>
      <xdr:row>36</xdr:row>
      <xdr:rowOff>53340</xdr:rowOff>
    </xdr:to>
    <xdr:sp macro="" textlink="">
      <xdr:nvSpPr>
        <xdr:cNvPr id="55" name="Line 54">
          <a:extLst>
            <a:ext uri="{FF2B5EF4-FFF2-40B4-BE49-F238E27FC236}">
              <a16:creationId xmlns:a16="http://schemas.microsoft.com/office/drawing/2014/main" id="{B118FBE9-AAB8-47CE-8313-824F2D2BFEFA}"/>
            </a:ext>
          </a:extLst>
        </xdr:cNvPr>
        <xdr:cNvSpPr>
          <a:spLocks noChangeShapeType="1"/>
        </xdr:cNvSpPr>
      </xdr:nvSpPr>
      <xdr:spPr bwMode="auto">
        <a:xfrm>
          <a:off x="3438525" y="6219825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33</xdr:row>
      <xdr:rowOff>76200</xdr:rowOff>
    </xdr:from>
    <xdr:to>
      <xdr:col>7</xdr:col>
      <xdr:colOff>0</xdr:colOff>
      <xdr:row>34</xdr:row>
      <xdr:rowOff>53340</xdr:rowOff>
    </xdr:to>
    <xdr:sp macro="" textlink="">
      <xdr:nvSpPr>
        <xdr:cNvPr id="56" name="Line 55">
          <a:extLst>
            <a:ext uri="{FF2B5EF4-FFF2-40B4-BE49-F238E27FC236}">
              <a16:creationId xmlns:a16="http://schemas.microsoft.com/office/drawing/2014/main" id="{116EE2F2-85FF-4731-ACF5-D4D64D2E7929}"/>
            </a:ext>
          </a:extLst>
        </xdr:cNvPr>
        <xdr:cNvSpPr>
          <a:spLocks noChangeShapeType="1"/>
        </xdr:cNvSpPr>
      </xdr:nvSpPr>
      <xdr:spPr bwMode="auto">
        <a:xfrm flipV="1">
          <a:off x="4648200" y="587692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34</xdr:row>
      <xdr:rowOff>68580</xdr:rowOff>
    </xdr:from>
    <xdr:to>
      <xdr:col>7</xdr:col>
      <xdr:colOff>0</xdr:colOff>
      <xdr:row>35</xdr:row>
      <xdr:rowOff>53340</xdr:rowOff>
    </xdr:to>
    <xdr:sp macro="" textlink="">
      <xdr:nvSpPr>
        <xdr:cNvPr id="57" name="Line 56">
          <a:extLst>
            <a:ext uri="{FF2B5EF4-FFF2-40B4-BE49-F238E27FC236}">
              <a16:creationId xmlns:a16="http://schemas.microsoft.com/office/drawing/2014/main" id="{0A533168-A849-4C88-A9F4-AE20A4D63E11}"/>
            </a:ext>
          </a:extLst>
        </xdr:cNvPr>
        <xdr:cNvSpPr>
          <a:spLocks noChangeShapeType="1"/>
        </xdr:cNvSpPr>
      </xdr:nvSpPr>
      <xdr:spPr bwMode="auto">
        <a:xfrm>
          <a:off x="4657725" y="6038850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35</xdr:row>
      <xdr:rowOff>60960</xdr:rowOff>
    </xdr:from>
    <xdr:to>
      <xdr:col>7</xdr:col>
      <xdr:colOff>0</xdr:colOff>
      <xdr:row>36</xdr:row>
      <xdr:rowOff>68580</xdr:rowOff>
    </xdr:to>
    <xdr:sp macro="" textlink="">
      <xdr:nvSpPr>
        <xdr:cNvPr id="58" name="Line 57">
          <a:extLst>
            <a:ext uri="{FF2B5EF4-FFF2-40B4-BE49-F238E27FC236}">
              <a16:creationId xmlns:a16="http://schemas.microsoft.com/office/drawing/2014/main" id="{EF126BF3-585F-4191-B819-E3F71C23DC65}"/>
            </a:ext>
          </a:extLst>
        </xdr:cNvPr>
        <xdr:cNvSpPr>
          <a:spLocks noChangeShapeType="1"/>
        </xdr:cNvSpPr>
      </xdr:nvSpPr>
      <xdr:spPr bwMode="auto">
        <a:xfrm flipH="1">
          <a:off x="4648200" y="6200775"/>
          <a:ext cx="60960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36</xdr:row>
      <xdr:rowOff>76200</xdr:rowOff>
    </xdr:from>
    <xdr:to>
      <xdr:col>7</xdr:col>
      <xdr:colOff>0</xdr:colOff>
      <xdr:row>37</xdr:row>
      <xdr:rowOff>60960</xdr:rowOff>
    </xdr:to>
    <xdr:sp macro="" textlink="">
      <xdr:nvSpPr>
        <xdr:cNvPr id="59" name="Line 58">
          <a:extLst>
            <a:ext uri="{FF2B5EF4-FFF2-40B4-BE49-F238E27FC236}">
              <a16:creationId xmlns:a16="http://schemas.microsoft.com/office/drawing/2014/main" id="{8EEAC051-BC8B-49F0-B424-60CAA26804D6}"/>
            </a:ext>
          </a:extLst>
        </xdr:cNvPr>
        <xdr:cNvSpPr>
          <a:spLocks noChangeShapeType="1"/>
        </xdr:cNvSpPr>
      </xdr:nvSpPr>
      <xdr:spPr bwMode="auto">
        <a:xfrm>
          <a:off x="4648200" y="639127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37</xdr:row>
      <xdr:rowOff>68580</xdr:rowOff>
    </xdr:from>
    <xdr:to>
      <xdr:col>7</xdr:col>
      <xdr:colOff>0</xdr:colOff>
      <xdr:row>38</xdr:row>
      <xdr:rowOff>68580</xdr:rowOff>
    </xdr:to>
    <xdr:sp macro="" textlink="">
      <xdr:nvSpPr>
        <xdr:cNvPr id="60" name="Line 59">
          <a:extLst>
            <a:ext uri="{FF2B5EF4-FFF2-40B4-BE49-F238E27FC236}">
              <a16:creationId xmlns:a16="http://schemas.microsoft.com/office/drawing/2014/main" id="{1915C82F-3DC7-4362-BE36-682D9EE463A7}"/>
            </a:ext>
          </a:extLst>
        </xdr:cNvPr>
        <xdr:cNvSpPr>
          <a:spLocks noChangeShapeType="1"/>
        </xdr:cNvSpPr>
      </xdr:nvSpPr>
      <xdr:spPr bwMode="auto">
        <a:xfrm flipH="1">
          <a:off x="4648200" y="6553200"/>
          <a:ext cx="60960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35</xdr:row>
      <xdr:rowOff>68580</xdr:rowOff>
    </xdr:from>
    <xdr:to>
      <xdr:col>3</xdr:col>
      <xdr:colOff>0</xdr:colOff>
      <xdr:row>36</xdr:row>
      <xdr:rowOff>68580</xdr:rowOff>
    </xdr:to>
    <xdr:sp macro="" textlink="">
      <xdr:nvSpPr>
        <xdr:cNvPr id="61" name="Line 60">
          <a:extLst>
            <a:ext uri="{FF2B5EF4-FFF2-40B4-BE49-F238E27FC236}">
              <a16:creationId xmlns:a16="http://schemas.microsoft.com/office/drawing/2014/main" id="{A6162BDC-6AAE-4F06-BAA7-BE2E20616886}"/>
            </a:ext>
          </a:extLst>
        </xdr:cNvPr>
        <xdr:cNvSpPr>
          <a:spLocks noChangeShapeType="1"/>
        </xdr:cNvSpPr>
      </xdr:nvSpPr>
      <xdr:spPr bwMode="auto">
        <a:xfrm flipH="1">
          <a:off x="2076450" y="6210300"/>
          <a:ext cx="7429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472440</xdr:colOff>
      <xdr:row>36</xdr:row>
      <xdr:rowOff>76200</xdr:rowOff>
    </xdr:from>
    <xdr:to>
      <xdr:col>3</xdr:col>
      <xdr:colOff>0</xdr:colOff>
      <xdr:row>37</xdr:row>
      <xdr:rowOff>83820</xdr:rowOff>
    </xdr:to>
    <xdr:sp macro="" textlink="">
      <xdr:nvSpPr>
        <xdr:cNvPr id="62" name="Line 61">
          <a:extLst>
            <a:ext uri="{FF2B5EF4-FFF2-40B4-BE49-F238E27FC236}">
              <a16:creationId xmlns:a16="http://schemas.microsoft.com/office/drawing/2014/main" id="{71E1AEAA-EA3A-4B03-AA11-0C70A6569485}"/>
            </a:ext>
          </a:extLst>
        </xdr:cNvPr>
        <xdr:cNvSpPr>
          <a:spLocks noChangeShapeType="1"/>
        </xdr:cNvSpPr>
      </xdr:nvSpPr>
      <xdr:spPr bwMode="auto">
        <a:xfrm>
          <a:off x="2076450" y="6391275"/>
          <a:ext cx="74295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35</xdr:row>
      <xdr:rowOff>76200</xdr:rowOff>
    </xdr:from>
    <xdr:to>
      <xdr:col>5</xdr:col>
      <xdr:colOff>7620</xdr:colOff>
      <xdr:row>36</xdr:row>
      <xdr:rowOff>53340</xdr:rowOff>
    </xdr:to>
    <xdr:sp macro="" textlink="">
      <xdr:nvSpPr>
        <xdr:cNvPr id="63" name="Line 62">
          <a:extLst>
            <a:ext uri="{FF2B5EF4-FFF2-40B4-BE49-F238E27FC236}">
              <a16:creationId xmlns:a16="http://schemas.microsoft.com/office/drawing/2014/main" id="{0C002B02-C732-4751-855B-ACD40F3AFCCF}"/>
            </a:ext>
          </a:extLst>
        </xdr:cNvPr>
        <xdr:cNvSpPr>
          <a:spLocks noChangeShapeType="1"/>
        </xdr:cNvSpPr>
      </xdr:nvSpPr>
      <xdr:spPr bwMode="auto">
        <a:xfrm>
          <a:off x="3438525" y="6219825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35</xdr:row>
      <xdr:rowOff>76200</xdr:rowOff>
    </xdr:from>
    <xdr:to>
      <xdr:col>5</xdr:col>
      <xdr:colOff>7620</xdr:colOff>
      <xdr:row>36</xdr:row>
      <xdr:rowOff>53340</xdr:rowOff>
    </xdr:to>
    <xdr:sp macro="" textlink="">
      <xdr:nvSpPr>
        <xdr:cNvPr id="64" name="Line 63">
          <a:extLst>
            <a:ext uri="{FF2B5EF4-FFF2-40B4-BE49-F238E27FC236}">
              <a16:creationId xmlns:a16="http://schemas.microsoft.com/office/drawing/2014/main" id="{73183EC7-B897-4A31-8015-23CFC169A247}"/>
            </a:ext>
          </a:extLst>
        </xdr:cNvPr>
        <xdr:cNvSpPr>
          <a:spLocks noChangeShapeType="1"/>
        </xdr:cNvSpPr>
      </xdr:nvSpPr>
      <xdr:spPr bwMode="auto">
        <a:xfrm>
          <a:off x="3438525" y="621982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36</xdr:row>
      <xdr:rowOff>53340</xdr:rowOff>
    </xdr:from>
    <xdr:to>
      <xdr:col>5</xdr:col>
      <xdr:colOff>15240</xdr:colOff>
      <xdr:row>37</xdr:row>
      <xdr:rowOff>76200</xdr:rowOff>
    </xdr:to>
    <xdr:sp macro="" textlink="">
      <xdr:nvSpPr>
        <xdr:cNvPr id="65" name="Line 64">
          <a:extLst>
            <a:ext uri="{FF2B5EF4-FFF2-40B4-BE49-F238E27FC236}">
              <a16:creationId xmlns:a16="http://schemas.microsoft.com/office/drawing/2014/main" id="{A74791D5-8CB3-457D-854A-07FB29568F59}"/>
            </a:ext>
          </a:extLst>
        </xdr:cNvPr>
        <xdr:cNvSpPr>
          <a:spLocks noChangeShapeType="1"/>
        </xdr:cNvSpPr>
      </xdr:nvSpPr>
      <xdr:spPr bwMode="auto">
        <a:xfrm flipV="1">
          <a:off x="3429000" y="6372225"/>
          <a:ext cx="628650" cy="1905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37</xdr:row>
      <xdr:rowOff>91440</xdr:rowOff>
    </xdr:from>
    <xdr:to>
      <xdr:col>5</xdr:col>
      <xdr:colOff>7620</xdr:colOff>
      <xdr:row>38</xdr:row>
      <xdr:rowOff>76200</xdr:rowOff>
    </xdr:to>
    <xdr:sp macro="" textlink="">
      <xdr:nvSpPr>
        <xdr:cNvPr id="66" name="Line 65">
          <a:extLst>
            <a:ext uri="{FF2B5EF4-FFF2-40B4-BE49-F238E27FC236}">
              <a16:creationId xmlns:a16="http://schemas.microsoft.com/office/drawing/2014/main" id="{A24A6E6E-CA0C-428A-8C3B-350890883D44}"/>
            </a:ext>
          </a:extLst>
        </xdr:cNvPr>
        <xdr:cNvSpPr>
          <a:spLocks noChangeShapeType="1"/>
        </xdr:cNvSpPr>
      </xdr:nvSpPr>
      <xdr:spPr bwMode="auto">
        <a:xfrm>
          <a:off x="3448050" y="6581775"/>
          <a:ext cx="600075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38</xdr:row>
      <xdr:rowOff>76200</xdr:rowOff>
    </xdr:from>
    <xdr:to>
      <xdr:col>7</xdr:col>
      <xdr:colOff>0</xdr:colOff>
      <xdr:row>39</xdr:row>
      <xdr:rowOff>68580</xdr:rowOff>
    </xdr:to>
    <xdr:sp macro="" textlink="">
      <xdr:nvSpPr>
        <xdr:cNvPr id="67" name="Line 66">
          <a:extLst>
            <a:ext uri="{FF2B5EF4-FFF2-40B4-BE49-F238E27FC236}">
              <a16:creationId xmlns:a16="http://schemas.microsoft.com/office/drawing/2014/main" id="{1AEC979C-6CA5-473B-A246-25ED17F378D0}"/>
            </a:ext>
          </a:extLst>
        </xdr:cNvPr>
        <xdr:cNvSpPr>
          <a:spLocks noChangeShapeType="1"/>
        </xdr:cNvSpPr>
      </xdr:nvSpPr>
      <xdr:spPr bwMode="auto">
        <a:xfrm>
          <a:off x="4657725" y="6734175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53340</xdr:rowOff>
    </xdr:from>
    <xdr:to>
      <xdr:col>5</xdr:col>
      <xdr:colOff>7620</xdr:colOff>
      <xdr:row>43</xdr:row>
      <xdr:rowOff>60960</xdr:rowOff>
    </xdr:to>
    <xdr:sp macro="" textlink="">
      <xdr:nvSpPr>
        <xdr:cNvPr id="68" name="Line 67">
          <a:extLst>
            <a:ext uri="{FF2B5EF4-FFF2-40B4-BE49-F238E27FC236}">
              <a16:creationId xmlns:a16="http://schemas.microsoft.com/office/drawing/2014/main" id="{93310308-79FE-4793-9A42-7B4C2C9C141E}"/>
            </a:ext>
          </a:extLst>
        </xdr:cNvPr>
        <xdr:cNvSpPr>
          <a:spLocks noChangeShapeType="1"/>
        </xdr:cNvSpPr>
      </xdr:nvSpPr>
      <xdr:spPr bwMode="auto">
        <a:xfrm flipV="1">
          <a:off x="3429000" y="7400925"/>
          <a:ext cx="619125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43</xdr:row>
      <xdr:rowOff>76200</xdr:rowOff>
    </xdr:from>
    <xdr:to>
      <xdr:col>5</xdr:col>
      <xdr:colOff>7620</xdr:colOff>
      <xdr:row>44</xdr:row>
      <xdr:rowOff>53340</xdr:rowOff>
    </xdr:to>
    <xdr:sp macro="" textlink="">
      <xdr:nvSpPr>
        <xdr:cNvPr id="69" name="Line 68">
          <a:extLst>
            <a:ext uri="{FF2B5EF4-FFF2-40B4-BE49-F238E27FC236}">
              <a16:creationId xmlns:a16="http://schemas.microsoft.com/office/drawing/2014/main" id="{EC2C23B1-F985-4E4F-95E5-90DB641F1C33}"/>
            </a:ext>
          </a:extLst>
        </xdr:cNvPr>
        <xdr:cNvSpPr>
          <a:spLocks noChangeShapeType="1"/>
        </xdr:cNvSpPr>
      </xdr:nvSpPr>
      <xdr:spPr bwMode="auto">
        <a:xfrm>
          <a:off x="3438525" y="7591425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41</xdr:row>
      <xdr:rowOff>76200</xdr:rowOff>
    </xdr:from>
    <xdr:to>
      <xdr:col>7</xdr:col>
      <xdr:colOff>0</xdr:colOff>
      <xdr:row>42</xdr:row>
      <xdr:rowOff>53340</xdr:rowOff>
    </xdr:to>
    <xdr:sp macro="" textlink="">
      <xdr:nvSpPr>
        <xdr:cNvPr id="70" name="Line 69">
          <a:extLst>
            <a:ext uri="{FF2B5EF4-FFF2-40B4-BE49-F238E27FC236}">
              <a16:creationId xmlns:a16="http://schemas.microsoft.com/office/drawing/2014/main" id="{F7C0681A-36E5-4856-B6C7-A0CECAB1CD1F}"/>
            </a:ext>
          </a:extLst>
        </xdr:cNvPr>
        <xdr:cNvSpPr>
          <a:spLocks noChangeShapeType="1"/>
        </xdr:cNvSpPr>
      </xdr:nvSpPr>
      <xdr:spPr bwMode="auto">
        <a:xfrm flipV="1">
          <a:off x="4648200" y="724852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42</xdr:row>
      <xdr:rowOff>68580</xdr:rowOff>
    </xdr:from>
    <xdr:to>
      <xdr:col>7</xdr:col>
      <xdr:colOff>0</xdr:colOff>
      <xdr:row>43</xdr:row>
      <xdr:rowOff>53340</xdr:rowOff>
    </xdr:to>
    <xdr:sp macro="" textlink="">
      <xdr:nvSpPr>
        <xdr:cNvPr id="71" name="Line 70">
          <a:extLst>
            <a:ext uri="{FF2B5EF4-FFF2-40B4-BE49-F238E27FC236}">
              <a16:creationId xmlns:a16="http://schemas.microsoft.com/office/drawing/2014/main" id="{EEC80A17-C43F-4CB7-8ED7-FD1010A5822E}"/>
            </a:ext>
          </a:extLst>
        </xdr:cNvPr>
        <xdr:cNvSpPr>
          <a:spLocks noChangeShapeType="1"/>
        </xdr:cNvSpPr>
      </xdr:nvSpPr>
      <xdr:spPr bwMode="auto">
        <a:xfrm>
          <a:off x="4657725" y="7410450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43</xdr:row>
      <xdr:rowOff>60960</xdr:rowOff>
    </xdr:from>
    <xdr:to>
      <xdr:col>7</xdr:col>
      <xdr:colOff>0</xdr:colOff>
      <xdr:row>44</xdr:row>
      <xdr:rowOff>68580</xdr:rowOff>
    </xdr:to>
    <xdr:sp macro="" textlink="">
      <xdr:nvSpPr>
        <xdr:cNvPr id="72" name="Line 71">
          <a:extLst>
            <a:ext uri="{FF2B5EF4-FFF2-40B4-BE49-F238E27FC236}">
              <a16:creationId xmlns:a16="http://schemas.microsoft.com/office/drawing/2014/main" id="{5C098942-C528-418A-967E-BB9A8004FF1E}"/>
            </a:ext>
          </a:extLst>
        </xdr:cNvPr>
        <xdr:cNvSpPr>
          <a:spLocks noChangeShapeType="1"/>
        </xdr:cNvSpPr>
      </xdr:nvSpPr>
      <xdr:spPr bwMode="auto">
        <a:xfrm flipH="1">
          <a:off x="4648200" y="7572375"/>
          <a:ext cx="60960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44</xdr:row>
      <xdr:rowOff>76200</xdr:rowOff>
    </xdr:from>
    <xdr:to>
      <xdr:col>7</xdr:col>
      <xdr:colOff>0</xdr:colOff>
      <xdr:row>45</xdr:row>
      <xdr:rowOff>60960</xdr:rowOff>
    </xdr:to>
    <xdr:sp macro="" textlink="">
      <xdr:nvSpPr>
        <xdr:cNvPr id="73" name="Line 72">
          <a:extLst>
            <a:ext uri="{FF2B5EF4-FFF2-40B4-BE49-F238E27FC236}">
              <a16:creationId xmlns:a16="http://schemas.microsoft.com/office/drawing/2014/main" id="{2307AF8D-D3B6-454D-9E47-64C38C3D871A}"/>
            </a:ext>
          </a:extLst>
        </xdr:cNvPr>
        <xdr:cNvSpPr>
          <a:spLocks noChangeShapeType="1"/>
        </xdr:cNvSpPr>
      </xdr:nvSpPr>
      <xdr:spPr bwMode="auto">
        <a:xfrm>
          <a:off x="4648200" y="7762875"/>
          <a:ext cx="609600" cy="1428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45</xdr:row>
      <xdr:rowOff>68580</xdr:rowOff>
    </xdr:from>
    <xdr:to>
      <xdr:col>7</xdr:col>
      <xdr:colOff>0</xdr:colOff>
      <xdr:row>46</xdr:row>
      <xdr:rowOff>68580</xdr:rowOff>
    </xdr:to>
    <xdr:sp macro="" textlink="">
      <xdr:nvSpPr>
        <xdr:cNvPr id="74" name="Line 73">
          <a:extLst>
            <a:ext uri="{FF2B5EF4-FFF2-40B4-BE49-F238E27FC236}">
              <a16:creationId xmlns:a16="http://schemas.microsoft.com/office/drawing/2014/main" id="{DAAAC465-2E2A-406B-AC3E-CD356988855E}"/>
            </a:ext>
          </a:extLst>
        </xdr:cNvPr>
        <xdr:cNvSpPr>
          <a:spLocks noChangeShapeType="1"/>
        </xdr:cNvSpPr>
      </xdr:nvSpPr>
      <xdr:spPr bwMode="auto">
        <a:xfrm flipH="1">
          <a:off x="4648200" y="7915275"/>
          <a:ext cx="60960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43</xdr:row>
      <xdr:rowOff>68580</xdr:rowOff>
    </xdr:from>
    <xdr:to>
      <xdr:col>3</xdr:col>
      <xdr:colOff>0</xdr:colOff>
      <xdr:row>44</xdr:row>
      <xdr:rowOff>68580</xdr:rowOff>
    </xdr:to>
    <xdr:sp macro="" textlink="">
      <xdr:nvSpPr>
        <xdr:cNvPr id="75" name="Line 74">
          <a:extLst>
            <a:ext uri="{FF2B5EF4-FFF2-40B4-BE49-F238E27FC236}">
              <a16:creationId xmlns:a16="http://schemas.microsoft.com/office/drawing/2014/main" id="{D5FD36BB-74C7-48E1-AC4B-AFA1C9E3208B}"/>
            </a:ext>
          </a:extLst>
        </xdr:cNvPr>
        <xdr:cNvSpPr>
          <a:spLocks noChangeShapeType="1"/>
        </xdr:cNvSpPr>
      </xdr:nvSpPr>
      <xdr:spPr bwMode="auto">
        <a:xfrm flipH="1">
          <a:off x="2076450" y="7581900"/>
          <a:ext cx="7429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472440</xdr:colOff>
      <xdr:row>44</xdr:row>
      <xdr:rowOff>76200</xdr:rowOff>
    </xdr:from>
    <xdr:to>
      <xdr:col>3</xdr:col>
      <xdr:colOff>0</xdr:colOff>
      <xdr:row>45</xdr:row>
      <xdr:rowOff>83820</xdr:rowOff>
    </xdr:to>
    <xdr:sp macro="" textlink="">
      <xdr:nvSpPr>
        <xdr:cNvPr id="76" name="Line 75">
          <a:extLst>
            <a:ext uri="{FF2B5EF4-FFF2-40B4-BE49-F238E27FC236}">
              <a16:creationId xmlns:a16="http://schemas.microsoft.com/office/drawing/2014/main" id="{5C5B5A57-AD0B-4DAA-ACA4-82DE4A2E4A8F}"/>
            </a:ext>
          </a:extLst>
        </xdr:cNvPr>
        <xdr:cNvSpPr>
          <a:spLocks noChangeShapeType="1"/>
        </xdr:cNvSpPr>
      </xdr:nvSpPr>
      <xdr:spPr bwMode="auto">
        <a:xfrm>
          <a:off x="2076450" y="7762875"/>
          <a:ext cx="7429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43</xdr:row>
      <xdr:rowOff>76200</xdr:rowOff>
    </xdr:from>
    <xdr:to>
      <xdr:col>5</xdr:col>
      <xdr:colOff>7620</xdr:colOff>
      <xdr:row>44</xdr:row>
      <xdr:rowOff>53340</xdr:rowOff>
    </xdr:to>
    <xdr:sp macro="" textlink="">
      <xdr:nvSpPr>
        <xdr:cNvPr id="77" name="Line 76">
          <a:extLst>
            <a:ext uri="{FF2B5EF4-FFF2-40B4-BE49-F238E27FC236}">
              <a16:creationId xmlns:a16="http://schemas.microsoft.com/office/drawing/2014/main" id="{8A03081C-CE31-400F-AC37-25545C32938B}"/>
            </a:ext>
          </a:extLst>
        </xdr:cNvPr>
        <xdr:cNvSpPr>
          <a:spLocks noChangeShapeType="1"/>
        </xdr:cNvSpPr>
      </xdr:nvSpPr>
      <xdr:spPr bwMode="auto">
        <a:xfrm>
          <a:off x="3438525" y="7591425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43</xdr:row>
      <xdr:rowOff>76200</xdr:rowOff>
    </xdr:from>
    <xdr:to>
      <xdr:col>5</xdr:col>
      <xdr:colOff>7620</xdr:colOff>
      <xdr:row>44</xdr:row>
      <xdr:rowOff>53340</xdr:rowOff>
    </xdr:to>
    <xdr:sp macro="" textlink="">
      <xdr:nvSpPr>
        <xdr:cNvPr id="78" name="Line 77">
          <a:extLst>
            <a:ext uri="{FF2B5EF4-FFF2-40B4-BE49-F238E27FC236}">
              <a16:creationId xmlns:a16="http://schemas.microsoft.com/office/drawing/2014/main" id="{B8CC80CC-0CA1-4F23-92E3-4154C3F54C0C}"/>
            </a:ext>
          </a:extLst>
        </xdr:cNvPr>
        <xdr:cNvSpPr>
          <a:spLocks noChangeShapeType="1"/>
        </xdr:cNvSpPr>
      </xdr:nvSpPr>
      <xdr:spPr bwMode="auto">
        <a:xfrm>
          <a:off x="3438525" y="759142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44</xdr:row>
      <xdr:rowOff>53340</xdr:rowOff>
    </xdr:from>
    <xdr:to>
      <xdr:col>5</xdr:col>
      <xdr:colOff>15240</xdr:colOff>
      <xdr:row>45</xdr:row>
      <xdr:rowOff>76200</xdr:rowOff>
    </xdr:to>
    <xdr:sp macro="" textlink="">
      <xdr:nvSpPr>
        <xdr:cNvPr id="79" name="Line 78">
          <a:extLst>
            <a:ext uri="{FF2B5EF4-FFF2-40B4-BE49-F238E27FC236}">
              <a16:creationId xmlns:a16="http://schemas.microsoft.com/office/drawing/2014/main" id="{50C9F551-5AFE-44AF-A6F3-A15307321803}"/>
            </a:ext>
          </a:extLst>
        </xdr:cNvPr>
        <xdr:cNvSpPr>
          <a:spLocks noChangeShapeType="1"/>
        </xdr:cNvSpPr>
      </xdr:nvSpPr>
      <xdr:spPr bwMode="auto">
        <a:xfrm flipV="1">
          <a:off x="3429000" y="7743825"/>
          <a:ext cx="62865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45</xdr:row>
      <xdr:rowOff>91440</xdr:rowOff>
    </xdr:from>
    <xdr:to>
      <xdr:col>5</xdr:col>
      <xdr:colOff>7620</xdr:colOff>
      <xdr:row>46</xdr:row>
      <xdr:rowOff>76200</xdr:rowOff>
    </xdr:to>
    <xdr:sp macro="" textlink="">
      <xdr:nvSpPr>
        <xdr:cNvPr id="80" name="Line 79">
          <a:extLst>
            <a:ext uri="{FF2B5EF4-FFF2-40B4-BE49-F238E27FC236}">
              <a16:creationId xmlns:a16="http://schemas.microsoft.com/office/drawing/2014/main" id="{8203EDC2-742E-43B5-99DC-9C5E99515530}"/>
            </a:ext>
          </a:extLst>
        </xdr:cNvPr>
        <xdr:cNvSpPr>
          <a:spLocks noChangeShapeType="1"/>
        </xdr:cNvSpPr>
      </xdr:nvSpPr>
      <xdr:spPr bwMode="auto">
        <a:xfrm>
          <a:off x="3448050" y="7943850"/>
          <a:ext cx="600075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46</xdr:row>
      <xdr:rowOff>76200</xdr:rowOff>
    </xdr:from>
    <xdr:to>
      <xdr:col>7</xdr:col>
      <xdr:colOff>0</xdr:colOff>
      <xdr:row>47</xdr:row>
      <xdr:rowOff>68580</xdr:rowOff>
    </xdr:to>
    <xdr:sp macro="" textlink="">
      <xdr:nvSpPr>
        <xdr:cNvPr id="81" name="Line 80">
          <a:extLst>
            <a:ext uri="{FF2B5EF4-FFF2-40B4-BE49-F238E27FC236}">
              <a16:creationId xmlns:a16="http://schemas.microsoft.com/office/drawing/2014/main" id="{8ACD21D0-5F90-46CC-918E-8608BD5DD50B}"/>
            </a:ext>
          </a:extLst>
        </xdr:cNvPr>
        <xdr:cNvSpPr>
          <a:spLocks noChangeShapeType="1"/>
        </xdr:cNvSpPr>
      </xdr:nvSpPr>
      <xdr:spPr bwMode="auto">
        <a:xfrm>
          <a:off x="4657725" y="8096250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55</xdr:row>
      <xdr:rowOff>53340</xdr:rowOff>
    </xdr:from>
    <xdr:to>
      <xdr:col>5</xdr:col>
      <xdr:colOff>7620</xdr:colOff>
      <xdr:row>56</xdr:row>
      <xdr:rowOff>60960</xdr:rowOff>
    </xdr:to>
    <xdr:sp macro="" textlink="">
      <xdr:nvSpPr>
        <xdr:cNvPr id="82" name="Line 81">
          <a:extLst>
            <a:ext uri="{FF2B5EF4-FFF2-40B4-BE49-F238E27FC236}">
              <a16:creationId xmlns:a16="http://schemas.microsoft.com/office/drawing/2014/main" id="{2E0B3466-AACB-43C8-A749-1FCDFCA948B7}"/>
            </a:ext>
          </a:extLst>
        </xdr:cNvPr>
        <xdr:cNvSpPr>
          <a:spLocks noChangeShapeType="1"/>
        </xdr:cNvSpPr>
      </xdr:nvSpPr>
      <xdr:spPr bwMode="auto">
        <a:xfrm flipV="1">
          <a:off x="3429000" y="9620250"/>
          <a:ext cx="619125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56</xdr:row>
      <xdr:rowOff>76200</xdr:rowOff>
    </xdr:from>
    <xdr:to>
      <xdr:col>5</xdr:col>
      <xdr:colOff>7620</xdr:colOff>
      <xdr:row>57</xdr:row>
      <xdr:rowOff>53340</xdr:rowOff>
    </xdr:to>
    <xdr:sp macro="" textlink="">
      <xdr:nvSpPr>
        <xdr:cNvPr id="83" name="Line 82">
          <a:extLst>
            <a:ext uri="{FF2B5EF4-FFF2-40B4-BE49-F238E27FC236}">
              <a16:creationId xmlns:a16="http://schemas.microsoft.com/office/drawing/2014/main" id="{18A97023-5EF3-4587-9757-4650D896787A}"/>
            </a:ext>
          </a:extLst>
        </xdr:cNvPr>
        <xdr:cNvSpPr>
          <a:spLocks noChangeShapeType="1"/>
        </xdr:cNvSpPr>
      </xdr:nvSpPr>
      <xdr:spPr bwMode="auto">
        <a:xfrm>
          <a:off x="3438525" y="9810750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54</xdr:row>
      <xdr:rowOff>76200</xdr:rowOff>
    </xdr:from>
    <xdr:to>
      <xdr:col>7</xdr:col>
      <xdr:colOff>0</xdr:colOff>
      <xdr:row>55</xdr:row>
      <xdr:rowOff>53340</xdr:rowOff>
    </xdr:to>
    <xdr:sp macro="" textlink="">
      <xdr:nvSpPr>
        <xdr:cNvPr id="84" name="Line 83">
          <a:extLst>
            <a:ext uri="{FF2B5EF4-FFF2-40B4-BE49-F238E27FC236}">
              <a16:creationId xmlns:a16="http://schemas.microsoft.com/office/drawing/2014/main" id="{921737D7-5E36-4D42-BA9E-64E65D8E6BA6}"/>
            </a:ext>
          </a:extLst>
        </xdr:cNvPr>
        <xdr:cNvSpPr>
          <a:spLocks noChangeShapeType="1"/>
        </xdr:cNvSpPr>
      </xdr:nvSpPr>
      <xdr:spPr bwMode="auto">
        <a:xfrm flipV="1">
          <a:off x="4648200" y="9467850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55</xdr:row>
      <xdr:rowOff>68580</xdr:rowOff>
    </xdr:from>
    <xdr:to>
      <xdr:col>7</xdr:col>
      <xdr:colOff>0</xdr:colOff>
      <xdr:row>56</xdr:row>
      <xdr:rowOff>53340</xdr:rowOff>
    </xdr:to>
    <xdr:sp macro="" textlink="">
      <xdr:nvSpPr>
        <xdr:cNvPr id="85" name="Line 84">
          <a:extLst>
            <a:ext uri="{FF2B5EF4-FFF2-40B4-BE49-F238E27FC236}">
              <a16:creationId xmlns:a16="http://schemas.microsoft.com/office/drawing/2014/main" id="{7C84951C-04C6-41D2-858D-10762D90ED4A}"/>
            </a:ext>
          </a:extLst>
        </xdr:cNvPr>
        <xdr:cNvSpPr>
          <a:spLocks noChangeShapeType="1"/>
        </xdr:cNvSpPr>
      </xdr:nvSpPr>
      <xdr:spPr bwMode="auto">
        <a:xfrm>
          <a:off x="4657725" y="9629775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56</xdr:row>
      <xdr:rowOff>60960</xdr:rowOff>
    </xdr:from>
    <xdr:to>
      <xdr:col>7</xdr:col>
      <xdr:colOff>0</xdr:colOff>
      <xdr:row>57</xdr:row>
      <xdr:rowOff>68580</xdr:rowOff>
    </xdr:to>
    <xdr:sp macro="" textlink="">
      <xdr:nvSpPr>
        <xdr:cNvPr id="86" name="Line 85">
          <a:extLst>
            <a:ext uri="{FF2B5EF4-FFF2-40B4-BE49-F238E27FC236}">
              <a16:creationId xmlns:a16="http://schemas.microsoft.com/office/drawing/2014/main" id="{5A5D1EAC-D2F7-4D6E-8B2E-04BDCFF58193}"/>
            </a:ext>
          </a:extLst>
        </xdr:cNvPr>
        <xdr:cNvSpPr>
          <a:spLocks noChangeShapeType="1"/>
        </xdr:cNvSpPr>
      </xdr:nvSpPr>
      <xdr:spPr bwMode="auto">
        <a:xfrm flipH="1">
          <a:off x="4648200" y="9791700"/>
          <a:ext cx="60960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57</xdr:row>
      <xdr:rowOff>76200</xdr:rowOff>
    </xdr:from>
    <xdr:to>
      <xdr:col>7</xdr:col>
      <xdr:colOff>0</xdr:colOff>
      <xdr:row>58</xdr:row>
      <xdr:rowOff>60960</xdr:rowOff>
    </xdr:to>
    <xdr:sp macro="" textlink="">
      <xdr:nvSpPr>
        <xdr:cNvPr id="87" name="Line 86">
          <a:extLst>
            <a:ext uri="{FF2B5EF4-FFF2-40B4-BE49-F238E27FC236}">
              <a16:creationId xmlns:a16="http://schemas.microsoft.com/office/drawing/2014/main" id="{03418D98-A1A7-4CD9-B10F-26CBFAD1DC84}"/>
            </a:ext>
          </a:extLst>
        </xdr:cNvPr>
        <xdr:cNvSpPr>
          <a:spLocks noChangeShapeType="1"/>
        </xdr:cNvSpPr>
      </xdr:nvSpPr>
      <xdr:spPr bwMode="auto">
        <a:xfrm>
          <a:off x="4648200" y="9982200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58</xdr:row>
      <xdr:rowOff>68580</xdr:rowOff>
    </xdr:from>
    <xdr:to>
      <xdr:col>7</xdr:col>
      <xdr:colOff>0</xdr:colOff>
      <xdr:row>59</xdr:row>
      <xdr:rowOff>68580</xdr:rowOff>
    </xdr:to>
    <xdr:sp macro="" textlink="">
      <xdr:nvSpPr>
        <xdr:cNvPr id="88" name="Line 87">
          <a:extLst>
            <a:ext uri="{FF2B5EF4-FFF2-40B4-BE49-F238E27FC236}">
              <a16:creationId xmlns:a16="http://schemas.microsoft.com/office/drawing/2014/main" id="{91826325-E6F3-4AE7-AC37-8C82F844BC4E}"/>
            </a:ext>
          </a:extLst>
        </xdr:cNvPr>
        <xdr:cNvSpPr>
          <a:spLocks noChangeShapeType="1"/>
        </xdr:cNvSpPr>
      </xdr:nvSpPr>
      <xdr:spPr bwMode="auto">
        <a:xfrm flipH="1">
          <a:off x="4648200" y="10144125"/>
          <a:ext cx="60960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56</xdr:row>
      <xdr:rowOff>68580</xdr:rowOff>
    </xdr:from>
    <xdr:to>
      <xdr:col>3</xdr:col>
      <xdr:colOff>0</xdr:colOff>
      <xdr:row>57</xdr:row>
      <xdr:rowOff>68580</xdr:rowOff>
    </xdr:to>
    <xdr:sp macro="" textlink="">
      <xdr:nvSpPr>
        <xdr:cNvPr id="89" name="Line 88">
          <a:extLst>
            <a:ext uri="{FF2B5EF4-FFF2-40B4-BE49-F238E27FC236}">
              <a16:creationId xmlns:a16="http://schemas.microsoft.com/office/drawing/2014/main" id="{2B414E59-8291-4B2A-BC2C-85B9C4324590}"/>
            </a:ext>
          </a:extLst>
        </xdr:cNvPr>
        <xdr:cNvSpPr>
          <a:spLocks noChangeShapeType="1"/>
        </xdr:cNvSpPr>
      </xdr:nvSpPr>
      <xdr:spPr bwMode="auto">
        <a:xfrm flipH="1">
          <a:off x="2076450" y="9801225"/>
          <a:ext cx="7429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472440</xdr:colOff>
      <xdr:row>57</xdr:row>
      <xdr:rowOff>76200</xdr:rowOff>
    </xdr:from>
    <xdr:to>
      <xdr:col>3</xdr:col>
      <xdr:colOff>0</xdr:colOff>
      <xdr:row>58</xdr:row>
      <xdr:rowOff>83820</xdr:rowOff>
    </xdr:to>
    <xdr:sp macro="" textlink="">
      <xdr:nvSpPr>
        <xdr:cNvPr id="90" name="Line 89">
          <a:extLst>
            <a:ext uri="{FF2B5EF4-FFF2-40B4-BE49-F238E27FC236}">
              <a16:creationId xmlns:a16="http://schemas.microsoft.com/office/drawing/2014/main" id="{47C28ED3-7DCA-4E37-9D37-15A95FF3A391}"/>
            </a:ext>
          </a:extLst>
        </xdr:cNvPr>
        <xdr:cNvSpPr>
          <a:spLocks noChangeShapeType="1"/>
        </xdr:cNvSpPr>
      </xdr:nvSpPr>
      <xdr:spPr bwMode="auto">
        <a:xfrm>
          <a:off x="2076450" y="9982200"/>
          <a:ext cx="74295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56</xdr:row>
      <xdr:rowOff>76200</xdr:rowOff>
    </xdr:from>
    <xdr:to>
      <xdr:col>5</xdr:col>
      <xdr:colOff>7620</xdr:colOff>
      <xdr:row>57</xdr:row>
      <xdr:rowOff>53340</xdr:rowOff>
    </xdr:to>
    <xdr:sp macro="" textlink="">
      <xdr:nvSpPr>
        <xdr:cNvPr id="91" name="Line 90">
          <a:extLst>
            <a:ext uri="{FF2B5EF4-FFF2-40B4-BE49-F238E27FC236}">
              <a16:creationId xmlns:a16="http://schemas.microsoft.com/office/drawing/2014/main" id="{D3ECF313-6FAD-4840-8C7E-449B4BF4A01C}"/>
            </a:ext>
          </a:extLst>
        </xdr:cNvPr>
        <xdr:cNvSpPr>
          <a:spLocks noChangeShapeType="1"/>
        </xdr:cNvSpPr>
      </xdr:nvSpPr>
      <xdr:spPr bwMode="auto">
        <a:xfrm>
          <a:off x="3438525" y="9810750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56</xdr:row>
      <xdr:rowOff>76200</xdr:rowOff>
    </xdr:from>
    <xdr:to>
      <xdr:col>5</xdr:col>
      <xdr:colOff>7620</xdr:colOff>
      <xdr:row>57</xdr:row>
      <xdr:rowOff>53340</xdr:rowOff>
    </xdr:to>
    <xdr:sp macro="" textlink="">
      <xdr:nvSpPr>
        <xdr:cNvPr id="92" name="Line 91">
          <a:extLst>
            <a:ext uri="{FF2B5EF4-FFF2-40B4-BE49-F238E27FC236}">
              <a16:creationId xmlns:a16="http://schemas.microsoft.com/office/drawing/2014/main" id="{02369C9C-DE1A-45AC-A24B-F39C85A0F9FC}"/>
            </a:ext>
          </a:extLst>
        </xdr:cNvPr>
        <xdr:cNvSpPr>
          <a:spLocks noChangeShapeType="1"/>
        </xdr:cNvSpPr>
      </xdr:nvSpPr>
      <xdr:spPr bwMode="auto">
        <a:xfrm>
          <a:off x="3438525" y="9810750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57</xdr:row>
      <xdr:rowOff>53340</xdr:rowOff>
    </xdr:from>
    <xdr:to>
      <xdr:col>5</xdr:col>
      <xdr:colOff>15240</xdr:colOff>
      <xdr:row>58</xdr:row>
      <xdr:rowOff>76200</xdr:rowOff>
    </xdr:to>
    <xdr:sp macro="" textlink="">
      <xdr:nvSpPr>
        <xdr:cNvPr id="93" name="Line 92">
          <a:extLst>
            <a:ext uri="{FF2B5EF4-FFF2-40B4-BE49-F238E27FC236}">
              <a16:creationId xmlns:a16="http://schemas.microsoft.com/office/drawing/2014/main" id="{F138F394-9C93-4946-B641-7CBFC95637E4}"/>
            </a:ext>
          </a:extLst>
        </xdr:cNvPr>
        <xdr:cNvSpPr>
          <a:spLocks noChangeShapeType="1"/>
        </xdr:cNvSpPr>
      </xdr:nvSpPr>
      <xdr:spPr bwMode="auto">
        <a:xfrm flipV="1">
          <a:off x="3429000" y="9963150"/>
          <a:ext cx="628650" cy="1905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58</xdr:row>
      <xdr:rowOff>91440</xdr:rowOff>
    </xdr:from>
    <xdr:to>
      <xdr:col>5</xdr:col>
      <xdr:colOff>7620</xdr:colOff>
      <xdr:row>59</xdr:row>
      <xdr:rowOff>76200</xdr:rowOff>
    </xdr:to>
    <xdr:sp macro="" textlink="">
      <xdr:nvSpPr>
        <xdr:cNvPr id="94" name="Line 93">
          <a:extLst>
            <a:ext uri="{FF2B5EF4-FFF2-40B4-BE49-F238E27FC236}">
              <a16:creationId xmlns:a16="http://schemas.microsoft.com/office/drawing/2014/main" id="{EB255F97-DF3E-4B7E-ACD3-2E1024D89598}"/>
            </a:ext>
          </a:extLst>
        </xdr:cNvPr>
        <xdr:cNvSpPr>
          <a:spLocks noChangeShapeType="1"/>
        </xdr:cNvSpPr>
      </xdr:nvSpPr>
      <xdr:spPr bwMode="auto">
        <a:xfrm>
          <a:off x="3448050" y="10172700"/>
          <a:ext cx="600075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59</xdr:row>
      <xdr:rowOff>76200</xdr:rowOff>
    </xdr:from>
    <xdr:to>
      <xdr:col>7</xdr:col>
      <xdr:colOff>0</xdr:colOff>
      <xdr:row>60</xdr:row>
      <xdr:rowOff>68580</xdr:rowOff>
    </xdr:to>
    <xdr:sp macro="" textlink="">
      <xdr:nvSpPr>
        <xdr:cNvPr id="95" name="Line 94">
          <a:extLst>
            <a:ext uri="{FF2B5EF4-FFF2-40B4-BE49-F238E27FC236}">
              <a16:creationId xmlns:a16="http://schemas.microsoft.com/office/drawing/2014/main" id="{2CCFF02A-C2B2-405C-B410-41EAAC0F087C}"/>
            </a:ext>
          </a:extLst>
        </xdr:cNvPr>
        <xdr:cNvSpPr>
          <a:spLocks noChangeShapeType="1"/>
        </xdr:cNvSpPr>
      </xdr:nvSpPr>
      <xdr:spPr bwMode="auto">
        <a:xfrm>
          <a:off x="4657725" y="10325100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213360</xdr:colOff>
      <xdr:row>53</xdr:row>
      <xdr:rowOff>0</xdr:rowOff>
    </xdr:from>
    <xdr:to>
      <xdr:col>5</xdr:col>
      <xdr:colOff>213360</xdr:colOff>
      <xdr:row>54</xdr:row>
      <xdr:rowOff>99060</xdr:rowOff>
    </xdr:to>
    <xdr:sp macro="" textlink="">
      <xdr:nvSpPr>
        <xdr:cNvPr id="96" name="Line 95">
          <a:extLst>
            <a:ext uri="{FF2B5EF4-FFF2-40B4-BE49-F238E27FC236}">
              <a16:creationId xmlns:a16="http://schemas.microsoft.com/office/drawing/2014/main" id="{1556D005-7C00-42B5-9AEA-7B41FE8F3125}"/>
            </a:ext>
          </a:extLst>
        </xdr:cNvPr>
        <xdr:cNvSpPr>
          <a:spLocks noChangeShapeType="1"/>
        </xdr:cNvSpPr>
      </xdr:nvSpPr>
      <xdr:spPr bwMode="auto">
        <a:xfrm>
          <a:off x="4248150" y="9220200"/>
          <a:ext cx="0" cy="2667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373380</xdr:colOff>
      <xdr:row>58</xdr:row>
      <xdr:rowOff>30480</xdr:rowOff>
    </xdr:from>
    <xdr:to>
      <xdr:col>5</xdr:col>
      <xdr:colOff>175260</xdr:colOff>
      <xdr:row>61</xdr:row>
      <xdr:rowOff>7620</xdr:rowOff>
    </xdr:to>
    <xdr:sp macro="" textlink="">
      <xdr:nvSpPr>
        <xdr:cNvPr id="97" name="Line 96">
          <a:extLst>
            <a:ext uri="{FF2B5EF4-FFF2-40B4-BE49-F238E27FC236}">
              <a16:creationId xmlns:a16="http://schemas.microsoft.com/office/drawing/2014/main" id="{0E1811AC-557E-418B-B1CB-02A21C04AF03}"/>
            </a:ext>
          </a:extLst>
        </xdr:cNvPr>
        <xdr:cNvSpPr>
          <a:spLocks noChangeShapeType="1"/>
        </xdr:cNvSpPr>
      </xdr:nvSpPr>
      <xdr:spPr bwMode="auto">
        <a:xfrm flipV="1">
          <a:off x="3800475" y="10106025"/>
          <a:ext cx="409575" cy="495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76200</xdr:colOff>
      <xdr:row>22</xdr:row>
      <xdr:rowOff>15240</xdr:rowOff>
    </xdr:from>
    <xdr:to>
      <xdr:col>12</xdr:col>
      <xdr:colOff>45720</xdr:colOff>
      <xdr:row>23</xdr:row>
      <xdr:rowOff>38100</xdr:rowOff>
    </xdr:to>
    <xdr:sp macro="" textlink="">
      <xdr:nvSpPr>
        <xdr:cNvPr id="98" name="Text Box 97">
          <a:extLst>
            <a:ext uri="{FF2B5EF4-FFF2-40B4-BE49-F238E27FC236}">
              <a16:creationId xmlns:a16="http://schemas.microsoft.com/office/drawing/2014/main" id="{4C0FD72C-1AAF-4BCE-A2E6-28FA240133F3}"/>
            </a:ext>
          </a:extLst>
        </xdr:cNvPr>
        <xdr:cNvSpPr txBox="1">
          <a:spLocks noChangeArrowheads="1"/>
        </xdr:cNvSpPr>
      </xdr:nvSpPr>
      <xdr:spPr bwMode="auto">
        <a:xfrm>
          <a:off x="5943600" y="3933825"/>
          <a:ext cx="240982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=MAX(q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u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*H26+q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d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*H28,MAX(F17-E5,0))</a:t>
          </a:r>
        </a:p>
      </xdr:txBody>
    </xdr:sp>
    <xdr:clientData/>
  </xdr:twoCellAnchor>
  <xdr:twoCellAnchor>
    <xdr:from>
      <xdr:col>5</xdr:col>
      <xdr:colOff>419100</xdr:colOff>
      <xdr:row>23</xdr:row>
      <xdr:rowOff>60960</xdr:rowOff>
    </xdr:from>
    <xdr:to>
      <xdr:col>8</xdr:col>
      <xdr:colOff>76200</xdr:colOff>
      <xdr:row>26</xdr:row>
      <xdr:rowOff>7620</xdr:rowOff>
    </xdr:to>
    <xdr:sp macro="" textlink="">
      <xdr:nvSpPr>
        <xdr:cNvPr id="99" name="Line 98">
          <a:extLst>
            <a:ext uri="{FF2B5EF4-FFF2-40B4-BE49-F238E27FC236}">
              <a16:creationId xmlns:a16="http://schemas.microsoft.com/office/drawing/2014/main" id="{2E67809E-91CB-4C2C-827A-9B0E09DBB99F}"/>
            </a:ext>
          </a:extLst>
        </xdr:cNvPr>
        <xdr:cNvSpPr>
          <a:spLocks noChangeShapeType="1"/>
        </xdr:cNvSpPr>
      </xdr:nvSpPr>
      <xdr:spPr bwMode="auto">
        <a:xfrm flipH="1">
          <a:off x="4457700" y="4143375"/>
          <a:ext cx="1485900" cy="4667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281940</xdr:colOff>
      <xdr:row>35</xdr:row>
      <xdr:rowOff>91440</xdr:rowOff>
    </xdr:from>
    <xdr:to>
      <xdr:col>10</xdr:col>
      <xdr:colOff>114300</xdr:colOff>
      <xdr:row>38</xdr:row>
      <xdr:rowOff>30480</xdr:rowOff>
    </xdr:to>
    <xdr:sp macro="" textlink="">
      <xdr:nvSpPr>
        <xdr:cNvPr id="100" name="Text Box 99">
          <a:extLst>
            <a:ext uri="{FF2B5EF4-FFF2-40B4-BE49-F238E27FC236}">
              <a16:creationId xmlns:a16="http://schemas.microsoft.com/office/drawing/2014/main" id="{7848846F-CBD0-44B0-918F-EF0683519856}"/>
            </a:ext>
          </a:extLst>
        </xdr:cNvPr>
        <xdr:cNvSpPr txBox="1">
          <a:spLocks noChangeArrowheads="1"/>
        </xdr:cNvSpPr>
      </xdr:nvSpPr>
      <xdr:spPr bwMode="auto">
        <a:xfrm>
          <a:off x="5543550" y="6238875"/>
          <a:ext cx="1657350" cy="447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=IF(q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u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*H26+q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d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*H28&gt;=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MAX(F17-E5,0),"no","yes")</a:t>
          </a:r>
        </a:p>
      </xdr:txBody>
    </xdr:sp>
    <xdr:clientData/>
  </xdr:twoCellAnchor>
  <xdr:twoCellAnchor>
    <xdr:from>
      <xdr:col>5</xdr:col>
      <xdr:colOff>381000</xdr:colOff>
      <xdr:row>35</xdr:row>
      <xdr:rowOff>0</xdr:rowOff>
    </xdr:from>
    <xdr:to>
      <xdr:col>7</xdr:col>
      <xdr:colOff>281940</xdr:colOff>
      <xdr:row>37</xdr:row>
      <xdr:rowOff>7620</xdr:rowOff>
    </xdr:to>
    <xdr:sp macro="" textlink="">
      <xdr:nvSpPr>
        <xdr:cNvPr id="101" name="Line 100">
          <a:extLst>
            <a:ext uri="{FF2B5EF4-FFF2-40B4-BE49-F238E27FC236}">
              <a16:creationId xmlns:a16="http://schemas.microsoft.com/office/drawing/2014/main" id="{79033BBC-74C0-4DF0-9FAA-EDDCDA5FAF06}"/>
            </a:ext>
          </a:extLst>
        </xdr:cNvPr>
        <xdr:cNvSpPr>
          <a:spLocks noChangeShapeType="1"/>
        </xdr:cNvSpPr>
      </xdr:nvSpPr>
      <xdr:spPr bwMode="auto">
        <a:xfrm flipH="1" flipV="1">
          <a:off x="4419600" y="6143625"/>
          <a:ext cx="1123950" cy="352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243840</xdr:colOff>
      <xdr:row>30</xdr:row>
      <xdr:rowOff>106680</xdr:rowOff>
    </xdr:from>
    <xdr:to>
      <xdr:col>2</xdr:col>
      <xdr:colOff>297180</xdr:colOff>
      <xdr:row>33</xdr:row>
      <xdr:rowOff>15240</xdr:rowOff>
    </xdr:to>
    <xdr:sp macro="" textlink="">
      <xdr:nvSpPr>
        <xdr:cNvPr id="102" name="Text Box 101">
          <a:extLst>
            <a:ext uri="{FF2B5EF4-FFF2-40B4-BE49-F238E27FC236}">
              <a16:creationId xmlns:a16="http://schemas.microsoft.com/office/drawing/2014/main" id="{71490F3C-0E69-4E22-9D28-EC6660697C38}"/>
            </a:ext>
          </a:extLst>
        </xdr:cNvPr>
        <xdr:cNvSpPr txBox="1">
          <a:spLocks noChangeArrowheads="1"/>
        </xdr:cNvSpPr>
      </xdr:nvSpPr>
      <xdr:spPr bwMode="auto">
        <a:xfrm>
          <a:off x="247650" y="5391150"/>
          <a:ext cx="2257425" cy="428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=MAX(q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u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*F29+q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d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*F31,MAX(D20-E4,0))</a:t>
          </a:r>
        </a:p>
      </xdr:txBody>
    </xdr:sp>
    <xdr:clientData/>
  </xdr:twoCellAnchor>
  <xdr:twoCellAnchor>
    <xdr:from>
      <xdr:col>2</xdr:col>
      <xdr:colOff>266700</xdr:colOff>
      <xdr:row>30</xdr:row>
      <xdr:rowOff>7620</xdr:rowOff>
    </xdr:from>
    <xdr:to>
      <xdr:col>3</xdr:col>
      <xdr:colOff>312420</xdr:colOff>
      <xdr:row>31</xdr:row>
      <xdr:rowOff>83820</xdr:rowOff>
    </xdr:to>
    <xdr:sp macro="" textlink="">
      <xdr:nvSpPr>
        <xdr:cNvPr id="103" name="Line 102">
          <a:extLst>
            <a:ext uri="{FF2B5EF4-FFF2-40B4-BE49-F238E27FC236}">
              <a16:creationId xmlns:a16="http://schemas.microsoft.com/office/drawing/2014/main" id="{88C65E90-042C-4DAC-9298-4AAAEC75F181}"/>
            </a:ext>
          </a:extLst>
        </xdr:cNvPr>
        <xdr:cNvSpPr>
          <a:spLocks noChangeShapeType="1"/>
        </xdr:cNvSpPr>
      </xdr:nvSpPr>
      <xdr:spPr bwMode="auto">
        <a:xfrm flipV="1">
          <a:off x="2476500" y="5295900"/>
          <a:ext cx="657225" cy="2476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13</xdr:col>
      <xdr:colOff>525780</xdr:colOff>
      <xdr:row>0</xdr:row>
      <xdr:rowOff>144780</xdr:rowOff>
    </xdr:from>
    <xdr:to>
      <xdr:col>28</xdr:col>
      <xdr:colOff>304800</xdr:colOff>
      <xdr:row>64</xdr:row>
      <xdr:rowOff>53340</xdr:rowOff>
    </xdr:to>
    <xdr:pic>
      <xdr:nvPicPr>
        <xdr:cNvPr id="104" name="图片 103">
          <a:extLst>
            <a:ext uri="{FF2B5EF4-FFF2-40B4-BE49-F238E27FC236}">
              <a16:creationId xmlns:a16="http://schemas.microsoft.com/office/drawing/2014/main" id="{C42C00C1-6948-4CC3-4E25-66BD5E553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41180" y="144780"/>
          <a:ext cx="8923020" cy="113080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 and 2"/>
      <sheetName val="Exercise 1 and 2 中文"/>
      <sheetName val="Exercise 3"/>
      <sheetName val="Exercise 3 中文"/>
      <sheetName val="Exercise 4"/>
      <sheetName val="Exercise 4 中文"/>
      <sheetName val="Exercise 5"/>
      <sheetName val="VBA for Exercises 4-5"/>
      <sheetName val="Exercise 5 中文"/>
      <sheetName val="Exercise 6 template"/>
      <sheetName val="Exercise 6 template 中文"/>
      <sheetName val="Exercise 6"/>
      <sheetName val="Exercise 6 中文"/>
      <sheetName val="Exercise 7"/>
      <sheetName val="Exercise 7 中文"/>
      <sheetName val="Exercise 8"/>
      <sheetName val="Exercise 8 中文"/>
      <sheetName val="Exercise 9"/>
      <sheetName val="Exercise 9 中文"/>
      <sheetName val="Exercise 10"/>
      <sheetName val="Exercise 10 中文"/>
      <sheetName val="Graph for Exercise 10"/>
      <sheetName val="Graph for Exercise 10 中文"/>
      <sheetName val="Exercise 11"/>
      <sheetName val="VBA for Exercise 5"/>
      <sheetName val="Exercise 11 中文"/>
      <sheetName val="Exercises 12 and 13"/>
      <sheetName val="Exercises 12 and 13 中文"/>
      <sheetName val="Exercise 14"/>
      <sheetName val="Exercise 14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3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M64"/>
  <sheetViews>
    <sheetView tabSelected="1" zoomScale="130" zoomScaleNormal="130" workbookViewId="0">
      <selection activeCell="K14" sqref="K14"/>
    </sheetView>
  </sheetViews>
  <sheetFormatPr defaultRowHeight="13.8" x14ac:dyDescent="0.25"/>
  <cols>
    <col min="1" max="1" width="23.33203125" style="2" customWidth="1"/>
    <col min="2" max="13" width="8.88671875" style="2"/>
  </cols>
  <sheetData>
    <row r="1" spans="1:8" ht="15.6" x14ac:dyDescent="0.3">
      <c r="A1" s="1" t="s">
        <v>0</v>
      </c>
      <c r="B1" s="1"/>
      <c r="C1" s="1"/>
      <c r="D1" s="1"/>
      <c r="E1" s="1"/>
      <c r="F1" s="1"/>
    </row>
    <row r="3" spans="1:8" x14ac:dyDescent="0.25">
      <c r="A3" s="2" t="s">
        <v>1</v>
      </c>
      <c r="B3" s="2">
        <v>50</v>
      </c>
      <c r="D3" s="3" t="s">
        <v>2</v>
      </c>
      <c r="E3" s="3"/>
      <c r="G3" s="4"/>
    </row>
    <row r="4" spans="1:8" x14ac:dyDescent="0.25">
      <c r="A4" s="2" t="s">
        <v>3</v>
      </c>
      <c r="B4" s="5">
        <v>1.25</v>
      </c>
      <c r="D4" s="2" t="s">
        <v>4</v>
      </c>
      <c r="E4" s="2">
        <v>55</v>
      </c>
      <c r="H4" s="2">
        <v>55</v>
      </c>
    </row>
    <row r="5" spans="1:8" x14ac:dyDescent="0.25">
      <c r="A5" s="2" t="s">
        <v>5</v>
      </c>
      <c r="B5" s="5">
        <v>0.9</v>
      </c>
      <c r="D5" s="2" t="s">
        <v>6</v>
      </c>
      <c r="E5" s="2">
        <v>60</v>
      </c>
      <c r="F5" s="2">
        <f>E5/E4</f>
        <v>1.0909090909090908</v>
      </c>
      <c r="H5" s="2">
        <v>60</v>
      </c>
    </row>
    <row r="6" spans="1:8" x14ac:dyDescent="0.25">
      <c r="A6" s="2" t="s">
        <v>7</v>
      </c>
      <c r="B6" s="5">
        <v>1.06</v>
      </c>
      <c r="D6" s="2" t="s">
        <v>8</v>
      </c>
      <c r="E6" s="2">
        <v>65</v>
      </c>
      <c r="F6" s="2">
        <f>E6/E5</f>
        <v>1.0833333333333333</v>
      </c>
      <c r="H6" s="2">
        <v>65</v>
      </c>
    </row>
    <row r="8" spans="1:8" x14ac:dyDescent="0.25">
      <c r="A8" s="4" t="s">
        <v>9</v>
      </c>
    </row>
    <row r="9" spans="1:8" ht="15.6" x14ac:dyDescent="0.35">
      <c r="A9" s="2" t="s">
        <v>10</v>
      </c>
      <c r="B9" s="6">
        <f>(B6-B5)/(B6*(B4-B5))</f>
        <v>0.43126684636118606</v>
      </c>
    </row>
    <row r="10" spans="1:8" ht="15.6" x14ac:dyDescent="0.35">
      <c r="A10" s="2" t="s">
        <v>11</v>
      </c>
      <c r="B10" s="6">
        <f>(B4-B6)/(B6*(B4-B5))</f>
        <v>0.51212938005390818</v>
      </c>
    </row>
    <row r="12" spans="1:8" x14ac:dyDescent="0.25">
      <c r="A12" s="4" t="s">
        <v>12</v>
      </c>
    </row>
    <row r="13" spans="1:8" ht="15.6" x14ac:dyDescent="0.35">
      <c r="A13" s="2" t="s">
        <v>13</v>
      </c>
      <c r="B13" s="2">
        <f>1/(B9+B10)</f>
        <v>1.06</v>
      </c>
    </row>
    <row r="14" spans="1:8" ht="15.6" x14ac:dyDescent="0.35">
      <c r="A14" s="2" t="s">
        <v>14</v>
      </c>
      <c r="B14" s="2">
        <f>B9*B4+B10*B5</f>
        <v>1</v>
      </c>
    </row>
    <row r="16" spans="1:8" x14ac:dyDescent="0.25">
      <c r="B16" s="7" t="s">
        <v>15</v>
      </c>
      <c r="C16" s="8"/>
      <c r="D16" s="8"/>
      <c r="E16" s="8"/>
      <c r="F16" s="8"/>
      <c r="G16" s="8"/>
      <c r="H16" s="9">
        <f>F17*B4</f>
        <v>97.65625</v>
      </c>
    </row>
    <row r="17" spans="1:13" x14ac:dyDescent="0.25">
      <c r="B17" s="8"/>
      <c r="C17" s="8"/>
      <c r="D17" s="8"/>
      <c r="E17" s="8"/>
      <c r="F17" s="9">
        <f>D18*B4</f>
        <v>78.125</v>
      </c>
      <c r="G17" s="8"/>
      <c r="H17" s="9"/>
    </row>
    <row r="18" spans="1:13" x14ac:dyDescent="0.25">
      <c r="B18" s="8"/>
      <c r="C18" s="8"/>
      <c r="D18" s="9">
        <f>B19*B4</f>
        <v>62.5</v>
      </c>
      <c r="E18" s="8"/>
      <c r="F18" s="9"/>
      <c r="G18" s="8"/>
      <c r="H18" s="9">
        <f>F17*B5</f>
        <v>70.3125</v>
      </c>
    </row>
    <row r="19" spans="1:13" x14ac:dyDescent="0.25">
      <c r="B19" s="9">
        <f>B3</f>
        <v>50</v>
      </c>
      <c r="C19" s="8"/>
      <c r="D19" s="9"/>
      <c r="E19" s="8"/>
      <c r="F19" s="9">
        <f>D18*B5</f>
        <v>56.25</v>
      </c>
      <c r="G19" s="8"/>
      <c r="H19" s="9"/>
    </row>
    <row r="20" spans="1:13" x14ac:dyDescent="0.25">
      <c r="B20" s="8"/>
      <c r="C20" s="8"/>
      <c r="D20" s="9">
        <f>B19*B5</f>
        <v>45</v>
      </c>
      <c r="E20" s="8"/>
      <c r="F20" s="9"/>
      <c r="G20" s="8"/>
      <c r="H20" s="9">
        <f>F19*B5</f>
        <v>50.625</v>
      </c>
    </row>
    <row r="21" spans="1:13" x14ac:dyDescent="0.25">
      <c r="B21" s="8"/>
      <c r="C21" s="8"/>
      <c r="D21" s="8"/>
      <c r="E21" s="8"/>
      <c r="F21" s="9">
        <f>D20*B5</f>
        <v>40.5</v>
      </c>
      <c r="G21" s="8"/>
      <c r="H21" s="9"/>
    </row>
    <row r="22" spans="1:13" x14ac:dyDescent="0.25">
      <c r="B22" s="8"/>
      <c r="C22" s="8"/>
      <c r="D22" s="8"/>
      <c r="E22" s="8"/>
      <c r="F22" s="8"/>
      <c r="G22" s="8"/>
      <c r="H22" s="9">
        <f>F21*B5</f>
        <v>36.450000000000003</v>
      </c>
    </row>
    <row r="23" spans="1:13" x14ac:dyDescent="0.25">
      <c r="B23" s="8"/>
      <c r="C23" s="8"/>
      <c r="D23" s="8"/>
      <c r="E23" s="8"/>
      <c r="F23" s="8"/>
      <c r="G23" s="8"/>
      <c r="H23" s="8"/>
    </row>
    <row r="24" spans="1:13" x14ac:dyDescent="0.25">
      <c r="A24" s="4"/>
      <c r="B24" s="7" t="s">
        <v>16</v>
      </c>
      <c r="C24" s="7"/>
      <c r="D24" s="7" t="s">
        <v>4</v>
      </c>
      <c r="E24" s="7"/>
      <c r="F24" s="7" t="s">
        <v>6</v>
      </c>
      <c r="G24" s="7"/>
      <c r="H24" s="7" t="s">
        <v>8</v>
      </c>
      <c r="I24" s="4"/>
      <c r="J24" s="4"/>
      <c r="K24" s="4"/>
      <c r="L24" s="4"/>
      <c r="M24" s="4"/>
    </row>
    <row r="26" spans="1:13" x14ac:dyDescent="0.25">
      <c r="B26" s="4" t="s">
        <v>17</v>
      </c>
      <c r="H26" s="10">
        <f>MAX(H16-E6,0)</f>
        <v>32.65625</v>
      </c>
    </row>
    <row r="27" spans="1:13" x14ac:dyDescent="0.25">
      <c r="F27" s="10">
        <f>MAX(B9*H26+B10*H28,MAX(F17-E5,0))</f>
        <v>18.125</v>
      </c>
      <c r="H27" s="10"/>
    </row>
    <row r="28" spans="1:13" x14ac:dyDescent="0.25">
      <c r="D28" s="10">
        <f>MAX(B9*F27+B10*F29,MAX(D18-E4,0))</f>
        <v>8.9900538357030264</v>
      </c>
      <c r="F28" s="10"/>
      <c r="H28" s="10">
        <f>MAX(H18-E6,0)</f>
        <v>5.3125</v>
      </c>
    </row>
    <row r="29" spans="1:13" x14ac:dyDescent="0.25">
      <c r="B29" s="10">
        <f>B9*D28+B10*D30</f>
        <v>4.3831357762197545</v>
      </c>
      <c r="D29" s="10"/>
      <c r="F29" s="10">
        <f>MAX(B9*H28+B10*H30,MAX(F19-E5,0))</f>
        <v>2.2911051212938012</v>
      </c>
      <c r="H29" s="10"/>
    </row>
    <row r="30" spans="1:13" x14ac:dyDescent="0.25">
      <c r="D30" s="10">
        <f>MAX(B9*F29+B10*F31,MAX(D20-E4,0))</f>
        <v>0.98807768034234034</v>
      </c>
      <c r="F30" s="10"/>
      <c r="H30" s="10">
        <f>MAX(H20-E6,0)</f>
        <v>0</v>
      </c>
    </row>
    <row r="31" spans="1:13" x14ac:dyDescent="0.25">
      <c r="F31" s="10">
        <f>MAX(B9*H30+B10*H32,MAX(F21-E5,0))</f>
        <v>0</v>
      </c>
      <c r="H31" s="10"/>
    </row>
    <row r="32" spans="1:13" x14ac:dyDescent="0.25">
      <c r="H32" s="10">
        <f>MAX(H22-E6,0)</f>
        <v>0</v>
      </c>
    </row>
    <row r="34" spans="2:10" x14ac:dyDescent="0.25">
      <c r="B34" s="4" t="s">
        <v>18</v>
      </c>
    </row>
    <row r="35" spans="2:10" x14ac:dyDescent="0.25">
      <c r="F35" s="8" t="str">
        <f>IF(B9*H26+B10*H28&gt;=MAX(F17-E5,0),"no","yes")</f>
        <v>yes</v>
      </c>
      <c r="J35" s="6"/>
    </row>
    <row r="36" spans="2:10" x14ac:dyDescent="0.25">
      <c r="D36" s="8" t="str">
        <f>IF(B9*F27+B10*F29&gt;=MAX(D18-E4,0),"no","yes")</f>
        <v>no</v>
      </c>
    </row>
    <row r="37" spans="2:10" x14ac:dyDescent="0.25">
      <c r="B37" s="6"/>
      <c r="F37" s="8" t="str">
        <f>IF(B9*H28+B10*H30&gt;=MAX(F19-E5,0),"no","yes")</f>
        <v>no</v>
      </c>
      <c r="J37" s="6"/>
    </row>
    <row r="38" spans="2:10" x14ac:dyDescent="0.25">
      <c r="D38" s="8" t="str">
        <f>IF(B9*F29+B10*F31&gt;=MAX(D20-E4,0),"no","yes")</f>
        <v>no</v>
      </c>
    </row>
    <row r="39" spans="2:10" x14ac:dyDescent="0.25">
      <c r="F39" s="8" t="str">
        <f>IF(B9*H30+B10*H32&gt;=MAX(F21-E5,0),"no","yes")</f>
        <v>no</v>
      </c>
      <c r="J39" s="6"/>
    </row>
    <row r="41" spans="2:10" x14ac:dyDescent="0.25">
      <c r="J41" s="6"/>
    </row>
    <row r="42" spans="2:10" x14ac:dyDescent="0.25">
      <c r="B42" s="4" t="s">
        <v>19</v>
      </c>
      <c r="H42" s="6">
        <f>MAX(H16-E6,0)</f>
        <v>32.65625</v>
      </c>
    </row>
    <row r="43" spans="2:10" x14ac:dyDescent="0.25">
      <c r="F43" s="8"/>
    </row>
    <row r="44" spans="2:10" x14ac:dyDescent="0.25">
      <c r="D44" s="8"/>
      <c r="H44" s="6">
        <f>MAX(H18-E6,0)</f>
        <v>5.3125</v>
      </c>
    </row>
    <row r="45" spans="2:10" x14ac:dyDescent="0.25">
      <c r="B45" s="6"/>
      <c r="F45" s="8"/>
    </row>
    <row r="46" spans="2:10" x14ac:dyDescent="0.25">
      <c r="D46" s="8"/>
      <c r="H46" s="6">
        <f>MAX(H20-E6,0)</f>
        <v>0</v>
      </c>
    </row>
    <row r="47" spans="2:10" x14ac:dyDescent="0.25">
      <c r="F47" s="8"/>
    </row>
    <row r="48" spans="2:10" x14ac:dyDescent="0.25">
      <c r="H48" s="6">
        <f>MAX(H22-E6,0)</f>
        <v>0</v>
      </c>
    </row>
    <row r="51" spans="2:8" ht="14.4" thickBot="1" x14ac:dyDescent="0.3"/>
    <row r="52" spans="2:8" ht="14.4" thickTop="1" x14ac:dyDescent="0.25">
      <c r="E52" s="11" t="s">
        <v>20</v>
      </c>
      <c r="F52" s="15">
        <f>MAX(F17-E5,0)</f>
        <v>18.125</v>
      </c>
    </row>
    <row r="53" spans="2:8" ht="14.4" thickBot="1" x14ac:dyDescent="0.3">
      <c r="E53" s="13" t="s">
        <v>21</v>
      </c>
      <c r="F53" s="14">
        <f>B9*H55+B10*H57</f>
        <v>16.804245283018869</v>
      </c>
    </row>
    <row r="54" spans="2:8" ht="14.4" thickTop="1" x14ac:dyDescent="0.25"/>
    <row r="55" spans="2:8" x14ac:dyDescent="0.25">
      <c r="B55" s="4" t="s">
        <v>22</v>
      </c>
      <c r="H55" s="10">
        <f>MAX(H16-E6,0)</f>
        <v>32.65625</v>
      </c>
    </row>
    <row r="56" spans="2:8" x14ac:dyDescent="0.25">
      <c r="F56" s="9">
        <f>MAX(B9*H55+B10*H57,MAX(F17-E5,0))</f>
        <v>18.125</v>
      </c>
      <c r="H56" s="10"/>
    </row>
    <row r="57" spans="2:8" x14ac:dyDescent="0.25">
      <c r="D57" s="8"/>
      <c r="H57" s="10">
        <f>MAX(H18-E6,0)</f>
        <v>5.3125</v>
      </c>
    </row>
    <row r="58" spans="2:8" x14ac:dyDescent="0.25">
      <c r="B58" s="6"/>
      <c r="F58" s="9">
        <f>MAX(B9*H57+B10*H59,MAX(F19-E5,0))</f>
        <v>2.2911051212938012</v>
      </c>
      <c r="H58" s="10"/>
    </row>
    <row r="59" spans="2:8" x14ac:dyDescent="0.25">
      <c r="D59" s="8"/>
      <c r="H59" s="10">
        <f>MAX(H20-E6,0)</f>
        <v>0</v>
      </c>
    </row>
    <row r="60" spans="2:8" x14ac:dyDescent="0.25">
      <c r="F60" s="9">
        <f>MAX(B9*H59+B10*H61,MAX(F21-E5,0))</f>
        <v>0</v>
      </c>
      <c r="H60" s="10"/>
    </row>
    <row r="61" spans="2:8" ht="14.4" thickBot="1" x14ac:dyDescent="0.3">
      <c r="H61" s="10">
        <f>MAX(H22-E6,0)</f>
        <v>0</v>
      </c>
    </row>
    <row r="62" spans="2:8" ht="14.4" thickTop="1" x14ac:dyDescent="0.25">
      <c r="D62" s="11" t="s">
        <v>20</v>
      </c>
      <c r="E62" s="12">
        <f>MAX(F20-E5,0)</f>
        <v>0</v>
      </c>
    </row>
    <row r="63" spans="2:8" ht="14.4" thickBot="1" x14ac:dyDescent="0.3">
      <c r="D63" s="13" t="s">
        <v>21</v>
      </c>
      <c r="E63" s="14">
        <f>B9*H57+B10*H59</f>
        <v>2.2911051212938012</v>
      </c>
    </row>
    <row r="64" spans="2:8" ht="14.4" thickTop="1" x14ac:dyDescent="0.25"/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2024-11-22T03:33:10Z</dcterms:modified>
</cp:coreProperties>
</file>