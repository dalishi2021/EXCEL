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practice\"/>
    </mc:Choice>
  </mc:AlternateContent>
  <xr:revisionPtr revIDLastSave="0" documentId="13_ncr:1_{2FC6B920-963D-465B-8BDC-9044C25AC34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B12" i="1"/>
  <c r="C12" i="1" s="1"/>
  <c r="B11" i="1"/>
  <c r="C11" i="1" s="1"/>
  <c r="E5" i="1"/>
  <c r="E13" i="1" s="1"/>
  <c r="E4" i="1"/>
  <c r="I4" i="1" s="1"/>
  <c r="C15" i="1"/>
  <c r="D13" i="1"/>
  <c r="D12" i="1"/>
  <c r="D11" i="1"/>
  <c r="F5" i="1"/>
  <c r="F4" i="1"/>
  <c r="B15" i="1" l="1"/>
  <c r="E12" i="1"/>
  <c r="I5" i="1"/>
  <c r="E11" i="1"/>
</calcChain>
</file>

<file path=xl/sharedStrings.xml><?xml version="1.0" encoding="utf-8"?>
<sst xmlns="http://schemas.openxmlformats.org/spreadsheetml/2006/main" count="21" uniqueCount="21">
  <si>
    <t>PRICING THE BISCO STOCK DERIVATIVE</t>
  </si>
  <si>
    <t>Up, U</t>
  </si>
  <si>
    <t>Down, D</t>
  </si>
  <si>
    <t>State prices</t>
  </si>
  <si>
    <t>Check</t>
  </si>
  <si>
    <r>
      <t>q</t>
    </r>
    <r>
      <rPr>
        <vertAlign val="subscript"/>
        <sz val="10"/>
        <rFont val="Arial"/>
        <family val="2"/>
      </rPr>
      <t>u</t>
    </r>
  </si>
  <si>
    <r>
      <t>1/(q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)</t>
    </r>
  </si>
  <si>
    <t>Initial stock price</t>
  </si>
  <si>
    <r>
      <t>q</t>
    </r>
    <r>
      <rPr>
        <vertAlign val="subscript"/>
        <sz val="10"/>
        <rFont val="Arial"/>
        <family val="2"/>
      </rPr>
      <t>d</t>
    </r>
  </si>
  <si>
    <r>
      <t>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*U+q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*D</t>
    </r>
  </si>
  <si>
    <t>Interest rate, R</t>
  </si>
  <si>
    <t>Exercise price</t>
  </si>
  <si>
    <t>Date 2 prices and security payoffs</t>
  </si>
  <si>
    <t>Bisco moves:</t>
  </si>
  <si>
    <t>Bisco price</t>
  </si>
  <si>
    <t>Security pays off</t>
  </si>
  <si>
    <t>State price</t>
  </si>
  <si>
    <t>Up, Up</t>
  </si>
  <si>
    <t>Up, Down</t>
  </si>
  <si>
    <t>Down, Down</t>
  </si>
  <si>
    <t>Value of Bisco
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</si>
</sst>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2" fontId="0" fillId="0" borderId="0" xfId="0" applyNumberFormat="1" applyAlignment="1"/>
    <xf numFmtId="176" fontId="0" fillId="0" borderId="0" xfId="0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 vertical="center" wrapText="1"/>
    </xf>
    <xf numFmtId="3" fontId="0" fillId="0" borderId="0" xfId="0" applyNumberFormat="1" applyAlignment="1"/>
    <xf numFmtId="0" fontId="0" fillId="2" borderId="0" xfId="0" applyFill="1" applyAlignment="1">
      <alignment wrapText="1"/>
    </xf>
    <xf numFmtId="177" fontId="0" fillId="2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464820</xdr:colOff>
      <xdr:row>4</xdr:row>
      <xdr:rowOff>114300</xdr:rowOff>
    </xdr:from>
    <xdr:to>
      <xdr:col>23</xdr:col>
      <xdr:colOff>381000</xdr:colOff>
      <xdr:row>20</xdr:row>
      <xdr:rowOff>135255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497B66D-4C1B-6131-F716-8AB27BD836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907780" y="883920"/>
          <a:ext cx="7840980" cy="31927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and 2"/>
      <sheetName val="Exercise 1 and 2 中文"/>
      <sheetName val="Exercise 3"/>
      <sheetName val="Exercise 3 中文"/>
      <sheetName val="Exercise 4"/>
      <sheetName val="Exercise 4 中文"/>
      <sheetName val="Exercise 5"/>
      <sheetName val="VBA for Exercises 4-5"/>
      <sheetName val="Exercise 5 中文"/>
      <sheetName val="Exercise 6 template"/>
      <sheetName val="Exercise 6 template 中文"/>
      <sheetName val="Exercise 6"/>
      <sheetName val="Exercise 6 中文"/>
      <sheetName val="Exercise 7"/>
      <sheetName val="Exercise 7 中文"/>
      <sheetName val="Exercise 8"/>
      <sheetName val="Exercise 8 中文"/>
      <sheetName val="Exercise 9"/>
      <sheetName val="Exercise 9 中文"/>
      <sheetName val="Exercise 10"/>
      <sheetName val="Exercise 10 中文"/>
      <sheetName val="Graph for Exercise 10"/>
      <sheetName val="Graph for Exercise 10 中文"/>
      <sheetName val="Exercise 11"/>
      <sheetName val="VBA for Exercise 5"/>
      <sheetName val="Exercise 11 中文"/>
      <sheetName val="Exercises 12 and 13"/>
      <sheetName val="Exercises 12 and 13 中文"/>
      <sheetName val="Exercise 14"/>
      <sheetName val="Exercise 14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3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I15"/>
  <sheetViews>
    <sheetView tabSelected="1" zoomScale="145" zoomScaleNormal="145" workbookViewId="0">
      <selection activeCell="G10" sqref="G10"/>
    </sheetView>
  </sheetViews>
  <sheetFormatPr defaultRowHeight="13.8" x14ac:dyDescent="0.25"/>
  <cols>
    <col min="1" max="1" width="16.44140625" style="2" customWidth="1"/>
    <col min="2" max="3" width="8.88671875" style="2"/>
    <col min="4" max="4" width="26.77734375" style="2" customWidth="1"/>
    <col min="5" max="5" width="8.88671875" style="2"/>
    <col min="6" max="6" width="23.33203125" style="2" bestFit="1" customWidth="1"/>
    <col min="7" max="7" width="5.44140625" style="2" customWidth="1"/>
    <col min="8" max="8" width="11" style="2" customWidth="1"/>
    <col min="9" max="9" width="8.88671875" style="2"/>
  </cols>
  <sheetData>
    <row r="1" spans="1:9" ht="17.399999999999999" x14ac:dyDescent="0.3">
      <c r="A1" s="1" t="s">
        <v>0</v>
      </c>
      <c r="B1" s="1"/>
      <c r="C1" s="1"/>
      <c r="D1" s="1"/>
      <c r="E1" s="1"/>
      <c r="F1" s="1"/>
    </row>
    <row r="2" spans="1:9" x14ac:dyDescent="0.25">
      <c r="A2" s="2" t="s">
        <v>1</v>
      </c>
      <c r="B2" s="3">
        <v>1.5</v>
      </c>
    </row>
    <row r="3" spans="1:9" x14ac:dyDescent="0.25">
      <c r="A3" s="2" t="s">
        <v>2</v>
      </c>
      <c r="B3" s="3">
        <v>0.8</v>
      </c>
      <c r="D3" s="2" t="s">
        <v>3</v>
      </c>
      <c r="H3" s="2" t="s">
        <v>4</v>
      </c>
    </row>
    <row r="4" spans="1:9" ht="15.6" x14ac:dyDescent="0.35">
      <c r="D4" s="2" t="s">
        <v>5</v>
      </c>
      <c r="E4" s="4">
        <f>(B6-B3)/(B6*(B2-B3))</f>
        <v>0.37037037037037041</v>
      </c>
      <c r="F4" s="2" t="str">
        <f ca="1">[2]!getformula(E4)</f>
        <v>&lt;--  =(B6-B3)/(B6*(B2-B3))</v>
      </c>
      <c r="H4" s="2" t="s">
        <v>6</v>
      </c>
      <c r="I4" s="2">
        <f>1/(E4+E5)</f>
        <v>1.08</v>
      </c>
    </row>
    <row r="5" spans="1:9" ht="15.6" x14ac:dyDescent="0.35">
      <c r="A5" s="2" t="s">
        <v>7</v>
      </c>
      <c r="B5" s="2">
        <v>3</v>
      </c>
      <c r="D5" s="2" t="s">
        <v>8</v>
      </c>
      <c r="E5" s="4">
        <f>(B2-B6)/(B6*(B2-B3))</f>
        <v>0.55555555555555547</v>
      </c>
      <c r="F5" s="2" t="str">
        <f ca="1">[2]!getformula(E5)</f>
        <v>&lt;--  =(B2-B6)/(B6*(B2-B3))</v>
      </c>
      <c r="H5" s="2" t="s">
        <v>9</v>
      </c>
      <c r="I5" s="2">
        <f>E4*B2+E5*B3</f>
        <v>1</v>
      </c>
    </row>
    <row r="6" spans="1:9" x14ac:dyDescent="0.25">
      <c r="A6" s="2" t="s">
        <v>10</v>
      </c>
      <c r="B6" s="3">
        <v>1.08</v>
      </c>
    </row>
    <row r="7" spans="1:9" x14ac:dyDescent="0.25">
      <c r="A7" s="2" t="s">
        <v>11</v>
      </c>
      <c r="B7" s="2">
        <v>40</v>
      </c>
      <c r="D7" s="5"/>
    </row>
    <row r="9" spans="1:9" x14ac:dyDescent="0.25">
      <c r="A9" s="5" t="s">
        <v>12</v>
      </c>
    </row>
    <row r="10" spans="1:9" ht="26.4" x14ac:dyDescent="0.25">
      <c r="A10" s="6" t="s">
        <v>13</v>
      </c>
      <c r="B10" s="6" t="s">
        <v>14</v>
      </c>
      <c r="C10" s="6" t="s">
        <v>15</v>
      </c>
      <c r="D10" s="6"/>
      <c r="E10" s="6" t="s">
        <v>16</v>
      </c>
      <c r="F10" s="6"/>
      <c r="G10" s="6"/>
      <c r="H10" s="6"/>
      <c r="I10" s="6"/>
    </row>
    <row r="11" spans="1:9" x14ac:dyDescent="0.25">
      <c r="A11" s="2" t="s">
        <v>17</v>
      </c>
      <c r="B11" s="2">
        <f>B5*B2^2</f>
        <v>6.75</v>
      </c>
      <c r="C11" s="7">
        <f>MAX(B11^3-$B$7,0)</f>
        <v>267.546875</v>
      </c>
      <c r="D11" s="2" t="str">
        <f ca="1">[2]!getformula(C11)</f>
        <v>&lt;--  =MAX(B11^3-$B$7,0)</v>
      </c>
      <c r="E11" s="4">
        <f>E4^2</f>
        <v>0.13717421124828535</v>
      </c>
    </row>
    <row r="12" spans="1:9" x14ac:dyDescent="0.25">
      <c r="A12" s="2" t="s">
        <v>18</v>
      </c>
      <c r="B12" s="2">
        <f>B5*B2*B3</f>
        <v>3.6</v>
      </c>
      <c r="C12" s="7">
        <f>MAX(B12^3-$B$7,0)</f>
        <v>6.6560000000000059</v>
      </c>
      <c r="D12" s="2" t="str">
        <f ca="1">[2]!getformula(C12)</f>
        <v>&lt;--  =MAX(B12^3-$B$7,0)</v>
      </c>
      <c r="E12" s="4">
        <f>2*E4*E5</f>
        <v>0.41152263374485593</v>
      </c>
    </row>
    <row r="13" spans="1:9" x14ac:dyDescent="0.25">
      <c r="A13" s="2" t="s">
        <v>19</v>
      </c>
      <c r="B13" s="2">
        <f>B5*B3^2</f>
        <v>1.9200000000000004</v>
      </c>
      <c r="C13" s="7">
        <f>MAX(B13^3-$B$7,0)</f>
        <v>0</v>
      </c>
      <c r="D13" s="2" t="str">
        <f ca="1">[2]!getformula(C13)</f>
        <v>&lt;--  =MAX(B13^3-$B$7,0)</v>
      </c>
      <c r="E13" s="4">
        <f>E5^2</f>
        <v>0.3086419753086419</v>
      </c>
    </row>
    <row r="15" spans="1:9" ht="27.6" x14ac:dyDescent="0.25">
      <c r="A15" s="8" t="s">
        <v>20</v>
      </c>
      <c r="B15" s="9">
        <f>SUMPRODUCT(C11:C13,E11:E13)</f>
        <v>39.439626200274361</v>
      </c>
      <c r="C15" s="2" t="str">
        <f ca="1">[2]!getformula(B15)</f>
        <v>&lt;--  =SUMPRODUCT(C11:C13,E11:E13)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2024-11-22T03:39:45Z</dcterms:modified>
</cp:coreProperties>
</file>