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03E30B2F-CB2F-4D2C-B472-2CF247E191A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E20" i="1"/>
  <c r="E18" i="1"/>
  <c r="E5" i="1"/>
  <c r="E4" i="1"/>
  <c r="F22" i="1"/>
  <c r="F20" i="1"/>
  <c r="K18" i="1"/>
  <c r="F18" i="1"/>
  <c r="K14" i="1"/>
  <c r="I13" i="1"/>
  <c r="K12" i="1"/>
  <c r="A12" i="1"/>
  <c r="C13" i="1" s="1"/>
  <c r="E14" i="1" s="1"/>
  <c r="I11" i="1"/>
  <c r="C11" i="1"/>
  <c r="E12" i="1" s="1"/>
  <c r="K10" i="1"/>
  <c r="E10" i="1"/>
  <c r="K26" i="1" s="1"/>
  <c r="H33" i="1"/>
  <c r="H25" i="1"/>
  <c r="L30" i="1"/>
  <c r="L28" i="1"/>
  <c r="L26" i="1"/>
  <c r="L22" i="1"/>
  <c r="L20" i="1"/>
  <c r="L18" i="1"/>
  <c r="A23" i="1"/>
  <c r="C23" i="1"/>
  <c r="C17" i="1"/>
  <c r="F5" i="1"/>
  <c r="F4" i="1"/>
  <c r="K20" i="1" l="1"/>
  <c r="I21" i="1" s="1"/>
  <c r="K28" i="1"/>
  <c r="K30" i="1"/>
  <c r="K22" i="1"/>
  <c r="C19" i="1"/>
  <c r="I27" i="1"/>
  <c r="I29" i="1"/>
  <c r="G28" i="1" s="1"/>
  <c r="C21" i="1"/>
  <c r="A20" i="1" l="1"/>
  <c r="I19" i="1"/>
  <c r="G20" i="1" s="1"/>
</calcChain>
</file>

<file path=xl/sharedStrings.xml><?xml version="1.0" encoding="utf-8"?>
<sst xmlns="http://schemas.openxmlformats.org/spreadsheetml/2006/main" count="17" uniqueCount="17">
  <si>
    <t>THREE-DATE BINOMIAL OPTION PRICING</t>
  </si>
  <si>
    <t>Up, U</t>
  </si>
  <si>
    <t>Down, D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</si>
  <si>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</si>
  <si>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</si>
  <si>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t>Initial stock price</t>
  </si>
  <si>
    <r>
      <t>q</t>
    </r>
    <r>
      <rPr>
        <vertAlign val="subscript"/>
        <sz val="10"/>
        <rFont val="Arial"/>
        <family val="2"/>
      </rPr>
      <t>d</t>
    </r>
  </si>
  <si>
    <t>Interest rate, R</t>
  </si>
  <si>
    <t>Exercise price</t>
  </si>
  <si>
    <t>Stock price</t>
  </si>
  <si>
    <t>Bond price</t>
  </si>
  <si>
    <t>European put option</t>
  </si>
  <si>
    <t>American put option</t>
  </si>
  <si>
    <t xml:space="preserve">By Proposition 2 of Chapter 16, an American call on </t>
  </si>
  <si>
    <t>a non-dividend paying stock has the same value as</t>
  </si>
  <si>
    <t>a European call.</t>
  </si>
  <si>
    <t>European Call option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</si>
</sst>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2" fontId="0" fillId="0" borderId="0" xfId="0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2" fontId="0" fillId="0" borderId="0" xfId="0" applyNumberFormat="1" applyAlignment="1">
      <alignment horizontal="center"/>
    </xf>
    <xf numFmtId="176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quotePrefix="1" applyAlignment="1"/>
    <xf numFmtId="177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60960</xdr:rowOff>
    </xdr:from>
    <xdr:to>
      <xdr:col>2</xdr:col>
      <xdr:colOff>0</xdr:colOff>
      <xdr:row>11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406B4AF-6C59-41BA-A275-D57FBBB88572}"/>
            </a:ext>
          </a:extLst>
        </xdr:cNvPr>
        <xdr:cNvSpPr>
          <a:spLocks noChangeShapeType="1"/>
        </xdr:cNvSpPr>
      </xdr:nvSpPr>
      <xdr:spPr bwMode="auto">
        <a:xfrm flipV="1">
          <a:off x="1028700" y="18764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11</xdr:row>
      <xdr:rowOff>76200</xdr:rowOff>
    </xdr:from>
    <xdr:to>
      <xdr:col>2</xdr:col>
      <xdr:colOff>7620</xdr:colOff>
      <xdr:row>12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1ACAF36-FE57-447A-892C-9F99B76B907B}"/>
            </a:ext>
          </a:extLst>
        </xdr:cNvPr>
        <xdr:cNvSpPr>
          <a:spLocks noChangeShapeType="1"/>
        </xdr:cNvSpPr>
      </xdr:nvSpPr>
      <xdr:spPr bwMode="auto">
        <a:xfrm>
          <a:off x="1028700" y="20669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10</xdr:row>
      <xdr:rowOff>45720</xdr:rowOff>
    </xdr:from>
    <xdr:to>
      <xdr:col>8</xdr:col>
      <xdr:colOff>0</xdr:colOff>
      <xdr:row>11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CD8AB6C3-127B-402F-87EA-71557DFD5B91}"/>
            </a:ext>
          </a:extLst>
        </xdr:cNvPr>
        <xdr:cNvSpPr>
          <a:spLocks noChangeShapeType="1"/>
        </xdr:cNvSpPr>
      </xdr:nvSpPr>
      <xdr:spPr bwMode="auto">
        <a:xfrm flipV="1">
          <a:off x="5505450" y="1866900"/>
          <a:ext cx="6000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83820</xdr:rowOff>
    </xdr:from>
    <xdr:to>
      <xdr:col>7</xdr:col>
      <xdr:colOff>480060</xdr:colOff>
      <xdr:row>12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74E9F33-7EFC-41BD-855A-5A9B3BF9F960}"/>
            </a:ext>
          </a:extLst>
        </xdr:cNvPr>
        <xdr:cNvSpPr>
          <a:spLocks noChangeShapeType="1"/>
        </xdr:cNvSpPr>
      </xdr:nvSpPr>
      <xdr:spPr bwMode="auto">
        <a:xfrm>
          <a:off x="5495925" y="2076450"/>
          <a:ext cx="4762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18</xdr:row>
      <xdr:rowOff>60960</xdr:rowOff>
    </xdr:from>
    <xdr:to>
      <xdr:col>2</xdr:col>
      <xdr:colOff>0</xdr:colOff>
      <xdr:row>19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E9EA9998-55BF-438D-8DB3-B03D2687B733}"/>
            </a:ext>
          </a:extLst>
        </xdr:cNvPr>
        <xdr:cNvSpPr>
          <a:spLocks noChangeShapeType="1"/>
        </xdr:cNvSpPr>
      </xdr:nvSpPr>
      <xdr:spPr bwMode="auto">
        <a:xfrm flipV="1">
          <a:off x="1028700" y="32480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76200</xdr:rowOff>
    </xdr:from>
    <xdr:to>
      <xdr:col>2</xdr:col>
      <xdr:colOff>7620</xdr:colOff>
      <xdr:row>20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B8822563-AFD1-4C38-8EAB-E460E4DB3641}"/>
            </a:ext>
          </a:extLst>
        </xdr:cNvPr>
        <xdr:cNvSpPr>
          <a:spLocks noChangeShapeType="1"/>
        </xdr:cNvSpPr>
      </xdr:nvSpPr>
      <xdr:spPr bwMode="auto">
        <a:xfrm>
          <a:off x="1028700" y="34385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222</xdr:row>
      <xdr:rowOff>0</xdr:rowOff>
    </xdr:from>
    <xdr:to>
      <xdr:col>2</xdr:col>
      <xdr:colOff>480060</xdr:colOff>
      <xdr:row>222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DB65D59-A555-4743-A793-9DEF75156933}"/>
            </a:ext>
          </a:extLst>
        </xdr:cNvPr>
        <xdr:cNvSpPr>
          <a:spLocks noChangeShapeType="1"/>
        </xdr:cNvSpPr>
      </xdr:nvSpPr>
      <xdr:spPr bwMode="auto">
        <a:xfrm flipV="1">
          <a:off x="1638300" y="38147625"/>
          <a:ext cx="476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222</xdr:row>
      <xdr:rowOff>0</xdr:rowOff>
    </xdr:from>
    <xdr:to>
      <xdr:col>7</xdr:col>
      <xdr:colOff>0</xdr:colOff>
      <xdr:row>222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54315DB6-962E-415D-9F50-D691B2AEB0C2}"/>
            </a:ext>
          </a:extLst>
        </xdr:cNvPr>
        <xdr:cNvSpPr>
          <a:spLocks noChangeShapeType="1"/>
        </xdr:cNvSpPr>
      </xdr:nvSpPr>
      <xdr:spPr bwMode="auto">
        <a:xfrm flipV="1">
          <a:off x="4886325" y="38147625"/>
          <a:ext cx="6096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222</xdr:row>
      <xdr:rowOff>0</xdr:rowOff>
    </xdr:from>
    <xdr:to>
      <xdr:col>9</xdr:col>
      <xdr:colOff>0</xdr:colOff>
      <xdr:row>222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569D729C-D0D3-499C-A422-B922CA63EE65}"/>
            </a:ext>
          </a:extLst>
        </xdr:cNvPr>
        <xdr:cNvSpPr>
          <a:spLocks noChangeShapeType="1"/>
        </xdr:cNvSpPr>
      </xdr:nvSpPr>
      <xdr:spPr bwMode="auto">
        <a:xfrm flipV="1">
          <a:off x="6105525" y="38147625"/>
          <a:ext cx="628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480060</xdr:colOff>
      <xdr:row>222</xdr:row>
      <xdr:rowOff>0</xdr:rowOff>
    </xdr:from>
    <xdr:to>
      <xdr:col>9</xdr:col>
      <xdr:colOff>0</xdr:colOff>
      <xdr:row>222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905B747C-33D3-4A36-AE97-3C52C62B07E3}"/>
            </a:ext>
          </a:extLst>
        </xdr:cNvPr>
        <xdr:cNvSpPr>
          <a:spLocks noChangeShapeType="1"/>
        </xdr:cNvSpPr>
      </xdr:nvSpPr>
      <xdr:spPr bwMode="auto">
        <a:xfrm>
          <a:off x="5972175" y="38147625"/>
          <a:ext cx="762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222</xdr:row>
      <xdr:rowOff>0</xdr:rowOff>
    </xdr:from>
    <xdr:to>
      <xdr:col>8</xdr:col>
      <xdr:colOff>495300</xdr:colOff>
      <xdr:row>222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AA9172F5-5804-4E5F-B202-3DE727F5395B}"/>
            </a:ext>
          </a:extLst>
        </xdr:cNvPr>
        <xdr:cNvSpPr>
          <a:spLocks noChangeShapeType="1"/>
        </xdr:cNvSpPr>
      </xdr:nvSpPr>
      <xdr:spPr bwMode="auto">
        <a:xfrm flipV="1">
          <a:off x="6105525" y="38147625"/>
          <a:ext cx="495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9</xdr:row>
      <xdr:rowOff>45720</xdr:rowOff>
    </xdr:from>
    <xdr:to>
      <xdr:col>4</xdr:col>
      <xdr:colOff>0</xdr:colOff>
      <xdr:row>10</xdr:row>
      <xdr:rowOff>53340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6D6E3582-B32B-49B4-8F96-53CCCA55C99D}"/>
            </a:ext>
          </a:extLst>
        </xdr:cNvPr>
        <xdr:cNvSpPr>
          <a:spLocks noChangeShapeType="1"/>
        </xdr:cNvSpPr>
      </xdr:nvSpPr>
      <xdr:spPr bwMode="auto">
        <a:xfrm flipV="1">
          <a:off x="2257425" y="16954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10</xdr:row>
      <xdr:rowOff>45720</xdr:rowOff>
    </xdr:from>
    <xdr:to>
      <xdr:col>4</xdr:col>
      <xdr:colOff>7620</xdr:colOff>
      <xdr:row>11</xdr:row>
      <xdr:rowOff>68580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1E6A8783-C639-4657-85C6-F3EBE954999D}"/>
            </a:ext>
          </a:extLst>
        </xdr:cNvPr>
        <xdr:cNvSpPr>
          <a:spLocks noChangeShapeType="1"/>
        </xdr:cNvSpPr>
      </xdr:nvSpPr>
      <xdr:spPr bwMode="auto">
        <a:xfrm>
          <a:off x="2266950" y="1866900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76200</xdr:rowOff>
    </xdr:from>
    <xdr:to>
      <xdr:col>3</xdr:col>
      <xdr:colOff>480060</xdr:colOff>
      <xdr:row>12</xdr:row>
      <xdr:rowOff>83820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AC03C9C3-F714-4A69-9991-FD86D01C988E}"/>
            </a:ext>
          </a:extLst>
        </xdr:cNvPr>
        <xdr:cNvSpPr>
          <a:spLocks noChangeShapeType="1"/>
        </xdr:cNvSpPr>
      </xdr:nvSpPr>
      <xdr:spPr bwMode="auto">
        <a:xfrm flipV="1">
          <a:off x="2247900" y="206692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12</xdr:row>
      <xdr:rowOff>83820</xdr:rowOff>
    </xdr:from>
    <xdr:to>
      <xdr:col>4</xdr:col>
      <xdr:colOff>0</xdr:colOff>
      <xdr:row>13</xdr:row>
      <xdr:rowOff>76200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0BDD339-D50D-444F-A4B9-CF7F46133B22}"/>
            </a:ext>
          </a:extLst>
        </xdr:cNvPr>
        <xdr:cNvSpPr>
          <a:spLocks noChangeShapeType="1"/>
        </xdr:cNvSpPr>
      </xdr:nvSpPr>
      <xdr:spPr bwMode="auto">
        <a:xfrm>
          <a:off x="2247900" y="224790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9</xdr:row>
      <xdr:rowOff>45720</xdr:rowOff>
    </xdr:from>
    <xdr:to>
      <xdr:col>10</xdr:col>
      <xdr:colOff>0</xdr:colOff>
      <xdr:row>10</xdr:row>
      <xdr:rowOff>53340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15A9D7D5-8F2E-4A51-BB7F-0B5505492608}"/>
            </a:ext>
          </a:extLst>
        </xdr:cNvPr>
        <xdr:cNvSpPr>
          <a:spLocks noChangeShapeType="1"/>
        </xdr:cNvSpPr>
      </xdr:nvSpPr>
      <xdr:spPr bwMode="auto">
        <a:xfrm flipV="1">
          <a:off x="6743700" y="16954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10</xdr:row>
      <xdr:rowOff>45720</xdr:rowOff>
    </xdr:from>
    <xdr:to>
      <xdr:col>10</xdr:col>
      <xdr:colOff>7620</xdr:colOff>
      <xdr:row>11</xdr:row>
      <xdr:rowOff>68580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6660E85D-A1D1-42D9-8E2F-E94B17354742}"/>
            </a:ext>
          </a:extLst>
        </xdr:cNvPr>
        <xdr:cNvSpPr>
          <a:spLocks noChangeShapeType="1"/>
        </xdr:cNvSpPr>
      </xdr:nvSpPr>
      <xdr:spPr bwMode="auto">
        <a:xfrm>
          <a:off x="6753225" y="18669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11</xdr:row>
      <xdr:rowOff>76200</xdr:rowOff>
    </xdr:from>
    <xdr:to>
      <xdr:col>9</xdr:col>
      <xdr:colOff>495300</xdr:colOff>
      <xdr:row>12</xdr:row>
      <xdr:rowOff>83820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74C6D47A-A903-4E47-8D14-8892C28F1F5A}"/>
            </a:ext>
          </a:extLst>
        </xdr:cNvPr>
        <xdr:cNvSpPr>
          <a:spLocks noChangeShapeType="1"/>
        </xdr:cNvSpPr>
      </xdr:nvSpPr>
      <xdr:spPr bwMode="auto">
        <a:xfrm flipV="1">
          <a:off x="6734175" y="2066925"/>
          <a:ext cx="495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83820</xdr:rowOff>
    </xdr:from>
    <xdr:to>
      <xdr:col>10</xdr:col>
      <xdr:colOff>0</xdr:colOff>
      <xdr:row>13</xdr:row>
      <xdr:rowOff>76200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4F93D706-F03B-4CB1-B845-BE35AFA1DE98}"/>
            </a:ext>
          </a:extLst>
        </xdr:cNvPr>
        <xdr:cNvSpPr>
          <a:spLocks noChangeShapeType="1"/>
        </xdr:cNvSpPr>
      </xdr:nvSpPr>
      <xdr:spPr bwMode="auto">
        <a:xfrm>
          <a:off x="6734175" y="2247900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17</xdr:row>
      <xdr:rowOff>45720</xdr:rowOff>
    </xdr:from>
    <xdr:to>
      <xdr:col>4</xdr:col>
      <xdr:colOff>0</xdr:colOff>
      <xdr:row>18</xdr:row>
      <xdr:rowOff>53340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11F73957-839A-460F-80FD-DCA775DE77EE}"/>
            </a:ext>
          </a:extLst>
        </xdr:cNvPr>
        <xdr:cNvSpPr>
          <a:spLocks noChangeShapeType="1"/>
        </xdr:cNvSpPr>
      </xdr:nvSpPr>
      <xdr:spPr bwMode="auto">
        <a:xfrm flipV="1">
          <a:off x="2257425" y="30670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</xdr:colOff>
      <xdr:row>18</xdr:row>
      <xdr:rowOff>45720</xdr:rowOff>
    </xdr:from>
    <xdr:to>
      <xdr:col>4</xdr:col>
      <xdr:colOff>7620</xdr:colOff>
      <xdr:row>19</xdr:row>
      <xdr:rowOff>68580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DAA4A369-E301-4DEA-8EA5-383F7099998F}"/>
            </a:ext>
          </a:extLst>
        </xdr:cNvPr>
        <xdr:cNvSpPr>
          <a:spLocks noChangeShapeType="1"/>
        </xdr:cNvSpPr>
      </xdr:nvSpPr>
      <xdr:spPr bwMode="auto">
        <a:xfrm>
          <a:off x="2266950" y="3238500"/>
          <a:ext cx="6000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19</xdr:row>
      <xdr:rowOff>76200</xdr:rowOff>
    </xdr:from>
    <xdr:to>
      <xdr:col>3</xdr:col>
      <xdr:colOff>480060</xdr:colOff>
      <xdr:row>20</xdr:row>
      <xdr:rowOff>83820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6AD764D7-251D-43CB-94BC-17DDF5CFFAD5}"/>
            </a:ext>
          </a:extLst>
        </xdr:cNvPr>
        <xdr:cNvSpPr>
          <a:spLocks noChangeShapeType="1"/>
        </xdr:cNvSpPr>
      </xdr:nvSpPr>
      <xdr:spPr bwMode="auto">
        <a:xfrm flipV="1">
          <a:off x="2247900" y="3438525"/>
          <a:ext cx="4762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20</xdr:row>
      <xdr:rowOff>83820</xdr:rowOff>
    </xdr:from>
    <xdr:to>
      <xdr:col>4</xdr:col>
      <xdr:colOff>0</xdr:colOff>
      <xdr:row>21</xdr:row>
      <xdr:rowOff>76200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F11F5424-ADB6-4EA9-8DD2-B7CDC8ED72D1}"/>
            </a:ext>
          </a:extLst>
        </xdr:cNvPr>
        <xdr:cNvSpPr>
          <a:spLocks noChangeShapeType="1"/>
        </xdr:cNvSpPr>
      </xdr:nvSpPr>
      <xdr:spPr bwMode="auto">
        <a:xfrm>
          <a:off x="2247900" y="361950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236220</xdr:colOff>
      <xdr:row>15</xdr:row>
      <xdr:rowOff>53340</xdr:rowOff>
    </xdr:from>
    <xdr:to>
      <xdr:col>3</xdr:col>
      <xdr:colOff>266700</xdr:colOff>
      <xdr:row>17</xdr:row>
      <xdr:rowOff>99060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DB2C13D9-B16B-4D6C-8D60-576C64632E0F}"/>
            </a:ext>
          </a:extLst>
        </xdr:cNvPr>
        <xdr:cNvSpPr>
          <a:spLocks noChangeArrowheads="1"/>
        </xdr:cNvSpPr>
      </xdr:nvSpPr>
      <xdr:spPr bwMode="auto">
        <a:xfrm>
          <a:off x="1266825" y="2733675"/>
          <a:ext cx="1247775" cy="3810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274320</xdr:colOff>
      <xdr:row>21</xdr:row>
      <xdr:rowOff>60960</xdr:rowOff>
    </xdr:from>
    <xdr:to>
      <xdr:col>3</xdr:col>
      <xdr:colOff>304800</xdr:colOff>
      <xdr:row>23</xdr:row>
      <xdr:rowOff>106680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76257BAD-383D-4CFE-869C-5275295573A7}"/>
            </a:ext>
          </a:extLst>
        </xdr:cNvPr>
        <xdr:cNvSpPr>
          <a:spLocks noChangeArrowheads="1"/>
        </xdr:cNvSpPr>
      </xdr:nvSpPr>
      <xdr:spPr bwMode="auto">
        <a:xfrm>
          <a:off x="1304925" y="3762375"/>
          <a:ext cx="1247775" cy="39052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411480</xdr:colOff>
      <xdr:row>17</xdr:row>
      <xdr:rowOff>68580</xdr:rowOff>
    </xdr:from>
    <xdr:to>
      <xdr:col>2</xdr:col>
      <xdr:colOff>83820</xdr:colOff>
      <xdr:row>18</xdr:row>
      <xdr:rowOff>30480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2417370E-4D23-4F87-B40D-EC1BAA9DBFDB}"/>
            </a:ext>
          </a:extLst>
        </xdr:cNvPr>
        <xdr:cNvSpPr>
          <a:spLocks noChangeShapeType="1"/>
        </xdr:cNvSpPr>
      </xdr:nvSpPr>
      <xdr:spPr bwMode="auto">
        <a:xfrm>
          <a:off x="1438275" y="3086100"/>
          <a:ext cx="2857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7620</xdr:colOff>
      <xdr:row>21</xdr:row>
      <xdr:rowOff>45720</xdr:rowOff>
    </xdr:from>
    <xdr:to>
      <xdr:col>1</xdr:col>
      <xdr:colOff>213360</xdr:colOff>
      <xdr:row>23</xdr:row>
      <xdr:rowOff>91440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91D29FCE-8FFD-40BF-A9E5-E774E60F6F04}"/>
            </a:ext>
          </a:extLst>
        </xdr:cNvPr>
        <xdr:cNvSpPr>
          <a:spLocks noChangeArrowheads="1"/>
        </xdr:cNvSpPr>
      </xdr:nvSpPr>
      <xdr:spPr bwMode="auto">
        <a:xfrm>
          <a:off x="9525" y="3752850"/>
          <a:ext cx="1228725" cy="39052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289560</xdr:colOff>
      <xdr:row>20</xdr:row>
      <xdr:rowOff>15240</xdr:rowOff>
    </xdr:from>
    <xdr:to>
      <xdr:col>0</xdr:col>
      <xdr:colOff>533400</xdr:colOff>
      <xdr:row>21</xdr:row>
      <xdr:rowOff>45720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C6AA36FD-D17B-4DB0-9E8B-8F807D1FBDC4}"/>
            </a:ext>
          </a:extLst>
        </xdr:cNvPr>
        <xdr:cNvSpPr>
          <a:spLocks noChangeShapeType="1"/>
        </xdr:cNvSpPr>
      </xdr:nvSpPr>
      <xdr:spPr bwMode="auto">
        <a:xfrm flipV="1">
          <a:off x="285750" y="3552825"/>
          <a:ext cx="247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121920</xdr:rowOff>
    </xdr:from>
    <xdr:to>
      <xdr:col>2</xdr:col>
      <xdr:colOff>99060</xdr:colOff>
      <xdr:row>21</xdr:row>
      <xdr:rowOff>99060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B9A4EA24-07A9-4345-B259-6599FE7EFEFD}"/>
            </a:ext>
          </a:extLst>
        </xdr:cNvPr>
        <xdr:cNvSpPr>
          <a:spLocks noChangeShapeType="1"/>
        </xdr:cNvSpPr>
      </xdr:nvSpPr>
      <xdr:spPr bwMode="auto">
        <a:xfrm flipV="1">
          <a:off x="1638300" y="3657600"/>
          <a:ext cx="952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18</xdr:row>
      <xdr:rowOff>60960</xdr:rowOff>
    </xdr:from>
    <xdr:to>
      <xdr:col>8</xdr:col>
      <xdr:colOff>0</xdr:colOff>
      <xdr:row>19</xdr:row>
      <xdr:rowOff>68580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FE0F726D-8588-4251-91D5-F13148320207}"/>
            </a:ext>
          </a:extLst>
        </xdr:cNvPr>
        <xdr:cNvSpPr>
          <a:spLocks noChangeShapeType="1"/>
        </xdr:cNvSpPr>
      </xdr:nvSpPr>
      <xdr:spPr bwMode="auto">
        <a:xfrm flipV="1">
          <a:off x="5495925" y="32480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19</xdr:row>
      <xdr:rowOff>76200</xdr:rowOff>
    </xdr:from>
    <xdr:to>
      <xdr:col>8</xdr:col>
      <xdr:colOff>7620</xdr:colOff>
      <xdr:row>20</xdr:row>
      <xdr:rowOff>68580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5B6482A8-FE96-4B44-8265-042569F0FE77}"/>
            </a:ext>
          </a:extLst>
        </xdr:cNvPr>
        <xdr:cNvSpPr>
          <a:spLocks noChangeShapeType="1"/>
        </xdr:cNvSpPr>
      </xdr:nvSpPr>
      <xdr:spPr bwMode="auto">
        <a:xfrm>
          <a:off x="5495925" y="34385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17</xdr:row>
      <xdr:rowOff>45720</xdr:rowOff>
    </xdr:from>
    <xdr:to>
      <xdr:col>10</xdr:col>
      <xdr:colOff>0</xdr:colOff>
      <xdr:row>18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B80817D1-1FF1-43D4-A1DB-065C3BAB1AC5}"/>
            </a:ext>
          </a:extLst>
        </xdr:cNvPr>
        <xdr:cNvSpPr>
          <a:spLocks noChangeShapeType="1"/>
        </xdr:cNvSpPr>
      </xdr:nvSpPr>
      <xdr:spPr bwMode="auto">
        <a:xfrm flipV="1">
          <a:off x="6743700" y="30670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18</xdr:row>
      <xdr:rowOff>45720</xdr:rowOff>
    </xdr:from>
    <xdr:to>
      <xdr:col>10</xdr:col>
      <xdr:colOff>7620</xdr:colOff>
      <xdr:row>19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F7C2B913-42D2-44C5-B8C3-7D679BE3F397}"/>
            </a:ext>
          </a:extLst>
        </xdr:cNvPr>
        <xdr:cNvSpPr>
          <a:spLocks noChangeShapeType="1"/>
        </xdr:cNvSpPr>
      </xdr:nvSpPr>
      <xdr:spPr bwMode="auto">
        <a:xfrm>
          <a:off x="6753225" y="32385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19</xdr:row>
      <xdr:rowOff>76200</xdr:rowOff>
    </xdr:from>
    <xdr:to>
      <xdr:col>9</xdr:col>
      <xdr:colOff>495300</xdr:colOff>
      <xdr:row>20</xdr:row>
      <xdr:rowOff>83820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C76C954E-2AC7-4905-8D4B-21A984D0FA6D}"/>
            </a:ext>
          </a:extLst>
        </xdr:cNvPr>
        <xdr:cNvSpPr>
          <a:spLocks noChangeShapeType="1"/>
        </xdr:cNvSpPr>
      </xdr:nvSpPr>
      <xdr:spPr bwMode="auto">
        <a:xfrm flipV="1">
          <a:off x="6734175" y="3438525"/>
          <a:ext cx="495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20</xdr:row>
      <xdr:rowOff>83820</xdr:rowOff>
    </xdr:from>
    <xdr:to>
      <xdr:col>10</xdr:col>
      <xdr:colOff>0</xdr:colOff>
      <xdr:row>21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C996E06A-009F-4429-8097-67C28D3C321A}"/>
            </a:ext>
          </a:extLst>
        </xdr:cNvPr>
        <xdr:cNvSpPr>
          <a:spLocks noChangeShapeType="1"/>
        </xdr:cNvSpPr>
      </xdr:nvSpPr>
      <xdr:spPr bwMode="auto">
        <a:xfrm>
          <a:off x="6734175" y="3619500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26</xdr:row>
      <xdr:rowOff>60960</xdr:rowOff>
    </xdr:from>
    <xdr:to>
      <xdr:col>8</xdr:col>
      <xdr:colOff>0</xdr:colOff>
      <xdr:row>27</xdr:row>
      <xdr:rowOff>68580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CC97DFC-F71C-4757-81D9-6BB815B57EDE}"/>
            </a:ext>
          </a:extLst>
        </xdr:cNvPr>
        <xdr:cNvSpPr>
          <a:spLocks noChangeShapeType="1"/>
        </xdr:cNvSpPr>
      </xdr:nvSpPr>
      <xdr:spPr bwMode="auto">
        <a:xfrm flipV="1">
          <a:off x="5495925" y="46196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76200</xdr:rowOff>
    </xdr:from>
    <xdr:to>
      <xdr:col>8</xdr:col>
      <xdr:colOff>7620</xdr:colOff>
      <xdr:row>28</xdr:row>
      <xdr:rowOff>68580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940BBF13-752F-4C6E-BB3E-8456CB6EB1FA}"/>
            </a:ext>
          </a:extLst>
        </xdr:cNvPr>
        <xdr:cNvSpPr>
          <a:spLocks noChangeShapeType="1"/>
        </xdr:cNvSpPr>
      </xdr:nvSpPr>
      <xdr:spPr bwMode="auto">
        <a:xfrm>
          <a:off x="5495925" y="48101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25</xdr:row>
      <xdr:rowOff>45720</xdr:rowOff>
    </xdr:from>
    <xdr:to>
      <xdr:col>10</xdr:col>
      <xdr:colOff>0</xdr:colOff>
      <xdr:row>26</xdr:row>
      <xdr:rowOff>53340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26638A0C-88CB-41C1-A18E-11C415CB2B92}"/>
            </a:ext>
          </a:extLst>
        </xdr:cNvPr>
        <xdr:cNvSpPr>
          <a:spLocks noChangeShapeType="1"/>
        </xdr:cNvSpPr>
      </xdr:nvSpPr>
      <xdr:spPr bwMode="auto">
        <a:xfrm flipV="1">
          <a:off x="6743700" y="44386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22860</xdr:colOff>
      <xdr:row>26</xdr:row>
      <xdr:rowOff>45720</xdr:rowOff>
    </xdr:from>
    <xdr:to>
      <xdr:col>10</xdr:col>
      <xdr:colOff>7620</xdr:colOff>
      <xdr:row>27</xdr:row>
      <xdr:rowOff>68580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57053966-E1D5-4C51-97A5-8F613C4DE5CC}"/>
            </a:ext>
          </a:extLst>
        </xdr:cNvPr>
        <xdr:cNvSpPr>
          <a:spLocks noChangeShapeType="1"/>
        </xdr:cNvSpPr>
      </xdr:nvSpPr>
      <xdr:spPr bwMode="auto">
        <a:xfrm>
          <a:off x="6753225" y="46101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27</xdr:row>
      <xdr:rowOff>76200</xdr:rowOff>
    </xdr:from>
    <xdr:to>
      <xdr:col>9</xdr:col>
      <xdr:colOff>495300</xdr:colOff>
      <xdr:row>28</xdr:row>
      <xdr:rowOff>83820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B14BB323-65FF-4937-8EEA-133F8D6A808A}"/>
            </a:ext>
          </a:extLst>
        </xdr:cNvPr>
        <xdr:cNvSpPr>
          <a:spLocks noChangeShapeType="1"/>
        </xdr:cNvSpPr>
      </xdr:nvSpPr>
      <xdr:spPr bwMode="auto">
        <a:xfrm flipV="1">
          <a:off x="6734175" y="4810125"/>
          <a:ext cx="495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28</xdr:row>
      <xdr:rowOff>83820</xdr:rowOff>
    </xdr:from>
    <xdr:to>
      <xdr:col>10</xdr:col>
      <xdr:colOff>0</xdr:colOff>
      <xdr:row>29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C2C6E651-94EC-4C01-A766-E8AA70A3F7B8}"/>
            </a:ext>
          </a:extLst>
        </xdr:cNvPr>
        <xdr:cNvSpPr>
          <a:spLocks noChangeShapeType="1"/>
        </xdr:cNvSpPr>
      </xdr:nvSpPr>
      <xdr:spPr bwMode="auto">
        <a:xfrm>
          <a:off x="6734175" y="4991100"/>
          <a:ext cx="6286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213360</xdr:colOff>
      <xdr:row>29</xdr:row>
      <xdr:rowOff>7620</xdr:rowOff>
    </xdr:from>
    <xdr:to>
      <xdr:col>8</xdr:col>
      <xdr:colOff>259080</xdr:colOff>
      <xdr:row>31</xdr:row>
      <xdr:rowOff>106680</xdr:rowOff>
    </xdr:to>
    <xdr:sp macro="" textlink="">
      <xdr:nvSpPr>
        <xdr:cNvPr id="43" name="Line 43">
          <a:extLst>
            <a:ext uri="{FF2B5EF4-FFF2-40B4-BE49-F238E27FC236}">
              <a16:creationId xmlns:a16="http://schemas.microsoft.com/office/drawing/2014/main" id="{83A8347F-10DA-4D82-A867-CF7D69118374}"/>
            </a:ext>
          </a:extLst>
        </xdr:cNvPr>
        <xdr:cNvSpPr>
          <a:spLocks noChangeShapeType="1"/>
        </xdr:cNvSpPr>
      </xdr:nvSpPr>
      <xdr:spPr bwMode="auto">
        <a:xfrm flipV="1">
          <a:off x="6315075" y="5086350"/>
          <a:ext cx="47625" cy="438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99060</xdr:colOff>
      <xdr:row>25</xdr:row>
      <xdr:rowOff>30480</xdr:rowOff>
    </xdr:from>
    <xdr:to>
      <xdr:col>8</xdr:col>
      <xdr:colOff>213360</xdr:colOff>
      <xdr:row>26</xdr:row>
      <xdr:rowOff>7620</xdr:rowOff>
    </xdr:to>
    <xdr:sp macro="" textlink="">
      <xdr:nvSpPr>
        <xdr:cNvPr id="44" name="Line 44">
          <a:extLst>
            <a:ext uri="{FF2B5EF4-FFF2-40B4-BE49-F238E27FC236}">
              <a16:creationId xmlns:a16="http://schemas.microsoft.com/office/drawing/2014/main" id="{EE2D4072-8508-411E-9A64-2A0C7F25E293}"/>
            </a:ext>
          </a:extLst>
        </xdr:cNvPr>
        <xdr:cNvSpPr>
          <a:spLocks noChangeShapeType="1"/>
        </xdr:cNvSpPr>
      </xdr:nvSpPr>
      <xdr:spPr bwMode="auto">
        <a:xfrm>
          <a:off x="6200775" y="4419600"/>
          <a:ext cx="1143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12</xdr:col>
      <xdr:colOff>462127</xdr:colOff>
      <xdr:row>1</xdr:row>
      <xdr:rowOff>109045</xdr:rowOff>
    </xdr:from>
    <xdr:to>
      <xdr:col>28</xdr:col>
      <xdr:colOff>98273</xdr:colOff>
      <xdr:row>35</xdr:row>
      <xdr:rowOff>54194</xdr:rowOff>
    </xdr:to>
    <xdr:pic>
      <xdr:nvPicPr>
        <xdr:cNvPr id="45" name="图片 44">
          <a:extLst>
            <a:ext uri="{FF2B5EF4-FFF2-40B4-BE49-F238E27FC236}">
              <a16:creationId xmlns:a16="http://schemas.microsoft.com/office/drawing/2014/main" id="{3DA66C5A-A19C-DDFC-0F3E-AE5EFF183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62317" y="325821"/>
          <a:ext cx="9403146" cy="57951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33"/>
  <sheetViews>
    <sheetView tabSelected="1" zoomScale="145" zoomScaleNormal="145" workbookViewId="0">
      <selection activeCell="I38" sqref="I38"/>
    </sheetView>
  </sheetViews>
  <sheetFormatPr defaultRowHeight="13.8" x14ac:dyDescent="0.25"/>
  <cols>
    <col min="1" max="1" width="20.6640625" style="3" customWidth="1"/>
    <col min="2" max="4" width="8.88671875" style="3"/>
    <col min="5" max="5" width="9.109375" style="2" customWidth="1"/>
    <col min="6" max="6" width="20.44140625" style="3" customWidth="1"/>
    <col min="7" max="8" width="8.88671875" style="3"/>
    <col min="9" max="10" width="9.109375" style="2" customWidth="1"/>
    <col min="11" max="11" width="8.88671875" style="3"/>
    <col min="12" max="12" width="20.5546875" style="3" bestFit="1" customWidth="1"/>
  </cols>
  <sheetData>
    <row r="1" spans="1:11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11" x14ac:dyDescent="0.25">
      <c r="A2" s="3" t="s">
        <v>1</v>
      </c>
      <c r="B2" s="4">
        <v>1.35</v>
      </c>
    </row>
    <row r="3" spans="1:11" x14ac:dyDescent="0.25">
      <c r="A3" s="3" t="s">
        <v>2</v>
      </c>
      <c r="B3" s="4">
        <v>0.95</v>
      </c>
      <c r="D3" s="3" t="s">
        <v>3</v>
      </c>
      <c r="E3" s="3"/>
    </row>
    <row r="4" spans="1:11" ht="15.6" x14ac:dyDescent="0.35">
      <c r="D4" s="3" t="s">
        <v>4</v>
      </c>
      <c r="E4" s="5">
        <f>(B6-B3)/(B6*(B2-B3))</f>
        <v>0.59999999999999987</v>
      </c>
      <c r="F4" s="3" t="str">
        <f ca="1">_xlfn.FORMULATEXT(E4)</f>
        <v>=(B6-B3)/(B6*(B2-B3))</v>
      </c>
    </row>
    <row r="5" spans="1:11" ht="15.6" x14ac:dyDescent="0.35">
      <c r="A5" s="3" t="s">
        <v>5</v>
      </c>
      <c r="B5" s="3">
        <v>40</v>
      </c>
      <c r="D5" s="3" t="s">
        <v>6</v>
      </c>
      <c r="E5" s="5">
        <f>1/B6-E4</f>
        <v>0.20000000000000018</v>
      </c>
      <c r="F5" s="3" t="str">
        <f ca="1">_xlfn.FORMULATEXT(E5)</f>
        <v>=1/B6-E4</v>
      </c>
    </row>
    <row r="6" spans="1:11" x14ac:dyDescent="0.25">
      <c r="A6" s="3" t="s">
        <v>7</v>
      </c>
      <c r="B6" s="4">
        <v>1.25</v>
      </c>
    </row>
    <row r="7" spans="1:11" x14ac:dyDescent="0.25">
      <c r="A7" s="3" t="s">
        <v>8</v>
      </c>
      <c r="B7" s="3">
        <v>40</v>
      </c>
    </row>
    <row r="9" spans="1:11" x14ac:dyDescent="0.25">
      <c r="A9" s="6" t="s">
        <v>9</v>
      </c>
      <c r="E9" s="3"/>
      <c r="G9" s="6" t="s">
        <v>10</v>
      </c>
    </row>
    <row r="10" spans="1:11" x14ac:dyDescent="0.25">
      <c r="C10" s="2"/>
      <c r="D10" s="2"/>
      <c r="E10" s="7">
        <f>C11*B2</f>
        <v>72.900000000000006</v>
      </c>
      <c r="K10" s="8">
        <f>I11*B6</f>
        <v>1.5625</v>
      </c>
    </row>
    <row r="11" spans="1:11" x14ac:dyDescent="0.25">
      <c r="C11" s="9">
        <f>$A$12*B2</f>
        <v>54</v>
      </c>
      <c r="D11" s="2"/>
      <c r="E11" s="7"/>
      <c r="I11" s="9">
        <f>$G$12*B6</f>
        <v>1.25</v>
      </c>
      <c r="K11" s="10"/>
    </row>
    <row r="12" spans="1:11" x14ac:dyDescent="0.25">
      <c r="A12" s="3">
        <f>B5</f>
        <v>40</v>
      </c>
      <c r="C12" s="9"/>
      <c r="D12" s="2"/>
      <c r="E12" s="7">
        <f>C11*B3</f>
        <v>51.3</v>
      </c>
      <c r="G12" s="3">
        <v>1</v>
      </c>
      <c r="I12" s="9"/>
      <c r="K12" s="8">
        <f>I11*B6</f>
        <v>1.5625</v>
      </c>
    </row>
    <row r="13" spans="1:11" x14ac:dyDescent="0.25">
      <c r="C13" s="9">
        <f>$A$12*B3</f>
        <v>38</v>
      </c>
      <c r="D13" s="2"/>
      <c r="E13" s="7"/>
      <c r="I13" s="9">
        <f>$G$12*B6</f>
        <v>1.25</v>
      </c>
      <c r="K13" s="10"/>
    </row>
    <row r="14" spans="1:11" x14ac:dyDescent="0.25">
      <c r="C14" s="9"/>
      <c r="E14" s="7">
        <f>C13*B3</f>
        <v>36.1</v>
      </c>
      <c r="J14" s="3"/>
      <c r="K14" s="8">
        <f>I11*B6</f>
        <v>1.5625</v>
      </c>
    </row>
    <row r="15" spans="1:11" x14ac:dyDescent="0.25">
      <c r="C15" s="9"/>
      <c r="E15" s="9"/>
    </row>
    <row r="16" spans="1:11" x14ac:dyDescent="0.25">
      <c r="A16" s="6" t="s">
        <v>16</v>
      </c>
      <c r="C16" s="9"/>
      <c r="E16" s="9"/>
      <c r="G16" s="6" t="s">
        <v>11</v>
      </c>
      <c r="I16" s="9"/>
      <c r="J16" s="3"/>
    </row>
    <row r="17" spans="1:12" x14ac:dyDescent="0.25">
      <c r="C17" s="11" t="str">
        <f ca="1">[2]!ggetformula(C19)</f>
        <v>=E4*E18+E5*E20</v>
      </c>
      <c r="E17" s="9"/>
      <c r="I17" s="11"/>
      <c r="J17" s="3"/>
    </row>
    <row r="18" spans="1:12" x14ac:dyDescent="0.25">
      <c r="D18" s="2"/>
      <c r="E18" s="7">
        <f>MAX(E10-$B$7,0)</f>
        <v>32.900000000000006</v>
      </c>
      <c r="F18" s="3" t="e">
        <f ca="1">getformula(E18)</f>
        <v>#NAME?</v>
      </c>
      <c r="I18" s="3"/>
      <c r="K18" s="7">
        <f>MAX($B$7-E10,0)</f>
        <v>0</v>
      </c>
      <c r="L18" s="3" t="str">
        <f ca="1">[2]!getformula(K18)</f>
        <v>&lt;--  =MAX($B$7-E10,0)</v>
      </c>
    </row>
    <row r="19" spans="1:12" x14ac:dyDescent="0.25">
      <c r="C19" s="12">
        <f>E4*E18+E5*E20</f>
        <v>22</v>
      </c>
      <c r="D19" s="2"/>
      <c r="E19" s="7"/>
      <c r="I19" s="9">
        <f>E4*K18+E5*K20</f>
        <v>0</v>
      </c>
      <c r="L19" s="13"/>
    </row>
    <row r="20" spans="1:12" x14ac:dyDescent="0.25">
      <c r="A20" s="14">
        <f>E4*C19+E5*C21</f>
        <v>14.555999999999997</v>
      </c>
      <c r="C20" s="9"/>
      <c r="D20" s="2"/>
      <c r="E20" s="7">
        <f>MAX(E12-$B$7,0)</f>
        <v>11.299999999999997</v>
      </c>
      <c r="F20" s="3" t="e">
        <f ca="1">getformula(E20)</f>
        <v>#NAME?</v>
      </c>
      <c r="G20" s="9">
        <f>E4*I19+E5*I21</f>
        <v>0.15600000000000022</v>
      </c>
      <c r="I20" s="9"/>
      <c r="K20" s="7">
        <f>MAX($B$7-E12,0)</f>
        <v>0</v>
      </c>
      <c r="L20" s="3" t="str">
        <f ca="1">[2]!getformula(K20)</f>
        <v>&lt;--  =MAX($B$7-E12,0)</v>
      </c>
    </row>
    <row r="21" spans="1:12" x14ac:dyDescent="0.25">
      <c r="C21" s="12">
        <f>E4*E20+E5*E22</f>
        <v>6.7799999999999967</v>
      </c>
      <c r="D21" s="2"/>
      <c r="E21" s="7"/>
      <c r="I21" s="9">
        <f>E4*K20+E5*K22</f>
        <v>0.78000000000000036</v>
      </c>
    </row>
    <row r="22" spans="1:12" x14ac:dyDescent="0.25">
      <c r="E22" s="7">
        <f>MAX(E14-$B$7,0)</f>
        <v>0</v>
      </c>
      <c r="F22" s="3" t="e">
        <f ca="1">getformula(E22)</f>
        <v>#NAME?</v>
      </c>
      <c r="I22" s="3"/>
      <c r="J22" s="3"/>
      <c r="K22" s="7">
        <f>MAX($B$7-E14,0)</f>
        <v>3.8999999999999986</v>
      </c>
      <c r="L22" s="3" t="str">
        <f ca="1">[2]!getformula(K22)</f>
        <v>&lt;--  =MAX($B$7-E14,0)</v>
      </c>
    </row>
    <row r="23" spans="1:12" x14ac:dyDescent="0.25">
      <c r="A23" s="13" t="str">
        <f ca="1">[2]!ggetformula(A20)</f>
        <v>=E4*C19+E5*C21</v>
      </c>
      <c r="C23" s="11" t="str">
        <f ca="1">[2]!ggetformula(C21)</f>
        <v>=E4*E20+E5*E22</v>
      </c>
      <c r="E23" s="9"/>
    </row>
    <row r="24" spans="1:12" x14ac:dyDescent="0.25">
      <c r="G24" s="6" t="s">
        <v>12</v>
      </c>
      <c r="I24" s="9"/>
      <c r="J24" s="3"/>
    </row>
    <row r="25" spans="1:12" x14ac:dyDescent="0.25">
      <c r="H25" s="15" t="str">
        <f ca="1">[2]!ggetformula(I27)</f>
        <v>=MAX(E4*K26+E5*K28,B7-C11)</v>
      </c>
      <c r="I25" s="15"/>
      <c r="J25" s="15"/>
    </row>
    <row r="26" spans="1:12" x14ac:dyDescent="0.25">
      <c r="I26" s="3"/>
      <c r="K26" s="7">
        <f>MAX($B$7-E10,0)</f>
        <v>0</v>
      </c>
      <c r="L26" s="3" t="str">
        <f ca="1">[2]!getformula(K26)</f>
        <v>&lt;--  =MAX($B$7-E10,0)</v>
      </c>
    </row>
    <row r="27" spans="1:12" x14ac:dyDescent="0.25">
      <c r="A27" s="3" t="s">
        <v>13</v>
      </c>
      <c r="I27" s="9">
        <f>MAX(E4*K26+E5*K28,B7-C11)</f>
        <v>0</v>
      </c>
    </row>
    <row r="28" spans="1:12" x14ac:dyDescent="0.25">
      <c r="A28" s="3" t="s">
        <v>14</v>
      </c>
      <c r="G28" s="14">
        <f>MAX(E4*I27+E5*I29,B7-A12)</f>
        <v>0.40000000000000036</v>
      </c>
      <c r="I28" s="9"/>
      <c r="K28" s="7">
        <f>MAX($B$7-E12,0)</f>
        <v>0</v>
      </c>
      <c r="L28" s="3" t="str">
        <f ca="1">[2]!getformula(K28)</f>
        <v>&lt;--  =MAX($B$7-E12,0)</v>
      </c>
    </row>
    <row r="29" spans="1:12" x14ac:dyDescent="0.25">
      <c r="A29" s="3" t="s">
        <v>15</v>
      </c>
      <c r="I29" s="9">
        <f>MAX(E4*K28+E5*K30,B7-C13)</f>
        <v>2</v>
      </c>
    </row>
    <row r="30" spans="1:12" x14ac:dyDescent="0.25">
      <c r="I30" s="3"/>
      <c r="J30" s="3"/>
      <c r="K30" s="7">
        <f>MAX($B$7-E14,0)</f>
        <v>3.8999999999999986</v>
      </c>
      <c r="L30" s="3" t="str">
        <f ca="1">[2]!getformula(K30)</f>
        <v>&lt;--  =MAX($B$7-E14,0)</v>
      </c>
    </row>
    <row r="33" spans="8:10" x14ac:dyDescent="0.25">
      <c r="H33" s="15" t="str">
        <f ca="1">[2]!ggetformula(I29)</f>
        <v>=MAX(E4*K28+E5*K30,B7-C13)</v>
      </c>
      <c r="I33" s="15"/>
      <c r="J33" s="15"/>
    </row>
  </sheetData>
  <mergeCells count="3">
    <mergeCell ref="A1:I1"/>
    <mergeCell ref="H25:J25"/>
    <mergeCell ref="H33:J3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2024-11-21T09:53:10Z</dcterms:modified>
</cp:coreProperties>
</file>