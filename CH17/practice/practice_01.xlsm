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212C9BC9-24FB-447B-9713-F05A97A802A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1" l="1"/>
  <c r="C20" i="1"/>
  <c r="I12" i="1"/>
  <c r="B11" i="1"/>
  <c r="D10" i="1" s="1"/>
  <c r="I10" i="1"/>
  <c r="B3" i="1"/>
  <c r="B27" i="1" s="1"/>
  <c r="B2" i="1"/>
  <c r="B28" i="1" s="1"/>
  <c r="J17" i="1"/>
  <c r="J15" i="1"/>
  <c r="C32" i="1"/>
  <c r="C31" i="1"/>
  <c r="G28" i="1"/>
  <c r="G27" i="1"/>
  <c r="C28" i="1"/>
  <c r="C27" i="1"/>
  <c r="D21" i="1"/>
  <c r="D20" i="1"/>
  <c r="E17" i="1"/>
  <c r="E15" i="1"/>
  <c r="J12" i="1"/>
  <c r="J10" i="1"/>
  <c r="C3" i="1"/>
  <c r="C2" i="1"/>
  <c r="E12" i="1"/>
  <c r="E10" i="1"/>
  <c r="I15" i="1" l="1"/>
  <c r="D15" i="1"/>
  <c r="F27" i="1"/>
  <c r="D12" i="1"/>
  <c r="I17" i="1" l="1"/>
  <c r="B24" i="1" s="1"/>
  <c r="B31" i="1" s="1"/>
  <c r="D17" i="1"/>
  <c r="F28" i="1"/>
  <c r="B23" i="1" l="1"/>
  <c r="B32" i="1" s="1"/>
  <c r="B50" i="1"/>
</calcChain>
</file>

<file path=xl/sharedStrings.xml><?xml version="1.0" encoding="utf-8"?>
<sst xmlns="http://schemas.openxmlformats.org/spreadsheetml/2006/main" count="35" uniqueCount="34">
  <si>
    <t>TWO-DATE BINOMIAL OPTION PRICING</t>
  </si>
  <si>
    <t>Stock price</t>
  </si>
  <si>
    <t>Bond price</t>
  </si>
  <si>
    <t>Call option</t>
  </si>
  <si>
    <t>Put option</t>
  </si>
  <si>
    <t>???</t>
  </si>
  <si>
    <t>A</t>
  </si>
  <si>
    <t>B</t>
  </si>
  <si>
    <t>Call price</t>
  </si>
  <si>
    <t>&lt;-- Exercise 1, using simultaneous equations</t>
  </si>
  <si>
    <t>Put price</t>
  </si>
  <si>
    <t>&lt;-- Exercise 2, using state prices</t>
  </si>
  <si>
    <t>Check:  confirm that state prices</t>
  </si>
  <si>
    <t>State prices</t>
  </si>
  <si>
    <t>actually price the stock and the bond</t>
  </si>
  <si>
    <r>
      <t>q</t>
    </r>
    <r>
      <rPr>
        <vertAlign val="subscript"/>
        <sz val="10"/>
        <rFont val="Arial"/>
        <family val="2"/>
      </rPr>
      <t>u</t>
    </r>
  </si>
  <si>
    <r>
      <t>q</t>
    </r>
    <r>
      <rPr>
        <vertAlign val="subscript"/>
        <sz val="10"/>
        <rFont val="Arial"/>
        <family val="2"/>
      </rPr>
      <t>d</t>
    </r>
  </si>
  <si>
    <t>Put-call parity--Exercise 2</t>
  </si>
  <si>
    <t>Stock + put</t>
  </si>
  <si>
    <t>Call + PV(X)</t>
  </si>
  <si>
    <t>Solving for the portfolio parameters:  A is the number of shares and B is the number of bonds.</t>
  </si>
  <si>
    <t>55*A + 108*B = 5</t>
  </si>
  <si>
    <t>48.5*A + 108*B = 0</t>
  </si>
  <si>
    <t>or:</t>
  </si>
  <si>
    <t>A*stock*Up+B*Interest=max(stock*Up-X,0)</t>
  </si>
  <si>
    <t>A*stock*Down+B*Interest=max(stock*Down-X,0)</t>
  </si>
  <si>
    <t>The solution is:</t>
  </si>
  <si>
    <t>check on state prices</t>
  </si>
  <si>
    <t>call price</t>
  </si>
  <si>
    <t>Initial stock price： S</t>
    <phoneticPr fontId="1" type="noConversion"/>
  </si>
  <si>
    <t>Interest rate: R</t>
    <phoneticPr fontId="1" type="noConversion"/>
  </si>
  <si>
    <t>Exercise price: X</t>
    <phoneticPr fontId="1" type="noConversion"/>
  </si>
  <si>
    <t>Up:U</t>
    <phoneticPr fontId="1" type="noConversion"/>
  </si>
  <si>
    <t>Down:D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</si>
</sst>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2" fontId="0" fillId="0" borderId="0" xfId="0" applyNumberFormat="1" applyAlignment="1"/>
    <xf numFmtId="0" fontId="0" fillId="0" borderId="0" xfId="0" applyAlignment="1">
      <alignment horizontal="left"/>
    </xf>
    <xf numFmtId="0" fontId="0" fillId="0" borderId="0" xfId="0" quotePrefix="1" applyAlignment="1"/>
    <xf numFmtId="0" fontId="3" fillId="0" borderId="0" xfId="0" applyFont="1" applyAlignmen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right"/>
    </xf>
    <xf numFmtId="176" fontId="0" fillId="0" borderId="0" xfId="0" quotePrefix="1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60960</xdr:rowOff>
    </xdr:from>
    <xdr:to>
      <xdr:col>3</xdr:col>
      <xdr:colOff>0</xdr:colOff>
      <xdr:row>10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2F066B8-F859-4ACF-9453-53A209ABC531}"/>
            </a:ext>
          </a:extLst>
        </xdr:cNvPr>
        <xdr:cNvSpPr>
          <a:spLocks noChangeShapeType="1"/>
        </xdr:cNvSpPr>
      </xdr:nvSpPr>
      <xdr:spPr bwMode="auto">
        <a:xfrm flipV="1">
          <a:off x="1638300" y="1943100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10</xdr:row>
      <xdr:rowOff>76200</xdr:rowOff>
    </xdr:from>
    <xdr:to>
      <xdr:col>3</xdr:col>
      <xdr:colOff>7620</xdr:colOff>
      <xdr:row>11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E234AEF-628A-456F-BA73-5D671DF2B181}"/>
            </a:ext>
          </a:extLst>
        </xdr:cNvPr>
        <xdr:cNvSpPr>
          <a:spLocks noChangeShapeType="1"/>
        </xdr:cNvSpPr>
      </xdr:nvSpPr>
      <xdr:spPr bwMode="auto">
        <a:xfrm>
          <a:off x="1638300" y="2133600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9</xdr:row>
      <xdr:rowOff>45720</xdr:rowOff>
    </xdr:from>
    <xdr:to>
      <xdr:col>8</xdr:col>
      <xdr:colOff>0</xdr:colOff>
      <xdr:row>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344BBE81-6184-4847-AD57-AEF68136F1A1}"/>
            </a:ext>
          </a:extLst>
        </xdr:cNvPr>
        <xdr:cNvSpPr>
          <a:spLocks noChangeShapeType="1"/>
        </xdr:cNvSpPr>
      </xdr:nvSpPr>
      <xdr:spPr bwMode="auto">
        <a:xfrm flipV="1">
          <a:off x="4714875" y="1933575"/>
          <a:ext cx="6191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10</xdr:row>
      <xdr:rowOff>83820</xdr:rowOff>
    </xdr:from>
    <xdr:to>
      <xdr:col>7</xdr:col>
      <xdr:colOff>495300</xdr:colOff>
      <xdr:row>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BFEC4AA6-2E12-47E6-8F8D-A83381F726EA}"/>
            </a:ext>
          </a:extLst>
        </xdr:cNvPr>
        <xdr:cNvSpPr>
          <a:spLocks noChangeShapeType="1"/>
        </xdr:cNvSpPr>
      </xdr:nvSpPr>
      <xdr:spPr bwMode="auto">
        <a:xfrm>
          <a:off x="4705350" y="2143125"/>
          <a:ext cx="49530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480060</xdr:colOff>
      <xdr:row>14</xdr:row>
      <xdr:rowOff>53340</xdr:rowOff>
    </xdr:from>
    <xdr:to>
      <xdr:col>3</xdr:col>
      <xdr:colOff>7620</xdr:colOff>
      <xdr:row>15</xdr:row>
      <xdr:rowOff>83820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F6F2411A-4DA5-40A0-9CEE-59125F9B8635}"/>
            </a:ext>
          </a:extLst>
        </xdr:cNvPr>
        <xdr:cNvSpPr>
          <a:spLocks noChangeShapeType="1"/>
        </xdr:cNvSpPr>
      </xdr:nvSpPr>
      <xdr:spPr bwMode="auto">
        <a:xfrm flipV="1">
          <a:off x="1504950" y="2800350"/>
          <a:ext cx="75247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</xdr:colOff>
      <xdr:row>15</xdr:row>
      <xdr:rowOff>83820</xdr:rowOff>
    </xdr:from>
    <xdr:to>
      <xdr:col>3</xdr:col>
      <xdr:colOff>0</xdr:colOff>
      <xdr:row>16</xdr:row>
      <xdr:rowOff>76200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964B550E-EECC-49A1-8990-4619C271B99E}"/>
            </a:ext>
          </a:extLst>
        </xdr:cNvPr>
        <xdr:cNvSpPr>
          <a:spLocks noChangeShapeType="1"/>
        </xdr:cNvSpPr>
      </xdr:nvSpPr>
      <xdr:spPr bwMode="auto">
        <a:xfrm>
          <a:off x="1647825" y="3000375"/>
          <a:ext cx="6000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480060</xdr:colOff>
      <xdr:row>14</xdr:row>
      <xdr:rowOff>53340</xdr:rowOff>
    </xdr:from>
    <xdr:to>
      <xdr:col>8</xdr:col>
      <xdr:colOff>7620</xdr:colOff>
      <xdr:row>15</xdr:row>
      <xdr:rowOff>83820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8C49942C-0521-46E7-94EE-CCF1D0487967}"/>
            </a:ext>
          </a:extLst>
        </xdr:cNvPr>
        <xdr:cNvSpPr>
          <a:spLocks noChangeShapeType="1"/>
        </xdr:cNvSpPr>
      </xdr:nvSpPr>
      <xdr:spPr bwMode="auto">
        <a:xfrm flipV="1">
          <a:off x="4572000" y="2800350"/>
          <a:ext cx="771525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15</xdr:row>
      <xdr:rowOff>83820</xdr:rowOff>
    </xdr:from>
    <xdr:to>
      <xdr:col>8</xdr:col>
      <xdr:colOff>0</xdr:colOff>
      <xdr:row>16</xdr:row>
      <xdr:rowOff>76200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3D9B8A7E-BE0B-4B1E-84AF-CD7FDD6547D2}"/>
            </a:ext>
          </a:extLst>
        </xdr:cNvPr>
        <xdr:cNvSpPr>
          <a:spLocks noChangeShapeType="1"/>
        </xdr:cNvSpPr>
      </xdr:nvSpPr>
      <xdr:spPr bwMode="auto">
        <a:xfrm>
          <a:off x="4714875" y="3000375"/>
          <a:ext cx="61912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12</xdr:col>
      <xdr:colOff>571500</xdr:colOff>
      <xdr:row>3</xdr:row>
      <xdr:rowOff>152400</xdr:rowOff>
    </xdr:from>
    <xdr:to>
      <xdr:col>25</xdr:col>
      <xdr:colOff>419100</xdr:colOff>
      <xdr:row>57</xdr:row>
      <xdr:rowOff>131445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CA400237-5F0E-B52F-BAAD-339131426E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336280" y="723900"/>
          <a:ext cx="7772400" cy="95021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L50"/>
  <sheetViews>
    <sheetView tabSelected="1" zoomScale="130" zoomScaleNormal="130" workbookViewId="0">
      <selection activeCell="J32" sqref="J32"/>
    </sheetView>
  </sheetViews>
  <sheetFormatPr defaultRowHeight="13.8" x14ac:dyDescent="0.25"/>
  <cols>
    <col min="1" max="1" width="20.44140625" style="2" customWidth="1"/>
    <col min="2" max="3" width="8.88671875" style="2"/>
    <col min="4" max="4" width="9.109375" style="4" customWidth="1"/>
    <col min="5" max="7" width="8.88671875" style="2"/>
    <col min="8" max="8" width="9.109375" style="4" customWidth="1"/>
    <col min="9" max="12" width="8.88671875" style="2"/>
  </cols>
  <sheetData>
    <row r="1" spans="1:10" ht="17.399999999999999" x14ac:dyDescent="0.25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10" x14ac:dyDescent="0.25">
      <c r="A2" s="2" t="s">
        <v>32</v>
      </c>
      <c r="B2" s="3">
        <f>35/25</f>
        <v>1.4</v>
      </c>
      <c r="C2" s="2" t="str">
        <f ca="1">[2]!getformula(B2)</f>
        <v>&lt;--  =35/25</v>
      </c>
    </row>
    <row r="3" spans="1:10" x14ac:dyDescent="0.25">
      <c r="A3" s="2" t="s">
        <v>33</v>
      </c>
      <c r="B3" s="3">
        <f>20/25</f>
        <v>0.8</v>
      </c>
      <c r="C3" s="2" t="str">
        <f ca="1">[2]!getformula(B3)</f>
        <v>&lt;--  =20/25</v>
      </c>
    </row>
    <row r="4" spans="1:10" x14ac:dyDescent="0.25">
      <c r="I4" s="5"/>
    </row>
    <row r="5" spans="1:10" x14ac:dyDescent="0.25">
      <c r="A5" s="2" t="s">
        <v>29</v>
      </c>
      <c r="B5" s="2">
        <v>25</v>
      </c>
      <c r="I5" s="5"/>
    </row>
    <row r="6" spans="1:10" x14ac:dyDescent="0.25">
      <c r="A6" s="2" t="s">
        <v>30</v>
      </c>
      <c r="B6" s="3">
        <v>1.08</v>
      </c>
    </row>
    <row r="7" spans="1:10" x14ac:dyDescent="0.25">
      <c r="A7" s="2" t="s">
        <v>31</v>
      </c>
      <c r="B7" s="2">
        <v>30</v>
      </c>
    </row>
    <row r="9" spans="1:10" x14ac:dyDescent="0.25">
      <c r="B9" s="6" t="s">
        <v>1</v>
      </c>
      <c r="G9" s="6" t="s">
        <v>2</v>
      </c>
      <c r="H9" s="2"/>
      <c r="I9" s="4"/>
    </row>
    <row r="10" spans="1:10" x14ac:dyDescent="0.25">
      <c r="D10" s="7">
        <f>$B$11*B2</f>
        <v>35</v>
      </c>
      <c r="E10" s="2" t="str">
        <f ca="1">[2]!getformula(D10)</f>
        <v>&lt;--  =$B$11*B2</v>
      </c>
      <c r="H10" s="2"/>
      <c r="I10" s="7">
        <f>$G$11*B6</f>
        <v>1.08</v>
      </c>
      <c r="J10" s="2" t="str">
        <f ca="1">[2]!getformula(I10)</f>
        <v>&lt;--  =$G$11*B6</v>
      </c>
    </row>
    <row r="11" spans="1:10" x14ac:dyDescent="0.25">
      <c r="B11" s="2">
        <f>B5</f>
        <v>25</v>
      </c>
      <c r="D11" s="7"/>
      <c r="G11" s="2">
        <v>1</v>
      </c>
      <c r="H11" s="2"/>
      <c r="I11" s="7"/>
    </row>
    <row r="12" spans="1:10" x14ac:dyDescent="0.25">
      <c r="D12" s="7">
        <f>$B$11*B3</f>
        <v>20</v>
      </c>
      <c r="E12" s="2" t="str">
        <f ca="1">[2]!getformula(D12)</f>
        <v>&lt;--  =$B$11*B3</v>
      </c>
      <c r="H12" s="2"/>
      <c r="I12" s="7">
        <f>$G$11*B6</f>
        <v>1.08</v>
      </c>
      <c r="J12" s="2" t="str">
        <f ca="1">[2]!getformula(I12)</f>
        <v>&lt;--  =$G$11*B6</v>
      </c>
    </row>
    <row r="13" spans="1:10" x14ac:dyDescent="0.25">
      <c r="H13" s="2"/>
      <c r="I13" s="4"/>
    </row>
    <row r="14" spans="1:10" x14ac:dyDescent="0.25">
      <c r="B14" s="6" t="s">
        <v>3</v>
      </c>
      <c r="G14" s="6" t="s">
        <v>4</v>
      </c>
      <c r="H14" s="2"/>
      <c r="I14" s="4"/>
    </row>
    <row r="15" spans="1:10" x14ac:dyDescent="0.25">
      <c r="D15" s="7">
        <f>MAX(D10-$B$7,0)</f>
        <v>5</v>
      </c>
      <c r="E15" s="2" t="str">
        <f ca="1">[2]!getformula(D15)</f>
        <v>&lt;--  =MAX(D10-$B$7,0)</v>
      </c>
      <c r="H15" s="2"/>
      <c r="I15" s="7">
        <f>MAX($B$7-D10,0)</f>
        <v>0</v>
      </c>
      <c r="J15" s="2" t="str">
        <f ca="1">[2]!getformula(I15)</f>
        <v>&lt;--  =MAX($B$7-D10,0)</v>
      </c>
    </row>
    <row r="16" spans="1:10" x14ac:dyDescent="0.25">
      <c r="B16" s="8" t="s">
        <v>5</v>
      </c>
      <c r="D16" s="7"/>
      <c r="G16" s="8" t="s">
        <v>5</v>
      </c>
      <c r="H16" s="2"/>
      <c r="I16" s="7"/>
      <c r="J16" s="5"/>
    </row>
    <row r="17" spans="1:10" x14ac:dyDescent="0.25">
      <c r="D17" s="7">
        <f>MAX(D12-$B$7,0)</f>
        <v>0</v>
      </c>
      <c r="E17" s="2" t="str">
        <f ca="1">[2]!getformula(D17)</f>
        <v>&lt;--  =MAX(D12-$B$7,0)</v>
      </c>
      <c r="H17" s="2"/>
      <c r="I17" s="7">
        <f>MAX($B$7-D12,0)</f>
        <v>10</v>
      </c>
      <c r="J17" s="2" t="str">
        <f ca="1">[2]!getformula(I17)</f>
        <v>&lt;--  =MAX($B$7-D12,0)</v>
      </c>
    </row>
    <row r="18" spans="1:10" x14ac:dyDescent="0.25">
      <c r="F18" s="9"/>
      <c r="G18" s="4"/>
      <c r="H18" s="2"/>
    </row>
    <row r="19" spans="1:10" x14ac:dyDescent="0.25">
      <c r="H19" s="2"/>
    </row>
    <row r="20" spans="1:10" x14ac:dyDescent="0.25">
      <c r="B20" s="2" t="s">
        <v>6</v>
      </c>
      <c r="C20" s="10">
        <f>(D15-D17)/(D10-D12)</f>
        <v>0.33333333333333331</v>
      </c>
      <c r="D20" s="2" t="str">
        <f ca="1">[2]!getformula(C20)</f>
        <v>&lt;--  =(D15-D17)/(D10-D12)</v>
      </c>
      <c r="H20" s="2"/>
    </row>
    <row r="21" spans="1:10" x14ac:dyDescent="0.25">
      <c r="B21" s="2" t="s">
        <v>7</v>
      </c>
      <c r="C21" s="9">
        <f>(B2*D17-B3*D15)/(B6*(B2-B3))</f>
        <v>-6.1728395061728403</v>
      </c>
      <c r="D21" s="2" t="str">
        <f ca="1">[2]!getformula(C21)</f>
        <v>&lt;--  =(B2*D17-B3*D15)/(B6*(B2-B3))</v>
      </c>
      <c r="H21" s="2"/>
    </row>
    <row r="22" spans="1:10" x14ac:dyDescent="0.25">
      <c r="F22" s="9"/>
      <c r="G22" s="4"/>
      <c r="H22" s="2"/>
    </row>
    <row r="23" spans="1:10" x14ac:dyDescent="0.25">
      <c r="A23" s="2" t="s">
        <v>8</v>
      </c>
      <c r="B23" s="10">
        <f>C20*B5+C21</f>
        <v>2.1604938271604919</v>
      </c>
      <c r="C23" s="2" t="s">
        <v>9</v>
      </c>
      <c r="F23" s="9"/>
      <c r="G23" s="4"/>
      <c r="H23" s="2"/>
    </row>
    <row r="24" spans="1:10" x14ac:dyDescent="0.25">
      <c r="A24" s="2" t="s">
        <v>10</v>
      </c>
      <c r="B24" s="10">
        <f>B27*I15+B28*I17</f>
        <v>4.9382716049382696</v>
      </c>
      <c r="C24" s="2" t="s">
        <v>11</v>
      </c>
      <c r="F24" s="9"/>
      <c r="G24" s="4"/>
      <c r="H24" s="2"/>
    </row>
    <row r="25" spans="1:10" x14ac:dyDescent="0.25">
      <c r="F25" s="6" t="s">
        <v>12</v>
      </c>
      <c r="G25" s="4"/>
      <c r="H25" s="2"/>
    </row>
    <row r="26" spans="1:10" x14ac:dyDescent="0.25">
      <c r="A26" s="6" t="s">
        <v>13</v>
      </c>
      <c r="F26" s="6" t="s">
        <v>14</v>
      </c>
      <c r="G26" s="4"/>
      <c r="H26" s="2"/>
    </row>
    <row r="27" spans="1:10" ht="15.6" x14ac:dyDescent="0.35">
      <c r="A27" s="2" t="s">
        <v>15</v>
      </c>
      <c r="B27" s="9">
        <f>(B6-B3)/(B6*(B2-B3))</f>
        <v>0.43209876543209885</v>
      </c>
      <c r="C27" s="2" t="str">
        <f ca="1">[2]!getformula(B27)</f>
        <v>&lt;--  =(B6-B3)/(B6*(B2-B3))</v>
      </c>
      <c r="F27" s="2">
        <f>1/(B27+B28)</f>
        <v>1.08</v>
      </c>
      <c r="G27" s="2" t="str">
        <f ca="1">[2]!getformula(F27)</f>
        <v>&lt;--  =1/(B27+B28)</v>
      </c>
      <c r="H27" s="2"/>
    </row>
    <row r="28" spans="1:10" ht="15.6" x14ac:dyDescent="0.35">
      <c r="A28" s="2" t="s">
        <v>16</v>
      </c>
      <c r="B28" s="9">
        <f>(B2-B6)/(B6*(B2-B3))</f>
        <v>0.49382716049382697</v>
      </c>
      <c r="C28" s="2" t="str">
        <f ca="1">[2]!getformula(B28)</f>
        <v>&lt;--  =(B2-B6)/(B6*(B2-B3))</v>
      </c>
      <c r="F28" s="2">
        <f>B27*D10+B28*D12</f>
        <v>25</v>
      </c>
      <c r="G28" s="2" t="str">
        <f ca="1">[2]!getformula(F28)</f>
        <v>&lt;--  =B27*D10+B28*D12</v>
      </c>
      <c r="H28" s="2"/>
    </row>
    <row r="30" spans="1:10" x14ac:dyDescent="0.25">
      <c r="A30" s="6" t="s">
        <v>17</v>
      </c>
    </row>
    <row r="31" spans="1:10" x14ac:dyDescent="0.25">
      <c r="A31" s="2" t="s">
        <v>18</v>
      </c>
      <c r="B31" s="10">
        <f>B5+B24</f>
        <v>29.938271604938269</v>
      </c>
      <c r="C31" s="2" t="str">
        <f ca="1">[2]!getformula(B31)</f>
        <v>&lt;--  =B5+B24</v>
      </c>
    </row>
    <row r="32" spans="1:10" x14ac:dyDescent="0.25">
      <c r="A32" s="2" t="s">
        <v>19</v>
      </c>
      <c r="B32" s="10">
        <f>B23+B7/B6</f>
        <v>29.938271604938265</v>
      </c>
      <c r="C32" s="2" t="str">
        <f ca="1">[2]!getformula(B32)</f>
        <v>&lt;--  =B23+B7/B6</v>
      </c>
    </row>
    <row r="38" spans="1:1" x14ac:dyDescent="0.25">
      <c r="A38" s="2" t="s">
        <v>20</v>
      </c>
    </row>
    <row r="39" spans="1:1" x14ac:dyDescent="0.25">
      <c r="A39" s="2" t="s">
        <v>21</v>
      </c>
    </row>
    <row r="40" spans="1:1" x14ac:dyDescent="0.25">
      <c r="A40" s="2" t="s">
        <v>22</v>
      </c>
    </row>
    <row r="42" spans="1:1" x14ac:dyDescent="0.25">
      <c r="A42" s="2" t="s">
        <v>23</v>
      </c>
    </row>
    <row r="43" spans="1:1" x14ac:dyDescent="0.25">
      <c r="A43" s="2" t="s">
        <v>24</v>
      </c>
    </row>
    <row r="44" spans="1:1" x14ac:dyDescent="0.25">
      <c r="A44" s="2" t="s">
        <v>25</v>
      </c>
    </row>
    <row r="46" spans="1:1" x14ac:dyDescent="0.25">
      <c r="A46" s="2" t="s">
        <v>26</v>
      </c>
    </row>
    <row r="48" spans="1:1" x14ac:dyDescent="0.25">
      <c r="A48" s="2" t="s">
        <v>27</v>
      </c>
    </row>
    <row r="50" spans="1:2" x14ac:dyDescent="0.25">
      <c r="A50" s="2" t="s">
        <v>28</v>
      </c>
      <c r="B50" s="2">
        <f>B27*D15+B28*D17</f>
        <v>2.1604938271604941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2024-11-21T05:21:29Z</dcterms:modified>
</cp:coreProperties>
</file>