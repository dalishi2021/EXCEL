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practice\"/>
    </mc:Choice>
  </mc:AlternateContent>
  <xr:revisionPtr revIDLastSave="0" documentId="13_ncr:1_{CB9CE0F2-1CE0-40D3-A27F-EAFD0CCC7B6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35" i="1"/>
  <c r="C34" i="1"/>
  <c r="C29" i="1"/>
  <c r="C28" i="1"/>
  <c r="G13" i="1"/>
  <c r="E12" i="1"/>
  <c r="G11" i="1"/>
</calcChain>
</file>

<file path=xl/sharedStrings.xml><?xml version="1.0" encoding="utf-8"?>
<sst xmlns="http://schemas.openxmlformats.org/spreadsheetml/2006/main" count="23" uniqueCount="23">
  <si>
    <t>call, X = 30</t>
  </si>
  <si>
    <t>put, X = 40</t>
  </si>
  <si>
    <t>stock</t>
  </si>
  <si>
    <t>bond:  combine 3 calls and one put</t>
  </si>
  <si>
    <t>????</t>
  </si>
  <si>
    <t>Part a</t>
  </si>
  <si>
    <t>As shown above, combining 3 calls and one put gives a riskless security which costs 19 today and</t>
  </si>
  <si>
    <t>pays off 20 tomorrow.  Therefore, the riskless interest rate is 1/19 = 5.2632%.</t>
  </si>
  <si>
    <t>Part b</t>
  </si>
  <si>
    <t>We need to combine two of the assets for which we know the price to get the</t>
  </si>
  <si>
    <t>stock's payoffs.  At this point we will also know the price of the stock.</t>
  </si>
  <si>
    <t>Three calls + one bond = stock payoffs.  This means that the stock price =</t>
  </si>
  <si>
    <t>19 + 3*2.25 = 25.75.</t>
  </si>
  <si>
    <r>
      <t>Check:  If we compute the state prices, we get 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 xml:space="preserve"> = 0.45 and 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 xml:space="preserve"> = 0.50 (these state prices</t>
    </r>
  </si>
  <si>
    <t>can be computed from any two assets, for example the put and the call).  Using these</t>
  </si>
  <si>
    <t>prices to compute the value of the stock gives:  stock price = 0.45*35 + 0.5*20 = 25.75.</t>
  </si>
  <si>
    <t>S</t>
    <phoneticPr fontId="1" type="noConversion"/>
  </si>
  <si>
    <t>X</t>
    <phoneticPr fontId="1" type="noConversion"/>
  </si>
  <si>
    <t>R</t>
    <phoneticPr fontId="1" type="noConversion"/>
  </si>
  <si>
    <t>U</t>
    <phoneticPr fontId="1" type="noConversion"/>
  </si>
  <si>
    <t>D</t>
    <phoneticPr fontId="1" type="noConversion"/>
  </si>
  <si>
    <r>
      <t>q</t>
    </r>
    <r>
      <rPr>
        <vertAlign val="subscript"/>
        <sz val="11"/>
        <color theme="1"/>
        <rFont val="等线"/>
        <family val="3"/>
        <charset val="134"/>
        <scheme val="minor"/>
      </rPr>
      <t>u</t>
    </r>
    <phoneticPr fontId="1" type="noConversion"/>
  </si>
  <si>
    <r>
      <t>q</t>
    </r>
    <r>
      <rPr>
        <vertAlign val="subscript"/>
        <sz val="11"/>
        <color theme="1"/>
        <rFont val="等线"/>
        <family val="3"/>
        <charset val="134"/>
        <scheme val="minor"/>
      </rPr>
      <t>D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</si>
</sst>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%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vertAlign val="subscript"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/>
    <xf numFmtId="0" fontId="2" fillId="0" borderId="0" xfId="0" applyFont="1" applyAlignment="1"/>
    <xf numFmtId="176" fontId="0" fillId="0" borderId="0" xfId="0" applyNumberFormat="1" applyAlignment="1"/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480060</xdr:colOff>
      <xdr:row>4</xdr:row>
      <xdr:rowOff>68580</xdr:rowOff>
    </xdr:from>
    <xdr:to>
      <xdr:col>2</xdr:col>
      <xdr:colOff>7620</xdr:colOff>
      <xdr:row>5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A6F2880A-8D3E-4C2B-894C-6205C4015B4A}"/>
            </a:ext>
          </a:extLst>
        </xdr:cNvPr>
        <xdr:cNvSpPr>
          <a:spLocks noChangeShapeType="1"/>
        </xdr:cNvSpPr>
      </xdr:nvSpPr>
      <xdr:spPr bwMode="auto">
        <a:xfrm flipV="1">
          <a:off x="476250" y="752475"/>
          <a:ext cx="7524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464820</xdr:colOff>
      <xdr:row>5</xdr:row>
      <xdr:rowOff>76200</xdr:rowOff>
    </xdr:from>
    <xdr:to>
      <xdr:col>2</xdr:col>
      <xdr:colOff>7620</xdr:colOff>
      <xdr:row>6</xdr:row>
      <xdr:rowOff>60960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C37C4BDD-492E-4ED0-A526-16CA9A8AF49E}"/>
            </a:ext>
          </a:extLst>
        </xdr:cNvPr>
        <xdr:cNvSpPr>
          <a:spLocks noChangeShapeType="1"/>
        </xdr:cNvSpPr>
      </xdr:nvSpPr>
      <xdr:spPr bwMode="auto">
        <a:xfrm>
          <a:off x="466725" y="933450"/>
          <a:ext cx="7620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</xdr:row>
      <xdr:rowOff>45720</xdr:rowOff>
    </xdr:from>
    <xdr:to>
      <xdr:col>6</xdr:col>
      <xdr:colOff>0</xdr:colOff>
      <xdr:row>5</xdr:row>
      <xdr:rowOff>83820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BB86F089-2A9B-41A9-A309-CB0323B9AFAC}"/>
            </a:ext>
          </a:extLst>
        </xdr:cNvPr>
        <xdr:cNvSpPr>
          <a:spLocks noChangeShapeType="1"/>
        </xdr:cNvSpPr>
      </xdr:nvSpPr>
      <xdr:spPr bwMode="auto">
        <a:xfrm flipV="1">
          <a:off x="3048000" y="733425"/>
          <a:ext cx="6096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7620</xdr:colOff>
      <xdr:row>5</xdr:row>
      <xdr:rowOff>91440</xdr:rowOff>
    </xdr:from>
    <xdr:to>
      <xdr:col>6</xdr:col>
      <xdr:colOff>15240</xdr:colOff>
      <xdr:row>6</xdr:row>
      <xdr:rowOff>68580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4C199C62-5B12-41B7-AD93-595178EE2498}"/>
            </a:ext>
          </a:extLst>
        </xdr:cNvPr>
        <xdr:cNvSpPr>
          <a:spLocks noChangeShapeType="1"/>
        </xdr:cNvSpPr>
      </xdr:nvSpPr>
      <xdr:spPr bwMode="auto">
        <a:xfrm>
          <a:off x="3057525" y="952500"/>
          <a:ext cx="6191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480060</xdr:colOff>
      <xdr:row>10</xdr:row>
      <xdr:rowOff>53340</xdr:rowOff>
    </xdr:from>
    <xdr:to>
      <xdr:col>2</xdr:col>
      <xdr:colOff>7620</xdr:colOff>
      <xdr:row>11</xdr:row>
      <xdr:rowOff>83820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75E97D9C-9141-4722-AFCE-BFE681B78CD7}"/>
            </a:ext>
          </a:extLst>
        </xdr:cNvPr>
        <xdr:cNvSpPr>
          <a:spLocks noChangeShapeType="1"/>
        </xdr:cNvSpPr>
      </xdr:nvSpPr>
      <xdr:spPr bwMode="auto">
        <a:xfrm flipV="1">
          <a:off x="476250" y="1771650"/>
          <a:ext cx="7524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472440</xdr:colOff>
      <xdr:row>11</xdr:row>
      <xdr:rowOff>83820</xdr:rowOff>
    </xdr:from>
    <xdr:to>
      <xdr:col>1</xdr:col>
      <xdr:colOff>480060</xdr:colOff>
      <xdr:row>12</xdr:row>
      <xdr:rowOff>60960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7BBC74BF-B516-44C3-9767-0F308EBD9C6B}"/>
            </a:ext>
          </a:extLst>
        </xdr:cNvPr>
        <xdr:cNvSpPr>
          <a:spLocks noChangeShapeType="1"/>
        </xdr:cNvSpPr>
      </xdr:nvSpPr>
      <xdr:spPr bwMode="auto">
        <a:xfrm>
          <a:off x="476250" y="1971675"/>
          <a:ext cx="60960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10</xdr:row>
      <xdr:rowOff>68580</xdr:rowOff>
    </xdr:from>
    <xdr:to>
      <xdr:col>6</xdr:col>
      <xdr:colOff>7620</xdr:colOff>
      <xdr:row>11</xdr:row>
      <xdr:rowOff>68580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BA32E0D2-E2E2-4A05-A62B-A72C855D8713}"/>
            </a:ext>
          </a:extLst>
        </xdr:cNvPr>
        <xdr:cNvSpPr>
          <a:spLocks noChangeShapeType="1"/>
        </xdr:cNvSpPr>
      </xdr:nvSpPr>
      <xdr:spPr bwMode="auto">
        <a:xfrm flipV="1">
          <a:off x="3048000" y="178117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11</xdr:row>
      <xdr:rowOff>83820</xdr:rowOff>
    </xdr:from>
    <xdr:to>
      <xdr:col>6</xdr:col>
      <xdr:colOff>0</xdr:colOff>
      <xdr:row>12</xdr:row>
      <xdr:rowOff>68580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DDA76E35-99CC-40BB-8DBB-74531E12E20E}"/>
            </a:ext>
          </a:extLst>
        </xdr:cNvPr>
        <xdr:cNvSpPr>
          <a:spLocks noChangeShapeType="1"/>
        </xdr:cNvSpPr>
      </xdr:nvSpPr>
      <xdr:spPr bwMode="auto">
        <a:xfrm>
          <a:off x="3048000" y="1971675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13</xdr:col>
      <xdr:colOff>175260</xdr:colOff>
      <xdr:row>2</xdr:row>
      <xdr:rowOff>106680</xdr:rowOff>
    </xdr:from>
    <xdr:to>
      <xdr:col>23</xdr:col>
      <xdr:colOff>173355</xdr:colOff>
      <xdr:row>28</xdr:row>
      <xdr:rowOff>15240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E506574-1F62-7493-95E2-D608A2713A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100060" y="457200"/>
          <a:ext cx="6103620" cy="449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 and 2"/>
      <sheetName val="Exercise 1 and 2 中文"/>
      <sheetName val="Exercise 3"/>
      <sheetName val="Exercise 3 中文"/>
      <sheetName val="Exercise 4"/>
      <sheetName val="Exercise 4 中文"/>
      <sheetName val="Exercise 5"/>
      <sheetName val="VBA for Exercises 4-5"/>
      <sheetName val="Exercise 5 中文"/>
      <sheetName val="Exercise 6 template"/>
      <sheetName val="Exercise 6 template 中文"/>
      <sheetName val="Exercise 6"/>
      <sheetName val="Exercise 6 中文"/>
      <sheetName val="Exercise 7"/>
      <sheetName val="Exercise 7 中文"/>
      <sheetName val="Exercise 8"/>
      <sheetName val="Exercise 8 中文"/>
      <sheetName val="Exercise 9"/>
      <sheetName val="Exercise 9 中文"/>
      <sheetName val="Exercise 10"/>
      <sheetName val="Exercise 10 中文"/>
      <sheetName val="Graph for Exercise 10"/>
      <sheetName val="Graph for Exercise 10 中文"/>
      <sheetName val="Exercise 11"/>
      <sheetName val="VBA for Exercise 5"/>
      <sheetName val="Exercise 11 中文"/>
      <sheetName val="Exercises 12 and 13"/>
      <sheetName val="Exercises 12 and 13 中文"/>
      <sheetName val="Exercise 14"/>
      <sheetName val="Exercise 14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3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4:J35"/>
  <sheetViews>
    <sheetView tabSelected="1" topLeftCell="A2" zoomScale="160" zoomScaleNormal="160" workbookViewId="0">
      <selection activeCell="G32" sqref="G32"/>
    </sheetView>
  </sheetViews>
  <sheetFormatPr defaultRowHeight="13.8" x14ac:dyDescent="0.25"/>
  <cols>
    <col min="1" max="10" width="8.88671875" style="1"/>
  </cols>
  <sheetData>
    <row r="4" spans="1:7" x14ac:dyDescent="0.25">
      <c r="A4" s="1" t="s">
        <v>0</v>
      </c>
      <c r="E4" s="1" t="s">
        <v>1</v>
      </c>
    </row>
    <row r="5" spans="1:7" x14ac:dyDescent="0.25">
      <c r="C5" s="1">
        <v>5</v>
      </c>
      <c r="G5" s="1">
        <v>5</v>
      </c>
    </row>
    <row r="6" spans="1:7" x14ac:dyDescent="0.25">
      <c r="A6" s="4">
        <v>2.25</v>
      </c>
      <c r="E6" s="1">
        <v>12.25</v>
      </c>
    </row>
    <row r="7" spans="1:7" x14ac:dyDescent="0.25">
      <c r="C7" s="1">
        <v>0</v>
      </c>
      <c r="G7" s="1">
        <v>20</v>
      </c>
    </row>
    <row r="10" spans="1:7" x14ac:dyDescent="0.25">
      <c r="A10" s="1" t="s">
        <v>2</v>
      </c>
      <c r="E10" s="1" t="s">
        <v>3</v>
      </c>
    </row>
    <row r="11" spans="1:7" x14ac:dyDescent="0.25">
      <c r="C11" s="1">
        <v>35</v>
      </c>
      <c r="G11" s="1">
        <f>3*C5+G5</f>
        <v>20</v>
      </c>
    </row>
    <row r="12" spans="1:7" x14ac:dyDescent="0.25">
      <c r="A12" s="1" t="s">
        <v>4</v>
      </c>
      <c r="E12" s="1">
        <f>3*A6+E6</f>
        <v>19</v>
      </c>
    </row>
    <row r="13" spans="1:7" x14ac:dyDescent="0.25">
      <c r="C13" s="1">
        <v>20</v>
      </c>
      <c r="G13" s="1">
        <f>3*C7+G7</f>
        <v>20</v>
      </c>
    </row>
    <row r="15" spans="1:7" x14ac:dyDescent="0.25">
      <c r="A15" s="2" t="s">
        <v>5</v>
      </c>
      <c r="B15" s="1" t="s">
        <v>6</v>
      </c>
      <c r="F15" s="3"/>
    </row>
    <row r="16" spans="1:7" x14ac:dyDescent="0.25">
      <c r="A16" s="2"/>
      <c r="B16" s="1" t="s">
        <v>7</v>
      </c>
      <c r="F16" s="3"/>
    </row>
    <row r="17" spans="1:6" x14ac:dyDescent="0.25">
      <c r="A17" s="2"/>
      <c r="F17" s="3"/>
    </row>
    <row r="19" spans="1:6" x14ac:dyDescent="0.25">
      <c r="A19" s="2" t="s">
        <v>8</v>
      </c>
      <c r="B19" s="1" t="s">
        <v>9</v>
      </c>
    </row>
    <row r="20" spans="1:6" x14ac:dyDescent="0.25">
      <c r="B20" s="1" t="s">
        <v>10</v>
      </c>
    </row>
    <row r="21" spans="1:6" x14ac:dyDescent="0.25">
      <c r="B21" s="1" t="s">
        <v>11</v>
      </c>
    </row>
    <row r="22" spans="1:6" x14ac:dyDescent="0.25">
      <c r="B22" s="1" t="s">
        <v>12</v>
      </c>
    </row>
    <row r="24" spans="1:6" ht="15.6" x14ac:dyDescent="0.35">
      <c r="A24" s="1" t="s">
        <v>13</v>
      </c>
    </row>
    <row r="25" spans="1:6" x14ac:dyDescent="0.25">
      <c r="A25" s="1" t="s">
        <v>14</v>
      </c>
    </row>
    <row r="26" spans="1:6" x14ac:dyDescent="0.25">
      <c r="A26" s="1" t="s">
        <v>15</v>
      </c>
    </row>
    <row r="28" spans="1:6" x14ac:dyDescent="0.25">
      <c r="B28" s="5" t="s">
        <v>19</v>
      </c>
      <c r="C28" s="1">
        <f>C11/C31</f>
        <v>1.3592233009708738</v>
      </c>
    </row>
    <row r="29" spans="1:6" x14ac:dyDescent="0.25">
      <c r="B29" s="5" t="s">
        <v>20</v>
      </c>
      <c r="C29" s="1">
        <f>C13/C31</f>
        <v>0.77669902912621358</v>
      </c>
    </row>
    <row r="30" spans="1:6" x14ac:dyDescent="0.25">
      <c r="B30" s="5" t="s">
        <v>18</v>
      </c>
      <c r="C30" s="1">
        <f>G11/E12</f>
        <v>1.0526315789473684</v>
      </c>
    </row>
    <row r="31" spans="1:6" x14ac:dyDescent="0.25">
      <c r="B31" s="5" t="s">
        <v>16</v>
      </c>
      <c r="C31" s="1">
        <v>25.75</v>
      </c>
    </row>
    <row r="32" spans="1:6" x14ac:dyDescent="0.25">
      <c r="B32" s="5" t="s">
        <v>17</v>
      </c>
      <c r="C32" s="1">
        <v>30</v>
      </c>
    </row>
    <row r="34" spans="2:3" ht="16.2" x14ac:dyDescent="0.35">
      <c r="B34" s="5" t="s">
        <v>21</v>
      </c>
      <c r="C34" s="1">
        <f>(C30-C29)/(C30*(C28-C29))</f>
        <v>0.4499999999999999</v>
      </c>
    </row>
    <row r="35" spans="2:3" ht="16.2" x14ac:dyDescent="0.35">
      <c r="B35" s="5" t="s">
        <v>22</v>
      </c>
      <c r="C35" s="1">
        <f>(C28-C30)/(C30*(C28-C29))</f>
        <v>0.50000000000000022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2024-11-21T05:41:40Z</dcterms:modified>
</cp:coreProperties>
</file>