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7F1B3D1C-325C-46F6-98FA-3E37BFE4FB1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L7" i="1"/>
  <c r="E4" i="1" l="1"/>
  <c r="E3" i="1"/>
  <c r="E2" i="1"/>
  <c r="B16" i="1"/>
  <c r="B15" i="1"/>
  <c r="B12" i="1"/>
  <c r="C16" i="1"/>
  <c r="C15" i="1"/>
  <c r="B13" i="1"/>
</calcChain>
</file>

<file path=xl/sharedStrings.xml><?xml version="1.0" encoding="utf-8"?>
<sst xmlns="http://schemas.openxmlformats.org/spreadsheetml/2006/main" count="21" uniqueCount="21">
  <si>
    <t>Alternative Formulation of Binomial Option Pricing Model</t>
  </si>
  <si>
    <t>S</t>
  </si>
  <si>
    <t>R</t>
  </si>
  <si>
    <t>X</t>
  </si>
  <si>
    <t>U</t>
  </si>
  <si>
    <t>T</t>
  </si>
  <si>
    <t>D</t>
  </si>
  <si>
    <t>Sigma</t>
  </si>
  <si>
    <t>Interest</t>
  </si>
  <si>
    <t>n</t>
  </si>
  <si>
    <t>The VBA functions are used to price the binomial</t>
  </si>
  <si>
    <t>options and to price the Black-Scholes options.</t>
  </si>
  <si>
    <t>European binomial call</t>
  </si>
  <si>
    <r>
      <t xml:space="preserve">&lt;-- There's a slightly different function, defined as </t>
    </r>
    <r>
      <rPr>
        <b/>
        <sz val="10"/>
        <rFont val="Arial"/>
        <family val="2"/>
      </rPr>
      <t>EurBinCall2</t>
    </r>
  </si>
  <si>
    <t>European binomial put</t>
  </si>
  <si>
    <r>
      <t xml:space="preserve">&lt;-- </t>
    </r>
    <r>
      <rPr>
        <b/>
        <sz val="10"/>
        <rFont val="Arial"/>
        <family val="2"/>
      </rPr>
      <t>EurBinPut2</t>
    </r>
  </si>
  <si>
    <t>Black-Scholes call</t>
  </si>
  <si>
    <t>Black-Scholes put</t>
  </si>
  <si>
    <r>
      <t xml:space="preserve">Sensitivity table:  values of </t>
    </r>
    <r>
      <rPr>
        <b/>
        <i/>
        <sz val="10"/>
        <rFont val="Arial"/>
        <family val="2"/>
      </rPr>
      <t>n</t>
    </r>
    <r>
      <rPr>
        <b/>
        <sz val="10"/>
        <rFont val="Arial"/>
        <family val="2"/>
      </rPr>
      <t xml:space="preserve"> and the binomial price</t>
    </r>
  </si>
  <si>
    <t>Binomial price</t>
  </si>
  <si>
    <t>Black-Scholes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</si>
</sst>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;;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0" borderId="0" xfId="0" applyFont="1" applyAlignment="1"/>
    <xf numFmtId="0" fontId="0" fillId="0" borderId="0" xfId="0" applyAlignment="1"/>
    <xf numFmtId="176" fontId="0" fillId="0" borderId="0" xfId="0" quotePrefix="1" applyNumberFormat="1" applyAlignment="1"/>
    <xf numFmtId="176" fontId="0" fillId="0" borderId="0" xfId="0" applyNumberFormat="1" applyAlignment="1"/>
    <xf numFmtId="9" fontId="0" fillId="0" borderId="0" xfId="0" applyNumberFormat="1" applyAlignment="1"/>
    <xf numFmtId="0" fontId="3" fillId="0" borderId="0" xfId="0" applyFont="1" applyAlignment="1"/>
    <xf numFmtId="0" fontId="0" fillId="0" borderId="0" xfId="0" quotePrefix="1" applyAlignment="1"/>
    <xf numFmtId="0" fontId="0" fillId="0" borderId="0" xfId="0" applyAlignment="1">
      <alignment horizontal="center"/>
    </xf>
    <xf numFmtId="177" fontId="0" fillId="0" borderId="0" xfId="0" quotePrefix="1" applyNumberFormat="1" applyAlignment="1"/>
    <xf numFmtId="177" fontId="0" fillId="0" borderId="0" xfId="0" applyNumberFormat="1" applyAlignment="1"/>
    <xf numFmtId="0" fontId="0" fillId="0" borderId="0" xfId="0" applyAlignment="1">
      <alignment horizont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0" u="none" strike="noStrike" kern="1200" spc="0" baseline="0">
                <a:solidFill>
                  <a:schemeClr val="tx1"/>
                </a:solidFill>
              </a:rPr>
              <a:t>Exercise 17.11:  Convergence of Binomial to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Sheet1!$L$5:$L$6</c:f>
              <c:strCache>
                <c:ptCount val="2"/>
                <c:pt idx="0">
                  <c:v>Binomial price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Sheet1!$K$8:$K$32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250</c:v>
                </c:pt>
                <c:pt idx="21">
                  <c:v>300</c:v>
                </c:pt>
                <c:pt idx="22">
                  <c:v>350</c:v>
                </c:pt>
                <c:pt idx="23">
                  <c:v>400</c:v>
                </c:pt>
                <c:pt idx="24">
                  <c:v>500</c:v>
                </c:pt>
              </c:numCache>
            </c:numRef>
          </c:xVal>
          <c:yVal>
            <c:numRef>
              <c:f>Sheet1!$L$8:$L$32</c:f>
              <c:numCache>
                <c:formatCode>General</c:formatCode>
                <c:ptCount val="25"/>
                <c:pt idx="0">
                  <c:v>9.164101729732268</c:v>
                </c:pt>
                <c:pt idx="1">
                  <c:v>9.2277970730501018</c:v>
                </c:pt>
                <c:pt idx="2" formatCode="0.0000">
                  <c:v>9.2455798534206419</c:v>
                </c:pt>
                <c:pt idx="3" formatCode="0.0000">
                  <c:v>9.253082983682031</c:v>
                </c:pt>
                <c:pt idx="4" formatCode="0.0000">
                  <c:v>9.2568684225813591</c:v>
                </c:pt>
                <c:pt idx="5" formatCode="0.0000">
                  <c:v>9.2589663675154927</c:v>
                </c:pt>
                <c:pt idx="6" formatCode="0.0000">
                  <c:v>9.2601879229170692</c:v>
                </c:pt>
                <c:pt idx="7" formatCode="0.0000">
                  <c:v>9.2609120345283706</c:v>
                </c:pt>
                <c:pt idx="8" formatCode="0.0000">
                  <c:v>9.2613356411530976</c:v>
                </c:pt>
                <c:pt idx="9" formatCode="0.0000">
                  <c:v>9.2615693168825945</c:v>
                </c:pt>
                <c:pt idx="10" formatCode="0.0000">
                  <c:v>9.261678888949783</c:v>
                </c:pt>
                <c:pt idx="11" formatCode="0.0000">
                  <c:v>9.2617053790498929</c:v>
                </c:pt>
                <c:pt idx="12" formatCode="0.0000">
                  <c:v>9.2616753004038497</c:v>
                </c:pt>
                <c:pt idx="13" formatCode="0.0000">
                  <c:v>9.2616063028305771</c:v>
                </c:pt>
                <c:pt idx="14" formatCode="0.0000">
                  <c:v>9.2615104229668557</c:v>
                </c:pt>
                <c:pt idx="15" formatCode="0.0000">
                  <c:v>9.2613960337221943</c:v>
                </c:pt>
                <c:pt idx="16">
                  <c:v>9.2612690547171752</c:v>
                </c:pt>
                <c:pt idx="17">
                  <c:v>9.2611337264565492</c:v>
                </c:pt>
                <c:pt idx="18">
                  <c:v>9.2609931183518039</c:v>
                </c:pt>
                <c:pt idx="19">
                  <c:v>9.2608494696286314</c:v>
                </c:pt>
                <c:pt idx="20">
                  <c:v>9.2601300894638925</c:v>
                </c:pt>
                <c:pt idx="21">
                  <c:v>9.2594594540055457</c:v>
                </c:pt>
                <c:pt idx="22">
                  <c:v>9.2588563626538019</c:v>
                </c:pt>
                <c:pt idx="23">
                  <c:v>9.2583181106257353</c:v>
                </c:pt>
                <c:pt idx="24">
                  <c:v>9.2574051785059783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62-4528-B067-0C24BD372E0E}"/>
            </c:ext>
          </c:extLst>
        </c:ser>
        <c:ser>
          <c:idx val="1"/>
          <c:order val="1"/>
          <c:tx>
            <c:strRef>
              <c:f>Sheet1!$M$5:$M$6</c:f>
              <c:strCache>
                <c:ptCount val="2"/>
                <c:pt idx="0">
                  <c:v>Black-Scholes price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Sheet1!$K$8:$K$32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250</c:v>
                </c:pt>
                <c:pt idx="21">
                  <c:v>300</c:v>
                </c:pt>
                <c:pt idx="22">
                  <c:v>350</c:v>
                </c:pt>
                <c:pt idx="23">
                  <c:v>400</c:v>
                </c:pt>
                <c:pt idx="24">
                  <c:v>500</c:v>
                </c:pt>
              </c:numCache>
            </c:numRef>
          </c:xVal>
          <c:yVal>
            <c:numRef>
              <c:f>Sheet1!$M$8:$M$32</c:f>
              <c:numCache>
                <c:formatCode>General</c:formatCode>
                <c:ptCount val="25"/>
                <c:pt idx="0">
                  <c:v>9.2539255602039994</c:v>
                </c:pt>
                <c:pt idx="1">
                  <c:v>9.2539255602039994</c:v>
                </c:pt>
                <c:pt idx="2" formatCode="0.0000">
                  <c:v>9.2539255602039994</c:v>
                </c:pt>
                <c:pt idx="3" formatCode="0.0000">
                  <c:v>9.2539255602039994</c:v>
                </c:pt>
                <c:pt idx="4" formatCode="0.0000">
                  <c:v>9.2539255602039994</c:v>
                </c:pt>
                <c:pt idx="5" formatCode="0.0000">
                  <c:v>9.2539255602039994</c:v>
                </c:pt>
                <c:pt idx="6" formatCode="0.0000">
                  <c:v>9.2539255602039994</c:v>
                </c:pt>
                <c:pt idx="7" formatCode="0.0000">
                  <c:v>9.2539255602039994</c:v>
                </c:pt>
                <c:pt idx="8" formatCode="0.0000">
                  <c:v>9.2539255602039994</c:v>
                </c:pt>
                <c:pt idx="9" formatCode="0.0000">
                  <c:v>9.2539255602039994</c:v>
                </c:pt>
                <c:pt idx="10" formatCode="0.0000">
                  <c:v>9.2539255602039994</c:v>
                </c:pt>
                <c:pt idx="11" formatCode="0.0000">
                  <c:v>9.2539255602039994</c:v>
                </c:pt>
                <c:pt idx="12" formatCode="0.0000">
                  <c:v>9.2539255602039994</c:v>
                </c:pt>
                <c:pt idx="13" formatCode="0.0000">
                  <c:v>9.2539255602039994</c:v>
                </c:pt>
                <c:pt idx="14" formatCode="0.0000">
                  <c:v>9.2539255602039994</c:v>
                </c:pt>
                <c:pt idx="15" formatCode="0.0000">
                  <c:v>9.2539255602039994</c:v>
                </c:pt>
                <c:pt idx="16">
                  <c:v>9.2539255602039994</c:v>
                </c:pt>
                <c:pt idx="17">
                  <c:v>9.2539255602039994</c:v>
                </c:pt>
                <c:pt idx="18">
                  <c:v>9.2539255602039994</c:v>
                </c:pt>
                <c:pt idx="19">
                  <c:v>9.2539255602039994</c:v>
                </c:pt>
                <c:pt idx="20">
                  <c:v>9.2539255602039994</c:v>
                </c:pt>
                <c:pt idx="21">
                  <c:v>9.2539255602039994</c:v>
                </c:pt>
                <c:pt idx="22">
                  <c:v>9.2539255602039994</c:v>
                </c:pt>
                <c:pt idx="23">
                  <c:v>9.2539255602039994</c:v>
                </c:pt>
                <c:pt idx="24">
                  <c:v>9.2539255602039994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62-4528-B067-0C24BD372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857072"/>
        <c:axId val="998857432"/>
      </c:scatterChart>
      <c:valAx>
        <c:axId val="998857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000" b="1" i="0" u="none" strike="noStrike" kern="1200" baseline="0">
                    <a:solidFill>
                      <a:schemeClr val="tx1"/>
                    </a:solidFill>
                  </a:rPr>
                  <a:t>Number of periods,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8857432"/>
        <c:crosses val="autoZero"/>
        <c:crossBetween val="midCat"/>
      </c:valAx>
      <c:valAx>
        <c:axId val="998857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000" b="1" i="0" u="none" strike="noStrike" kern="1200" baseline="0">
                    <a:solidFill>
                      <a:schemeClr val="tx1"/>
                    </a:solidFill>
                  </a:rPr>
                  <a:t>Option 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885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215503</xdr:colOff>
      <xdr:row>18</xdr:row>
      <xdr:rowOff>40005</xdr:rowOff>
    </xdr:from>
    <xdr:to>
      <xdr:col>7</xdr:col>
      <xdr:colOff>516492</xdr:colOff>
      <xdr:row>34</xdr:row>
      <xdr:rowOff>49530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ED536B5-C204-C6CA-37E7-C49B0F954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15503" y="3195161"/>
          <a:ext cx="6095047" cy="27660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13</xdr:col>
      <xdr:colOff>244957</xdr:colOff>
      <xdr:row>11</xdr:row>
      <xdr:rowOff>50055</xdr:rowOff>
    </xdr:from>
    <xdr:to>
      <xdr:col>20</xdr:col>
      <xdr:colOff>538655</xdr:colOff>
      <xdr:row>27</xdr:row>
      <xdr:rowOff>62470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D4043CFF-90AC-498E-957D-D545E01C3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  <definedName name="EurBinCall2"/>
      <definedName name="EurBinPut2"/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3">
        <row r="6">
          <cell r="K6" t="str">
            <v>Binomial price</v>
          </cell>
          <cell r="L6" t="str">
            <v>Black-Scholes price</v>
          </cell>
        </row>
        <row r="9">
          <cell r="J9">
            <v>10</v>
          </cell>
          <cell r="K9">
            <v>9.164101729732268</v>
          </cell>
          <cell r="L9">
            <v>9.2539255602039994</v>
          </cell>
        </row>
        <row r="10">
          <cell r="J10">
            <v>20</v>
          </cell>
          <cell r="K10">
            <v>9.2277970730501018</v>
          </cell>
          <cell r="L10">
            <v>9.2539255602039994</v>
          </cell>
        </row>
        <row r="11">
          <cell r="J11">
            <v>30</v>
          </cell>
          <cell r="K11">
            <v>9.2455798534206419</v>
          </cell>
          <cell r="L11">
            <v>9.2539255602039994</v>
          </cell>
        </row>
        <row r="12">
          <cell r="J12">
            <v>40</v>
          </cell>
          <cell r="K12">
            <v>9.253082983682031</v>
          </cell>
          <cell r="L12">
            <v>9.2539255602039994</v>
          </cell>
        </row>
        <row r="13">
          <cell r="J13">
            <v>50</v>
          </cell>
          <cell r="K13">
            <v>9.2568684225813591</v>
          </cell>
          <cell r="L13">
            <v>9.2539255602039994</v>
          </cell>
        </row>
        <row r="14">
          <cell r="J14">
            <v>60</v>
          </cell>
          <cell r="K14">
            <v>9.2589663675154927</v>
          </cell>
          <cell r="L14">
            <v>9.2539255602039994</v>
          </cell>
        </row>
        <row r="15">
          <cell r="J15">
            <v>70</v>
          </cell>
          <cell r="K15">
            <v>9.2601879229170692</v>
          </cell>
          <cell r="L15">
            <v>9.2539255602039994</v>
          </cell>
        </row>
        <row r="16">
          <cell r="J16">
            <v>80</v>
          </cell>
          <cell r="K16">
            <v>9.2609120345283706</v>
          </cell>
          <cell r="L16">
            <v>9.2539255602039994</v>
          </cell>
        </row>
        <row r="17">
          <cell r="J17">
            <v>90</v>
          </cell>
          <cell r="K17">
            <v>9.2613356411530976</v>
          </cell>
          <cell r="L17">
            <v>9.2539255602039994</v>
          </cell>
        </row>
        <row r="18">
          <cell r="J18">
            <v>100</v>
          </cell>
          <cell r="K18">
            <v>9.2615693168825945</v>
          </cell>
          <cell r="L18">
            <v>9.2539255602039994</v>
          </cell>
        </row>
        <row r="19">
          <cell r="J19">
            <v>110</v>
          </cell>
          <cell r="K19">
            <v>9.261678888949783</v>
          </cell>
          <cell r="L19">
            <v>9.2539255602039994</v>
          </cell>
        </row>
        <row r="20">
          <cell r="J20">
            <v>120</v>
          </cell>
          <cell r="K20">
            <v>9.2617053790498929</v>
          </cell>
          <cell r="L20">
            <v>9.2539255602039994</v>
          </cell>
        </row>
        <row r="21">
          <cell r="J21">
            <v>130</v>
          </cell>
          <cell r="K21">
            <v>9.2616753004038497</v>
          </cell>
          <cell r="L21">
            <v>9.2539255602039994</v>
          </cell>
        </row>
        <row r="22">
          <cell r="J22">
            <v>140</v>
          </cell>
          <cell r="K22">
            <v>9.2616063028305771</v>
          </cell>
          <cell r="L22">
            <v>9.2539255602039994</v>
          </cell>
        </row>
        <row r="23">
          <cell r="J23">
            <v>150</v>
          </cell>
          <cell r="K23">
            <v>9.2615104229668557</v>
          </cell>
          <cell r="L23">
            <v>9.2539255602039994</v>
          </cell>
        </row>
        <row r="24">
          <cell r="J24">
            <v>160</v>
          </cell>
          <cell r="K24">
            <v>9.2613960337221943</v>
          </cell>
          <cell r="L24">
            <v>9.2539255602039994</v>
          </cell>
        </row>
        <row r="25">
          <cell r="J25">
            <v>170</v>
          </cell>
          <cell r="K25">
            <v>9.2612690547171752</v>
          </cell>
          <cell r="L25">
            <v>9.2539255602039994</v>
          </cell>
        </row>
        <row r="26">
          <cell r="J26">
            <v>180</v>
          </cell>
          <cell r="K26">
            <v>9.2611337264565492</v>
          </cell>
          <cell r="L26">
            <v>9.2539255602039994</v>
          </cell>
        </row>
        <row r="27">
          <cell r="J27">
            <v>190</v>
          </cell>
          <cell r="K27">
            <v>9.2609931183518039</v>
          </cell>
          <cell r="L27">
            <v>9.2539255602039994</v>
          </cell>
        </row>
        <row r="28">
          <cell r="J28">
            <v>200</v>
          </cell>
          <cell r="K28">
            <v>9.2608494696286314</v>
          </cell>
          <cell r="L28">
            <v>9.2539255602039994</v>
          </cell>
        </row>
        <row r="29">
          <cell r="J29">
            <v>250</v>
          </cell>
          <cell r="K29">
            <v>9.2601300894638925</v>
          </cell>
          <cell r="L29">
            <v>9.2539255602039994</v>
          </cell>
        </row>
        <row r="30">
          <cell r="J30">
            <v>300</v>
          </cell>
          <cell r="K30">
            <v>9.2594594540055457</v>
          </cell>
          <cell r="L30">
            <v>9.2539255602039994</v>
          </cell>
        </row>
        <row r="31">
          <cell r="J31">
            <v>350</v>
          </cell>
          <cell r="K31">
            <v>9.2588563626538019</v>
          </cell>
          <cell r="L31">
            <v>9.2539255602039994</v>
          </cell>
        </row>
        <row r="32">
          <cell r="J32">
            <v>400</v>
          </cell>
          <cell r="K32">
            <v>9.2583181106257353</v>
          </cell>
          <cell r="L32">
            <v>9.2539255602039994</v>
          </cell>
        </row>
        <row r="33">
          <cell r="J33">
            <v>500</v>
          </cell>
          <cell r="K33">
            <v>9.2574051785059783</v>
          </cell>
          <cell r="L33">
            <v>9.2539255602039994</v>
          </cell>
        </row>
      </sheetData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U43"/>
  <sheetViews>
    <sheetView tabSelected="1" topLeftCell="B1" zoomScale="160" zoomScaleNormal="160" workbookViewId="0">
      <selection activeCell="R8" sqref="R8"/>
    </sheetView>
  </sheetViews>
  <sheetFormatPr defaultRowHeight="13.8" x14ac:dyDescent="0.25"/>
  <cols>
    <col min="1" max="1" width="26.6640625" style="2" customWidth="1"/>
    <col min="2" max="2" width="13.44140625" style="2" customWidth="1"/>
    <col min="3" max="8" width="8.88671875" style="2"/>
  </cols>
  <sheetData>
    <row r="1" spans="1:21" ht="17.399999999999999" x14ac:dyDescent="0.3">
      <c r="A1" s="1" t="s">
        <v>0</v>
      </c>
    </row>
    <row r="2" spans="1:21" x14ac:dyDescent="0.25">
      <c r="A2" s="2" t="s">
        <v>1</v>
      </c>
      <c r="B2" s="2">
        <v>50</v>
      </c>
      <c r="D2" s="8" t="s">
        <v>2</v>
      </c>
      <c r="E2" s="2">
        <f>EXP(B6/B7)</f>
        <v>1.0010005001667084</v>
      </c>
    </row>
    <row r="3" spans="1:21" x14ac:dyDescent="0.25">
      <c r="A3" s="2" t="s">
        <v>3</v>
      </c>
      <c r="B3" s="2">
        <v>52</v>
      </c>
      <c r="D3" s="8" t="s">
        <v>4</v>
      </c>
      <c r="E3" s="2">
        <f>EXP((B6-B5^2/2)*B4/B7+B5*SQRT(B4/B7))</f>
        <v>1.0410189571648301</v>
      </c>
      <c r="F3" s="3"/>
      <c r="K3" s="6" t="s">
        <v>18</v>
      </c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25">
      <c r="A4" s="2" t="s">
        <v>5</v>
      </c>
      <c r="B4" s="4">
        <v>1</v>
      </c>
      <c r="C4" s="4"/>
      <c r="D4" s="8" t="s">
        <v>6</v>
      </c>
      <c r="E4" s="2">
        <f>EXP((B6-B5^2/2)*B4/B7-B5*SQRT(B4/B7))</f>
        <v>0.96098161625722356</v>
      </c>
      <c r="F4" s="4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x14ac:dyDescent="0.25">
      <c r="A5" s="2" t="s">
        <v>7</v>
      </c>
      <c r="B5" s="5">
        <v>0.4</v>
      </c>
      <c r="C5" s="5"/>
      <c r="K5" s="2"/>
      <c r="L5" s="11" t="s">
        <v>19</v>
      </c>
      <c r="M5" s="11" t="s">
        <v>20</v>
      </c>
      <c r="N5" s="2"/>
      <c r="O5" s="2"/>
      <c r="P5" s="2"/>
      <c r="Q5" s="2"/>
      <c r="R5" s="2"/>
      <c r="S5" s="2"/>
      <c r="T5" s="2"/>
      <c r="U5" s="2"/>
    </row>
    <row r="6" spans="1:21" x14ac:dyDescent="0.25">
      <c r="A6" s="2" t="s">
        <v>8</v>
      </c>
      <c r="B6" s="5">
        <v>0.1</v>
      </c>
      <c r="C6" s="5"/>
      <c r="K6" s="2"/>
      <c r="L6" s="11"/>
      <c r="M6" s="11"/>
      <c r="N6" s="2"/>
      <c r="O6" s="2"/>
      <c r="P6" s="2"/>
      <c r="Q6" s="2"/>
      <c r="R6" s="2"/>
      <c r="S6" s="2"/>
      <c r="T6" s="2"/>
      <c r="U6" s="2"/>
    </row>
    <row r="7" spans="1:21" x14ac:dyDescent="0.25">
      <c r="A7" s="2" t="s">
        <v>9</v>
      </c>
      <c r="B7" s="2">
        <v>100</v>
      </c>
      <c r="K7" s="2"/>
      <c r="L7" s="6">
        <f>B12</f>
        <v>9.2615693168825945</v>
      </c>
      <c r="M7" s="6">
        <f>B15</f>
        <v>9.2539255602039994</v>
      </c>
      <c r="N7" s="2"/>
      <c r="O7" s="2"/>
      <c r="P7" s="2"/>
      <c r="Q7" s="2"/>
      <c r="R7" s="2"/>
      <c r="S7" s="2"/>
      <c r="T7" s="2"/>
      <c r="U7" s="2"/>
    </row>
    <row r="8" spans="1:21" x14ac:dyDescent="0.25">
      <c r="K8" s="2">
        <v>10</v>
      </c>
      <c r="L8" s="6">
        <v>9.164101729732268</v>
      </c>
      <c r="M8" s="6">
        <v>9.2539255602039994</v>
      </c>
      <c r="N8" s="2"/>
      <c r="O8" s="2"/>
      <c r="P8" s="2"/>
      <c r="Q8" s="2"/>
      <c r="R8" s="2"/>
      <c r="S8" s="2"/>
      <c r="T8" s="2"/>
      <c r="U8" s="2"/>
    </row>
    <row r="9" spans="1:21" x14ac:dyDescent="0.25">
      <c r="A9" s="6" t="s">
        <v>10</v>
      </c>
      <c r="B9" s="3"/>
      <c r="C9" s="4"/>
      <c r="K9" s="2">
        <v>20</v>
      </c>
      <c r="L9" s="2">
        <v>9.2277970730501018</v>
      </c>
      <c r="M9" s="2">
        <v>9.2539255602039994</v>
      </c>
      <c r="N9" s="2"/>
      <c r="O9" s="2"/>
      <c r="P9" s="2"/>
      <c r="Q9" s="2"/>
      <c r="R9" s="2"/>
      <c r="S9" s="2"/>
      <c r="T9" s="2"/>
      <c r="U9" s="2"/>
    </row>
    <row r="10" spans="1:21" x14ac:dyDescent="0.25">
      <c r="A10" s="6" t="s">
        <v>11</v>
      </c>
      <c r="B10" s="3"/>
      <c r="C10" s="4"/>
      <c r="K10" s="2">
        <v>30</v>
      </c>
      <c r="L10" s="4">
        <v>9.2455798534206419</v>
      </c>
      <c r="M10" s="4">
        <v>9.2539255602039994</v>
      </c>
      <c r="N10" s="2"/>
      <c r="O10" s="2"/>
      <c r="P10" s="2"/>
      <c r="Q10" s="2"/>
      <c r="R10" s="2"/>
      <c r="S10" s="2"/>
      <c r="T10" s="2"/>
      <c r="U10" s="2"/>
    </row>
    <row r="11" spans="1:21" x14ac:dyDescent="0.25">
      <c r="K11" s="2">
        <v>40</v>
      </c>
      <c r="L11" s="4">
        <v>9.253082983682031</v>
      </c>
      <c r="M11" s="4">
        <v>9.2539255602039994</v>
      </c>
      <c r="N11" s="2"/>
      <c r="O11" s="2"/>
      <c r="P11" s="2"/>
      <c r="Q11" s="2"/>
      <c r="R11" s="2"/>
      <c r="S11" s="2"/>
      <c r="T11" s="2"/>
      <c r="U11" s="2"/>
    </row>
    <row r="12" spans="1:21" x14ac:dyDescent="0.25">
      <c r="A12" s="2" t="s">
        <v>12</v>
      </c>
      <c r="B12" s="7">
        <f>[1]!EurBinCall2(B2,B3,B4,B5,B6,B7)</f>
        <v>9.2615693168825945</v>
      </c>
      <c r="C12" s="2" t="s">
        <v>13</v>
      </c>
      <c r="K12" s="2">
        <v>50</v>
      </c>
      <c r="L12" s="4">
        <v>9.2568684225813591</v>
      </c>
      <c r="M12" s="4">
        <v>9.2539255602039994</v>
      </c>
      <c r="N12" s="2"/>
      <c r="O12" s="2"/>
      <c r="P12" s="2"/>
      <c r="Q12" s="2"/>
      <c r="R12" s="2"/>
      <c r="S12" s="2"/>
      <c r="T12" s="2"/>
      <c r="U12" s="2"/>
    </row>
    <row r="13" spans="1:21" x14ac:dyDescent="0.25">
      <c r="A13" s="2" t="s">
        <v>14</v>
      </c>
      <c r="B13" s="7">
        <f>[1]!EurBinPut2(B2,B3,B4,B5,B6,B7)</f>
        <v>6.3131150547524868</v>
      </c>
      <c r="C13" s="2" t="s">
        <v>15</v>
      </c>
      <c r="K13" s="2">
        <v>60</v>
      </c>
      <c r="L13" s="4">
        <v>9.2589663675154927</v>
      </c>
      <c r="M13" s="4">
        <v>9.2539255602039994</v>
      </c>
      <c r="N13" s="2"/>
      <c r="O13" s="2"/>
      <c r="P13" s="2"/>
      <c r="Q13" s="2"/>
      <c r="R13" s="2"/>
      <c r="S13" s="2"/>
      <c r="T13" s="2"/>
      <c r="U13" s="2"/>
    </row>
    <row r="14" spans="1:21" x14ac:dyDescent="0.25">
      <c r="K14" s="2">
        <v>70</v>
      </c>
      <c r="L14" s="4">
        <v>9.2601879229170692</v>
      </c>
      <c r="M14" s="4">
        <v>9.2539255602039994</v>
      </c>
      <c r="N14" s="2"/>
      <c r="O14" s="2"/>
      <c r="P14" s="2"/>
      <c r="Q14" s="2"/>
      <c r="R14" s="2"/>
      <c r="S14" s="2"/>
      <c r="T14" s="2"/>
      <c r="U14" s="2"/>
    </row>
    <row r="15" spans="1:21" x14ac:dyDescent="0.25">
      <c r="A15" s="2" t="s">
        <v>16</v>
      </c>
      <c r="B15" s="2">
        <f>[1]!BSCall(B2,B3,B4,B6,B5)</f>
        <v>9.2539255602039994</v>
      </c>
      <c r="C15" s="2" t="str">
        <f ca="1">[1]!getformula(B15)</f>
        <v>&lt;--  =BSCall(B2,B3,B4,B6,B5)</v>
      </c>
      <c r="K15" s="2">
        <v>80</v>
      </c>
      <c r="L15" s="4">
        <v>9.2609120345283706</v>
      </c>
      <c r="M15" s="4">
        <v>9.2539255602039994</v>
      </c>
      <c r="N15" s="2"/>
      <c r="O15" s="2"/>
      <c r="P15" s="2"/>
      <c r="Q15" s="2"/>
      <c r="R15" s="2"/>
      <c r="S15" s="2"/>
      <c r="T15" s="2"/>
      <c r="U15" s="2"/>
    </row>
    <row r="16" spans="1:21" x14ac:dyDescent="0.25">
      <c r="A16" s="2" t="s">
        <v>17</v>
      </c>
      <c r="B16" s="2">
        <f>[1]!BSPut(B2,B3,B4,B6,B5)</f>
        <v>6.3054712980738969</v>
      </c>
      <c r="C16" s="2" t="str">
        <f ca="1">[1]!getformula(B16)</f>
        <v>&lt;--  =BSPut(B2,B3,B4,B6,B5)</v>
      </c>
      <c r="K16" s="2">
        <v>90</v>
      </c>
      <c r="L16" s="4">
        <v>9.2613356411530976</v>
      </c>
      <c r="M16" s="4">
        <v>9.2539255602039994</v>
      </c>
      <c r="N16" s="2"/>
      <c r="O16" s="2"/>
      <c r="P16" s="2"/>
      <c r="Q16" s="2"/>
      <c r="R16" s="2"/>
      <c r="S16" s="2"/>
      <c r="T16" s="2"/>
      <c r="U16" s="2"/>
    </row>
    <row r="17" spans="3:21" x14ac:dyDescent="0.25">
      <c r="K17" s="2">
        <v>100</v>
      </c>
      <c r="L17" s="4">
        <v>9.2615693168825945</v>
      </c>
      <c r="M17" s="4">
        <v>9.2539255602039994</v>
      </c>
      <c r="N17" s="2"/>
      <c r="O17" s="2"/>
      <c r="P17" s="2"/>
      <c r="Q17" s="2"/>
      <c r="R17" s="2"/>
      <c r="S17" s="2"/>
      <c r="T17" s="2"/>
      <c r="U17" s="2"/>
    </row>
    <row r="18" spans="3:21" x14ac:dyDescent="0.25">
      <c r="K18" s="2">
        <v>110</v>
      </c>
      <c r="L18" s="4">
        <v>9.261678888949783</v>
      </c>
      <c r="M18" s="4">
        <v>9.2539255602039994</v>
      </c>
      <c r="N18" s="2"/>
      <c r="O18" s="2"/>
      <c r="P18" s="2"/>
      <c r="Q18" s="2"/>
      <c r="R18" s="2"/>
      <c r="S18" s="2"/>
      <c r="T18" s="2"/>
      <c r="U18" s="2"/>
    </row>
    <row r="19" spans="3:21" x14ac:dyDescent="0.25">
      <c r="K19" s="2">
        <v>120</v>
      </c>
      <c r="L19" s="4">
        <v>9.2617053790498929</v>
      </c>
      <c r="M19" s="4">
        <v>9.2539255602039994</v>
      </c>
      <c r="N19" s="2"/>
      <c r="O19" s="2"/>
      <c r="P19" s="2"/>
      <c r="Q19" s="2"/>
      <c r="R19" s="2"/>
      <c r="S19" s="2"/>
      <c r="T19" s="2"/>
      <c r="U19" s="2"/>
    </row>
    <row r="20" spans="3:21" x14ac:dyDescent="0.25">
      <c r="C20" s="8"/>
      <c r="D20" s="8"/>
      <c r="K20" s="2">
        <v>130</v>
      </c>
      <c r="L20" s="4">
        <v>9.2616753004038497</v>
      </c>
      <c r="M20" s="4">
        <v>9.2539255602039994</v>
      </c>
      <c r="N20" s="2"/>
      <c r="O20" s="2"/>
      <c r="P20" s="2"/>
      <c r="Q20" s="2"/>
      <c r="R20" s="2"/>
      <c r="S20" s="2"/>
      <c r="T20" s="2"/>
      <c r="U20" s="2"/>
    </row>
    <row r="21" spans="3:21" x14ac:dyDescent="0.25">
      <c r="C21" s="8"/>
      <c r="D21" s="8"/>
      <c r="K21" s="2">
        <v>140</v>
      </c>
      <c r="L21" s="4">
        <v>9.2616063028305771</v>
      </c>
      <c r="M21" s="4">
        <v>9.2539255602039994</v>
      </c>
      <c r="N21" s="2"/>
      <c r="O21" s="2"/>
      <c r="P21" s="2"/>
      <c r="Q21" s="2"/>
      <c r="R21" s="2"/>
      <c r="S21" s="2"/>
      <c r="T21" s="2"/>
      <c r="U21" s="2"/>
    </row>
    <row r="22" spans="3:21" x14ac:dyDescent="0.25">
      <c r="C22" s="9"/>
      <c r="D22" s="10"/>
      <c r="K22" s="2">
        <v>150</v>
      </c>
      <c r="L22" s="4">
        <v>9.2615104229668557</v>
      </c>
      <c r="M22" s="4">
        <v>9.2539255602039994</v>
      </c>
      <c r="N22" s="2"/>
      <c r="O22" s="2"/>
      <c r="P22" s="2"/>
      <c r="Q22" s="2"/>
      <c r="R22" s="2"/>
      <c r="S22" s="2"/>
      <c r="T22" s="2"/>
      <c r="U22" s="2"/>
    </row>
    <row r="23" spans="3:21" x14ac:dyDescent="0.25">
      <c r="C23" s="3"/>
      <c r="D23" s="4"/>
      <c r="K23" s="2">
        <v>160</v>
      </c>
      <c r="L23" s="4">
        <v>9.2613960337221943</v>
      </c>
      <c r="M23" s="4">
        <v>9.2539255602039994</v>
      </c>
      <c r="N23" s="2"/>
      <c r="O23" s="2"/>
      <c r="P23" s="2"/>
      <c r="Q23" s="2"/>
      <c r="R23" s="2"/>
      <c r="S23" s="2"/>
      <c r="T23" s="2"/>
      <c r="U23" s="2"/>
    </row>
    <row r="24" spans="3:21" x14ac:dyDescent="0.25">
      <c r="C24" s="4"/>
      <c r="D24" s="4"/>
      <c r="K24" s="2">
        <v>170</v>
      </c>
      <c r="L24" s="2">
        <v>9.2612690547171752</v>
      </c>
      <c r="M24" s="2">
        <v>9.2539255602039994</v>
      </c>
      <c r="N24" s="2"/>
      <c r="O24" s="2"/>
      <c r="P24" s="2"/>
      <c r="Q24" s="2"/>
      <c r="R24" s="2"/>
      <c r="S24" s="2"/>
      <c r="T24" s="2"/>
      <c r="U24" s="2"/>
    </row>
    <row r="25" spans="3:21" x14ac:dyDescent="0.25">
      <c r="C25" s="4"/>
      <c r="D25" s="4"/>
      <c r="K25" s="2">
        <v>180</v>
      </c>
      <c r="L25" s="2">
        <v>9.2611337264565492</v>
      </c>
      <c r="M25" s="2">
        <v>9.2539255602039994</v>
      </c>
      <c r="N25" s="2"/>
      <c r="O25" s="2"/>
      <c r="P25" s="2"/>
      <c r="Q25" s="2"/>
      <c r="R25" s="2"/>
      <c r="S25" s="2"/>
      <c r="T25" s="2"/>
      <c r="U25" s="2"/>
    </row>
    <row r="26" spans="3:21" x14ac:dyDescent="0.25">
      <c r="C26" s="4"/>
      <c r="D26" s="4"/>
      <c r="K26" s="2">
        <v>190</v>
      </c>
      <c r="L26" s="2">
        <v>9.2609931183518039</v>
      </c>
      <c r="M26" s="2">
        <v>9.2539255602039994</v>
      </c>
      <c r="N26" s="2"/>
      <c r="O26" s="2"/>
      <c r="P26" s="2"/>
      <c r="Q26" s="2"/>
      <c r="R26" s="2"/>
      <c r="S26" s="2"/>
      <c r="T26" s="2"/>
      <c r="U26" s="2"/>
    </row>
    <row r="27" spans="3:21" x14ac:dyDescent="0.25">
      <c r="C27" s="4"/>
      <c r="D27" s="4"/>
      <c r="K27" s="2">
        <v>200</v>
      </c>
      <c r="L27" s="2">
        <v>9.2608494696286314</v>
      </c>
      <c r="M27" s="2">
        <v>9.2539255602039994</v>
      </c>
      <c r="N27" s="2"/>
      <c r="O27" s="2"/>
      <c r="P27" s="2"/>
      <c r="Q27" s="2"/>
      <c r="R27" s="2"/>
      <c r="S27" s="2"/>
      <c r="T27" s="2"/>
      <c r="U27" s="2"/>
    </row>
    <row r="28" spans="3:21" x14ac:dyDescent="0.25">
      <c r="C28" s="4"/>
      <c r="D28" s="4"/>
      <c r="K28" s="2">
        <v>250</v>
      </c>
      <c r="L28" s="2">
        <v>9.2601300894638925</v>
      </c>
      <c r="M28" s="2">
        <v>9.2539255602039994</v>
      </c>
      <c r="N28" s="2"/>
      <c r="O28" s="2"/>
      <c r="P28" s="2"/>
      <c r="Q28" s="2"/>
      <c r="R28" s="2"/>
      <c r="S28" s="2"/>
      <c r="T28" s="2"/>
      <c r="U28" s="2"/>
    </row>
    <row r="29" spans="3:21" x14ac:dyDescent="0.25">
      <c r="C29" s="4"/>
      <c r="D29" s="4"/>
      <c r="K29" s="2">
        <v>300</v>
      </c>
      <c r="L29" s="2">
        <v>9.2594594540055457</v>
      </c>
      <c r="M29" s="2">
        <v>9.2539255602039994</v>
      </c>
      <c r="N29" s="2"/>
      <c r="O29" s="2"/>
      <c r="P29" s="2"/>
      <c r="Q29" s="2"/>
      <c r="R29" s="2"/>
      <c r="S29" s="2"/>
      <c r="T29" s="2"/>
      <c r="U29" s="2"/>
    </row>
    <row r="30" spans="3:21" x14ac:dyDescent="0.25">
      <c r="C30" s="4"/>
      <c r="D30" s="4"/>
      <c r="K30" s="2">
        <v>350</v>
      </c>
      <c r="L30" s="2">
        <v>9.2588563626538019</v>
      </c>
      <c r="M30" s="2">
        <v>9.2539255602039994</v>
      </c>
      <c r="N30" s="2"/>
      <c r="O30" s="2"/>
      <c r="P30" s="2"/>
      <c r="Q30" s="2"/>
      <c r="R30" s="2"/>
      <c r="S30" s="2"/>
      <c r="T30" s="2"/>
      <c r="U30" s="2"/>
    </row>
    <row r="31" spans="3:21" x14ac:dyDescent="0.25">
      <c r="C31" s="4"/>
      <c r="D31" s="4"/>
      <c r="K31" s="2">
        <v>400</v>
      </c>
      <c r="L31" s="2">
        <v>9.2583181106257353</v>
      </c>
      <c r="M31" s="2">
        <v>9.2539255602039994</v>
      </c>
      <c r="N31" s="2"/>
      <c r="O31" s="2"/>
      <c r="P31" s="2"/>
      <c r="Q31" s="2"/>
      <c r="R31" s="2"/>
      <c r="S31" s="2"/>
      <c r="T31" s="2"/>
      <c r="U31" s="2"/>
    </row>
    <row r="32" spans="3:21" x14ac:dyDescent="0.25">
      <c r="C32" s="4"/>
      <c r="D32" s="4"/>
      <c r="K32" s="2">
        <v>500</v>
      </c>
      <c r="L32" s="2">
        <v>9.2574051785059783</v>
      </c>
      <c r="M32" s="2">
        <v>9.2539255602039994</v>
      </c>
      <c r="N32" s="2"/>
      <c r="O32" s="2"/>
      <c r="P32" s="2"/>
      <c r="Q32" s="2"/>
      <c r="R32" s="2"/>
      <c r="S32" s="2"/>
      <c r="T32" s="2"/>
      <c r="U32" s="2"/>
    </row>
    <row r="33" spans="3:4" x14ac:dyDescent="0.25">
      <c r="C33" s="4"/>
      <c r="D33" s="4"/>
    </row>
    <row r="34" spans="3:4" x14ac:dyDescent="0.25">
      <c r="C34" s="4"/>
      <c r="D34" s="4"/>
    </row>
    <row r="35" spans="3:4" x14ac:dyDescent="0.25">
      <c r="C35" s="4"/>
      <c r="D35" s="4"/>
    </row>
    <row r="36" spans="3:4" x14ac:dyDescent="0.25">
      <c r="C36" s="4"/>
      <c r="D36" s="4"/>
    </row>
    <row r="37" spans="3:4" x14ac:dyDescent="0.25">
      <c r="C37" s="4"/>
      <c r="D37" s="4"/>
    </row>
    <row r="38" spans="3:4" x14ac:dyDescent="0.25">
      <c r="C38" s="4"/>
      <c r="D38" s="4"/>
    </row>
    <row r="39" spans="3:4" x14ac:dyDescent="0.25">
      <c r="C39" s="4"/>
      <c r="D39" s="4"/>
    </row>
    <row r="40" spans="3:4" x14ac:dyDescent="0.25">
      <c r="C40" s="4"/>
      <c r="D40" s="4"/>
    </row>
    <row r="41" spans="3:4" x14ac:dyDescent="0.25">
      <c r="C41" s="4"/>
      <c r="D41" s="4"/>
    </row>
    <row r="42" spans="3:4" x14ac:dyDescent="0.25">
      <c r="C42" s="4"/>
      <c r="D42" s="4"/>
    </row>
    <row r="43" spans="3:4" x14ac:dyDescent="0.25">
      <c r="C43" s="4"/>
      <c r="D43" s="4"/>
    </row>
  </sheetData>
  <mergeCells count="2">
    <mergeCell ref="L5:L6"/>
    <mergeCell ref="M5:M6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2024-11-22T03:08:08Z</dcterms:modified>
</cp:coreProperties>
</file>