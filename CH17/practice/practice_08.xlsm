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7\practice\"/>
    </mc:Choice>
  </mc:AlternateContent>
  <xr:revisionPtr revIDLastSave="0" documentId="13_ncr:1_{5682AC19-285E-4CD1-A510-350B160D5BC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Sheet1!$B$2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Sheet1!$A$40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D4" i="1"/>
  <c r="D8" i="1"/>
  <c r="D7" i="1"/>
  <c r="C34" i="1"/>
  <c r="C36" i="1"/>
  <c r="C26" i="1"/>
  <c r="C24" i="1"/>
  <c r="D29" i="1" l="1"/>
  <c r="A35" i="1" l="1"/>
  <c r="F5" i="1" s="1"/>
  <c r="F6" i="1" s="1"/>
  <c r="D30" i="1"/>
  <c r="F7" i="1" l="1"/>
  <c r="B13" i="1"/>
  <c r="C39" i="1" s="1"/>
  <c r="A40" i="1" s="1"/>
  <c r="A42" i="1" s="1"/>
  <c r="B14" i="1"/>
  <c r="C40" i="1" s="1"/>
</calcChain>
</file>

<file path=xl/sharedStrings.xml><?xml version="1.0" encoding="utf-8"?>
<sst xmlns="http://schemas.openxmlformats.org/spreadsheetml/2006/main" count="29" uniqueCount="27">
  <si>
    <t>BEST OF BOTH WORLDS (BOBOW)</t>
  </si>
  <si>
    <t>Cost today</t>
  </si>
  <si>
    <r>
      <t xml:space="preserve">To answer this question, note that BOBOW's payoff is $10 </t>
    </r>
    <r>
      <rPr>
        <i/>
        <sz val="10"/>
        <rFont val="Arial"/>
        <family val="2"/>
      </rPr>
      <t>plus</t>
    </r>
    <r>
      <rPr>
        <sz val="10"/>
        <rFont val="Arial"/>
        <family val="2"/>
      </rPr>
      <t xml:space="preserve"> 1.2/1500 times an </t>
    </r>
  </si>
  <si>
    <t>SP500 today</t>
  </si>
  <si>
    <t>at-the-money SP call with T = 5.</t>
  </si>
  <si>
    <t>Interest rate</t>
  </si>
  <si>
    <t xml:space="preserve">==&gt; Means that 5-year interest rate = </t>
  </si>
  <si>
    <t>Value of an at-the-money SP call, using binomial model</t>
  </si>
  <si>
    <t>SP500 in 5 years</t>
  </si>
  <si>
    <t>1.2/1500 times at-the-money SP call</t>
  </si>
  <si>
    <t xml:space="preserve">    Good state</t>
  </si>
  <si>
    <t>==&gt; Means that "up" =</t>
  </si>
  <si>
    <t>PV($10) plus the above=? value of BOBOW</t>
  </si>
  <si>
    <t xml:space="preserve">    Bad state</t>
  </si>
  <si>
    <t>==&gt; Means that "down" =</t>
  </si>
  <si>
    <t>Positive return percentage</t>
  </si>
  <si>
    <t>Payoff on BOWOW</t>
  </si>
  <si>
    <t>Calculating 5-year state prices</t>
  </si>
  <si>
    <t>SP500</t>
  </si>
  <si>
    <t>Bond, 5 years</t>
  </si>
  <si>
    <t>State prices</t>
  </si>
  <si>
    <t>Check?</t>
  </si>
  <si>
    <r>
      <t>q</t>
    </r>
    <r>
      <rPr>
        <vertAlign val="subscript"/>
        <sz val="10"/>
        <rFont val="Arial"/>
        <family val="2"/>
      </rPr>
      <t>u</t>
    </r>
  </si>
  <si>
    <t>SP 500 price today</t>
  </si>
  <si>
    <r>
      <t>q</t>
    </r>
    <r>
      <rPr>
        <vertAlign val="subscript"/>
        <sz val="10"/>
        <rFont val="Arial"/>
        <family val="2"/>
      </rPr>
      <t>d</t>
    </r>
  </si>
  <si>
    <t>Interest factor</t>
  </si>
  <si>
    <t>At-the-money SP 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</si>
</sst>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b/>
      <sz val="11"/>
      <color rgb="FFFF0000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0" fillId="0" borderId="0" xfId="0" applyAlignment="1"/>
    <xf numFmtId="9" fontId="0" fillId="0" borderId="0" xfId="0" applyNumberFormat="1" applyAlignment="1"/>
    <xf numFmtId="0" fontId="0" fillId="0" borderId="0" xfId="0" quotePrefix="1" applyAlignment="1"/>
    <xf numFmtId="10" fontId="0" fillId="0" borderId="0" xfId="1" applyNumberFormat="1" applyFont="1" applyAlignment="1"/>
    <xf numFmtId="176" fontId="0" fillId="0" borderId="0" xfId="0" applyNumberFormat="1" applyAlignment="1"/>
    <xf numFmtId="0" fontId="0" fillId="2" borderId="0" xfId="0" quotePrefix="1" applyFill="1" applyAlignment="1"/>
    <xf numFmtId="176" fontId="0" fillId="2" borderId="0" xfId="0" applyNumberFormat="1" applyFill="1" applyAlignment="1"/>
    <xf numFmtId="10" fontId="0" fillId="0" borderId="0" xfId="0" applyNumberFormat="1" applyAlignment="1"/>
    <xf numFmtId="0" fontId="6" fillId="0" borderId="0" xfId="0" applyFont="1" applyAlignment="1"/>
    <xf numFmtId="0" fontId="0" fillId="0" borderId="0" xfId="0" applyAlignment="1">
      <alignment horizontal="left"/>
    </xf>
    <xf numFmtId="176" fontId="0" fillId="0" borderId="0" xfId="0" applyNumberFormat="1" applyAlignment="1">
      <alignment horizontal="left"/>
    </xf>
    <xf numFmtId="0" fontId="6" fillId="0" borderId="0" xfId="0" applyFont="1" applyAlignment="1">
      <alignment horizontal="left"/>
    </xf>
    <xf numFmtId="0" fontId="8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38100</xdr:rowOff>
    </xdr:from>
    <xdr:to>
      <xdr:col>1</xdr:col>
      <xdr:colOff>480060</xdr:colOff>
      <xdr:row>19</xdr:row>
      <xdr:rowOff>68580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B2441FE-7C86-4875-9981-399D66655AED}"/>
            </a:ext>
          </a:extLst>
        </xdr:cNvPr>
        <xdr:cNvSpPr>
          <a:spLocks noChangeShapeType="1"/>
        </xdr:cNvSpPr>
      </xdr:nvSpPr>
      <xdr:spPr bwMode="auto">
        <a:xfrm flipV="1">
          <a:off x="1809750" y="3171825"/>
          <a:ext cx="476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19</xdr:row>
      <xdr:rowOff>68580</xdr:rowOff>
    </xdr:from>
    <xdr:to>
      <xdr:col>2</xdr:col>
      <xdr:colOff>7620</xdr:colOff>
      <xdr:row>20</xdr:row>
      <xdr:rowOff>68580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7E2FA41-E92F-4F1F-85B0-41B1E31A67EF}"/>
            </a:ext>
          </a:extLst>
        </xdr:cNvPr>
        <xdr:cNvSpPr>
          <a:spLocks noChangeShapeType="1"/>
        </xdr:cNvSpPr>
      </xdr:nvSpPr>
      <xdr:spPr bwMode="auto">
        <a:xfrm>
          <a:off x="1819275" y="33718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38100</xdr:rowOff>
    </xdr:from>
    <xdr:to>
      <xdr:col>1</xdr:col>
      <xdr:colOff>480060</xdr:colOff>
      <xdr:row>24</xdr:row>
      <xdr:rowOff>68580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240D57D-090E-4065-B8AB-8944F9B3837E}"/>
            </a:ext>
          </a:extLst>
        </xdr:cNvPr>
        <xdr:cNvSpPr>
          <a:spLocks noChangeShapeType="1"/>
        </xdr:cNvSpPr>
      </xdr:nvSpPr>
      <xdr:spPr bwMode="auto">
        <a:xfrm flipV="1">
          <a:off x="1809750" y="4029075"/>
          <a:ext cx="476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24</xdr:row>
      <xdr:rowOff>68580</xdr:rowOff>
    </xdr:from>
    <xdr:to>
      <xdr:col>2</xdr:col>
      <xdr:colOff>7620</xdr:colOff>
      <xdr:row>25</xdr:row>
      <xdr:rowOff>68580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197EB5CF-6D0D-4ED6-A75C-F2B34C58D08B}"/>
            </a:ext>
          </a:extLst>
        </xdr:cNvPr>
        <xdr:cNvSpPr>
          <a:spLocks noChangeShapeType="1"/>
        </xdr:cNvSpPr>
      </xdr:nvSpPr>
      <xdr:spPr bwMode="auto">
        <a:xfrm>
          <a:off x="1819275" y="422910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33</xdr:row>
      <xdr:rowOff>38100</xdr:rowOff>
    </xdr:from>
    <xdr:to>
      <xdr:col>1</xdr:col>
      <xdr:colOff>480060</xdr:colOff>
      <xdr:row>34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DA092612-4187-47D1-BA5C-5B79E78CCF08}"/>
            </a:ext>
          </a:extLst>
        </xdr:cNvPr>
        <xdr:cNvSpPr>
          <a:spLocks noChangeShapeType="1"/>
        </xdr:cNvSpPr>
      </xdr:nvSpPr>
      <xdr:spPr bwMode="auto">
        <a:xfrm flipV="1">
          <a:off x="1809750" y="5800725"/>
          <a:ext cx="476250" cy="2000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7620</xdr:colOff>
      <xdr:row>34</xdr:row>
      <xdr:rowOff>68580</xdr:rowOff>
    </xdr:from>
    <xdr:to>
      <xdr:col>2</xdr:col>
      <xdr:colOff>7620</xdr:colOff>
      <xdr:row>35</xdr:row>
      <xdr:rowOff>68580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2C887682-A997-41A9-8E4A-41D49049A642}"/>
            </a:ext>
          </a:extLst>
        </xdr:cNvPr>
        <xdr:cNvSpPr>
          <a:spLocks noChangeShapeType="1"/>
        </xdr:cNvSpPr>
      </xdr:nvSpPr>
      <xdr:spPr bwMode="auto">
        <a:xfrm>
          <a:off x="1819275" y="6000750"/>
          <a:ext cx="6096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8</xdr:col>
      <xdr:colOff>466725</xdr:colOff>
      <xdr:row>1</xdr:row>
      <xdr:rowOff>114300</xdr:rowOff>
    </xdr:from>
    <xdr:to>
      <xdr:col>24</xdr:col>
      <xdr:colOff>586740</xdr:colOff>
      <xdr:row>40</xdr:row>
      <xdr:rowOff>17145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C0137398-8881-D26A-78B4-955F78E9F5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944225" y="333375"/>
          <a:ext cx="9867900" cy="66579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xdr:twoCellAnchor>
    <xdr:from>
      <xdr:col>0</xdr:col>
      <xdr:colOff>1692520</xdr:colOff>
      <xdr:row>38</xdr:row>
      <xdr:rowOff>60227</xdr:rowOff>
    </xdr:from>
    <xdr:to>
      <xdr:col>1</xdr:col>
      <xdr:colOff>359020</xdr:colOff>
      <xdr:row>39</xdr:row>
      <xdr:rowOff>84993</xdr:rowOff>
    </xdr:to>
    <xdr:sp macro="" textlink="">
      <xdr:nvSpPr>
        <xdr:cNvPr id="9" name="Line 5">
          <a:extLst>
            <a:ext uri="{FF2B5EF4-FFF2-40B4-BE49-F238E27FC236}">
              <a16:creationId xmlns:a16="http://schemas.microsoft.com/office/drawing/2014/main" id="{082617C1-62FA-41D6-94A6-D05BB09EF781}"/>
            </a:ext>
          </a:extLst>
        </xdr:cNvPr>
        <xdr:cNvSpPr>
          <a:spLocks noChangeShapeType="1"/>
        </xdr:cNvSpPr>
      </xdr:nvSpPr>
      <xdr:spPr bwMode="auto">
        <a:xfrm flipV="1">
          <a:off x="1692520" y="6573862"/>
          <a:ext cx="476250" cy="1932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1707760</xdr:colOff>
      <xdr:row>39</xdr:row>
      <xdr:rowOff>84993</xdr:rowOff>
    </xdr:from>
    <xdr:to>
      <xdr:col>1</xdr:col>
      <xdr:colOff>506145</xdr:colOff>
      <xdr:row>40</xdr:row>
      <xdr:rowOff>84993</xdr:rowOff>
    </xdr:to>
    <xdr:sp macro="" textlink="">
      <xdr:nvSpPr>
        <xdr:cNvPr id="10" name="Line 6">
          <a:extLst>
            <a:ext uri="{FF2B5EF4-FFF2-40B4-BE49-F238E27FC236}">
              <a16:creationId xmlns:a16="http://schemas.microsoft.com/office/drawing/2014/main" id="{FB3E728E-EF4B-43A5-903E-175D2717BCAE}"/>
            </a:ext>
          </a:extLst>
        </xdr:cNvPr>
        <xdr:cNvSpPr>
          <a:spLocks noChangeShapeType="1"/>
        </xdr:cNvSpPr>
      </xdr:nvSpPr>
      <xdr:spPr bwMode="auto">
        <a:xfrm>
          <a:off x="1707760" y="6767147"/>
          <a:ext cx="608135" cy="16851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7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 and 2"/>
      <sheetName val="Exercise 1 and 2 中文"/>
      <sheetName val="Exercise 3"/>
      <sheetName val="Exercise 3 中文"/>
      <sheetName val="Exercise 4"/>
      <sheetName val="Exercise 4 中文"/>
      <sheetName val="Exercise 5"/>
      <sheetName val="VBA for Exercises 4-5"/>
      <sheetName val="Exercise 5 中文"/>
      <sheetName val="Exercise 6 template"/>
      <sheetName val="Exercise 6 template 中文"/>
      <sheetName val="Exercise 6"/>
      <sheetName val="Exercise 6 中文"/>
      <sheetName val="Exercise 7"/>
      <sheetName val="Exercise 7 中文"/>
      <sheetName val="Exercise 8"/>
      <sheetName val="Exercise 8 中文"/>
      <sheetName val="Exercise 9"/>
      <sheetName val="Exercise 9 中文"/>
      <sheetName val="Exercise 10"/>
      <sheetName val="Exercise 10 中文"/>
      <sheetName val="Graph for Exercise 10"/>
      <sheetName val="Graph for Exercise 10 中文"/>
      <sheetName val="Exercise 11"/>
      <sheetName val="VBA for Exercise 5"/>
      <sheetName val="Exercise 11 中文"/>
      <sheetName val="Exercises 12 and 13"/>
      <sheetName val="Exercises 12 and 13 中文"/>
      <sheetName val="Exercise 14"/>
      <sheetName val="Exercise 14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3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:G42"/>
  <sheetViews>
    <sheetView tabSelected="1" zoomScale="130" zoomScaleNormal="130" workbookViewId="0">
      <selection activeCell="A42" sqref="A42"/>
    </sheetView>
  </sheetViews>
  <sheetFormatPr defaultRowHeight="13.8" x14ac:dyDescent="0.25"/>
  <cols>
    <col min="1" max="1" width="26.33203125" style="2" customWidth="1"/>
    <col min="2" max="2" width="8.88671875" style="2"/>
    <col min="3" max="3" width="33.44140625" style="2" customWidth="1"/>
    <col min="4" max="4" width="8.88671875" style="2"/>
    <col min="5" max="5" width="49.6640625" style="2" customWidth="1"/>
    <col min="6" max="6" width="9.5546875" style="2" bestFit="1" customWidth="1"/>
    <col min="7" max="7" width="8.88671875" style="2"/>
  </cols>
  <sheetData>
    <row r="1" spans="1:6" ht="17.399999999999999" x14ac:dyDescent="0.3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2">
        <v>10</v>
      </c>
      <c r="E2" s="2" t="s">
        <v>2</v>
      </c>
    </row>
    <row r="3" spans="1:6" x14ac:dyDescent="0.25">
      <c r="A3" s="2" t="s">
        <v>3</v>
      </c>
      <c r="B3" s="2">
        <v>1500</v>
      </c>
      <c r="E3" s="2" t="s">
        <v>4</v>
      </c>
    </row>
    <row r="4" spans="1:6" x14ac:dyDescent="0.25">
      <c r="A4" s="2" t="s">
        <v>5</v>
      </c>
      <c r="B4" s="3">
        <v>0.06</v>
      </c>
      <c r="C4" s="4" t="s">
        <v>6</v>
      </c>
      <c r="D4" s="5">
        <f>(1+B4)^5</f>
        <v>1.3382255776000005</v>
      </c>
    </row>
    <row r="5" spans="1:6" x14ac:dyDescent="0.25">
      <c r="E5" s="2" t="s">
        <v>7</v>
      </c>
      <c r="F5" s="6">
        <f>A35</f>
        <v>464.06937889287053</v>
      </c>
    </row>
    <row r="6" spans="1:6" x14ac:dyDescent="0.25">
      <c r="A6" s="2" t="s">
        <v>8</v>
      </c>
      <c r="E6" s="4" t="s">
        <v>9</v>
      </c>
      <c r="F6" s="6">
        <f>F5*1.2/1500</f>
        <v>0.37125550311429645</v>
      </c>
    </row>
    <row r="7" spans="1:6" x14ac:dyDescent="0.25">
      <c r="A7" s="2" t="s">
        <v>10</v>
      </c>
      <c r="B7" s="2">
        <v>2500</v>
      </c>
      <c r="C7" s="4" t="s">
        <v>11</v>
      </c>
      <c r="D7" s="5">
        <f>B7/B3</f>
        <v>1.6666666666666667</v>
      </c>
      <c r="E7" s="7" t="s">
        <v>12</v>
      </c>
      <c r="F7" s="8">
        <f>B2/(1+B4)^5+F6</f>
        <v>7.8438372317748657</v>
      </c>
    </row>
    <row r="8" spans="1:6" x14ac:dyDescent="0.25">
      <c r="A8" s="2" t="s">
        <v>13</v>
      </c>
      <c r="B8" s="2">
        <v>1200</v>
      </c>
      <c r="C8" s="4" t="s">
        <v>14</v>
      </c>
      <c r="D8" s="9">
        <f>B8/B3</f>
        <v>0.8</v>
      </c>
    </row>
    <row r="10" spans="1:6" x14ac:dyDescent="0.25">
      <c r="A10" s="2" t="s">
        <v>15</v>
      </c>
      <c r="B10" s="3">
        <v>1.2</v>
      </c>
    </row>
    <row r="12" spans="1:6" x14ac:dyDescent="0.25">
      <c r="A12" s="2" t="s">
        <v>16</v>
      </c>
    </row>
    <row r="13" spans="1:6" x14ac:dyDescent="0.25">
      <c r="A13" s="2" t="s">
        <v>10</v>
      </c>
      <c r="B13" s="2">
        <f>B2*(1+MAX(B10*(B7/B3-1),0))</f>
        <v>18</v>
      </c>
    </row>
    <row r="14" spans="1:6" x14ac:dyDescent="0.25">
      <c r="A14" s="2" t="s">
        <v>13</v>
      </c>
      <c r="B14" s="2">
        <f>B2*(1+MAX(B10*(B8/B3-1),0))</f>
        <v>10</v>
      </c>
    </row>
    <row r="16" spans="1:6" x14ac:dyDescent="0.25">
      <c r="A16" s="10" t="s">
        <v>17</v>
      </c>
    </row>
    <row r="18" spans="1:7" x14ac:dyDescent="0.25">
      <c r="A18" s="10" t="s">
        <v>18</v>
      </c>
    </row>
    <row r="19" spans="1:7" x14ac:dyDescent="0.25">
      <c r="C19" s="11">
        <v>2500</v>
      </c>
    </row>
    <row r="20" spans="1:7" x14ac:dyDescent="0.25">
      <c r="A20" s="2">
        <v>1500</v>
      </c>
    </row>
    <row r="21" spans="1:7" x14ac:dyDescent="0.25">
      <c r="C21" s="11">
        <v>1200</v>
      </c>
    </row>
    <row r="22" spans="1:7" x14ac:dyDescent="0.25">
      <c r="C22" s="11"/>
      <c r="G22" s="11"/>
    </row>
    <row r="23" spans="1:7" x14ac:dyDescent="0.25">
      <c r="A23" s="13" t="s">
        <v>19</v>
      </c>
      <c r="G23" s="11"/>
    </row>
    <row r="24" spans="1:7" x14ac:dyDescent="0.25">
      <c r="C24" s="12">
        <f>100*(1+$B$4)^5</f>
        <v>133.82255776000005</v>
      </c>
      <c r="G24" s="11"/>
    </row>
    <row r="25" spans="1:7" x14ac:dyDescent="0.25">
      <c r="A25" s="2">
        <v>100</v>
      </c>
      <c r="G25" s="11"/>
    </row>
    <row r="26" spans="1:7" x14ac:dyDescent="0.25">
      <c r="C26" s="12">
        <f>100*(1+$B$4)^5</f>
        <v>133.82255776000005</v>
      </c>
    </row>
    <row r="27" spans="1:7" x14ac:dyDescent="0.25">
      <c r="C27" s="12"/>
    </row>
    <row r="28" spans="1:7" x14ac:dyDescent="0.25">
      <c r="A28" s="2" t="s">
        <v>20</v>
      </c>
      <c r="C28" s="10" t="s">
        <v>21</v>
      </c>
    </row>
    <row r="29" spans="1:7" ht="15.6" x14ac:dyDescent="0.35">
      <c r="A29" s="2" t="s">
        <v>22</v>
      </c>
      <c r="B29" s="6">
        <f>(D4-D8)/(D4*(D7-D8))</f>
        <v>0.46406937889287053</v>
      </c>
      <c r="C29" s="2" t="s">
        <v>23</v>
      </c>
      <c r="D29" s="2">
        <f>B29*B7+B30*B8</f>
        <v>1500</v>
      </c>
    </row>
    <row r="30" spans="1:7" ht="15.6" x14ac:dyDescent="0.35">
      <c r="A30" s="2" t="s">
        <v>24</v>
      </c>
      <c r="B30" s="6">
        <f>1/D4-B29</f>
        <v>0.28318879397318636</v>
      </c>
      <c r="C30" s="2" t="s">
        <v>25</v>
      </c>
      <c r="D30" s="5">
        <f>1/(B29+B30)-1</f>
        <v>0.33822557760000049</v>
      </c>
    </row>
    <row r="33" spans="1:3" x14ac:dyDescent="0.25">
      <c r="A33" s="10" t="s">
        <v>26</v>
      </c>
    </row>
    <row r="34" spans="1:3" x14ac:dyDescent="0.25">
      <c r="C34" s="11">
        <f>MAX(C19-$A$20,0)</f>
        <v>1000</v>
      </c>
    </row>
    <row r="35" spans="1:3" x14ac:dyDescent="0.25">
      <c r="A35" s="6">
        <f>B29*C34+B30*C36</f>
        <v>464.06937889287053</v>
      </c>
    </row>
    <row r="36" spans="1:3" x14ac:dyDescent="0.25">
      <c r="C36" s="11">
        <f>MAX(C21-$A$20,0)</f>
        <v>0</v>
      </c>
    </row>
    <row r="39" spans="1:3" x14ac:dyDescent="0.25">
      <c r="C39" s="11">
        <f>B13</f>
        <v>18</v>
      </c>
    </row>
    <row r="40" spans="1:3" x14ac:dyDescent="0.25">
      <c r="A40" s="14">
        <f>B29*C39+B30*C40</f>
        <v>11.185136759803534</v>
      </c>
      <c r="C40" s="11">
        <f>B14</f>
        <v>10</v>
      </c>
    </row>
    <row r="42" spans="1:3" x14ac:dyDescent="0.25">
      <c r="A42" s="2">
        <f>A40-B2</f>
        <v>1.1851367598035338</v>
      </c>
    </row>
  </sheetData>
  <mergeCells count="1">
    <mergeCell ref="A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2024-11-21T09:36:06Z</dcterms:modified>
</cp:coreProperties>
</file>