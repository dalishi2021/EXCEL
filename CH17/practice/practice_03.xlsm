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practice\"/>
    </mc:Choice>
  </mc:AlternateContent>
  <xr:revisionPtr revIDLastSave="0" documentId="13_ncr:1_{32CDCA9F-0326-4CE1-A741-E53ED14CCC6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1" l="1"/>
  <c r="K9" i="1"/>
  <c r="K8" i="1"/>
  <c r="K7" i="1"/>
  <c r="K6" i="1"/>
  <c r="H18" i="1"/>
  <c r="H17" i="1"/>
  <c r="C22" i="1"/>
  <c r="C18" i="1"/>
  <c r="C17" i="1"/>
  <c r="C13" i="1"/>
  <c r="C11" i="1"/>
  <c r="C30" i="1"/>
  <c r="C34" i="1" s="1"/>
  <c r="C29" i="1"/>
  <c r="L13" i="1"/>
  <c r="K13" i="1"/>
  <c r="I18" i="1"/>
  <c r="I17" i="1"/>
  <c r="D22" i="1"/>
  <c r="D18" i="1"/>
  <c r="D17" i="1"/>
</calcChain>
</file>

<file path=xl/sharedStrings.xml><?xml version="1.0" encoding="utf-8"?>
<sst xmlns="http://schemas.openxmlformats.org/spreadsheetml/2006/main" count="26" uniqueCount="26">
  <si>
    <t>The first thing to notice here is that the probabilities are irrelevant!  They are already embedded in the price of the stock.</t>
  </si>
  <si>
    <t>Stock</t>
  </si>
  <si>
    <t>Bond</t>
  </si>
  <si>
    <t>???</t>
  </si>
  <si>
    <t>Solving for the state prices gives: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</si>
  <si>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</si>
  <si>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</si>
  <si>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Using these state prices to value the call option gives:</t>
  </si>
  <si>
    <t>call</t>
  </si>
  <si>
    <t>Another way to do this problem is to solve the set of equations which give the call payoffs:</t>
  </si>
  <si>
    <t>65*A + 1.06*B = 15</t>
  </si>
  <si>
    <t>45*A + 1.06*B = 0</t>
  </si>
  <si>
    <t>This solves to give:</t>
  </si>
  <si>
    <t>A</t>
  </si>
  <si>
    <t>B</t>
  </si>
  <si>
    <t>Thus, borrowing 31.8396 at the rate of 6% and buying 0.75 of a share will replicate the call payoffs.</t>
  </si>
  <si>
    <t>Calculating the cost of this strategy will give the cost of the call:</t>
  </si>
  <si>
    <t>cost</t>
  </si>
  <si>
    <t>Call option X=50</t>
    <phoneticPr fontId="1" type="noConversion"/>
  </si>
  <si>
    <t>U</t>
    <phoneticPr fontId="1" type="noConversion"/>
  </si>
  <si>
    <t>D</t>
    <phoneticPr fontId="1" type="noConversion"/>
  </si>
  <si>
    <t>R</t>
    <phoneticPr fontId="1" type="noConversion"/>
  </si>
  <si>
    <t>S</t>
    <phoneticPr fontId="1" type="noConversion"/>
  </si>
  <si>
    <t>X</t>
    <phoneticPr fontId="1" type="noConversion"/>
  </si>
  <si>
    <t>T</t>
    <phoneticPr fontId="1" type="noConversion"/>
  </si>
  <si>
    <t>verify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</si>
</sst>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 applyAlignment="1">
      <alignment vertical="center" wrapText="1"/>
    </xf>
    <xf numFmtId="0" fontId="0" fillId="0" borderId="0" xfId="0" applyAlignment="1"/>
    <xf numFmtId="176" fontId="0" fillId="0" borderId="0" xfId="0" applyNumberFormat="1" applyAlignment="1"/>
    <xf numFmtId="0" fontId="0" fillId="0" borderId="0" xfId="0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68580</xdr:rowOff>
    </xdr:from>
    <xdr:to>
      <xdr:col>2</xdr:col>
      <xdr:colOff>7620</xdr:colOff>
      <xdr:row>6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946DEF9-BBBF-4C41-8C47-B9ECC888E529}"/>
            </a:ext>
          </a:extLst>
        </xdr:cNvPr>
        <xdr:cNvSpPr>
          <a:spLocks noChangeShapeType="1"/>
        </xdr:cNvSpPr>
      </xdr:nvSpPr>
      <xdr:spPr bwMode="auto">
        <a:xfrm flipV="1">
          <a:off x="609600" y="115252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6</xdr:row>
      <xdr:rowOff>83820</xdr:rowOff>
    </xdr:from>
    <xdr:to>
      <xdr:col>2</xdr:col>
      <xdr:colOff>7620</xdr:colOff>
      <xdr:row>7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97AADBEE-8B53-4F4B-B08F-310892947DF4}"/>
            </a:ext>
          </a:extLst>
        </xdr:cNvPr>
        <xdr:cNvSpPr>
          <a:spLocks noChangeShapeType="1"/>
        </xdr:cNvSpPr>
      </xdr:nvSpPr>
      <xdr:spPr bwMode="auto">
        <a:xfrm>
          <a:off x="609600" y="134302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60960</xdr:rowOff>
    </xdr:from>
    <xdr:to>
      <xdr:col>6</xdr:col>
      <xdr:colOff>7620</xdr:colOff>
      <xdr:row>6</xdr:row>
      <xdr:rowOff>68580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2975C005-5EF2-47D8-AE37-9D4C5FF6D125}"/>
            </a:ext>
          </a:extLst>
        </xdr:cNvPr>
        <xdr:cNvSpPr>
          <a:spLocks noChangeShapeType="1"/>
        </xdr:cNvSpPr>
      </xdr:nvSpPr>
      <xdr:spPr bwMode="auto">
        <a:xfrm flipV="1">
          <a:off x="3048000" y="11430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480060</xdr:colOff>
      <xdr:row>6</xdr:row>
      <xdr:rowOff>83820</xdr:rowOff>
    </xdr:from>
    <xdr:to>
      <xdr:col>6</xdr:col>
      <xdr:colOff>7620</xdr:colOff>
      <xdr:row>7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63E6EF9F-5825-45A3-801B-1A77A01C5513}"/>
            </a:ext>
          </a:extLst>
        </xdr:cNvPr>
        <xdr:cNvSpPr>
          <a:spLocks noChangeShapeType="1"/>
        </xdr:cNvSpPr>
      </xdr:nvSpPr>
      <xdr:spPr bwMode="auto">
        <a:xfrm>
          <a:off x="2914650" y="1343025"/>
          <a:ext cx="75247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480060</xdr:colOff>
      <xdr:row>11</xdr:row>
      <xdr:rowOff>91440</xdr:rowOff>
    </xdr:from>
    <xdr:to>
      <xdr:col>2</xdr:col>
      <xdr:colOff>0</xdr:colOff>
      <xdr:row>12</xdr:row>
      <xdr:rowOff>76200</xdr:rowOff>
    </xdr:to>
    <xdr:sp macro="" textlink="">
      <xdr:nvSpPr>
        <xdr:cNvPr id="6" name="Line 6">
          <a:extLst>
            <a:ext uri="{FF2B5EF4-FFF2-40B4-BE49-F238E27FC236}">
              <a16:creationId xmlns:a16="http://schemas.microsoft.com/office/drawing/2014/main" id="{732FFB8E-2655-44AA-BAA8-879D8693E561}"/>
            </a:ext>
          </a:extLst>
        </xdr:cNvPr>
        <xdr:cNvSpPr>
          <a:spLocks noChangeShapeType="1"/>
        </xdr:cNvSpPr>
      </xdr:nvSpPr>
      <xdr:spPr bwMode="auto">
        <a:xfrm>
          <a:off x="476250" y="2209800"/>
          <a:ext cx="74295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480060</xdr:colOff>
      <xdr:row>10</xdr:row>
      <xdr:rowOff>68580</xdr:rowOff>
    </xdr:from>
    <xdr:to>
      <xdr:col>1</xdr:col>
      <xdr:colOff>480060</xdr:colOff>
      <xdr:row>11</xdr:row>
      <xdr:rowOff>76200</xdr:rowOff>
    </xdr:to>
    <xdr:sp macro="" textlink="">
      <xdr:nvSpPr>
        <xdr:cNvPr id="7" name="Line 7">
          <a:extLst>
            <a:ext uri="{FF2B5EF4-FFF2-40B4-BE49-F238E27FC236}">
              <a16:creationId xmlns:a16="http://schemas.microsoft.com/office/drawing/2014/main" id="{88AEAE7C-BC69-4DAB-89FB-3C07B43B8E7C}"/>
            </a:ext>
          </a:extLst>
        </xdr:cNvPr>
        <xdr:cNvSpPr>
          <a:spLocks noChangeShapeType="1"/>
        </xdr:cNvSpPr>
      </xdr:nvSpPr>
      <xdr:spPr bwMode="auto">
        <a:xfrm flipV="1">
          <a:off x="476250" y="200977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11</xdr:col>
      <xdr:colOff>288240</xdr:colOff>
      <xdr:row>14</xdr:row>
      <xdr:rowOff>93931</xdr:rowOff>
    </xdr:from>
    <xdr:to>
      <xdr:col>20</xdr:col>
      <xdr:colOff>288240</xdr:colOff>
      <xdr:row>50</xdr:row>
      <xdr:rowOff>15826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211D4B2A-9C46-8A46-2F5B-C80635544A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977721" y="2453200"/>
          <a:ext cx="5473211" cy="604720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 and 2"/>
      <sheetName val="Exercise 1 and 2 中文"/>
      <sheetName val="Exercise 3"/>
      <sheetName val="Exercise 3 中文"/>
      <sheetName val="Exercise 4"/>
      <sheetName val="Exercise 4 中文"/>
      <sheetName val="Exercise 5"/>
      <sheetName val="VBA for Exercises 4-5"/>
      <sheetName val="Exercise 5 中文"/>
      <sheetName val="Exercise 6 template"/>
      <sheetName val="Exercise 6 template 中文"/>
      <sheetName val="Exercise 6"/>
      <sheetName val="Exercise 6 中文"/>
      <sheetName val="Exercise 7"/>
      <sheetName val="Exercise 7 中文"/>
      <sheetName val="Exercise 8"/>
      <sheetName val="Exercise 8 中文"/>
      <sheetName val="Exercise 9"/>
      <sheetName val="Exercise 9 中文"/>
      <sheetName val="Exercise 10"/>
      <sheetName val="Exercise 10 中文"/>
      <sheetName val="Graph for Exercise 10"/>
      <sheetName val="Graph for Exercise 10 中文"/>
      <sheetName val="Exercise 11"/>
      <sheetName val="VBA for Exercise 5"/>
      <sheetName val="Exercise 11 中文"/>
      <sheetName val="Exercises 12 and 13"/>
      <sheetName val="Exercises 12 and 13 中文"/>
      <sheetName val="Exercise 14"/>
      <sheetName val="Exercise 14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3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inomial_eur_call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2:L34"/>
  <sheetViews>
    <sheetView tabSelected="1" zoomScale="130" zoomScaleNormal="130" workbookViewId="0">
      <selection activeCell="C17" sqref="C17"/>
    </sheetView>
  </sheetViews>
  <sheetFormatPr defaultRowHeight="13.8" x14ac:dyDescent="0.25"/>
  <cols>
    <col min="1" max="9" width="8.88671875" style="2"/>
  </cols>
  <sheetData>
    <row r="2" spans="1:12" x14ac:dyDescent="0.25">
      <c r="A2" s="1" t="s">
        <v>0</v>
      </c>
      <c r="B2" s="1"/>
      <c r="C2" s="1"/>
      <c r="D2" s="1"/>
      <c r="E2" s="1"/>
      <c r="F2" s="1"/>
      <c r="G2" s="1"/>
    </row>
    <row r="4" spans="1:12" x14ac:dyDescent="0.25">
      <c r="J4" t="s">
        <v>25</v>
      </c>
    </row>
    <row r="5" spans="1:12" x14ac:dyDescent="0.25">
      <c r="A5" s="2" t="s">
        <v>1</v>
      </c>
      <c r="E5" s="2" t="s">
        <v>2</v>
      </c>
    </row>
    <row r="6" spans="1:12" x14ac:dyDescent="0.25">
      <c r="C6" s="2">
        <v>65</v>
      </c>
      <c r="G6" s="2">
        <v>1.06</v>
      </c>
      <c r="J6" t="s">
        <v>19</v>
      </c>
      <c r="K6">
        <f>C6/A7</f>
        <v>1.3</v>
      </c>
    </row>
    <row r="7" spans="1:12" x14ac:dyDescent="0.25">
      <c r="A7" s="2">
        <v>50</v>
      </c>
      <c r="E7" s="4">
        <v>1</v>
      </c>
      <c r="J7" t="s">
        <v>20</v>
      </c>
      <c r="K7">
        <f>C8/A7</f>
        <v>0.9</v>
      </c>
    </row>
    <row r="8" spans="1:12" x14ac:dyDescent="0.25">
      <c r="C8" s="2">
        <v>45</v>
      </c>
      <c r="G8" s="2">
        <v>1.06</v>
      </c>
      <c r="J8" t="s">
        <v>21</v>
      </c>
      <c r="K8">
        <f>G6/E7</f>
        <v>1.06</v>
      </c>
    </row>
    <row r="9" spans="1:12" x14ac:dyDescent="0.25">
      <c r="J9" t="s">
        <v>22</v>
      </c>
      <c r="K9">
        <f>A7</f>
        <v>50</v>
      </c>
    </row>
    <row r="10" spans="1:12" x14ac:dyDescent="0.25">
      <c r="A10" s="2" t="s">
        <v>18</v>
      </c>
      <c r="J10" t="s">
        <v>23</v>
      </c>
      <c r="K10">
        <f>A7</f>
        <v>50</v>
      </c>
    </row>
    <row r="11" spans="1:12" x14ac:dyDescent="0.25">
      <c r="C11" s="2">
        <f>MAX(C6-50,0)</f>
        <v>15</v>
      </c>
      <c r="J11" t="s">
        <v>24</v>
      </c>
      <c r="K11">
        <v>1</v>
      </c>
    </row>
    <row r="12" spans="1:12" x14ac:dyDescent="0.25">
      <c r="A12" s="2" t="s">
        <v>3</v>
      </c>
    </row>
    <row r="13" spans="1:12" x14ac:dyDescent="0.25">
      <c r="C13" s="2">
        <f>MAX(C8-50,0)</f>
        <v>0</v>
      </c>
      <c r="K13">
        <f>[2]!Binomial_eur_call(K6,K7,K8,K9,K10,K11)</f>
        <v>5.6603773584905666</v>
      </c>
      <c r="L13" t="str">
        <f ca="1">_xlfn.FORMULATEXT(K13)</f>
        <v>=Binomial_eur_call(K6,K7,K8,K9,K10,K11)</v>
      </c>
    </row>
    <row r="15" spans="1:12" x14ac:dyDescent="0.25">
      <c r="A15" s="2" t="s">
        <v>4</v>
      </c>
    </row>
    <row r="17" spans="1:9" ht="15.6" x14ac:dyDescent="0.35">
      <c r="B17" s="2" t="s">
        <v>5</v>
      </c>
      <c r="C17" s="2">
        <f>(A7-C8/G6)/(C6-C8)</f>
        <v>0.37735849056603782</v>
      </c>
      <c r="D17" s="2" t="str">
        <f ca="1">[2]!getformula(C17)</f>
        <v>&lt;--  =(A7-C8/G6)/(C6-C8)</v>
      </c>
      <c r="H17" s="2">
        <f>0.4/G6</f>
        <v>0.37735849056603776</v>
      </c>
      <c r="I17" s="2" t="str">
        <f ca="1">_xlfn.FORMULATEXT(H17)</f>
        <v>=0.4/G6</v>
      </c>
    </row>
    <row r="18" spans="1:9" ht="15.6" x14ac:dyDescent="0.35">
      <c r="B18" s="2" t="s">
        <v>6</v>
      </c>
      <c r="C18" s="2">
        <f>1/G6-C17</f>
        <v>0.56603773584905648</v>
      </c>
      <c r="D18" s="2" t="str">
        <f ca="1">[2]!getformula(C18)</f>
        <v>&lt;--  =1/G6-C17</v>
      </c>
      <c r="H18" s="2">
        <f>0.6/G8</f>
        <v>0.56603773584905659</v>
      </c>
      <c r="I18" s="2" t="str">
        <f ca="1">_xlfn.FORMULATEXT(H18)</f>
        <v>=0.6/G8</v>
      </c>
    </row>
    <row r="20" spans="1:9" x14ac:dyDescent="0.25">
      <c r="A20" s="2" t="s">
        <v>7</v>
      </c>
    </row>
    <row r="22" spans="1:9" x14ac:dyDescent="0.25">
      <c r="B22" s="2" t="s">
        <v>8</v>
      </c>
      <c r="C22" s="3">
        <f>C17*C11+C18*C13</f>
        <v>5.6603773584905674</v>
      </c>
      <c r="D22" s="2" t="str">
        <f ca="1">[2]!getformula(C22)</f>
        <v>&lt;--  =C17*C11+C18*C13</v>
      </c>
    </row>
    <row r="24" spans="1:9" x14ac:dyDescent="0.25">
      <c r="A24" s="2" t="s">
        <v>9</v>
      </c>
    </row>
    <row r="25" spans="1:9" x14ac:dyDescent="0.25">
      <c r="B25" s="2" t="s">
        <v>10</v>
      </c>
    </row>
    <row r="26" spans="1:9" x14ac:dyDescent="0.25">
      <c r="B26" s="2" t="s">
        <v>11</v>
      </c>
    </row>
    <row r="28" spans="1:9" x14ac:dyDescent="0.25">
      <c r="A28" s="2" t="s">
        <v>12</v>
      </c>
    </row>
    <row r="29" spans="1:9" x14ac:dyDescent="0.25">
      <c r="B29" s="2" t="s">
        <v>13</v>
      </c>
      <c r="C29" s="2">
        <f>15/(65-45)</f>
        <v>0.75</v>
      </c>
    </row>
    <row r="30" spans="1:9" x14ac:dyDescent="0.25">
      <c r="B30" s="2" t="s">
        <v>14</v>
      </c>
      <c r="C30" s="2">
        <f>-45*C29/1.06</f>
        <v>-31.839622641509433</v>
      </c>
    </row>
    <row r="32" spans="1:9" x14ac:dyDescent="0.25">
      <c r="A32" s="2" t="s">
        <v>15</v>
      </c>
    </row>
    <row r="33" spans="1:3" x14ac:dyDescent="0.25">
      <c r="A33" s="2" t="s">
        <v>16</v>
      </c>
    </row>
    <row r="34" spans="1:3" x14ac:dyDescent="0.25">
      <c r="B34" s="2" t="s">
        <v>17</v>
      </c>
      <c r="C34" s="3">
        <f>C29*A7+C30</f>
        <v>5.6603773584905674</v>
      </c>
    </row>
  </sheetData>
  <mergeCells count="1">
    <mergeCell ref="A2:G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2024-11-21T06:07:56Z</dcterms:modified>
</cp:coreProperties>
</file>