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practice\"/>
    </mc:Choice>
  </mc:AlternateContent>
  <xr:revisionPtr revIDLastSave="0" documentId="13_ncr:1_{C1351C8F-218F-42A4-82DF-F2F7211151E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" i="1" l="1"/>
  <c r="I14" i="1"/>
  <c r="K13" i="1"/>
  <c r="A13" i="1"/>
  <c r="C14" i="1" s="1"/>
  <c r="I12" i="1"/>
  <c r="C12" i="1"/>
  <c r="E11" i="1" s="1"/>
  <c r="K11" i="1"/>
  <c r="E6" i="1"/>
  <c r="E5" i="1"/>
  <c r="C30" i="1"/>
  <c r="C29" i="1"/>
  <c r="K20" i="1" l="1"/>
  <c r="E39" i="1"/>
  <c r="E20" i="1"/>
  <c r="E15" i="1"/>
  <c r="E13" i="1"/>
  <c r="E22" i="1" l="1"/>
  <c r="E41" i="1"/>
  <c r="K22" i="1"/>
  <c r="E43" i="1"/>
  <c r="K24" i="1"/>
  <c r="E24" i="1"/>
  <c r="I23" i="1" l="1"/>
  <c r="I21" i="1"/>
  <c r="C23" i="1"/>
  <c r="C21" i="1"/>
  <c r="A22" i="1" s="1"/>
  <c r="B29" i="1" s="1"/>
  <c r="C42" i="1"/>
  <c r="C40" i="1"/>
  <c r="A41" i="1" l="1"/>
  <c r="G22" i="1"/>
  <c r="B30" i="1" s="1"/>
</calcChain>
</file>

<file path=xl/sharedStrings.xml><?xml version="1.0" encoding="utf-8"?>
<sst xmlns="http://schemas.openxmlformats.org/spreadsheetml/2006/main" count="29" uniqueCount="25">
  <si>
    <t>THREE-DATE BINOMIAL OPTION PRICING</t>
  </si>
  <si>
    <t>Up</t>
  </si>
  <si>
    <t>Down</t>
  </si>
  <si>
    <t>state prices</t>
  </si>
  <si>
    <r>
      <t>q</t>
    </r>
    <r>
      <rPr>
        <vertAlign val="subscript"/>
        <sz val="10"/>
        <rFont val="Arial"/>
        <family val="2"/>
      </rPr>
      <t>u</t>
    </r>
  </si>
  <si>
    <t>&lt;-- =(B7-B4)/((1+B7)*(B3-B4))</t>
  </si>
  <si>
    <t>Initial stock price</t>
  </si>
  <si>
    <r>
      <t>q</t>
    </r>
    <r>
      <rPr>
        <vertAlign val="subscript"/>
        <sz val="10"/>
        <rFont val="Arial"/>
        <family val="2"/>
      </rPr>
      <t>d</t>
    </r>
  </si>
  <si>
    <t>&lt;-- =(B3-B7)/((1+B7)*(B3-B4))</t>
  </si>
  <si>
    <t>Interest rate</t>
  </si>
  <si>
    <t>Exercise price</t>
  </si>
  <si>
    <t>Stock price</t>
  </si>
  <si>
    <t>Bond price</t>
  </si>
  <si>
    <t>European call option price</t>
  </si>
  <si>
    <t>European put option price</t>
  </si>
  <si>
    <r>
      <t>=q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*E20+q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*E22</t>
    </r>
  </si>
  <si>
    <r>
      <t>=q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*C21+q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*C23</t>
    </r>
  </si>
  <si>
    <r>
      <t>=q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*E22+q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*E24</t>
    </r>
  </si>
  <si>
    <t>Check put-call parity for European options</t>
  </si>
  <si>
    <t>Call + Bond</t>
  </si>
  <si>
    <t>Put + Stock</t>
  </si>
  <si>
    <r>
      <t>Part c</t>
    </r>
    <r>
      <rPr>
        <sz val="10"/>
        <rFont val="Arial"/>
        <family val="2"/>
      </rPr>
      <t>:  To price an American put:</t>
    </r>
  </si>
  <si>
    <t>American put option price</t>
  </si>
  <si>
    <r>
      <t>=max(S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 xml:space="preserve"> - X,q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*E20+q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*E22)</t>
    </r>
  </si>
  <si>
    <r>
      <t>=max(S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>-X,q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*E22+q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*E24)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</si>
</sst>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/>
    <xf numFmtId="2" fontId="0" fillId="0" borderId="0" xfId="0" applyNumberFormat="1" applyAlignment="1"/>
    <xf numFmtId="176" fontId="0" fillId="0" borderId="0" xfId="0" quotePrefix="1" applyNumberFormat="1" applyAlignment="1"/>
    <xf numFmtId="0" fontId="4" fillId="0" borderId="0" xfId="0" applyFont="1" applyAlignment="1"/>
    <xf numFmtId="2" fontId="0" fillId="0" borderId="0" xfId="0" applyNumberFormat="1" applyAlignment="1">
      <alignment horizontal="center"/>
    </xf>
    <xf numFmtId="176" fontId="0" fillId="0" borderId="0" xfId="0" quotePrefix="1" applyNumberFormat="1" applyAlignment="1">
      <alignment horizontal="center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 applyAlignment="1">
      <alignment horizontal="right"/>
    </xf>
    <xf numFmtId="0" fontId="0" fillId="0" borderId="0" xfId="0" quotePrefix="1" applyAlignment="1"/>
    <xf numFmtId="176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60960</xdr:rowOff>
    </xdr:from>
    <xdr:to>
      <xdr:col>2</xdr:col>
      <xdr:colOff>0</xdr:colOff>
      <xdr:row>12</xdr:row>
      <xdr:rowOff>68580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CC0DBE13-A168-4E99-9972-3AF3F41697C7}"/>
            </a:ext>
          </a:extLst>
        </xdr:cNvPr>
        <xdr:cNvSpPr>
          <a:spLocks noChangeShapeType="1"/>
        </xdr:cNvSpPr>
      </xdr:nvSpPr>
      <xdr:spPr bwMode="auto">
        <a:xfrm flipV="1">
          <a:off x="1028700" y="204787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12</xdr:row>
      <xdr:rowOff>76200</xdr:rowOff>
    </xdr:from>
    <xdr:to>
      <xdr:col>2</xdr:col>
      <xdr:colOff>7620</xdr:colOff>
      <xdr:row>13</xdr:row>
      <xdr:rowOff>68580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36EEC09E-4C9A-46D9-869E-15321F551A49}"/>
            </a:ext>
          </a:extLst>
        </xdr:cNvPr>
        <xdr:cNvSpPr>
          <a:spLocks noChangeShapeType="1"/>
        </xdr:cNvSpPr>
      </xdr:nvSpPr>
      <xdr:spPr bwMode="auto">
        <a:xfrm>
          <a:off x="1028700" y="223837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11</xdr:row>
      <xdr:rowOff>45720</xdr:rowOff>
    </xdr:from>
    <xdr:to>
      <xdr:col>8</xdr:col>
      <xdr:colOff>0</xdr:colOff>
      <xdr:row>12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96E1E8B1-1B24-439D-BB2C-5998FC415BB0}"/>
            </a:ext>
          </a:extLst>
        </xdr:cNvPr>
        <xdr:cNvSpPr>
          <a:spLocks noChangeShapeType="1"/>
        </xdr:cNvSpPr>
      </xdr:nvSpPr>
      <xdr:spPr bwMode="auto">
        <a:xfrm flipV="1">
          <a:off x="4714875" y="2038350"/>
          <a:ext cx="6000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83820</xdr:rowOff>
    </xdr:from>
    <xdr:to>
      <xdr:col>7</xdr:col>
      <xdr:colOff>480060</xdr:colOff>
      <xdr:row>13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C714C55-7665-422C-A012-D808FADF5392}"/>
            </a:ext>
          </a:extLst>
        </xdr:cNvPr>
        <xdr:cNvSpPr>
          <a:spLocks noChangeShapeType="1"/>
        </xdr:cNvSpPr>
      </xdr:nvSpPr>
      <xdr:spPr bwMode="auto">
        <a:xfrm>
          <a:off x="4705350" y="2247900"/>
          <a:ext cx="4762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60960</xdr:rowOff>
    </xdr:from>
    <xdr:to>
      <xdr:col>2</xdr:col>
      <xdr:colOff>0</xdr:colOff>
      <xdr:row>21</xdr:row>
      <xdr:rowOff>68580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38673960-CF02-4046-8DB3-FFF6B86A4401}"/>
            </a:ext>
          </a:extLst>
        </xdr:cNvPr>
        <xdr:cNvSpPr>
          <a:spLocks noChangeShapeType="1"/>
        </xdr:cNvSpPr>
      </xdr:nvSpPr>
      <xdr:spPr bwMode="auto">
        <a:xfrm flipV="1">
          <a:off x="1028700" y="3619500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21</xdr:row>
      <xdr:rowOff>76200</xdr:rowOff>
    </xdr:from>
    <xdr:to>
      <xdr:col>2</xdr:col>
      <xdr:colOff>7620</xdr:colOff>
      <xdr:row>22</xdr:row>
      <xdr:rowOff>68580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28107F35-BEC0-4226-8F40-4C32EBC4A292}"/>
            </a:ext>
          </a:extLst>
        </xdr:cNvPr>
        <xdr:cNvSpPr>
          <a:spLocks noChangeShapeType="1"/>
        </xdr:cNvSpPr>
      </xdr:nvSpPr>
      <xdr:spPr bwMode="auto">
        <a:xfrm>
          <a:off x="1028700" y="3810000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224</xdr:row>
      <xdr:rowOff>0</xdr:rowOff>
    </xdr:from>
    <xdr:to>
      <xdr:col>2</xdr:col>
      <xdr:colOff>480060</xdr:colOff>
      <xdr:row>224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C73DA712-1947-4EF1-9930-DCF4F6219B41}"/>
            </a:ext>
          </a:extLst>
        </xdr:cNvPr>
        <xdr:cNvSpPr>
          <a:spLocks noChangeShapeType="1"/>
        </xdr:cNvSpPr>
      </xdr:nvSpPr>
      <xdr:spPr bwMode="auto">
        <a:xfrm flipV="1">
          <a:off x="1638300" y="38604825"/>
          <a:ext cx="476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224</xdr:row>
      <xdr:rowOff>0</xdr:rowOff>
    </xdr:from>
    <xdr:to>
      <xdr:col>7</xdr:col>
      <xdr:colOff>0</xdr:colOff>
      <xdr:row>224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BE049A8D-73DB-4C94-A48F-BA32677C8918}"/>
            </a:ext>
          </a:extLst>
        </xdr:cNvPr>
        <xdr:cNvSpPr>
          <a:spLocks noChangeShapeType="1"/>
        </xdr:cNvSpPr>
      </xdr:nvSpPr>
      <xdr:spPr bwMode="auto">
        <a:xfrm flipV="1">
          <a:off x="4095750" y="38604825"/>
          <a:ext cx="609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224</xdr:row>
      <xdr:rowOff>0</xdr:rowOff>
    </xdr:from>
    <xdr:to>
      <xdr:col>9</xdr:col>
      <xdr:colOff>0</xdr:colOff>
      <xdr:row>224</xdr:row>
      <xdr:rowOff>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41C3B0AC-1CE0-435C-AF4A-9A6B09649F30}"/>
            </a:ext>
          </a:extLst>
        </xdr:cNvPr>
        <xdr:cNvSpPr>
          <a:spLocks noChangeShapeType="1"/>
        </xdr:cNvSpPr>
      </xdr:nvSpPr>
      <xdr:spPr bwMode="auto">
        <a:xfrm flipV="1">
          <a:off x="5314950" y="38604825"/>
          <a:ext cx="628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480060</xdr:colOff>
      <xdr:row>224</xdr:row>
      <xdr:rowOff>0</xdr:rowOff>
    </xdr:from>
    <xdr:to>
      <xdr:col>9</xdr:col>
      <xdr:colOff>0</xdr:colOff>
      <xdr:row>224</xdr:row>
      <xdr:rowOff>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39EE98BC-6988-46A4-AA48-DC889533CCBF}"/>
            </a:ext>
          </a:extLst>
        </xdr:cNvPr>
        <xdr:cNvSpPr>
          <a:spLocks noChangeShapeType="1"/>
        </xdr:cNvSpPr>
      </xdr:nvSpPr>
      <xdr:spPr bwMode="auto">
        <a:xfrm>
          <a:off x="5181600" y="38604825"/>
          <a:ext cx="762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224</xdr:row>
      <xdr:rowOff>0</xdr:rowOff>
    </xdr:from>
    <xdr:to>
      <xdr:col>8</xdr:col>
      <xdr:colOff>495300</xdr:colOff>
      <xdr:row>224</xdr:row>
      <xdr:rowOff>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1FD8BF65-F752-46AE-9389-DEB944599D24}"/>
            </a:ext>
          </a:extLst>
        </xdr:cNvPr>
        <xdr:cNvSpPr>
          <a:spLocks noChangeShapeType="1"/>
        </xdr:cNvSpPr>
      </xdr:nvSpPr>
      <xdr:spPr bwMode="auto">
        <a:xfrm flipV="1">
          <a:off x="5314950" y="38604825"/>
          <a:ext cx="4953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10</xdr:row>
      <xdr:rowOff>45720</xdr:rowOff>
    </xdr:from>
    <xdr:to>
      <xdr:col>4</xdr:col>
      <xdr:colOff>0</xdr:colOff>
      <xdr:row>11</xdr:row>
      <xdr:rowOff>53340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A964FE0F-2CF3-471A-BE96-0E83C03AA1F1}"/>
            </a:ext>
          </a:extLst>
        </xdr:cNvPr>
        <xdr:cNvSpPr>
          <a:spLocks noChangeShapeType="1"/>
        </xdr:cNvSpPr>
      </xdr:nvSpPr>
      <xdr:spPr bwMode="auto">
        <a:xfrm flipV="1">
          <a:off x="2257425" y="1866900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</xdr:colOff>
      <xdr:row>11</xdr:row>
      <xdr:rowOff>45720</xdr:rowOff>
    </xdr:from>
    <xdr:to>
      <xdr:col>4</xdr:col>
      <xdr:colOff>7620</xdr:colOff>
      <xdr:row>12</xdr:row>
      <xdr:rowOff>68580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C01934C7-6231-4B59-A7A7-4142C9B4E39E}"/>
            </a:ext>
          </a:extLst>
        </xdr:cNvPr>
        <xdr:cNvSpPr>
          <a:spLocks noChangeShapeType="1"/>
        </xdr:cNvSpPr>
      </xdr:nvSpPr>
      <xdr:spPr bwMode="auto">
        <a:xfrm>
          <a:off x="2266950" y="2038350"/>
          <a:ext cx="60007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12</xdr:row>
      <xdr:rowOff>76200</xdr:rowOff>
    </xdr:from>
    <xdr:to>
      <xdr:col>3</xdr:col>
      <xdr:colOff>480060</xdr:colOff>
      <xdr:row>13</xdr:row>
      <xdr:rowOff>83820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7D7CD110-21EC-47BD-ADF6-7C86937FEDCD}"/>
            </a:ext>
          </a:extLst>
        </xdr:cNvPr>
        <xdr:cNvSpPr>
          <a:spLocks noChangeShapeType="1"/>
        </xdr:cNvSpPr>
      </xdr:nvSpPr>
      <xdr:spPr bwMode="auto">
        <a:xfrm flipV="1">
          <a:off x="2247900" y="2238375"/>
          <a:ext cx="4762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13</xdr:row>
      <xdr:rowOff>83820</xdr:rowOff>
    </xdr:from>
    <xdr:to>
      <xdr:col>4</xdr:col>
      <xdr:colOff>0</xdr:colOff>
      <xdr:row>14</xdr:row>
      <xdr:rowOff>76200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5ED6EB22-C25D-4179-B1EC-69B1CC4994A5}"/>
            </a:ext>
          </a:extLst>
        </xdr:cNvPr>
        <xdr:cNvSpPr>
          <a:spLocks noChangeShapeType="1"/>
        </xdr:cNvSpPr>
      </xdr:nvSpPr>
      <xdr:spPr bwMode="auto">
        <a:xfrm>
          <a:off x="2247900" y="2419350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10</xdr:row>
      <xdr:rowOff>45720</xdr:rowOff>
    </xdr:from>
    <xdr:to>
      <xdr:col>10</xdr:col>
      <xdr:colOff>0</xdr:colOff>
      <xdr:row>11</xdr:row>
      <xdr:rowOff>53340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65431EE7-E2C5-49B8-BE5E-4CF52D761621}"/>
            </a:ext>
          </a:extLst>
        </xdr:cNvPr>
        <xdr:cNvSpPr>
          <a:spLocks noChangeShapeType="1"/>
        </xdr:cNvSpPr>
      </xdr:nvSpPr>
      <xdr:spPr bwMode="auto">
        <a:xfrm flipV="1">
          <a:off x="5953125" y="18669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22860</xdr:colOff>
      <xdr:row>11</xdr:row>
      <xdr:rowOff>45720</xdr:rowOff>
    </xdr:from>
    <xdr:to>
      <xdr:col>10</xdr:col>
      <xdr:colOff>7620</xdr:colOff>
      <xdr:row>12</xdr:row>
      <xdr:rowOff>68580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B069BCEC-D384-4186-9B19-CB1B0CE146B0}"/>
            </a:ext>
          </a:extLst>
        </xdr:cNvPr>
        <xdr:cNvSpPr>
          <a:spLocks noChangeShapeType="1"/>
        </xdr:cNvSpPr>
      </xdr:nvSpPr>
      <xdr:spPr bwMode="auto">
        <a:xfrm>
          <a:off x="5962650" y="203835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12</xdr:row>
      <xdr:rowOff>76200</xdr:rowOff>
    </xdr:from>
    <xdr:to>
      <xdr:col>9</xdr:col>
      <xdr:colOff>495300</xdr:colOff>
      <xdr:row>13</xdr:row>
      <xdr:rowOff>83820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E6364F68-F3F7-49CA-AD94-823D7EB14720}"/>
            </a:ext>
          </a:extLst>
        </xdr:cNvPr>
        <xdr:cNvSpPr>
          <a:spLocks noChangeShapeType="1"/>
        </xdr:cNvSpPr>
      </xdr:nvSpPr>
      <xdr:spPr bwMode="auto">
        <a:xfrm flipV="1">
          <a:off x="5943600" y="2238375"/>
          <a:ext cx="4953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13</xdr:row>
      <xdr:rowOff>83820</xdr:rowOff>
    </xdr:from>
    <xdr:to>
      <xdr:col>10</xdr:col>
      <xdr:colOff>0</xdr:colOff>
      <xdr:row>14</xdr:row>
      <xdr:rowOff>76200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F895059D-6F3E-40E0-B210-A6A9DCC5E274}"/>
            </a:ext>
          </a:extLst>
        </xdr:cNvPr>
        <xdr:cNvSpPr>
          <a:spLocks noChangeShapeType="1"/>
        </xdr:cNvSpPr>
      </xdr:nvSpPr>
      <xdr:spPr bwMode="auto">
        <a:xfrm>
          <a:off x="5943600" y="2419350"/>
          <a:ext cx="6286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19</xdr:row>
      <xdr:rowOff>45720</xdr:rowOff>
    </xdr:from>
    <xdr:to>
      <xdr:col>4</xdr:col>
      <xdr:colOff>0</xdr:colOff>
      <xdr:row>20</xdr:row>
      <xdr:rowOff>53340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B10E3090-6D89-4E15-88C0-7F128A658B04}"/>
            </a:ext>
          </a:extLst>
        </xdr:cNvPr>
        <xdr:cNvSpPr>
          <a:spLocks noChangeShapeType="1"/>
        </xdr:cNvSpPr>
      </xdr:nvSpPr>
      <xdr:spPr bwMode="auto">
        <a:xfrm flipV="1">
          <a:off x="2257425" y="34385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</xdr:colOff>
      <xdr:row>20</xdr:row>
      <xdr:rowOff>45720</xdr:rowOff>
    </xdr:from>
    <xdr:to>
      <xdr:col>4</xdr:col>
      <xdr:colOff>7620</xdr:colOff>
      <xdr:row>21</xdr:row>
      <xdr:rowOff>68580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5D4D0D8C-9057-4500-B056-240EC78DDE66}"/>
            </a:ext>
          </a:extLst>
        </xdr:cNvPr>
        <xdr:cNvSpPr>
          <a:spLocks noChangeShapeType="1"/>
        </xdr:cNvSpPr>
      </xdr:nvSpPr>
      <xdr:spPr bwMode="auto">
        <a:xfrm>
          <a:off x="2266950" y="3609975"/>
          <a:ext cx="60007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21</xdr:row>
      <xdr:rowOff>76200</xdr:rowOff>
    </xdr:from>
    <xdr:to>
      <xdr:col>3</xdr:col>
      <xdr:colOff>480060</xdr:colOff>
      <xdr:row>22</xdr:row>
      <xdr:rowOff>83820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AE0E36BF-E927-45FE-A44D-9092B43CF2F3}"/>
            </a:ext>
          </a:extLst>
        </xdr:cNvPr>
        <xdr:cNvSpPr>
          <a:spLocks noChangeShapeType="1"/>
        </xdr:cNvSpPr>
      </xdr:nvSpPr>
      <xdr:spPr bwMode="auto">
        <a:xfrm flipV="1">
          <a:off x="2247900" y="3810000"/>
          <a:ext cx="4762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22</xdr:row>
      <xdr:rowOff>83820</xdr:rowOff>
    </xdr:from>
    <xdr:to>
      <xdr:col>4</xdr:col>
      <xdr:colOff>0</xdr:colOff>
      <xdr:row>23</xdr:row>
      <xdr:rowOff>76200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C9E3FF71-4CEF-40B1-A6C4-F8E64911A5BE}"/>
            </a:ext>
          </a:extLst>
        </xdr:cNvPr>
        <xdr:cNvSpPr>
          <a:spLocks noChangeShapeType="1"/>
        </xdr:cNvSpPr>
      </xdr:nvSpPr>
      <xdr:spPr bwMode="auto">
        <a:xfrm>
          <a:off x="2247900" y="399097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236220</xdr:colOff>
      <xdr:row>17</xdr:row>
      <xdr:rowOff>53340</xdr:rowOff>
    </xdr:from>
    <xdr:to>
      <xdr:col>3</xdr:col>
      <xdr:colOff>266700</xdr:colOff>
      <xdr:row>19</xdr:row>
      <xdr:rowOff>99060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67B49AFE-90AF-405B-ADCD-20C2C89ED057}"/>
            </a:ext>
          </a:extLst>
        </xdr:cNvPr>
        <xdr:cNvSpPr>
          <a:spLocks noChangeArrowheads="1"/>
        </xdr:cNvSpPr>
      </xdr:nvSpPr>
      <xdr:spPr bwMode="auto">
        <a:xfrm>
          <a:off x="1266825" y="3076575"/>
          <a:ext cx="1247775" cy="409575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</xdr:col>
      <xdr:colOff>274320</xdr:colOff>
      <xdr:row>23</xdr:row>
      <xdr:rowOff>60960</xdr:rowOff>
    </xdr:from>
    <xdr:to>
      <xdr:col>3</xdr:col>
      <xdr:colOff>304800</xdr:colOff>
      <xdr:row>25</xdr:row>
      <xdr:rowOff>106680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AE0866FB-27D4-408D-93BA-D1C5A5220EC6}"/>
            </a:ext>
          </a:extLst>
        </xdr:cNvPr>
        <xdr:cNvSpPr>
          <a:spLocks noChangeArrowheads="1"/>
        </xdr:cNvSpPr>
      </xdr:nvSpPr>
      <xdr:spPr bwMode="auto">
        <a:xfrm>
          <a:off x="1304925" y="4133850"/>
          <a:ext cx="1247775" cy="41910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</xdr:col>
      <xdr:colOff>411480</xdr:colOff>
      <xdr:row>19</xdr:row>
      <xdr:rowOff>68580</xdr:rowOff>
    </xdr:from>
    <xdr:to>
      <xdr:col>2</xdr:col>
      <xdr:colOff>83820</xdr:colOff>
      <xdr:row>20</xdr:row>
      <xdr:rowOff>30480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DCEE2FCA-4AEF-457F-8990-F645881864CD}"/>
            </a:ext>
          </a:extLst>
        </xdr:cNvPr>
        <xdr:cNvSpPr>
          <a:spLocks noChangeShapeType="1"/>
        </xdr:cNvSpPr>
      </xdr:nvSpPr>
      <xdr:spPr bwMode="auto">
        <a:xfrm>
          <a:off x="1438275" y="3457575"/>
          <a:ext cx="28575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7620</xdr:colOff>
      <xdr:row>23</xdr:row>
      <xdr:rowOff>45720</xdr:rowOff>
    </xdr:from>
    <xdr:to>
      <xdr:col>1</xdr:col>
      <xdr:colOff>213360</xdr:colOff>
      <xdr:row>25</xdr:row>
      <xdr:rowOff>91440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2F2F01A0-98EF-4F5C-97D0-AE64046555DA}"/>
            </a:ext>
          </a:extLst>
        </xdr:cNvPr>
        <xdr:cNvSpPr>
          <a:spLocks noChangeArrowheads="1"/>
        </xdr:cNvSpPr>
      </xdr:nvSpPr>
      <xdr:spPr bwMode="auto">
        <a:xfrm>
          <a:off x="9525" y="4124325"/>
          <a:ext cx="1228725" cy="41910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0</xdr:col>
      <xdr:colOff>289560</xdr:colOff>
      <xdr:row>22</xdr:row>
      <xdr:rowOff>15240</xdr:rowOff>
    </xdr:from>
    <xdr:to>
      <xdr:col>0</xdr:col>
      <xdr:colOff>533400</xdr:colOff>
      <xdr:row>23</xdr:row>
      <xdr:rowOff>45720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AC188111-F434-4288-973D-356D7219BEED}"/>
            </a:ext>
          </a:extLst>
        </xdr:cNvPr>
        <xdr:cNvSpPr>
          <a:spLocks noChangeShapeType="1"/>
        </xdr:cNvSpPr>
      </xdr:nvSpPr>
      <xdr:spPr bwMode="auto">
        <a:xfrm flipV="1">
          <a:off x="285750" y="3924300"/>
          <a:ext cx="2476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22</xdr:row>
      <xdr:rowOff>121920</xdr:rowOff>
    </xdr:from>
    <xdr:to>
      <xdr:col>2</xdr:col>
      <xdr:colOff>99060</xdr:colOff>
      <xdr:row>23</xdr:row>
      <xdr:rowOff>99060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69D8FE2F-7E06-4366-BF4C-250D37A50F4A}"/>
            </a:ext>
          </a:extLst>
        </xdr:cNvPr>
        <xdr:cNvSpPr>
          <a:spLocks noChangeShapeType="1"/>
        </xdr:cNvSpPr>
      </xdr:nvSpPr>
      <xdr:spPr bwMode="auto">
        <a:xfrm flipV="1">
          <a:off x="1638300" y="4029075"/>
          <a:ext cx="952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20</xdr:row>
      <xdr:rowOff>60960</xdr:rowOff>
    </xdr:from>
    <xdr:to>
      <xdr:col>8</xdr:col>
      <xdr:colOff>0</xdr:colOff>
      <xdr:row>21</xdr:row>
      <xdr:rowOff>68580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E6450F56-6781-4C1B-B2DE-E943B0E640F6}"/>
            </a:ext>
          </a:extLst>
        </xdr:cNvPr>
        <xdr:cNvSpPr>
          <a:spLocks noChangeShapeType="1"/>
        </xdr:cNvSpPr>
      </xdr:nvSpPr>
      <xdr:spPr bwMode="auto">
        <a:xfrm flipV="1">
          <a:off x="4705350" y="3619500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21</xdr:row>
      <xdr:rowOff>76200</xdr:rowOff>
    </xdr:from>
    <xdr:to>
      <xdr:col>8</xdr:col>
      <xdr:colOff>7620</xdr:colOff>
      <xdr:row>22</xdr:row>
      <xdr:rowOff>68580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8967B18B-C6C3-46B2-9A48-5EAD43838DC5}"/>
            </a:ext>
          </a:extLst>
        </xdr:cNvPr>
        <xdr:cNvSpPr>
          <a:spLocks noChangeShapeType="1"/>
        </xdr:cNvSpPr>
      </xdr:nvSpPr>
      <xdr:spPr bwMode="auto">
        <a:xfrm>
          <a:off x="4705350" y="3810000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19</xdr:row>
      <xdr:rowOff>45720</xdr:rowOff>
    </xdr:from>
    <xdr:to>
      <xdr:col>10</xdr:col>
      <xdr:colOff>0</xdr:colOff>
      <xdr:row>20</xdr:row>
      <xdr:rowOff>53340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FEE2D5EC-99C3-4E11-A255-E0D830CA9E3E}"/>
            </a:ext>
          </a:extLst>
        </xdr:cNvPr>
        <xdr:cNvSpPr>
          <a:spLocks noChangeShapeType="1"/>
        </xdr:cNvSpPr>
      </xdr:nvSpPr>
      <xdr:spPr bwMode="auto">
        <a:xfrm flipV="1">
          <a:off x="5953125" y="343852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22860</xdr:colOff>
      <xdr:row>20</xdr:row>
      <xdr:rowOff>45720</xdr:rowOff>
    </xdr:from>
    <xdr:to>
      <xdr:col>10</xdr:col>
      <xdr:colOff>7620</xdr:colOff>
      <xdr:row>21</xdr:row>
      <xdr:rowOff>68580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2E1C07FB-9A3C-4AEA-B667-CC8592F41EF8}"/>
            </a:ext>
          </a:extLst>
        </xdr:cNvPr>
        <xdr:cNvSpPr>
          <a:spLocks noChangeShapeType="1"/>
        </xdr:cNvSpPr>
      </xdr:nvSpPr>
      <xdr:spPr bwMode="auto">
        <a:xfrm>
          <a:off x="5962650" y="36099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21</xdr:row>
      <xdr:rowOff>76200</xdr:rowOff>
    </xdr:from>
    <xdr:to>
      <xdr:col>9</xdr:col>
      <xdr:colOff>487680</xdr:colOff>
      <xdr:row>22</xdr:row>
      <xdr:rowOff>83820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E29944B5-3483-414B-9BB4-502E2CD664A4}"/>
            </a:ext>
          </a:extLst>
        </xdr:cNvPr>
        <xdr:cNvSpPr>
          <a:spLocks noChangeShapeType="1"/>
        </xdr:cNvSpPr>
      </xdr:nvSpPr>
      <xdr:spPr bwMode="auto">
        <a:xfrm flipV="1">
          <a:off x="5943600" y="3810000"/>
          <a:ext cx="4857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22</xdr:row>
      <xdr:rowOff>83820</xdr:rowOff>
    </xdr:from>
    <xdr:to>
      <xdr:col>10</xdr:col>
      <xdr:colOff>0</xdr:colOff>
      <xdr:row>23</xdr:row>
      <xdr:rowOff>76200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73777343-EBF1-44C4-8B72-9553F8974126}"/>
            </a:ext>
          </a:extLst>
        </xdr:cNvPr>
        <xdr:cNvSpPr>
          <a:spLocks noChangeShapeType="1"/>
        </xdr:cNvSpPr>
      </xdr:nvSpPr>
      <xdr:spPr bwMode="auto">
        <a:xfrm>
          <a:off x="5943600" y="3990975"/>
          <a:ext cx="6286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236220</xdr:colOff>
      <xdr:row>17</xdr:row>
      <xdr:rowOff>53340</xdr:rowOff>
    </xdr:from>
    <xdr:to>
      <xdr:col>9</xdr:col>
      <xdr:colOff>266700</xdr:colOff>
      <xdr:row>19</xdr:row>
      <xdr:rowOff>99060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6D6D7FEF-7C4D-4B9C-AB0A-3BE2BF9F5898}"/>
            </a:ext>
          </a:extLst>
        </xdr:cNvPr>
        <xdr:cNvSpPr>
          <a:spLocks noChangeArrowheads="1"/>
        </xdr:cNvSpPr>
      </xdr:nvSpPr>
      <xdr:spPr bwMode="auto">
        <a:xfrm>
          <a:off x="4943475" y="3076575"/>
          <a:ext cx="1266825" cy="409575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7</xdr:col>
      <xdr:colOff>274320</xdr:colOff>
      <xdr:row>23</xdr:row>
      <xdr:rowOff>60960</xdr:rowOff>
    </xdr:from>
    <xdr:to>
      <xdr:col>9</xdr:col>
      <xdr:colOff>304800</xdr:colOff>
      <xdr:row>25</xdr:row>
      <xdr:rowOff>106680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739C87D0-EC76-46F1-9639-C6A8C7B53556}"/>
            </a:ext>
          </a:extLst>
        </xdr:cNvPr>
        <xdr:cNvSpPr>
          <a:spLocks noChangeArrowheads="1"/>
        </xdr:cNvSpPr>
      </xdr:nvSpPr>
      <xdr:spPr bwMode="auto">
        <a:xfrm>
          <a:off x="4981575" y="4133850"/>
          <a:ext cx="1266825" cy="41910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7</xdr:col>
      <xdr:colOff>411480</xdr:colOff>
      <xdr:row>19</xdr:row>
      <xdr:rowOff>68580</xdr:rowOff>
    </xdr:from>
    <xdr:to>
      <xdr:col>8</xdr:col>
      <xdr:colOff>83820</xdr:colOff>
      <xdr:row>20</xdr:row>
      <xdr:rowOff>30480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6156EBCE-2ADF-422E-8624-19EB48DC000F}"/>
            </a:ext>
          </a:extLst>
        </xdr:cNvPr>
        <xdr:cNvSpPr>
          <a:spLocks noChangeShapeType="1"/>
        </xdr:cNvSpPr>
      </xdr:nvSpPr>
      <xdr:spPr bwMode="auto">
        <a:xfrm>
          <a:off x="5114925" y="3457575"/>
          <a:ext cx="28575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23</xdr:row>
      <xdr:rowOff>45720</xdr:rowOff>
    </xdr:from>
    <xdr:to>
      <xdr:col>7</xdr:col>
      <xdr:colOff>213360</xdr:colOff>
      <xdr:row>25</xdr:row>
      <xdr:rowOff>91440</xdr:rowOff>
    </xdr:to>
    <xdr:sp macro="" textlink="">
      <xdr:nvSpPr>
        <xdr:cNvPr id="40" name="Oval 39">
          <a:extLst>
            <a:ext uri="{FF2B5EF4-FFF2-40B4-BE49-F238E27FC236}">
              <a16:creationId xmlns:a16="http://schemas.microsoft.com/office/drawing/2014/main" id="{5CF81676-B1C2-4194-8B18-21480DD6A7C9}"/>
            </a:ext>
          </a:extLst>
        </xdr:cNvPr>
        <xdr:cNvSpPr>
          <a:spLocks noChangeArrowheads="1"/>
        </xdr:cNvSpPr>
      </xdr:nvSpPr>
      <xdr:spPr bwMode="auto">
        <a:xfrm>
          <a:off x="4105275" y="4124325"/>
          <a:ext cx="809625" cy="41910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6</xdr:col>
      <xdr:colOff>289560</xdr:colOff>
      <xdr:row>22</xdr:row>
      <xdr:rowOff>15240</xdr:rowOff>
    </xdr:from>
    <xdr:to>
      <xdr:col>6</xdr:col>
      <xdr:colOff>533400</xdr:colOff>
      <xdr:row>23</xdr:row>
      <xdr:rowOff>45720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643317A0-A03C-4910-B55A-7311DB02542F}"/>
            </a:ext>
          </a:extLst>
        </xdr:cNvPr>
        <xdr:cNvSpPr>
          <a:spLocks noChangeShapeType="1"/>
        </xdr:cNvSpPr>
      </xdr:nvSpPr>
      <xdr:spPr bwMode="auto">
        <a:xfrm flipV="1">
          <a:off x="4381500" y="3924300"/>
          <a:ext cx="2476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121920</xdr:rowOff>
    </xdr:from>
    <xdr:to>
      <xdr:col>8</xdr:col>
      <xdr:colOff>99060</xdr:colOff>
      <xdr:row>23</xdr:row>
      <xdr:rowOff>99060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3C4957DE-DAC7-4395-9C8F-96904B448E84}"/>
            </a:ext>
          </a:extLst>
        </xdr:cNvPr>
        <xdr:cNvSpPr>
          <a:spLocks noChangeShapeType="1"/>
        </xdr:cNvSpPr>
      </xdr:nvSpPr>
      <xdr:spPr bwMode="auto">
        <a:xfrm flipV="1">
          <a:off x="5314950" y="4029075"/>
          <a:ext cx="952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39</xdr:row>
      <xdr:rowOff>60960</xdr:rowOff>
    </xdr:from>
    <xdr:to>
      <xdr:col>2</xdr:col>
      <xdr:colOff>0</xdr:colOff>
      <xdr:row>40</xdr:row>
      <xdr:rowOff>68580</xdr:rowOff>
    </xdr:to>
    <xdr:sp macro="" textlink="">
      <xdr:nvSpPr>
        <xdr:cNvPr id="43" name="Line 42">
          <a:extLst>
            <a:ext uri="{FF2B5EF4-FFF2-40B4-BE49-F238E27FC236}">
              <a16:creationId xmlns:a16="http://schemas.microsoft.com/office/drawing/2014/main" id="{9185026B-1C3E-4B87-98CC-7603CA73D791}"/>
            </a:ext>
          </a:extLst>
        </xdr:cNvPr>
        <xdr:cNvSpPr>
          <a:spLocks noChangeShapeType="1"/>
        </xdr:cNvSpPr>
      </xdr:nvSpPr>
      <xdr:spPr bwMode="auto">
        <a:xfrm flipV="1">
          <a:off x="1028700" y="6934200"/>
          <a:ext cx="6096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40</xdr:row>
      <xdr:rowOff>76200</xdr:rowOff>
    </xdr:from>
    <xdr:to>
      <xdr:col>2</xdr:col>
      <xdr:colOff>7620</xdr:colOff>
      <xdr:row>41</xdr:row>
      <xdr:rowOff>68580</xdr:rowOff>
    </xdr:to>
    <xdr:sp macro="" textlink="">
      <xdr:nvSpPr>
        <xdr:cNvPr id="44" name="Line 43">
          <a:extLst>
            <a:ext uri="{FF2B5EF4-FFF2-40B4-BE49-F238E27FC236}">
              <a16:creationId xmlns:a16="http://schemas.microsoft.com/office/drawing/2014/main" id="{7AAAA9A7-F87F-4D88-AC3A-C902F876905D}"/>
            </a:ext>
          </a:extLst>
        </xdr:cNvPr>
        <xdr:cNvSpPr>
          <a:spLocks noChangeShapeType="1"/>
        </xdr:cNvSpPr>
      </xdr:nvSpPr>
      <xdr:spPr bwMode="auto">
        <a:xfrm>
          <a:off x="1028700" y="711517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38</xdr:row>
      <xdr:rowOff>45720</xdr:rowOff>
    </xdr:from>
    <xdr:to>
      <xdr:col>4</xdr:col>
      <xdr:colOff>0</xdr:colOff>
      <xdr:row>39</xdr:row>
      <xdr:rowOff>53340</xdr:rowOff>
    </xdr:to>
    <xdr:sp macro="" textlink="">
      <xdr:nvSpPr>
        <xdr:cNvPr id="45" name="Line 44">
          <a:extLst>
            <a:ext uri="{FF2B5EF4-FFF2-40B4-BE49-F238E27FC236}">
              <a16:creationId xmlns:a16="http://schemas.microsoft.com/office/drawing/2014/main" id="{87B93193-8F8B-4B06-A7F9-3761069DB15A}"/>
            </a:ext>
          </a:extLst>
        </xdr:cNvPr>
        <xdr:cNvSpPr>
          <a:spLocks noChangeShapeType="1"/>
        </xdr:cNvSpPr>
      </xdr:nvSpPr>
      <xdr:spPr bwMode="auto">
        <a:xfrm flipV="1">
          <a:off x="2257425" y="67532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</xdr:colOff>
      <xdr:row>39</xdr:row>
      <xdr:rowOff>45720</xdr:rowOff>
    </xdr:from>
    <xdr:to>
      <xdr:col>4</xdr:col>
      <xdr:colOff>7620</xdr:colOff>
      <xdr:row>40</xdr:row>
      <xdr:rowOff>68580</xdr:rowOff>
    </xdr:to>
    <xdr:sp macro="" textlink="">
      <xdr:nvSpPr>
        <xdr:cNvPr id="46" name="Line 45">
          <a:extLst>
            <a:ext uri="{FF2B5EF4-FFF2-40B4-BE49-F238E27FC236}">
              <a16:creationId xmlns:a16="http://schemas.microsoft.com/office/drawing/2014/main" id="{BB40A1D9-BE7F-441E-94CC-8B61A847BE34}"/>
            </a:ext>
          </a:extLst>
        </xdr:cNvPr>
        <xdr:cNvSpPr>
          <a:spLocks noChangeShapeType="1"/>
        </xdr:cNvSpPr>
      </xdr:nvSpPr>
      <xdr:spPr bwMode="auto">
        <a:xfrm>
          <a:off x="2266950" y="692467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40</xdr:row>
      <xdr:rowOff>76200</xdr:rowOff>
    </xdr:from>
    <xdr:to>
      <xdr:col>3</xdr:col>
      <xdr:colOff>480060</xdr:colOff>
      <xdr:row>41</xdr:row>
      <xdr:rowOff>83820</xdr:rowOff>
    </xdr:to>
    <xdr:sp macro="" textlink="">
      <xdr:nvSpPr>
        <xdr:cNvPr id="47" name="Line 46">
          <a:extLst>
            <a:ext uri="{FF2B5EF4-FFF2-40B4-BE49-F238E27FC236}">
              <a16:creationId xmlns:a16="http://schemas.microsoft.com/office/drawing/2014/main" id="{BEA1A56D-F47E-4070-964C-E88EEF364EC6}"/>
            </a:ext>
          </a:extLst>
        </xdr:cNvPr>
        <xdr:cNvSpPr>
          <a:spLocks noChangeShapeType="1"/>
        </xdr:cNvSpPr>
      </xdr:nvSpPr>
      <xdr:spPr bwMode="auto">
        <a:xfrm flipV="1">
          <a:off x="2247900" y="7115175"/>
          <a:ext cx="4762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41</xdr:row>
      <xdr:rowOff>83820</xdr:rowOff>
    </xdr:from>
    <xdr:to>
      <xdr:col>4</xdr:col>
      <xdr:colOff>0</xdr:colOff>
      <xdr:row>42</xdr:row>
      <xdr:rowOff>76200</xdr:rowOff>
    </xdr:to>
    <xdr:sp macro="" textlink="">
      <xdr:nvSpPr>
        <xdr:cNvPr id="48" name="Line 47">
          <a:extLst>
            <a:ext uri="{FF2B5EF4-FFF2-40B4-BE49-F238E27FC236}">
              <a16:creationId xmlns:a16="http://schemas.microsoft.com/office/drawing/2014/main" id="{4A89E48F-2290-439B-BA05-17E16F281D85}"/>
            </a:ext>
          </a:extLst>
        </xdr:cNvPr>
        <xdr:cNvSpPr>
          <a:spLocks noChangeShapeType="1"/>
        </xdr:cNvSpPr>
      </xdr:nvSpPr>
      <xdr:spPr bwMode="auto">
        <a:xfrm>
          <a:off x="2247900" y="7296150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53340</xdr:colOff>
      <xdr:row>36</xdr:row>
      <xdr:rowOff>53340</xdr:rowOff>
    </xdr:from>
    <xdr:to>
      <xdr:col>3</xdr:col>
      <xdr:colOff>434340</xdr:colOff>
      <xdr:row>38</xdr:row>
      <xdr:rowOff>68580</xdr:rowOff>
    </xdr:to>
    <xdr:sp macro="" textlink="">
      <xdr:nvSpPr>
        <xdr:cNvPr id="49" name="Oval 48">
          <a:extLst>
            <a:ext uri="{FF2B5EF4-FFF2-40B4-BE49-F238E27FC236}">
              <a16:creationId xmlns:a16="http://schemas.microsoft.com/office/drawing/2014/main" id="{E473A348-5613-4EC6-9ABE-86FB409B8E84}"/>
            </a:ext>
          </a:extLst>
        </xdr:cNvPr>
        <xdr:cNvSpPr>
          <a:spLocks noChangeArrowheads="1"/>
        </xdr:cNvSpPr>
      </xdr:nvSpPr>
      <xdr:spPr bwMode="auto">
        <a:xfrm>
          <a:off x="1085850" y="6391275"/>
          <a:ext cx="1600200" cy="38100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</xdr:col>
      <xdr:colOff>114300</xdr:colOff>
      <xdr:row>42</xdr:row>
      <xdr:rowOff>38100</xdr:rowOff>
    </xdr:from>
    <xdr:to>
      <xdr:col>3</xdr:col>
      <xdr:colOff>441960</xdr:colOff>
      <xdr:row>44</xdr:row>
      <xdr:rowOff>106680</xdr:rowOff>
    </xdr:to>
    <xdr:sp macro="" textlink="">
      <xdr:nvSpPr>
        <xdr:cNvPr id="50" name="Oval 49">
          <a:extLst>
            <a:ext uri="{FF2B5EF4-FFF2-40B4-BE49-F238E27FC236}">
              <a16:creationId xmlns:a16="http://schemas.microsoft.com/office/drawing/2014/main" id="{C980A5FA-FE3F-4BA6-912E-224AAE9CF7BC}"/>
            </a:ext>
          </a:extLst>
        </xdr:cNvPr>
        <xdr:cNvSpPr>
          <a:spLocks noChangeArrowheads="1"/>
        </xdr:cNvSpPr>
      </xdr:nvSpPr>
      <xdr:spPr bwMode="auto">
        <a:xfrm>
          <a:off x="1143000" y="7419975"/>
          <a:ext cx="1543050" cy="4381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</xdr:col>
      <xdr:colOff>411480</xdr:colOff>
      <xdr:row>38</xdr:row>
      <xdr:rowOff>68580</xdr:rowOff>
    </xdr:from>
    <xdr:to>
      <xdr:col>2</xdr:col>
      <xdr:colOff>83820</xdr:colOff>
      <xdr:row>39</xdr:row>
      <xdr:rowOff>30480</xdr:rowOff>
    </xdr:to>
    <xdr:sp macro="" textlink="">
      <xdr:nvSpPr>
        <xdr:cNvPr id="51" name="Line 50">
          <a:extLst>
            <a:ext uri="{FF2B5EF4-FFF2-40B4-BE49-F238E27FC236}">
              <a16:creationId xmlns:a16="http://schemas.microsoft.com/office/drawing/2014/main" id="{FA91AEA7-E2DE-4E3E-A7F0-046804163124}"/>
            </a:ext>
          </a:extLst>
        </xdr:cNvPr>
        <xdr:cNvSpPr>
          <a:spLocks noChangeShapeType="1"/>
        </xdr:cNvSpPr>
      </xdr:nvSpPr>
      <xdr:spPr bwMode="auto">
        <a:xfrm>
          <a:off x="1438275" y="6772275"/>
          <a:ext cx="28575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7620</xdr:colOff>
      <xdr:row>42</xdr:row>
      <xdr:rowOff>45720</xdr:rowOff>
    </xdr:from>
    <xdr:to>
      <xdr:col>1</xdr:col>
      <xdr:colOff>213360</xdr:colOff>
      <xdr:row>44</xdr:row>
      <xdr:rowOff>91440</xdr:rowOff>
    </xdr:to>
    <xdr:sp macro="" textlink="">
      <xdr:nvSpPr>
        <xdr:cNvPr id="52" name="Oval 51">
          <a:extLst>
            <a:ext uri="{FF2B5EF4-FFF2-40B4-BE49-F238E27FC236}">
              <a16:creationId xmlns:a16="http://schemas.microsoft.com/office/drawing/2014/main" id="{6EC461CF-F004-4DF6-9732-929F0588D62E}"/>
            </a:ext>
          </a:extLst>
        </xdr:cNvPr>
        <xdr:cNvSpPr>
          <a:spLocks noChangeArrowheads="1"/>
        </xdr:cNvSpPr>
      </xdr:nvSpPr>
      <xdr:spPr bwMode="auto">
        <a:xfrm>
          <a:off x="9525" y="7429500"/>
          <a:ext cx="1228725" cy="41910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0</xdr:col>
      <xdr:colOff>289560</xdr:colOff>
      <xdr:row>41</xdr:row>
      <xdr:rowOff>15240</xdr:rowOff>
    </xdr:from>
    <xdr:to>
      <xdr:col>0</xdr:col>
      <xdr:colOff>533400</xdr:colOff>
      <xdr:row>42</xdr:row>
      <xdr:rowOff>45720</xdr:rowOff>
    </xdr:to>
    <xdr:sp macro="" textlink="">
      <xdr:nvSpPr>
        <xdr:cNvPr id="53" name="Line 52">
          <a:extLst>
            <a:ext uri="{FF2B5EF4-FFF2-40B4-BE49-F238E27FC236}">
              <a16:creationId xmlns:a16="http://schemas.microsoft.com/office/drawing/2014/main" id="{5DE75A9C-61E6-4114-91BE-5F445DA95746}"/>
            </a:ext>
          </a:extLst>
        </xdr:cNvPr>
        <xdr:cNvSpPr>
          <a:spLocks noChangeShapeType="1"/>
        </xdr:cNvSpPr>
      </xdr:nvSpPr>
      <xdr:spPr bwMode="auto">
        <a:xfrm flipV="1">
          <a:off x="285750" y="7229475"/>
          <a:ext cx="2476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41</xdr:row>
      <xdr:rowOff>121920</xdr:rowOff>
    </xdr:from>
    <xdr:to>
      <xdr:col>2</xdr:col>
      <xdr:colOff>99060</xdr:colOff>
      <xdr:row>42</xdr:row>
      <xdr:rowOff>99060</xdr:rowOff>
    </xdr:to>
    <xdr:sp macro="" textlink="">
      <xdr:nvSpPr>
        <xdr:cNvPr id="54" name="Line 53">
          <a:extLst>
            <a:ext uri="{FF2B5EF4-FFF2-40B4-BE49-F238E27FC236}">
              <a16:creationId xmlns:a16="http://schemas.microsoft.com/office/drawing/2014/main" id="{02C6B212-164A-45DC-8BA5-3FA6E5692C2A}"/>
            </a:ext>
          </a:extLst>
        </xdr:cNvPr>
        <xdr:cNvSpPr>
          <a:spLocks noChangeShapeType="1"/>
        </xdr:cNvSpPr>
      </xdr:nvSpPr>
      <xdr:spPr bwMode="auto">
        <a:xfrm flipV="1">
          <a:off x="1638300" y="7334250"/>
          <a:ext cx="952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15</xdr:col>
      <xdr:colOff>257175</xdr:colOff>
      <xdr:row>3</xdr:row>
      <xdr:rowOff>106972</xdr:rowOff>
    </xdr:from>
    <xdr:to>
      <xdr:col>27</xdr:col>
      <xdr:colOff>127634</xdr:colOff>
      <xdr:row>50</xdr:row>
      <xdr:rowOff>585</xdr:rowOff>
    </xdr:to>
    <xdr:pic>
      <xdr:nvPicPr>
        <xdr:cNvPr id="55" name="图片 54">
          <a:extLst>
            <a:ext uri="{FF2B5EF4-FFF2-40B4-BE49-F238E27FC236}">
              <a16:creationId xmlns:a16="http://schemas.microsoft.com/office/drawing/2014/main" id="{86ABBDE5-4FB5-961E-D980-C563D81BE5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862771" y="663818"/>
          <a:ext cx="7164265" cy="798414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 and 2"/>
      <sheetName val="Exercise 1 and 2 中文"/>
      <sheetName val="Exercise 3"/>
      <sheetName val="Exercise 3 中文"/>
      <sheetName val="Exercise 4"/>
      <sheetName val="Exercise 4 中文"/>
      <sheetName val="Exercise 5"/>
      <sheetName val="VBA for Exercises 4-5"/>
      <sheetName val="Exercise 5 中文"/>
      <sheetName val="Exercise 6 template"/>
      <sheetName val="Exercise 6 template 中文"/>
      <sheetName val="Exercise 6"/>
      <sheetName val="Exercise 6 中文"/>
      <sheetName val="Exercise 7"/>
      <sheetName val="Exercise 7 中文"/>
      <sheetName val="Exercise 8"/>
      <sheetName val="Exercise 8 中文"/>
      <sheetName val="Exercise 9"/>
      <sheetName val="Exercise 9 中文"/>
      <sheetName val="Exercise 10"/>
      <sheetName val="Exercise 10 中文"/>
      <sheetName val="Graph for Exercise 10"/>
      <sheetName val="Graph for Exercise 10 中文"/>
      <sheetName val="Exercise 11"/>
      <sheetName val="VBA for Exercise 5"/>
      <sheetName val="Exercise 11 中文"/>
      <sheetName val="Exercises 12 and 13"/>
      <sheetName val="Exercises 12 and 13 中文"/>
      <sheetName val="Exercise 14"/>
      <sheetName val="Exercise 14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3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K44"/>
  <sheetViews>
    <sheetView tabSelected="1" topLeftCell="A6" zoomScale="130" zoomScaleNormal="130" workbookViewId="0">
      <selection activeCell="G28" sqref="G28"/>
    </sheetView>
  </sheetViews>
  <sheetFormatPr defaultRowHeight="13.8" x14ac:dyDescent="0.25"/>
  <cols>
    <col min="1" max="1" width="15" style="3" customWidth="1"/>
    <col min="2" max="4" width="8.88671875" style="3"/>
    <col min="5" max="5" width="9.109375" style="2" customWidth="1"/>
    <col min="6" max="8" width="8.88671875" style="3"/>
    <col min="9" max="10" width="9.109375" style="2" customWidth="1"/>
    <col min="11" max="11" width="8.88671875" style="3"/>
  </cols>
  <sheetData>
    <row r="1" spans="1:11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3" spans="1:11" x14ac:dyDescent="0.25">
      <c r="A3" s="3" t="s">
        <v>1</v>
      </c>
      <c r="B3" s="4">
        <v>1.3</v>
      </c>
    </row>
    <row r="4" spans="1:11" x14ac:dyDescent="0.25">
      <c r="A4" s="3" t="s">
        <v>2</v>
      </c>
      <c r="B4" s="4">
        <v>0.9</v>
      </c>
      <c r="D4" s="3" t="s">
        <v>3</v>
      </c>
      <c r="E4" s="3"/>
    </row>
    <row r="5" spans="1:11" ht="15.6" x14ac:dyDescent="0.35">
      <c r="D5" s="3" t="s">
        <v>4</v>
      </c>
      <c r="E5" s="5">
        <f>(B7-B4)/(B7*(B3-B4))</f>
        <v>0.7</v>
      </c>
      <c r="F5" s="3" t="s">
        <v>5</v>
      </c>
    </row>
    <row r="6" spans="1:11" ht="15.6" x14ac:dyDescent="0.35">
      <c r="A6" s="3" t="s">
        <v>6</v>
      </c>
      <c r="B6" s="3">
        <v>30</v>
      </c>
      <c r="D6" s="3" t="s">
        <v>7</v>
      </c>
      <c r="E6" s="5">
        <f>(B3-B7)/(B7*(B3-B4))</f>
        <v>0.10000000000000009</v>
      </c>
      <c r="F6" s="3" t="s">
        <v>8</v>
      </c>
    </row>
    <row r="7" spans="1:11" x14ac:dyDescent="0.25">
      <c r="A7" s="3" t="s">
        <v>9</v>
      </c>
      <c r="B7" s="4">
        <v>1.25</v>
      </c>
    </row>
    <row r="8" spans="1:11" x14ac:dyDescent="0.25">
      <c r="A8" s="3" t="s">
        <v>10</v>
      </c>
      <c r="B8" s="3">
        <v>30</v>
      </c>
    </row>
    <row r="10" spans="1:11" x14ac:dyDescent="0.25">
      <c r="A10" s="6" t="s">
        <v>11</v>
      </c>
      <c r="E10" s="3"/>
      <c r="G10" s="6" t="s">
        <v>12</v>
      </c>
    </row>
    <row r="11" spans="1:11" x14ac:dyDescent="0.25">
      <c r="C11" s="2"/>
      <c r="D11" s="2"/>
      <c r="E11" s="7">
        <f>C12*B3</f>
        <v>50.7</v>
      </c>
      <c r="K11" s="8">
        <f>B7^2</f>
        <v>1.5625</v>
      </c>
    </row>
    <row r="12" spans="1:11" x14ac:dyDescent="0.25">
      <c r="C12" s="9">
        <f>$A$13*B3</f>
        <v>39</v>
      </c>
      <c r="D12" s="2"/>
      <c r="E12" s="7"/>
      <c r="I12" s="7">
        <f>B7</f>
        <v>1.25</v>
      </c>
      <c r="K12" s="10"/>
    </row>
    <row r="13" spans="1:11" x14ac:dyDescent="0.25">
      <c r="A13" s="3">
        <f>B6</f>
        <v>30</v>
      </c>
      <c r="C13" s="9"/>
      <c r="D13" s="2"/>
      <c r="E13" s="7">
        <f>C12*B4</f>
        <v>35.1</v>
      </c>
      <c r="G13" s="3">
        <v>1</v>
      </c>
      <c r="I13" s="9"/>
      <c r="K13" s="8">
        <f>B7^2</f>
        <v>1.5625</v>
      </c>
    </row>
    <row r="14" spans="1:11" x14ac:dyDescent="0.25">
      <c r="C14" s="9">
        <f>$A$13*B4</f>
        <v>27</v>
      </c>
      <c r="D14" s="2"/>
      <c r="E14" s="7"/>
      <c r="I14" s="7">
        <f>B7</f>
        <v>1.25</v>
      </c>
      <c r="K14" s="10"/>
    </row>
    <row r="15" spans="1:11" x14ac:dyDescent="0.25">
      <c r="C15" s="9"/>
      <c r="E15" s="7">
        <f>C14*B4</f>
        <v>24.3</v>
      </c>
      <c r="J15" s="3"/>
      <c r="K15" s="8">
        <f>B7^2</f>
        <v>1.5625</v>
      </c>
    </row>
    <row r="16" spans="1:11" x14ac:dyDescent="0.25">
      <c r="C16" s="9"/>
      <c r="E16" s="9"/>
    </row>
    <row r="17" spans="1:11" x14ac:dyDescent="0.25">
      <c r="C17" s="9"/>
      <c r="E17" s="9"/>
    </row>
    <row r="18" spans="1:11" x14ac:dyDescent="0.25">
      <c r="A18" s="6" t="s">
        <v>13</v>
      </c>
      <c r="C18" s="9"/>
      <c r="E18" s="9"/>
      <c r="G18" s="6" t="s">
        <v>14</v>
      </c>
      <c r="I18" s="9"/>
      <c r="J18" s="3"/>
      <c r="K18" s="9"/>
    </row>
    <row r="19" spans="1:11" ht="15.6" x14ac:dyDescent="0.35">
      <c r="C19" s="11" t="s">
        <v>15</v>
      </c>
      <c r="E19" s="9"/>
      <c r="I19" s="11" t="s">
        <v>15</v>
      </c>
      <c r="J19" s="3"/>
      <c r="K19" s="9"/>
    </row>
    <row r="20" spans="1:11" x14ac:dyDescent="0.25">
      <c r="D20" s="2"/>
      <c r="E20" s="7">
        <f>MAX(E11-$B$8,0)</f>
        <v>20.700000000000003</v>
      </c>
      <c r="I20" s="3"/>
      <c r="K20" s="7">
        <f>MAX($B$8-E11,0)</f>
        <v>0</v>
      </c>
    </row>
    <row r="21" spans="1:11" x14ac:dyDescent="0.25">
      <c r="C21" s="12">
        <f>E5*E20+E6*E22</f>
        <v>15</v>
      </c>
      <c r="D21" s="2"/>
      <c r="E21" s="7"/>
      <c r="I21" s="12">
        <f>E5*K20+E6*K22</f>
        <v>0</v>
      </c>
      <c r="K21" s="7"/>
    </row>
    <row r="22" spans="1:11" x14ac:dyDescent="0.25">
      <c r="A22" s="13">
        <f>E5*C21+E6*C23</f>
        <v>10.857000000000001</v>
      </c>
      <c r="C22" s="9"/>
      <c r="D22" s="2"/>
      <c r="E22" s="7">
        <f>MAX(E13-$B$8,0)</f>
        <v>5.1000000000000014</v>
      </c>
      <c r="G22" s="13">
        <f>E5*I21+E6*I23</f>
        <v>5.7000000000000092E-2</v>
      </c>
      <c r="I22" s="9"/>
      <c r="K22" s="7">
        <f>MAX($B$8-E13,0)</f>
        <v>0</v>
      </c>
    </row>
    <row r="23" spans="1:11" x14ac:dyDescent="0.25">
      <c r="C23" s="12">
        <f>E5*E22+E6*E24</f>
        <v>3.5700000000000007</v>
      </c>
      <c r="D23" s="2"/>
      <c r="E23" s="7"/>
      <c r="I23" s="12">
        <f>E5*K22+E6*K24</f>
        <v>0.5700000000000004</v>
      </c>
      <c r="K23" s="7"/>
    </row>
    <row r="24" spans="1:11" x14ac:dyDescent="0.25">
      <c r="E24" s="7">
        <f>MAX(E15-$B$8,0)</f>
        <v>0</v>
      </c>
      <c r="I24" s="3"/>
      <c r="J24" s="3"/>
      <c r="K24" s="7">
        <f>MAX($B$8-E15,0)</f>
        <v>5.6999999999999993</v>
      </c>
    </row>
    <row r="25" spans="1:11" ht="15.6" x14ac:dyDescent="0.35">
      <c r="A25" s="14" t="s">
        <v>16</v>
      </c>
      <c r="C25" s="11" t="s">
        <v>17</v>
      </c>
      <c r="E25" s="9"/>
      <c r="G25" s="14" t="s">
        <v>16</v>
      </c>
      <c r="I25" s="11" t="s">
        <v>17</v>
      </c>
      <c r="J25" s="3"/>
      <c r="K25" s="9"/>
    </row>
    <row r="26" spans="1:11" x14ac:dyDescent="0.25">
      <c r="I26" s="3"/>
      <c r="J26" s="3"/>
      <c r="K26" s="2"/>
    </row>
    <row r="28" spans="1:11" x14ac:dyDescent="0.25">
      <c r="A28" s="6" t="s">
        <v>18</v>
      </c>
    </row>
    <row r="29" spans="1:11" x14ac:dyDescent="0.25">
      <c r="A29" s="3" t="s">
        <v>19</v>
      </c>
      <c r="B29" s="15">
        <f>A22+B8/B7^2</f>
        <v>30.057000000000002</v>
      </c>
      <c r="C29" s="3" t="str">
        <f ca="1">[2]!getformula(B29)</f>
        <v>&lt;--  =A22+B8/B7^2</v>
      </c>
    </row>
    <row r="30" spans="1:11" x14ac:dyDescent="0.25">
      <c r="A30" s="3" t="s">
        <v>20</v>
      </c>
      <c r="B30" s="15">
        <f>G22+B6</f>
        <v>30.056999999999999</v>
      </c>
      <c r="C30" s="3" t="str">
        <f ca="1">[2]!getformula(B30)</f>
        <v>&lt;--  =G22+B6</v>
      </c>
    </row>
    <row r="34" spans="1:5" x14ac:dyDescent="0.25">
      <c r="A34" s="6" t="s">
        <v>21</v>
      </c>
    </row>
    <row r="35" spans="1:5" x14ac:dyDescent="0.25">
      <c r="A35" s="6"/>
    </row>
    <row r="36" spans="1:5" x14ac:dyDescent="0.25">
      <c r="A36" s="6" t="s">
        <v>22</v>
      </c>
    </row>
    <row r="37" spans="1:5" x14ac:dyDescent="0.25">
      <c r="C37" s="9"/>
      <c r="E37" s="9"/>
    </row>
    <row r="38" spans="1:5" ht="15.6" x14ac:dyDescent="0.35">
      <c r="C38" s="11" t="s">
        <v>23</v>
      </c>
      <c r="E38" s="9"/>
    </row>
    <row r="39" spans="1:5" x14ac:dyDescent="0.25">
      <c r="D39" s="2"/>
      <c r="E39" s="7">
        <f>MAX($B$8-E11,0)</f>
        <v>0</v>
      </c>
    </row>
    <row r="40" spans="1:5" x14ac:dyDescent="0.25">
      <c r="C40" s="12">
        <f>MAX(B8-C12,E5*E39+E6*E41)</f>
        <v>0</v>
      </c>
      <c r="D40" s="2"/>
      <c r="E40" s="7"/>
    </row>
    <row r="41" spans="1:5" x14ac:dyDescent="0.25">
      <c r="A41" s="13">
        <f>E5*C40+E6*C42</f>
        <v>0.30000000000000027</v>
      </c>
      <c r="C41" s="9"/>
      <c r="D41" s="2"/>
      <c r="E41" s="7">
        <f>MAX($B$8-E13,0)</f>
        <v>0</v>
      </c>
    </row>
    <row r="42" spans="1:5" x14ac:dyDescent="0.25">
      <c r="C42" s="12">
        <f>MAX(B8-C14,E5*E41+E6*E43)</f>
        <v>3</v>
      </c>
      <c r="D42" s="2"/>
      <c r="E42" s="7"/>
    </row>
    <row r="43" spans="1:5" x14ac:dyDescent="0.25">
      <c r="E43" s="7">
        <f>MAX($B$8-E15,0)</f>
        <v>5.6999999999999993</v>
      </c>
    </row>
    <row r="44" spans="1:5" ht="15.6" x14ac:dyDescent="0.35">
      <c r="A44" s="14" t="s">
        <v>16</v>
      </c>
      <c r="C44" s="11" t="s">
        <v>24</v>
      </c>
      <c r="E44" s="9"/>
    </row>
  </sheetData>
  <mergeCells count="1">
    <mergeCell ref="A1:I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2024-11-21T07:00:45Z</dcterms:modified>
</cp:coreProperties>
</file>