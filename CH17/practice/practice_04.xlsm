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D71416D3-AD93-41FF-9355-67919D4B093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C27" i="1"/>
  <c r="C10" i="1"/>
  <c r="G5" i="1"/>
  <c r="C5" i="1"/>
  <c r="C3" i="1"/>
  <c r="D32" i="1"/>
  <c r="D28" i="1"/>
  <c r="D27" i="1"/>
  <c r="D19" i="1"/>
  <c r="D15" i="1"/>
  <c r="D14" i="1"/>
  <c r="D10" i="1"/>
  <c r="D8" i="1"/>
  <c r="J10" i="1"/>
  <c r="C15" i="1" l="1"/>
  <c r="C19" i="1" s="1"/>
  <c r="C8" i="1"/>
  <c r="C28" i="1"/>
  <c r="C32" i="1" s="1"/>
</calcChain>
</file>

<file path=xl/sharedStrings.xml><?xml version="1.0" encoding="utf-8"?>
<sst xmlns="http://schemas.openxmlformats.org/spreadsheetml/2006/main" count="26" uniqueCount="26">
  <si>
    <t>Stock</t>
  </si>
  <si>
    <t>Bond</t>
  </si>
  <si>
    <t>Put option</t>
  </si>
  <si>
    <t>???</t>
  </si>
  <si>
    <t>Solving for the state prices gives: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</si>
  <si>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</si>
  <si>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</si>
  <si>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Using these state prices to value the put option gives:</t>
  </si>
  <si>
    <t>put price</t>
  </si>
  <si>
    <t>Another way to do this problem is to solve the set of equations which give the put payoffs:</t>
  </si>
  <si>
    <t>75*A + 1.05*B = 0</t>
  </si>
  <si>
    <t>48*A + 1.05*B = 7</t>
  </si>
  <si>
    <t>This solves to give:</t>
  </si>
  <si>
    <t>A</t>
  </si>
  <si>
    <t>B</t>
  </si>
  <si>
    <t>Calculating the cost of this strategy will give the cost of the call:</t>
  </si>
  <si>
    <t>cost</t>
  </si>
  <si>
    <t>U</t>
    <phoneticPr fontId="1" type="noConversion"/>
  </si>
  <si>
    <t>D</t>
    <phoneticPr fontId="1" type="noConversion"/>
  </si>
  <si>
    <t>R</t>
    <phoneticPr fontId="1" type="noConversion"/>
  </si>
  <si>
    <t>S</t>
    <phoneticPr fontId="1" type="noConversion"/>
  </si>
  <si>
    <t>X</t>
    <phoneticPr fontId="1" type="noConversion"/>
  </si>
  <si>
    <t>T</t>
    <phoneticPr fontId="1" type="noConversion"/>
  </si>
  <si>
    <t>EUR_Put</t>
    <phoneticPr fontId="1" type="noConversion"/>
  </si>
  <si>
    <t>Thus, lending 18.51852 at the rate of 5% and shorting 0.25926 of a share will replicate the put payoffs.</t>
    <phoneticPr fontId="1" type="noConversion"/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</si>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</sst>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480060</xdr:colOff>
      <xdr:row>2</xdr:row>
      <xdr:rowOff>68580</xdr:rowOff>
    </xdr:from>
    <xdr:to>
      <xdr:col>2</xdr:col>
      <xdr:colOff>0</xdr:colOff>
      <xdr:row>3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21DC7AE-D08C-4478-B496-2EAB8DFB3970}"/>
            </a:ext>
          </a:extLst>
        </xdr:cNvPr>
        <xdr:cNvSpPr>
          <a:spLocks noChangeShapeType="1"/>
        </xdr:cNvSpPr>
      </xdr:nvSpPr>
      <xdr:spPr bwMode="auto">
        <a:xfrm flipV="1">
          <a:off x="476250" y="409575"/>
          <a:ext cx="7429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</xdr:colOff>
      <xdr:row>3</xdr:row>
      <xdr:rowOff>91440</xdr:rowOff>
    </xdr:from>
    <xdr:to>
      <xdr:col>2</xdr:col>
      <xdr:colOff>7620</xdr:colOff>
      <xdr:row>4</xdr:row>
      <xdr:rowOff>83820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8C6CC1D-0745-43EB-A9CC-D1C392D65A95}"/>
            </a:ext>
          </a:extLst>
        </xdr:cNvPr>
        <xdr:cNvSpPr>
          <a:spLocks noChangeShapeType="1"/>
        </xdr:cNvSpPr>
      </xdr:nvSpPr>
      <xdr:spPr bwMode="auto">
        <a:xfrm>
          <a:off x="628650" y="609600"/>
          <a:ext cx="6000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2</xdr:row>
      <xdr:rowOff>76200</xdr:rowOff>
    </xdr:from>
    <xdr:to>
      <xdr:col>6</xdr:col>
      <xdr:colOff>7620</xdr:colOff>
      <xdr:row>3</xdr:row>
      <xdr:rowOff>60960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30456E6-51FC-4253-B051-3C5BADC4BC46}"/>
            </a:ext>
          </a:extLst>
        </xdr:cNvPr>
        <xdr:cNvSpPr>
          <a:spLocks noChangeShapeType="1"/>
        </xdr:cNvSpPr>
      </xdr:nvSpPr>
      <xdr:spPr bwMode="auto">
        <a:xfrm flipV="1">
          <a:off x="3057525" y="41910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3</xdr:row>
      <xdr:rowOff>60960</xdr:rowOff>
    </xdr:from>
    <xdr:to>
      <xdr:col>6</xdr:col>
      <xdr:colOff>7620</xdr:colOff>
      <xdr:row>4</xdr:row>
      <xdr:rowOff>53340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6670664A-FDE3-4610-9C15-8E316BF5B3A6}"/>
            </a:ext>
          </a:extLst>
        </xdr:cNvPr>
        <xdr:cNvSpPr>
          <a:spLocks noChangeShapeType="1"/>
        </xdr:cNvSpPr>
      </xdr:nvSpPr>
      <xdr:spPr bwMode="auto">
        <a:xfrm>
          <a:off x="3057525" y="57150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68580</xdr:rowOff>
    </xdr:from>
    <xdr:to>
      <xdr:col>2</xdr:col>
      <xdr:colOff>22860</xdr:colOff>
      <xdr:row>8</xdr:row>
      <xdr:rowOff>99060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F22252B8-7912-49E2-BDF7-EBC4EA1FFCB3}"/>
            </a:ext>
          </a:extLst>
        </xdr:cNvPr>
        <xdr:cNvSpPr>
          <a:spLocks noChangeShapeType="1"/>
        </xdr:cNvSpPr>
      </xdr:nvSpPr>
      <xdr:spPr bwMode="auto">
        <a:xfrm flipV="1">
          <a:off x="609600" y="1266825"/>
          <a:ext cx="6286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8</xdr:row>
      <xdr:rowOff>91440</xdr:rowOff>
    </xdr:from>
    <xdr:to>
      <xdr:col>2</xdr:col>
      <xdr:colOff>15240</xdr:colOff>
      <xdr:row>9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E038B781-FA60-4B2E-A339-0C4834A00895}"/>
            </a:ext>
          </a:extLst>
        </xdr:cNvPr>
        <xdr:cNvSpPr>
          <a:spLocks noChangeShapeType="1"/>
        </xdr:cNvSpPr>
      </xdr:nvSpPr>
      <xdr:spPr bwMode="auto">
        <a:xfrm>
          <a:off x="609600" y="1466850"/>
          <a:ext cx="6286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12</xdr:col>
      <xdr:colOff>312420</xdr:colOff>
      <xdr:row>2</xdr:row>
      <xdr:rowOff>160020</xdr:rowOff>
    </xdr:from>
    <xdr:to>
      <xdr:col>22</xdr:col>
      <xdr:colOff>323850</xdr:colOff>
      <xdr:row>36</xdr:row>
      <xdr:rowOff>53340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D9AACBE5-0925-2FDA-ACFF-80AC5CD8E1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27620" y="510540"/>
          <a:ext cx="6111240" cy="58902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inomial_eur_put"/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2:J32"/>
  <sheetViews>
    <sheetView tabSelected="1" zoomScale="160" zoomScaleNormal="160" workbookViewId="0">
      <selection activeCell="I2" sqref="I2"/>
    </sheetView>
  </sheetViews>
  <sheetFormatPr defaultRowHeight="13.8" x14ac:dyDescent="0.25"/>
  <cols>
    <col min="1" max="10" width="8.88671875" style="1"/>
  </cols>
  <sheetData>
    <row r="2" spans="1:10" x14ac:dyDescent="0.25">
      <c r="A2" s="1" t="s">
        <v>0</v>
      </c>
      <c r="E2" s="1" t="s">
        <v>1</v>
      </c>
      <c r="I2" s="1" t="s">
        <v>25</v>
      </c>
    </row>
    <row r="3" spans="1:10" x14ac:dyDescent="0.25">
      <c r="C3" s="1">
        <f>A4*1.25</f>
        <v>75</v>
      </c>
      <c r="G3" s="1">
        <v>1.05</v>
      </c>
      <c r="I3" s="1" t="s">
        <v>17</v>
      </c>
      <c r="J3" s="1">
        <v>1.25</v>
      </c>
    </row>
    <row r="4" spans="1:10" x14ac:dyDescent="0.25">
      <c r="A4" s="1">
        <v>60</v>
      </c>
      <c r="E4" s="1">
        <v>1</v>
      </c>
      <c r="I4" s="1" t="s">
        <v>18</v>
      </c>
      <c r="J4" s="1">
        <v>0.8</v>
      </c>
    </row>
    <row r="5" spans="1:10" x14ac:dyDescent="0.25">
      <c r="C5" s="1">
        <f>A4*(1-20%)</f>
        <v>48</v>
      </c>
      <c r="G5" s="1">
        <f>G3</f>
        <v>1.05</v>
      </c>
      <c r="I5" s="1" t="s">
        <v>19</v>
      </c>
      <c r="J5" s="1">
        <v>1.05</v>
      </c>
    </row>
    <row r="6" spans="1:10" x14ac:dyDescent="0.25">
      <c r="I6" s="1" t="s">
        <v>20</v>
      </c>
      <c r="J6" s="1">
        <v>60</v>
      </c>
    </row>
    <row r="7" spans="1:10" x14ac:dyDescent="0.25">
      <c r="A7" s="1" t="s">
        <v>2</v>
      </c>
      <c r="I7" s="1" t="s">
        <v>21</v>
      </c>
      <c r="J7" s="1">
        <v>55</v>
      </c>
    </row>
    <row r="8" spans="1:10" x14ac:dyDescent="0.25">
      <c r="C8" s="1">
        <f>MAX(55-C3,0)</f>
        <v>0</v>
      </c>
      <c r="D8" s="1" t="str">
        <f ca="1">[2]!getformula(C8)</f>
        <v>&lt;--  =MAX(55-C3,0)</v>
      </c>
      <c r="I8" s="1" t="s">
        <v>22</v>
      </c>
      <c r="J8" s="1">
        <v>1</v>
      </c>
    </row>
    <row r="9" spans="1:10" x14ac:dyDescent="0.25">
      <c r="A9" s="1" t="s">
        <v>3</v>
      </c>
    </row>
    <row r="10" spans="1:10" x14ac:dyDescent="0.25">
      <c r="C10" s="1">
        <f>MAX(55-C5,0)</f>
        <v>7</v>
      </c>
      <c r="D10" s="1" t="str">
        <f ca="1">[2]!getformula(C10)</f>
        <v>&lt;--  =MAX(55-C5,0)</v>
      </c>
      <c r="I10" s="1" t="s">
        <v>23</v>
      </c>
      <c r="J10" s="1">
        <f>[2]!Binomial_eur_put(J3,J4,J5,J6,J7,J8)</f>
        <v>2.9629629629629619</v>
      </c>
    </row>
    <row r="12" spans="1:10" x14ac:dyDescent="0.25">
      <c r="A12" s="1" t="s">
        <v>4</v>
      </c>
    </row>
    <row r="14" spans="1:10" ht="15.6" x14ac:dyDescent="0.35">
      <c r="B14" s="1" t="s">
        <v>5</v>
      </c>
      <c r="C14" s="2">
        <f>(A4-C5/G3)/(C3-C5)</f>
        <v>0.52910052910052907</v>
      </c>
      <c r="D14" s="1" t="str">
        <f ca="1">[2]!getformula(C14)</f>
        <v>&lt;--  =(A4-C5/G3)/(C3-C5)</v>
      </c>
    </row>
    <row r="15" spans="1:10" ht="15.6" x14ac:dyDescent="0.35">
      <c r="B15" s="1" t="s">
        <v>6</v>
      </c>
      <c r="C15" s="2">
        <f>1/1.05-C14</f>
        <v>0.42328042328042326</v>
      </c>
      <c r="D15" s="1" t="str">
        <f ca="1">[2]!getformula(C15)</f>
        <v>&lt;--  =1/1.05-C14</v>
      </c>
    </row>
    <row r="17" spans="1:4" x14ac:dyDescent="0.25">
      <c r="A17" s="1" t="s">
        <v>7</v>
      </c>
    </row>
    <row r="19" spans="1:4" x14ac:dyDescent="0.25">
      <c r="B19" s="1" t="s">
        <v>8</v>
      </c>
      <c r="C19" s="2">
        <f>C14*C8+C15*C10</f>
        <v>2.9629629629629628</v>
      </c>
      <c r="D19" s="1" t="str">
        <f ca="1">[2]!getformula(C19)</f>
        <v>&lt;--  =C14*C8+C15*C10</v>
      </c>
    </row>
    <row r="22" spans="1:4" x14ac:dyDescent="0.25">
      <c r="A22" s="1" t="s">
        <v>9</v>
      </c>
    </row>
    <row r="23" spans="1:4" x14ac:dyDescent="0.25">
      <c r="B23" s="1" t="s">
        <v>10</v>
      </c>
    </row>
    <row r="24" spans="1:4" x14ac:dyDescent="0.25">
      <c r="B24" s="1" t="s">
        <v>11</v>
      </c>
    </row>
    <row r="26" spans="1:4" x14ac:dyDescent="0.25">
      <c r="A26" s="1" t="s">
        <v>12</v>
      </c>
    </row>
    <row r="27" spans="1:4" x14ac:dyDescent="0.25">
      <c r="B27" s="1" t="s">
        <v>13</v>
      </c>
      <c r="C27" s="1">
        <f>-7/(75-48)</f>
        <v>-0.25925925925925924</v>
      </c>
      <c r="D27" s="1" t="str">
        <f ca="1">[2]!getformula(C27)</f>
        <v>&lt;--  =-7/(75-48)</v>
      </c>
    </row>
    <row r="28" spans="1:4" x14ac:dyDescent="0.25">
      <c r="B28" s="1" t="s">
        <v>14</v>
      </c>
      <c r="C28" s="1">
        <f>-75*C27/1.05</f>
        <v>18.518518518518515</v>
      </c>
      <c r="D28" s="1" t="str">
        <f ca="1">[2]!getformula(C28)</f>
        <v>&lt;--  =-75*C27/1.05</v>
      </c>
    </row>
    <row r="30" spans="1:4" x14ac:dyDescent="0.25">
      <c r="A30" s="1" t="s">
        <v>24</v>
      </c>
    </row>
    <row r="31" spans="1:4" x14ac:dyDescent="0.25">
      <c r="A31" s="1" t="s">
        <v>15</v>
      </c>
    </row>
    <row r="32" spans="1:4" x14ac:dyDescent="0.25">
      <c r="B32" s="1" t="s">
        <v>16</v>
      </c>
      <c r="C32" s="2">
        <f>C27*A4+C28</f>
        <v>2.9629629629629601</v>
      </c>
      <c r="D32" s="1" t="str">
        <f ca="1">[2]!getformula(C32)</f>
        <v>&lt;--  =C27*A4+C28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2024-11-21T09:53:14Z</dcterms:modified>
</cp:coreProperties>
</file>