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C44CBA78-AE12-4490-A528-14E1A4A4719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N5" i="1"/>
  <c r="N4" i="1"/>
  <c r="N3" i="1"/>
  <c r="N2" i="1"/>
  <c r="E15" i="1"/>
  <c r="K24" i="1" s="1"/>
  <c r="I14" i="1"/>
  <c r="C14" i="1"/>
  <c r="A13" i="1"/>
  <c r="C12" i="1" s="1"/>
  <c r="I12" i="1"/>
  <c r="K13" i="1" s="1"/>
  <c r="E6" i="1"/>
  <c r="E5" i="1"/>
  <c r="N12" i="1"/>
  <c r="N11" i="1"/>
  <c r="N10" i="1"/>
  <c r="N9" i="1"/>
  <c r="F5" i="1"/>
  <c r="F6" i="1"/>
  <c r="E13" i="1" l="1"/>
  <c r="E11" i="1"/>
  <c r="K15" i="1"/>
  <c r="G45" i="1"/>
  <c r="K11" i="1"/>
  <c r="E24" i="1"/>
  <c r="K20" i="1" l="1"/>
  <c r="G41" i="1"/>
  <c r="E20" i="1"/>
  <c r="C21" i="1" s="1"/>
  <c r="A22" i="1" s="1"/>
  <c r="B29" i="1" s="1"/>
  <c r="K22" i="1"/>
  <c r="I23" i="1" s="1"/>
  <c r="E22" i="1"/>
  <c r="C23" i="1" s="1"/>
  <c r="G43" i="1"/>
  <c r="E44" i="1" s="1"/>
  <c r="E42" i="1" l="1"/>
  <c r="C43" i="1" s="1"/>
  <c r="I21" i="1"/>
  <c r="G22" i="1" s="1"/>
  <c r="B30" i="1" s="1"/>
</calcChain>
</file>

<file path=xl/sharedStrings.xml><?xml version="1.0" encoding="utf-8"?>
<sst xmlns="http://schemas.openxmlformats.org/spreadsheetml/2006/main" count="39" uniqueCount="39">
  <si>
    <t>THREE-DATE BINOMIAL OPTION PRICING</t>
  </si>
  <si>
    <t>Up, U</t>
  </si>
  <si>
    <t>Down, D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</si>
  <si>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</si>
  <si>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</si>
  <si>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t>Initial stock price</t>
  </si>
  <si>
    <r>
      <t>q</t>
    </r>
    <r>
      <rPr>
        <vertAlign val="subscript"/>
        <sz val="10"/>
        <rFont val="Arial"/>
        <family val="2"/>
      </rPr>
      <t>d</t>
    </r>
  </si>
  <si>
    <t>Interest rate, R</t>
  </si>
  <si>
    <t>Exercise price</t>
  </si>
  <si>
    <t>Stock price</t>
  </si>
  <si>
    <t>Bond price</t>
  </si>
  <si>
    <t>European call option price</t>
  </si>
  <si>
    <t>European put option price</t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</si>
  <si>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*E20+q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*E22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</si>
  <si>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*K20+q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*K22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</si>
  <si>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*C21+q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*C23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</si>
  <si>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*E22+q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*E24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</si>
  <si>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*I21+q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*I23</t>
    </r>
  </si>
  <si>
    <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*K22+q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*K24</t>
    </r>
  </si>
  <si>
    <t>Check put-call parity for European options</t>
  </si>
  <si>
    <t>Call + Bond</t>
  </si>
  <si>
    <t>Put + Stock</t>
  </si>
  <si>
    <r>
      <t>Part c</t>
    </r>
    <r>
      <rPr>
        <sz val="10"/>
        <rFont val="Arial"/>
        <family val="2"/>
      </rPr>
      <t>:  An American call has the same price as a European call, by Proposition 2.</t>
    </r>
  </si>
  <si>
    <r>
      <t>Part d</t>
    </r>
    <r>
      <rPr>
        <sz val="10"/>
        <rFont val="Arial"/>
        <family val="2"/>
      </rPr>
      <t>:  To price an American put:</t>
    </r>
  </si>
  <si>
    <t>American put option price</t>
  </si>
  <si>
    <r>
      <t>=max(X-S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*G41+q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*G43)</t>
    </r>
  </si>
  <si>
    <r>
      <t>=Max(X-S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>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*E42+q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*E44)</t>
    </r>
  </si>
  <si>
    <r>
      <t>=max(X-S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,q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*G43+q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*G45)</t>
    </r>
  </si>
  <si>
    <t>U</t>
    <phoneticPr fontId="1" type="noConversion"/>
  </si>
  <si>
    <t>D</t>
    <phoneticPr fontId="1" type="noConversion"/>
  </si>
  <si>
    <t>R</t>
    <phoneticPr fontId="1" type="noConversion"/>
  </si>
  <si>
    <t>S</t>
    <phoneticPr fontId="1" type="noConversion"/>
  </si>
  <si>
    <t>X</t>
    <phoneticPr fontId="1" type="noConversion"/>
  </si>
  <si>
    <t>T</t>
    <phoneticPr fontId="1" type="noConversion"/>
  </si>
  <si>
    <t>EC</t>
    <phoneticPr fontId="1" type="noConversion"/>
  </si>
  <si>
    <t>EP</t>
    <phoneticPr fontId="1" type="noConversion"/>
  </si>
  <si>
    <t>AC</t>
    <phoneticPr fontId="1" type="noConversion"/>
  </si>
  <si>
    <t>AP</t>
    <phoneticPr fontId="1" type="noConversion"/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</si>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</sst>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2" fontId="0" fillId="0" borderId="0" xfId="0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2" fontId="0" fillId="0" borderId="0" xfId="0" applyNumberFormat="1" applyAlignment="1">
      <alignment horizontal="center"/>
    </xf>
    <xf numFmtId="176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Alignment="1">
      <alignment horizontal="right"/>
    </xf>
    <xf numFmtId="0" fontId="0" fillId="0" borderId="0" xfId="0" quotePrefix="1" applyAlignment="1"/>
    <xf numFmtId="176" fontId="0" fillId="0" borderId="0" xfId="0" applyNumberFormat="1" applyAlignment="1"/>
    <xf numFmtId="2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60960</xdr:rowOff>
    </xdr:from>
    <xdr:to>
      <xdr:col>2</xdr:col>
      <xdr:colOff>0</xdr:colOff>
      <xdr:row>12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3CCC21B-24EE-4AE9-B8FA-684DC200D0ED}"/>
            </a:ext>
          </a:extLst>
        </xdr:cNvPr>
        <xdr:cNvSpPr>
          <a:spLocks noChangeShapeType="1"/>
        </xdr:cNvSpPr>
      </xdr:nvSpPr>
      <xdr:spPr bwMode="auto">
        <a:xfrm flipV="1">
          <a:off x="1028700" y="20478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12</xdr:row>
      <xdr:rowOff>76200</xdr:rowOff>
    </xdr:from>
    <xdr:to>
      <xdr:col>2</xdr:col>
      <xdr:colOff>7620</xdr:colOff>
      <xdr:row>13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3ABDFD0-3713-4AFE-B5A0-FC459730CC17}"/>
            </a:ext>
          </a:extLst>
        </xdr:cNvPr>
        <xdr:cNvSpPr>
          <a:spLocks noChangeShapeType="1"/>
        </xdr:cNvSpPr>
      </xdr:nvSpPr>
      <xdr:spPr bwMode="auto">
        <a:xfrm>
          <a:off x="1028700" y="22383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11</xdr:row>
      <xdr:rowOff>45720</xdr:rowOff>
    </xdr:from>
    <xdr:to>
      <xdr:col>8</xdr:col>
      <xdr:colOff>0</xdr:colOff>
      <xdr:row>12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AFB23F6-CFAA-46A8-A1C6-AE1471B40DD2}"/>
            </a:ext>
          </a:extLst>
        </xdr:cNvPr>
        <xdr:cNvSpPr>
          <a:spLocks noChangeShapeType="1"/>
        </xdr:cNvSpPr>
      </xdr:nvSpPr>
      <xdr:spPr bwMode="auto">
        <a:xfrm flipV="1">
          <a:off x="4714875" y="2038350"/>
          <a:ext cx="6000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83820</xdr:rowOff>
    </xdr:from>
    <xdr:to>
      <xdr:col>7</xdr:col>
      <xdr:colOff>480060</xdr:colOff>
      <xdr:row>13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5B18ADB-0B98-4AB5-8B7E-E32957F21841}"/>
            </a:ext>
          </a:extLst>
        </xdr:cNvPr>
        <xdr:cNvSpPr>
          <a:spLocks noChangeShapeType="1"/>
        </xdr:cNvSpPr>
      </xdr:nvSpPr>
      <xdr:spPr bwMode="auto">
        <a:xfrm>
          <a:off x="4705350" y="2247900"/>
          <a:ext cx="4762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60960</xdr:rowOff>
    </xdr:from>
    <xdr:to>
      <xdr:col>2</xdr:col>
      <xdr:colOff>0</xdr:colOff>
      <xdr:row>21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496EE0B9-5759-4DAA-8FCD-AAB72FB268C0}"/>
            </a:ext>
          </a:extLst>
        </xdr:cNvPr>
        <xdr:cNvSpPr>
          <a:spLocks noChangeShapeType="1"/>
        </xdr:cNvSpPr>
      </xdr:nvSpPr>
      <xdr:spPr bwMode="auto">
        <a:xfrm flipV="1">
          <a:off x="1028700" y="36195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21</xdr:row>
      <xdr:rowOff>76200</xdr:rowOff>
    </xdr:from>
    <xdr:to>
      <xdr:col>2</xdr:col>
      <xdr:colOff>7620</xdr:colOff>
      <xdr:row>22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9211DB9-44BF-4E3E-ABA1-E458FE110BB0}"/>
            </a:ext>
          </a:extLst>
        </xdr:cNvPr>
        <xdr:cNvSpPr>
          <a:spLocks noChangeShapeType="1"/>
        </xdr:cNvSpPr>
      </xdr:nvSpPr>
      <xdr:spPr bwMode="auto">
        <a:xfrm>
          <a:off x="1028700" y="38100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225</xdr:row>
      <xdr:rowOff>0</xdr:rowOff>
    </xdr:from>
    <xdr:to>
      <xdr:col>2</xdr:col>
      <xdr:colOff>480060</xdr:colOff>
      <xdr:row>225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388CA7C5-9491-4B84-95D9-30738F00D198}"/>
            </a:ext>
          </a:extLst>
        </xdr:cNvPr>
        <xdr:cNvSpPr>
          <a:spLocks noChangeShapeType="1"/>
        </xdr:cNvSpPr>
      </xdr:nvSpPr>
      <xdr:spPr bwMode="auto">
        <a:xfrm flipV="1">
          <a:off x="1638300" y="3877627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225</xdr:row>
      <xdr:rowOff>0</xdr:rowOff>
    </xdr:from>
    <xdr:to>
      <xdr:col>7</xdr:col>
      <xdr:colOff>0</xdr:colOff>
      <xdr:row>225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A9EBDBDE-1CAA-4D4D-9849-A4ED48456AAC}"/>
            </a:ext>
          </a:extLst>
        </xdr:cNvPr>
        <xdr:cNvSpPr>
          <a:spLocks noChangeShapeType="1"/>
        </xdr:cNvSpPr>
      </xdr:nvSpPr>
      <xdr:spPr bwMode="auto">
        <a:xfrm flipV="1">
          <a:off x="4095750" y="38776275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225</xdr:row>
      <xdr:rowOff>0</xdr:rowOff>
    </xdr:from>
    <xdr:to>
      <xdr:col>9</xdr:col>
      <xdr:colOff>0</xdr:colOff>
      <xdr:row>225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A1CAB9AF-83D0-4142-AFA4-6E13C984BB24}"/>
            </a:ext>
          </a:extLst>
        </xdr:cNvPr>
        <xdr:cNvSpPr>
          <a:spLocks noChangeShapeType="1"/>
        </xdr:cNvSpPr>
      </xdr:nvSpPr>
      <xdr:spPr bwMode="auto">
        <a:xfrm flipV="1">
          <a:off x="5314950" y="38776275"/>
          <a:ext cx="628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480060</xdr:colOff>
      <xdr:row>225</xdr:row>
      <xdr:rowOff>0</xdr:rowOff>
    </xdr:from>
    <xdr:to>
      <xdr:col>9</xdr:col>
      <xdr:colOff>0</xdr:colOff>
      <xdr:row>225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F40A0E84-371C-4766-B041-19B0567774E1}"/>
            </a:ext>
          </a:extLst>
        </xdr:cNvPr>
        <xdr:cNvSpPr>
          <a:spLocks noChangeShapeType="1"/>
        </xdr:cNvSpPr>
      </xdr:nvSpPr>
      <xdr:spPr bwMode="auto">
        <a:xfrm>
          <a:off x="5181600" y="38776275"/>
          <a:ext cx="762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225</xdr:row>
      <xdr:rowOff>0</xdr:rowOff>
    </xdr:from>
    <xdr:to>
      <xdr:col>8</xdr:col>
      <xdr:colOff>495300</xdr:colOff>
      <xdr:row>225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95075AF8-7F1B-41C8-8F22-4D14924F71DD}"/>
            </a:ext>
          </a:extLst>
        </xdr:cNvPr>
        <xdr:cNvSpPr>
          <a:spLocks noChangeShapeType="1"/>
        </xdr:cNvSpPr>
      </xdr:nvSpPr>
      <xdr:spPr bwMode="auto">
        <a:xfrm flipV="1">
          <a:off x="5314950" y="38776275"/>
          <a:ext cx="495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10</xdr:row>
      <xdr:rowOff>45720</xdr:rowOff>
    </xdr:from>
    <xdr:to>
      <xdr:col>4</xdr:col>
      <xdr:colOff>0</xdr:colOff>
      <xdr:row>11</xdr:row>
      <xdr:rowOff>53340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A64B78C6-50A4-4169-9214-297D50EB4863}"/>
            </a:ext>
          </a:extLst>
        </xdr:cNvPr>
        <xdr:cNvSpPr>
          <a:spLocks noChangeShapeType="1"/>
        </xdr:cNvSpPr>
      </xdr:nvSpPr>
      <xdr:spPr bwMode="auto">
        <a:xfrm flipV="1">
          <a:off x="2257425" y="18669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11</xdr:row>
      <xdr:rowOff>45720</xdr:rowOff>
    </xdr:from>
    <xdr:to>
      <xdr:col>4</xdr:col>
      <xdr:colOff>7620</xdr:colOff>
      <xdr:row>12</xdr:row>
      <xdr:rowOff>68580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76557981-DBC2-4D56-9E4B-AD974D986194}"/>
            </a:ext>
          </a:extLst>
        </xdr:cNvPr>
        <xdr:cNvSpPr>
          <a:spLocks noChangeShapeType="1"/>
        </xdr:cNvSpPr>
      </xdr:nvSpPr>
      <xdr:spPr bwMode="auto">
        <a:xfrm>
          <a:off x="2266950" y="2038350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12</xdr:row>
      <xdr:rowOff>76200</xdr:rowOff>
    </xdr:from>
    <xdr:to>
      <xdr:col>3</xdr:col>
      <xdr:colOff>480060</xdr:colOff>
      <xdr:row>13</xdr:row>
      <xdr:rowOff>83820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2970B1CA-B5BC-4BB9-A629-22374F608349}"/>
            </a:ext>
          </a:extLst>
        </xdr:cNvPr>
        <xdr:cNvSpPr>
          <a:spLocks noChangeShapeType="1"/>
        </xdr:cNvSpPr>
      </xdr:nvSpPr>
      <xdr:spPr bwMode="auto">
        <a:xfrm flipV="1">
          <a:off x="2247900" y="223837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13</xdr:row>
      <xdr:rowOff>83820</xdr:rowOff>
    </xdr:from>
    <xdr:to>
      <xdr:col>4</xdr:col>
      <xdr:colOff>0</xdr:colOff>
      <xdr:row>14</xdr:row>
      <xdr:rowOff>76200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EF92EF8E-F031-4C30-B9A2-7E2ACB8244EF}"/>
            </a:ext>
          </a:extLst>
        </xdr:cNvPr>
        <xdr:cNvSpPr>
          <a:spLocks noChangeShapeType="1"/>
        </xdr:cNvSpPr>
      </xdr:nvSpPr>
      <xdr:spPr bwMode="auto">
        <a:xfrm>
          <a:off x="2247900" y="241935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10</xdr:row>
      <xdr:rowOff>45720</xdr:rowOff>
    </xdr:from>
    <xdr:to>
      <xdr:col>10</xdr:col>
      <xdr:colOff>0</xdr:colOff>
      <xdr:row>11</xdr:row>
      <xdr:rowOff>53340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4A2BE528-0182-4BC7-8109-925F2E0F61F6}"/>
            </a:ext>
          </a:extLst>
        </xdr:cNvPr>
        <xdr:cNvSpPr>
          <a:spLocks noChangeShapeType="1"/>
        </xdr:cNvSpPr>
      </xdr:nvSpPr>
      <xdr:spPr bwMode="auto">
        <a:xfrm flipV="1">
          <a:off x="5953125" y="18669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11</xdr:row>
      <xdr:rowOff>45720</xdr:rowOff>
    </xdr:from>
    <xdr:to>
      <xdr:col>10</xdr:col>
      <xdr:colOff>7620</xdr:colOff>
      <xdr:row>12</xdr:row>
      <xdr:rowOff>68580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9F4B0F71-8294-42EB-9082-B270E615676C}"/>
            </a:ext>
          </a:extLst>
        </xdr:cNvPr>
        <xdr:cNvSpPr>
          <a:spLocks noChangeShapeType="1"/>
        </xdr:cNvSpPr>
      </xdr:nvSpPr>
      <xdr:spPr bwMode="auto">
        <a:xfrm>
          <a:off x="5962650" y="20383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76200</xdr:rowOff>
    </xdr:from>
    <xdr:to>
      <xdr:col>9</xdr:col>
      <xdr:colOff>495300</xdr:colOff>
      <xdr:row>13</xdr:row>
      <xdr:rowOff>83820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3ADEF04-B7CD-4243-85BE-EA5072EC0E4D}"/>
            </a:ext>
          </a:extLst>
        </xdr:cNvPr>
        <xdr:cNvSpPr>
          <a:spLocks noChangeShapeType="1"/>
        </xdr:cNvSpPr>
      </xdr:nvSpPr>
      <xdr:spPr bwMode="auto">
        <a:xfrm flipV="1">
          <a:off x="5943600" y="2238375"/>
          <a:ext cx="495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13</xdr:row>
      <xdr:rowOff>83820</xdr:rowOff>
    </xdr:from>
    <xdr:to>
      <xdr:col>10</xdr:col>
      <xdr:colOff>0</xdr:colOff>
      <xdr:row>14</xdr:row>
      <xdr:rowOff>76200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93D557D6-68A6-48C4-9F3E-09C49F459D47}"/>
            </a:ext>
          </a:extLst>
        </xdr:cNvPr>
        <xdr:cNvSpPr>
          <a:spLocks noChangeShapeType="1"/>
        </xdr:cNvSpPr>
      </xdr:nvSpPr>
      <xdr:spPr bwMode="auto">
        <a:xfrm>
          <a:off x="5943600" y="2419350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19</xdr:row>
      <xdr:rowOff>45720</xdr:rowOff>
    </xdr:from>
    <xdr:to>
      <xdr:col>4</xdr:col>
      <xdr:colOff>0</xdr:colOff>
      <xdr:row>20</xdr:row>
      <xdr:rowOff>53340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7C563584-DD9B-4829-9DA7-79DC5A0BC354}"/>
            </a:ext>
          </a:extLst>
        </xdr:cNvPr>
        <xdr:cNvSpPr>
          <a:spLocks noChangeShapeType="1"/>
        </xdr:cNvSpPr>
      </xdr:nvSpPr>
      <xdr:spPr bwMode="auto">
        <a:xfrm flipV="1">
          <a:off x="2257425" y="34385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20</xdr:row>
      <xdr:rowOff>45720</xdr:rowOff>
    </xdr:from>
    <xdr:to>
      <xdr:col>4</xdr:col>
      <xdr:colOff>7620</xdr:colOff>
      <xdr:row>21</xdr:row>
      <xdr:rowOff>68580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DD9917F9-1485-42F6-9D52-98BC850C6B84}"/>
            </a:ext>
          </a:extLst>
        </xdr:cNvPr>
        <xdr:cNvSpPr>
          <a:spLocks noChangeShapeType="1"/>
        </xdr:cNvSpPr>
      </xdr:nvSpPr>
      <xdr:spPr bwMode="auto">
        <a:xfrm>
          <a:off x="2266950" y="3609975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21</xdr:row>
      <xdr:rowOff>76200</xdr:rowOff>
    </xdr:from>
    <xdr:to>
      <xdr:col>3</xdr:col>
      <xdr:colOff>480060</xdr:colOff>
      <xdr:row>22</xdr:row>
      <xdr:rowOff>83820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39D887B3-1038-48AB-B4E1-BC60E0483B32}"/>
            </a:ext>
          </a:extLst>
        </xdr:cNvPr>
        <xdr:cNvSpPr>
          <a:spLocks noChangeShapeType="1"/>
        </xdr:cNvSpPr>
      </xdr:nvSpPr>
      <xdr:spPr bwMode="auto">
        <a:xfrm flipV="1">
          <a:off x="2247900" y="3810000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22</xdr:row>
      <xdr:rowOff>83820</xdr:rowOff>
    </xdr:from>
    <xdr:to>
      <xdr:col>4</xdr:col>
      <xdr:colOff>0</xdr:colOff>
      <xdr:row>23</xdr:row>
      <xdr:rowOff>76200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FBE814D8-2F81-4F9A-9F90-4D41ACF8BBCC}"/>
            </a:ext>
          </a:extLst>
        </xdr:cNvPr>
        <xdr:cNvSpPr>
          <a:spLocks noChangeShapeType="1"/>
        </xdr:cNvSpPr>
      </xdr:nvSpPr>
      <xdr:spPr bwMode="auto">
        <a:xfrm>
          <a:off x="2247900" y="39909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236220</xdr:colOff>
      <xdr:row>17</xdr:row>
      <xdr:rowOff>53340</xdr:rowOff>
    </xdr:from>
    <xdr:to>
      <xdr:col>3</xdr:col>
      <xdr:colOff>266700</xdr:colOff>
      <xdr:row>19</xdr:row>
      <xdr:rowOff>99060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58EB8059-264A-4185-BA38-E7C7F28837B6}"/>
            </a:ext>
          </a:extLst>
        </xdr:cNvPr>
        <xdr:cNvSpPr>
          <a:spLocks noChangeArrowheads="1"/>
        </xdr:cNvSpPr>
      </xdr:nvSpPr>
      <xdr:spPr bwMode="auto">
        <a:xfrm>
          <a:off x="1266825" y="3076575"/>
          <a:ext cx="1247775" cy="40957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274320</xdr:colOff>
      <xdr:row>23</xdr:row>
      <xdr:rowOff>60960</xdr:rowOff>
    </xdr:from>
    <xdr:to>
      <xdr:col>3</xdr:col>
      <xdr:colOff>304800</xdr:colOff>
      <xdr:row>25</xdr:row>
      <xdr:rowOff>106680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6BF3948F-4FB0-444A-9E98-8340ACDDB23E}"/>
            </a:ext>
          </a:extLst>
        </xdr:cNvPr>
        <xdr:cNvSpPr>
          <a:spLocks noChangeArrowheads="1"/>
        </xdr:cNvSpPr>
      </xdr:nvSpPr>
      <xdr:spPr bwMode="auto">
        <a:xfrm>
          <a:off x="1304925" y="4133850"/>
          <a:ext cx="124777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411480</xdr:colOff>
      <xdr:row>19</xdr:row>
      <xdr:rowOff>68580</xdr:rowOff>
    </xdr:from>
    <xdr:to>
      <xdr:col>2</xdr:col>
      <xdr:colOff>83820</xdr:colOff>
      <xdr:row>20</xdr:row>
      <xdr:rowOff>30480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328B7C15-915F-4F53-9F86-08215B783BEB}"/>
            </a:ext>
          </a:extLst>
        </xdr:cNvPr>
        <xdr:cNvSpPr>
          <a:spLocks noChangeShapeType="1"/>
        </xdr:cNvSpPr>
      </xdr:nvSpPr>
      <xdr:spPr bwMode="auto">
        <a:xfrm>
          <a:off x="1438275" y="3457575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7620</xdr:colOff>
      <xdr:row>23</xdr:row>
      <xdr:rowOff>45720</xdr:rowOff>
    </xdr:from>
    <xdr:to>
      <xdr:col>1</xdr:col>
      <xdr:colOff>213360</xdr:colOff>
      <xdr:row>25</xdr:row>
      <xdr:rowOff>91440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85869538-6AA7-4508-89E4-E8F8FFD920D6}"/>
            </a:ext>
          </a:extLst>
        </xdr:cNvPr>
        <xdr:cNvSpPr>
          <a:spLocks noChangeArrowheads="1"/>
        </xdr:cNvSpPr>
      </xdr:nvSpPr>
      <xdr:spPr bwMode="auto">
        <a:xfrm>
          <a:off x="9525" y="4124325"/>
          <a:ext cx="12287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289560</xdr:colOff>
      <xdr:row>22</xdr:row>
      <xdr:rowOff>15240</xdr:rowOff>
    </xdr:from>
    <xdr:to>
      <xdr:col>0</xdr:col>
      <xdr:colOff>533400</xdr:colOff>
      <xdr:row>23</xdr:row>
      <xdr:rowOff>45720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E89664F3-8DFB-4FF8-92AD-27DE428F8958}"/>
            </a:ext>
          </a:extLst>
        </xdr:cNvPr>
        <xdr:cNvSpPr>
          <a:spLocks noChangeShapeType="1"/>
        </xdr:cNvSpPr>
      </xdr:nvSpPr>
      <xdr:spPr bwMode="auto">
        <a:xfrm flipV="1">
          <a:off x="285750" y="3924300"/>
          <a:ext cx="247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121920</xdr:rowOff>
    </xdr:from>
    <xdr:to>
      <xdr:col>2</xdr:col>
      <xdr:colOff>99060</xdr:colOff>
      <xdr:row>23</xdr:row>
      <xdr:rowOff>99060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A8599F74-92BC-497B-B2FE-29A237DE27C4}"/>
            </a:ext>
          </a:extLst>
        </xdr:cNvPr>
        <xdr:cNvSpPr>
          <a:spLocks noChangeShapeType="1"/>
        </xdr:cNvSpPr>
      </xdr:nvSpPr>
      <xdr:spPr bwMode="auto">
        <a:xfrm flipV="1">
          <a:off x="1638300" y="4029075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20</xdr:row>
      <xdr:rowOff>60960</xdr:rowOff>
    </xdr:from>
    <xdr:to>
      <xdr:col>8</xdr:col>
      <xdr:colOff>0</xdr:colOff>
      <xdr:row>21</xdr:row>
      <xdr:rowOff>68580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23770000-3918-4841-8472-36E9DBAF454C}"/>
            </a:ext>
          </a:extLst>
        </xdr:cNvPr>
        <xdr:cNvSpPr>
          <a:spLocks noChangeShapeType="1"/>
        </xdr:cNvSpPr>
      </xdr:nvSpPr>
      <xdr:spPr bwMode="auto">
        <a:xfrm flipV="1">
          <a:off x="4705350" y="36195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21</xdr:row>
      <xdr:rowOff>76200</xdr:rowOff>
    </xdr:from>
    <xdr:to>
      <xdr:col>8</xdr:col>
      <xdr:colOff>7620</xdr:colOff>
      <xdr:row>22</xdr:row>
      <xdr:rowOff>68580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48D5FD9E-E808-490E-9F7E-107BC5C9BAA2}"/>
            </a:ext>
          </a:extLst>
        </xdr:cNvPr>
        <xdr:cNvSpPr>
          <a:spLocks noChangeShapeType="1"/>
        </xdr:cNvSpPr>
      </xdr:nvSpPr>
      <xdr:spPr bwMode="auto">
        <a:xfrm>
          <a:off x="4705350" y="38100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19</xdr:row>
      <xdr:rowOff>45720</xdr:rowOff>
    </xdr:from>
    <xdr:to>
      <xdr:col>10</xdr:col>
      <xdr:colOff>0</xdr:colOff>
      <xdr:row>20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2E23D3C1-659A-4E2A-B563-B99040597628}"/>
            </a:ext>
          </a:extLst>
        </xdr:cNvPr>
        <xdr:cNvSpPr>
          <a:spLocks noChangeShapeType="1"/>
        </xdr:cNvSpPr>
      </xdr:nvSpPr>
      <xdr:spPr bwMode="auto">
        <a:xfrm flipV="1">
          <a:off x="5953125" y="34385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20</xdr:row>
      <xdr:rowOff>45720</xdr:rowOff>
    </xdr:from>
    <xdr:to>
      <xdr:col>10</xdr:col>
      <xdr:colOff>7620</xdr:colOff>
      <xdr:row>21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8AC450D-0C07-4A88-B8A8-EF78943055F4}"/>
            </a:ext>
          </a:extLst>
        </xdr:cNvPr>
        <xdr:cNvSpPr>
          <a:spLocks noChangeShapeType="1"/>
        </xdr:cNvSpPr>
      </xdr:nvSpPr>
      <xdr:spPr bwMode="auto">
        <a:xfrm>
          <a:off x="5962650" y="3609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21</xdr:row>
      <xdr:rowOff>76200</xdr:rowOff>
    </xdr:from>
    <xdr:to>
      <xdr:col>9</xdr:col>
      <xdr:colOff>487680</xdr:colOff>
      <xdr:row>22</xdr:row>
      <xdr:rowOff>83820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DC246188-A394-4083-868E-C2AC52030FDE}"/>
            </a:ext>
          </a:extLst>
        </xdr:cNvPr>
        <xdr:cNvSpPr>
          <a:spLocks noChangeShapeType="1"/>
        </xdr:cNvSpPr>
      </xdr:nvSpPr>
      <xdr:spPr bwMode="auto">
        <a:xfrm flipV="1">
          <a:off x="5943600" y="3810000"/>
          <a:ext cx="4857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22</xdr:row>
      <xdr:rowOff>83820</xdr:rowOff>
    </xdr:from>
    <xdr:to>
      <xdr:col>10</xdr:col>
      <xdr:colOff>0</xdr:colOff>
      <xdr:row>23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55DC0EAB-23DD-4B72-9BB4-9359BF2A76BA}"/>
            </a:ext>
          </a:extLst>
        </xdr:cNvPr>
        <xdr:cNvSpPr>
          <a:spLocks noChangeShapeType="1"/>
        </xdr:cNvSpPr>
      </xdr:nvSpPr>
      <xdr:spPr bwMode="auto">
        <a:xfrm>
          <a:off x="5943600" y="3990975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236220</xdr:colOff>
      <xdr:row>17</xdr:row>
      <xdr:rowOff>106680</xdr:rowOff>
    </xdr:from>
    <xdr:to>
      <xdr:col>9</xdr:col>
      <xdr:colOff>243840</xdr:colOff>
      <xdr:row>19</xdr:row>
      <xdr:rowOff>99060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FABAA8BA-A7BC-4F64-A0A0-8DE42C77A684}"/>
            </a:ext>
          </a:extLst>
        </xdr:cNvPr>
        <xdr:cNvSpPr>
          <a:spLocks noChangeArrowheads="1"/>
        </xdr:cNvSpPr>
      </xdr:nvSpPr>
      <xdr:spPr bwMode="auto">
        <a:xfrm>
          <a:off x="4943475" y="3124200"/>
          <a:ext cx="1247775" cy="3619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7</xdr:col>
      <xdr:colOff>274320</xdr:colOff>
      <xdr:row>23</xdr:row>
      <xdr:rowOff>60960</xdr:rowOff>
    </xdr:from>
    <xdr:to>
      <xdr:col>9</xdr:col>
      <xdr:colOff>304800</xdr:colOff>
      <xdr:row>25</xdr:row>
      <xdr:rowOff>106680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CDF30999-B8C4-44BF-A31D-400DA8F07119}"/>
            </a:ext>
          </a:extLst>
        </xdr:cNvPr>
        <xdr:cNvSpPr>
          <a:spLocks noChangeArrowheads="1"/>
        </xdr:cNvSpPr>
      </xdr:nvSpPr>
      <xdr:spPr bwMode="auto">
        <a:xfrm>
          <a:off x="4981575" y="4133850"/>
          <a:ext cx="12668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7</xdr:col>
      <xdr:colOff>411480</xdr:colOff>
      <xdr:row>19</xdr:row>
      <xdr:rowOff>68580</xdr:rowOff>
    </xdr:from>
    <xdr:to>
      <xdr:col>8</xdr:col>
      <xdr:colOff>83820</xdr:colOff>
      <xdr:row>20</xdr:row>
      <xdr:rowOff>30480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5A812AD3-08FE-4408-8B2D-A950CF3BDD04}"/>
            </a:ext>
          </a:extLst>
        </xdr:cNvPr>
        <xdr:cNvSpPr>
          <a:spLocks noChangeShapeType="1"/>
        </xdr:cNvSpPr>
      </xdr:nvSpPr>
      <xdr:spPr bwMode="auto">
        <a:xfrm>
          <a:off x="5114925" y="3457575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23</xdr:row>
      <xdr:rowOff>45720</xdr:rowOff>
    </xdr:from>
    <xdr:to>
      <xdr:col>7</xdr:col>
      <xdr:colOff>213360</xdr:colOff>
      <xdr:row>25</xdr:row>
      <xdr:rowOff>91440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FCA36B97-8D2D-43B2-987C-F4810EA63758}"/>
            </a:ext>
          </a:extLst>
        </xdr:cNvPr>
        <xdr:cNvSpPr>
          <a:spLocks noChangeArrowheads="1"/>
        </xdr:cNvSpPr>
      </xdr:nvSpPr>
      <xdr:spPr bwMode="auto">
        <a:xfrm>
          <a:off x="4105275" y="4124325"/>
          <a:ext cx="809625" cy="4191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289560</xdr:colOff>
      <xdr:row>22</xdr:row>
      <xdr:rowOff>15240</xdr:rowOff>
    </xdr:from>
    <xdr:to>
      <xdr:col>6</xdr:col>
      <xdr:colOff>533400</xdr:colOff>
      <xdr:row>23</xdr:row>
      <xdr:rowOff>45720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7E073848-FCE1-409F-B7E4-B2326FF8B897}"/>
            </a:ext>
          </a:extLst>
        </xdr:cNvPr>
        <xdr:cNvSpPr>
          <a:spLocks noChangeShapeType="1"/>
        </xdr:cNvSpPr>
      </xdr:nvSpPr>
      <xdr:spPr bwMode="auto">
        <a:xfrm flipV="1">
          <a:off x="4381500" y="3924300"/>
          <a:ext cx="247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121920</xdr:rowOff>
    </xdr:from>
    <xdr:to>
      <xdr:col>8</xdr:col>
      <xdr:colOff>99060</xdr:colOff>
      <xdr:row>23</xdr:row>
      <xdr:rowOff>99060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D9A8B170-0732-4921-82A6-36F534BDCDA0}"/>
            </a:ext>
          </a:extLst>
        </xdr:cNvPr>
        <xdr:cNvSpPr>
          <a:spLocks noChangeShapeType="1"/>
        </xdr:cNvSpPr>
      </xdr:nvSpPr>
      <xdr:spPr bwMode="auto">
        <a:xfrm flipV="1">
          <a:off x="5314950" y="4029075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60960</xdr:rowOff>
    </xdr:from>
    <xdr:to>
      <xdr:col>4</xdr:col>
      <xdr:colOff>0</xdr:colOff>
      <xdr:row>42</xdr:row>
      <xdr:rowOff>68580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EE407C9A-0FC7-4B1E-B881-499C15108848}"/>
            </a:ext>
          </a:extLst>
        </xdr:cNvPr>
        <xdr:cNvSpPr>
          <a:spLocks noChangeShapeType="1"/>
        </xdr:cNvSpPr>
      </xdr:nvSpPr>
      <xdr:spPr bwMode="auto">
        <a:xfrm flipV="1">
          <a:off x="2247900" y="72675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76200</xdr:rowOff>
    </xdr:from>
    <xdr:to>
      <xdr:col>4</xdr:col>
      <xdr:colOff>7620</xdr:colOff>
      <xdr:row>43</xdr:row>
      <xdr:rowOff>68580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E5DE305B-95F2-4694-A4A5-C02FB1E12A3F}"/>
            </a:ext>
          </a:extLst>
        </xdr:cNvPr>
        <xdr:cNvSpPr>
          <a:spLocks noChangeShapeType="1"/>
        </xdr:cNvSpPr>
      </xdr:nvSpPr>
      <xdr:spPr bwMode="auto">
        <a:xfrm>
          <a:off x="2247900" y="74580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40</xdr:row>
      <xdr:rowOff>45720</xdr:rowOff>
    </xdr:from>
    <xdr:to>
      <xdr:col>6</xdr:col>
      <xdr:colOff>0</xdr:colOff>
      <xdr:row>41</xdr:row>
      <xdr:rowOff>53340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28531954-57F6-48A4-98E0-39B9B65F91B5}"/>
            </a:ext>
          </a:extLst>
        </xdr:cNvPr>
        <xdr:cNvSpPr>
          <a:spLocks noChangeShapeType="1"/>
        </xdr:cNvSpPr>
      </xdr:nvSpPr>
      <xdr:spPr bwMode="auto">
        <a:xfrm flipV="1">
          <a:off x="3495675" y="709612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22860</xdr:colOff>
      <xdr:row>41</xdr:row>
      <xdr:rowOff>45720</xdr:rowOff>
    </xdr:from>
    <xdr:to>
      <xdr:col>6</xdr:col>
      <xdr:colOff>7620</xdr:colOff>
      <xdr:row>42</xdr:row>
      <xdr:rowOff>68580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85D56C61-AD52-4E03-B253-9A0C3BA2B99D}"/>
            </a:ext>
          </a:extLst>
        </xdr:cNvPr>
        <xdr:cNvSpPr>
          <a:spLocks noChangeShapeType="1"/>
        </xdr:cNvSpPr>
      </xdr:nvSpPr>
      <xdr:spPr bwMode="auto">
        <a:xfrm>
          <a:off x="3505200" y="7258050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42</xdr:row>
      <xdr:rowOff>76200</xdr:rowOff>
    </xdr:from>
    <xdr:to>
      <xdr:col>5</xdr:col>
      <xdr:colOff>480060</xdr:colOff>
      <xdr:row>43</xdr:row>
      <xdr:rowOff>83820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D43B119E-A19D-4A7C-9376-BDE275C5F75A}"/>
            </a:ext>
          </a:extLst>
        </xdr:cNvPr>
        <xdr:cNvSpPr>
          <a:spLocks noChangeShapeType="1"/>
        </xdr:cNvSpPr>
      </xdr:nvSpPr>
      <xdr:spPr bwMode="auto">
        <a:xfrm flipV="1">
          <a:off x="3486150" y="745807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43</xdr:row>
      <xdr:rowOff>83820</xdr:rowOff>
    </xdr:from>
    <xdr:to>
      <xdr:col>6</xdr:col>
      <xdr:colOff>0</xdr:colOff>
      <xdr:row>44</xdr:row>
      <xdr:rowOff>76200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5F185AA4-A2B2-4C6B-B5DC-A3C1CCBEE65D}"/>
            </a:ext>
          </a:extLst>
        </xdr:cNvPr>
        <xdr:cNvSpPr>
          <a:spLocks noChangeShapeType="1"/>
        </xdr:cNvSpPr>
      </xdr:nvSpPr>
      <xdr:spPr bwMode="auto">
        <a:xfrm>
          <a:off x="3486150" y="763905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53340</xdr:colOff>
      <xdr:row>38</xdr:row>
      <xdr:rowOff>53340</xdr:rowOff>
    </xdr:from>
    <xdr:to>
      <xdr:col>5</xdr:col>
      <xdr:colOff>434340</xdr:colOff>
      <xdr:row>40</xdr:row>
      <xdr:rowOff>68580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F39CFBC3-33EB-4E17-9873-161AF557EDCE}"/>
            </a:ext>
          </a:extLst>
        </xdr:cNvPr>
        <xdr:cNvSpPr>
          <a:spLocks noChangeArrowheads="1"/>
        </xdr:cNvSpPr>
      </xdr:nvSpPr>
      <xdr:spPr bwMode="auto">
        <a:xfrm>
          <a:off x="2305050" y="6734175"/>
          <a:ext cx="1619250" cy="3810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114300</xdr:colOff>
      <xdr:row>44</xdr:row>
      <xdr:rowOff>38100</xdr:rowOff>
    </xdr:from>
    <xdr:to>
      <xdr:col>5</xdr:col>
      <xdr:colOff>441960</xdr:colOff>
      <xdr:row>46</xdr:row>
      <xdr:rowOff>106680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2655F00C-C16A-4C3D-B099-527A048270CF}"/>
            </a:ext>
          </a:extLst>
        </xdr:cNvPr>
        <xdr:cNvSpPr>
          <a:spLocks noChangeArrowheads="1"/>
        </xdr:cNvSpPr>
      </xdr:nvSpPr>
      <xdr:spPr bwMode="auto">
        <a:xfrm>
          <a:off x="2362200" y="7762875"/>
          <a:ext cx="1562100" cy="4381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411480</xdr:colOff>
      <xdr:row>40</xdr:row>
      <xdr:rowOff>68580</xdr:rowOff>
    </xdr:from>
    <xdr:to>
      <xdr:col>4</xdr:col>
      <xdr:colOff>83820</xdr:colOff>
      <xdr:row>41</xdr:row>
      <xdr:rowOff>30480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A78C53EF-920E-4423-93AD-E525D5CE67DB}"/>
            </a:ext>
          </a:extLst>
        </xdr:cNvPr>
        <xdr:cNvSpPr>
          <a:spLocks noChangeShapeType="1"/>
        </xdr:cNvSpPr>
      </xdr:nvSpPr>
      <xdr:spPr bwMode="auto">
        <a:xfrm>
          <a:off x="2657475" y="7115175"/>
          <a:ext cx="28575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30480</xdr:rowOff>
    </xdr:from>
    <xdr:to>
      <xdr:col>2</xdr:col>
      <xdr:colOff>60960</xdr:colOff>
      <xdr:row>47</xdr:row>
      <xdr:rowOff>0</xdr:rowOff>
    </xdr:to>
    <xdr:sp macro="" textlink="">
      <xdr:nvSpPr>
        <xdr:cNvPr id="52" name="Oval 51">
          <a:extLst>
            <a:ext uri="{FF2B5EF4-FFF2-40B4-BE49-F238E27FC236}">
              <a16:creationId xmlns:a16="http://schemas.microsoft.com/office/drawing/2014/main" id="{4E9C6DAC-E946-40E5-B9F5-4B9B37A58F57}"/>
            </a:ext>
          </a:extLst>
        </xdr:cNvPr>
        <xdr:cNvSpPr>
          <a:spLocks noChangeArrowheads="1"/>
        </xdr:cNvSpPr>
      </xdr:nvSpPr>
      <xdr:spPr bwMode="auto">
        <a:xfrm>
          <a:off x="0" y="7753350"/>
          <a:ext cx="1695450" cy="5143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358140</xdr:colOff>
      <xdr:row>42</xdr:row>
      <xdr:rowOff>121920</xdr:rowOff>
    </xdr:from>
    <xdr:to>
      <xdr:col>2</xdr:col>
      <xdr:colOff>228600</xdr:colOff>
      <xdr:row>44</xdr:row>
      <xdr:rowOff>106680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B286CACC-1E68-457D-9EC2-036D29B4A9A9}"/>
            </a:ext>
          </a:extLst>
        </xdr:cNvPr>
        <xdr:cNvSpPr>
          <a:spLocks noChangeShapeType="1"/>
        </xdr:cNvSpPr>
      </xdr:nvSpPr>
      <xdr:spPr bwMode="auto">
        <a:xfrm flipV="1">
          <a:off x="1390650" y="7505700"/>
          <a:ext cx="47625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121920</xdr:rowOff>
    </xdr:from>
    <xdr:to>
      <xdr:col>4</xdr:col>
      <xdr:colOff>99060</xdr:colOff>
      <xdr:row>44</xdr:row>
      <xdr:rowOff>99060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3E89C67B-AF94-49EA-B978-866A6BD8791E}"/>
            </a:ext>
          </a:extLst>
        </xdr:cNvPr>
        <xdr:cNvSpPr>
          <a:spLocks noChangeShapeType="1"/>
        </xdr:cNvSpPr>
      </xdr:nvSpPr>
      <xdr:spPr bwMode="auto">
        <a:xfrm flipV="1">
          <a:off x="2857500" y="7677150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15</xdr:col>
      <xdr:colOff>271096</xdr:colOff>
      <xdr:row>1</xdr:row>
      <xdr:rowOff>117231</xdr:rowOff>
    </xdr:from>
    <xdr:to>
      <xdr:col>27</xdr:col>
      <xdr:colOff>133936</xdr:colOff>
      <xdr:row>51</xdr:row>
      <xdr:rowOff>2052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5282C029-D484-B35E-DCAF-B358B0E13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76692" y="337039"/>
          <a:ext cx="7164266" cy="84828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amer_call"/>
      <definedName name="Binomial_amer_put"/>
      <definedName name="Binomial_eur_call"/>
      <definedName name="Binomial_eur_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N47"/>
  <sheetViews>
    <sheetView tabSelected="1" zoomScale="130" zoomScaleNormal="130" workbookViewId="0">
      <selection activeCell="E11" sqref="E11"/>
    </sheetView>
  </sheetViews>
  <sheetFormatPr defaultRowHeight="13.8" x14ac:dyDescent="0.25"/>
  <cols>
    <col min="1" max="1" width="15" style="3" customWidth="1"/>
    <col min="2" max="4" width="8.88671875" style="3"/>
    <col min="5" max="5" width="9.109375" style="2" customWidth="1"/>
    <col min="6" max="8" width="8.88671875" style="3"/>
    <col min="9" max="10" width="9.109375" style="2" customWidth="1"/>
    <col min="11" max="11" width="8.88671875" style="3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M1" t="s">
        <v>38</v>
      </c>
    </row>
    <row r="2" spans="1:14" x14ac:dyDescent="0.25">
      <c r="M2" t="s">
        <v>28</v>
      </c>
      <c r="N2" s="16">
        <f>B3</f>
        <v>1.1499999999999999</v>
      </c>
    </row>
    <row r="3" spans="1:14" x14ac:dyDescent="0.25">
      <c r="A3" s="3" t="s">
        <v>1</v>
      </c>
      <c r="B3" s="4">
        <v>1.1499999999999999</v>
      </c>
      <c r="M3" t="s">
        <v>29</v>
      </c>
      <c r="N3" s="16">
        <f>B4</f>
        <v>0.9</v>
      </c>
    </row>
    <row r="4" spans="1:14" x14ac:dyDescent="0.25">
      <c r="A4" s="3" t="s">
        <v>2</v>
      </c>
      <c r="B4" s="4">
        <v>0.9</v>
      </c>
      <c r="D4" s="3" t="s">
        <v>3</v>
      </c>
      <c r="E4" s="3"/>
      <c r="M4" t="s">
        <v>30</v>
      </c>
      <c r="N4" s="16">
        <f>B7</f>
        <v>1.0900000000000001</v>
      </c>
    </row>
    <row r="5" spans="1:14" ht="15.6" x14ac:dyDescent="0.35">
      <c r="D5" s="3" t="s">
        <v>4</v>
      </c>
      <c r="E5" s="5">
        <f>(B7-B4)/(B7*(B3-B4))</f>
        <v>0.69724770642201883</v>
      </c>
      <c r="F5" s="3" t="str">
        <f t="shared" ref="F5:F6" ca="1" si="0">_xlfn.FORMULATEXT(E5)</f>
        <v>=(B7-B4)/(B7*(B3-B4))</v>
      </c>
      <c r="M5" t="s">
        <v>31</v>
      </c>
      <c r="N5">
        <f>B6</f>
        <v>50</v>
      </c>
    </row>
    <row r="6" spans="1:14" ht="15.6" x14ac:dyDescent="0.35">
      <c r="A6" s="3" t="s">
        <v>5</v>
      </c>
      <c r="B6" s="3">
        <v>50</v>
      </c>
      <c r="D6" s="3" t="s">
        <v>6</v>
      </c>
      <c r="E6" s="5">
        <f>(B3-B7)/(B7*(B3-B4))</f>
        <v>0.22018348623853157</v>
      </c>
      <c r="F6" s="3" t="str">
        <f t="shared" ca="1" si="0"/>
        <v>=(B3-B7)/(B7*(B3-B4))</v>
      </c>
      <c r="M6" t="s">
        <v>32</v>
      </c>
      <c r="N6">
        <f>B8</f>
        <v>60</v>
      </c>
    </row>
    <row r="7" spans="1:14" x14ac:dyDescent="0.25">
      <c r="A7" s="3" t="s">
        <v>7</v>
      </c>
      <c r="B7" s="4">
        <v>1.0900000000000001</v>
      </c>
      <c r="M7" t="s">
        <v>33</v>
      </c>
      <c r="N7">
        <v>2</v>
      </c>
    </row>
    <row r="8" spans="1:14" x14ac:dyDescent="0.25">
      <c r="A8" s="3" t="s">
        <v>8</v>
      </c>
      <c r="B8" s="3">
        <v>60</v>
      </c>
    </row>
    <row r="9" spans="1:14" x14ac:dyDescent="0.25">
      <c r="M9" t="s">
        <v>34</v>
      </c>
      <c r="N9">
        <f>[2]!Binomial_eur_call(N2,N3,N4,N5,N6,N7)</f>
        <v>2.9776954801784332</v>
      </c>
    </row>
    <row r="10" spans="1:14" x14ac:dyDescent="0.25">
      <c r="A10" s="6" t="s">
        <v>9</v>
      </c>
      <c r="E10" s="3"/>
      <c r="G10" s="6" t="s">
        <v>10</v>
      </c>
      <c r="M10" t="s">
        <v>35</v>
      </c>
      <c r="N10">
        <f>[2]!Binomial_eur_put(N2,N3,N4,N5,N6,N7)</f>
        <v>3.478495076172031</v>
      </c>
    </row>
    <row r="11" spans="1:14" x14ac:dyDescent="0.25">
      <c r="C11" s="2"/>
      <c r="D11" s="2"/>
      <c r="E11" s="7">
        <f>C12*B3</f>
        <v>66.124999999999986</v>
      </c>
      <c r="K11" s="8">
        <f>I12*B7</f>
        <v>1.1881000000000002</v>
      </c>
      <c r="M11" t="s">
        <v>36</v>
      </c>
      <c r="N11">
        <f>[2]!Binomial_amer_call(N2,N3,N4,N5,N6,N7)</f>
        <v>2.9776954801784332</v>
      </c>
    </row>
    <row r="12" spans="1:14" x14ac:dyDescent="0.25">
      <c r="C12" s="9">
        <f>$A$13*B3</f>
        <v>57.499999999999993</v>
      </c>
      <c r="D12" s="2"/>
      <c r="E12" s="7"/>
      <c r="I12" s="9">
        <f>$G$13*B7</f>
        <v>1.0900000000000001</v>
      </c>
      <c r="K12" s="10"/>
      <c r="M12" t="s">
        <v>37</v>
      </c>
      <c r="N12">
        <f>[2]!Binomial_amer_put(N2,N3,N4,N5,N6,N7)</f>
        <v>10</v>
      </c>
    </row>
    <row r="13" spans="1:14" x14ac:dyDescent="0.25">
      <c r="A13" s="3">
        <f>B6</f>
        <v>50</v>
      </c>
      <c r="C13" s="9"/>
      <c r="D13" s="2"/>
      <c r="E13" s="7">
        <f>C12*B4</f>
        <v>51.749999999999993</v>
      </c>
      <c r="G13" s="3">
        <v>1</v>
      </c>
      <c r="I13" s="9"/>
      <c r="K13" s="8">
        <f>I12*B7</f>
        <v>1.1881000000000002</v>
      </c>
    </row>
    <row r="14" spans="1:14" x14ac:dyDescent="0.25">
      <c r="C14" s="9">
        <f>$A$13*B4</f>
        <v>45</v>
      </c>
      <c r="D14" s="2"/>
      <c r="E14" s="7"/>
      <c r="I14" s="9">
        <f>$G$13*B7</f>
        <v>1.0900000000000001</v>
      </c>
      <c r="K14" s="10"/>
    </row>
    <row r="15" spans="1:14" x14ac:dyDescent="0.25">
      <c r="C15" s="9"/>
      <c r="E15" s="7">
        <f>C14*B4</f>
        <v>40.5</v>
      </c>
      <c r="J15" s="3"/>
      <c r="K15" s="8">
        <f>I12*B7</f>
        <v>1.1881000000000002</v>
      </c>
    </row>
    <row r="16" spans="1:14" x14ac:dyDescent="0.25">
      <c r="C16" s="9"/>
      <c r="E16" s="9"/>
    </row>
    <row r="17" spans="1:11" x14ac:dyDescent="0.25">
      <c r="C17" s="9"/>
      <c r="E17" s="9"/>
    </row>
    <row r="18" spans="1:11" x14ac:dyDescent="0.25">
      <c r="A18" s="6" t="s">
        <v>11</v>
      </c>
      <c r="C18" s="9"/>
      <c r="E18" s="9"/>
      <c r="G18" s="6" t="s">
        <v>12</v>
      </c>
      <c r="I18" s="9"/>
      <c r="J18" s="3"/>
      <c r="K18" s="9"/>
    </row>
    <row r="19" spans="1:11" ht="15.6" x14ac:dyDescent="0.35">
      <c r="C19" s="11" t="s">
        <v>13</v>
      </c>
      <c r="E19" s="9"/>
      <c r="I19" s="11" t="s">
        <v>14</v>
      </c>
      <c r="J19" s="3"/>
      <c r="K19" s="9"/>
    </row>
    <row r="20" spans="1:11" x14ac:dyDescent="0.25">
      <c r="D20" s="2"/>
      <c r="E20" s="7">
        <f>MAX(E11-$B$8,0)</f>
        <v>6.1249999999999858</v>
      </c>
      <c r="I20" s="3"/>
      <c r="K20" s="7">
        <f>MAX($B$8-E11,0)</f>
        <v>0</v>
      </c>
    </row>
    <row r="21" spans="1:11" x14ac:dyDescent="0.25">
      <c r="C21" s="12">
        <f>E5*E20+E6*E22</f>
        <v>4.2706422018348551</v>
      </c>
      <c r="D21" s="2"/>
      <c r="E21" s="7"/>
      <c r="I21" s="12">
        <f>E5*K20+E6*K22</f>
        <v>1.816513761467887</v>
      </c>
      <c r="K21" s="7"/>
    </row>
    <row r="22" spans="1:11" x14ac:dyDescent="0.25">
      <c r="A22" s="13">
        <f>E5*C21+E6*C23</f>
        <v>2.9776954801784332</v>
      </c>
      <c r="C22" s="9"/>
      <c r="D22" s="2"/>
      <c r="E22" s="7">
        <f>MAX(E13-$B$8,0)</f>
        <v>0</v>
      </c>
      <c r="G22" s="13">
        <f>E5*I21+E6*I23</f>
        <v>3.4784950761720328</v>
      </c>
      <c r="I22" s="9"/>
      <c r="K22" s="7">
        <f>MAX($B$8-E13,0)</f>
        <v>8.2500000000000071</v>
      </c>
    </row>
    <row r="23" spans="1:11" x14ac:dyDescent="0.25">
      <c r="C23" s="12">
        <f>E5*E22+E6*E24</f>
        <v>0</v>
      </c>
      <c r="D23" s="2"/>
      <c r="E23" s="7"/>
      <c r="I23" s="12">
        <f>E5*K22+E6*K24</f>
        <v>10.045871559633026</v>
      </c>
      <c r="K23" s="7"/>
    </row>
    <row r="24" spans="1:11" x14ac:dyDescent="0.25">
      <c r="E24" s="7">
        <f>MAX(E15-$B$8,0)</f>
        <v>0</v>
      </c>
      <c r="I24" s="3"/>
      <c r="J24" s="3"/>
      <c r="K24" s="7">
        <f>MAX($B$8-E15,0)</f>
        <v>19.5</v>
      </c>
    </row>
    <row r="25" spans="1:11" ht="15.6" x14ac:dyDescent="0.35">
      <c r="A25" s="14" t="s">
        <v>15</v>
      </c>
      <c r="C25" s="11" t="s">
        <v>16</v>
      </c>
      <c r="E25" s="9"/>
      <c r="G25" s="14" t="s">
        <v>17</v>
      </c>
      <c r="I25" s="11" t="s">
        <v>18</v>
      </c>
      <c r="J25" s="3"/>
      <c r="K25" s="9"/>
    </row>
    <row r="26" spans="1:11" x14ac:dyDescent="0.25">
      <c r="I26" s="3"/>
      <c r="J26" s="3"/>
      <c r="K26" s="2"/>
    </row>
    <row r="28" spans="1:11" x14ac:dyDescent="0.25">
      <c r="A28" s="6" t="s">
        <v>19</v>
      </c>
    </row>
    <row r="29" spans="1:11" x14ac:dyDescent="0.25">
      <c r="A29" s="3" t="s">
        <v>20</v>
      </c>
      <c r="B29" s="3">
        <f>A22+B8/B7^2</f>
        <v>53.478495076172031</v>
      </c>
    </row>
    <row r="30" spans="1:11" x14ac:dyDescent="0.25">
      <c r="A30" s="3" t="s">
        <v>21</v>
      </c>
      <c r="B30" s="15">
        <f>G22+B6</f>
        <v>53.478495076172031</v>
      </c>
    </row>
    <row r="33" spans="1:7" x14ac:dyDescent="0.25">
      <c r="A33" s="6" t="s">
        <v>22</v>
      </c>
    </row>
    <row r="35" spans="1:7" x14ac:dyDescent="0.25">
      <c r="A35" s="6" t="s">
        <v>23</v>
      </c>
    </row>
    <row r="36" spans="1:7" x14ac:dyDescent="0.25">
      <c r="A36" s="6"/>
    </row>
    <row r="37" spans="1:7" x14ac:dyDescent="0.25">
      <c r="A37" s="6" t="s">
        <v>24</v>
      </c>
    </row>
    <row r="39" spans="1:7" x14ac:dyDescent="0.25">
      <c r="E39" s="9"/>
      <c r="G39" s="9"/>
    </row>
    <row r="40" spans="1:7" ht="15.6" x14ac:dyDescent="0.35">
      <c r="E40" s="11" t="s">
        <v>25</v>
      </c>
      <c r="G40" s="9"/>
    </row>
    <row r="41" spans="1:7" x14ac:dyDescent="0.25">
      <c r="E41" s="3"/>
      <c r="F41" s="2"/>
      <c r="G41" s="7">
        <f>MAX($B$8-E11,0)</f>
        <v>0</v>
      </c>
    </row>
    <row r="42" spans="1:7" x14ac:dyDescent="0.25">
      <c r="E42" s="12">
        <f>MAX(B8-C12,E5*G41+E6*G43)</f>
        <v>2.5000000000000071</v>
      </c>
      <c r="F42" s="2"/>
      <c r="G42" s="7"/>
    </row>
    <row r="43" spans="1:7" x14ac:dyDescent="0.25">
      <c r="C43" s="13">
        <f>MAX(B8-A13,E5*E42+E6*E44)</f>
        <v>10</v>
      </c>
      <c r="E43" s="9"/>
      <c r="F43" s="2"/>
      <c r="G43" s="7">
        <f>MAX($B$8-E13,0)</f>
        <v>8.2500000000000071</v>
      </c>
    </row>
    <row r="44" spans="1:7" x14ac:dyDescent="0.25">
      <c r="E44" s="12">
        <f>MAX(B8-C14,E5*G43+E6*G45)</f>
        <v>15</v>
      </c>
      <c r="F44" s="2"/>
      <c r="G44" s="7"/>
    </row>
    <row r="45" spans="1:7" x14ac:dyDescent="0.25">
      <c r="E45" s="3"/>
      <c r="G45" s="7">
        <f>MAX($B$8-E15,0)</f>
        <v>19.5</v>
      </c>
    </row>
    <row r="46" spans="1:7" ht="15.6" x14ac:dyDescent="0.35">
      <c r="A46" s="14" t="s">
        <v>26</v>
      </c>
      <c r="E46" s="11" t="s">
        <v>27</v>
      </c>
      <c r="G46" s="9"/>
    </row>
    <row r="47" spans="1:7" x14ac:dyDescent="0.25">
      <c r="E47" s="3"/>
      <c r="G47" s="2"/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2024-11-21T09:53:08Z</dcterms:modified>
</cp:coreProperties>
</file>