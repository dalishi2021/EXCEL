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7\"/>
    </mc:Choice>
  </mc:AlternateContent>
  <xr:revisionPtr revIDLastSave="0" documentId="13_ncr:1_{149FA516-6949-4143-B6F2-0FC26D9B0C22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2" i="1" l="1"/>
  <c r="E20" i="1"/>
  <c r="E18" i="1"/>
  <c r="K13" i="1"/>
  <c r="I12" i="1"/>
  <c r="K11" i="1"/>
  <c r="A11" i="1"/>
  <c r="C10" i="1" s="1"/>
  <c r="I10" i="1"/>
  <c r="K9" i="1"/>
  <c r="E5" i="1"/>
  <c r="E4" i="1"/>
  <c r="F22" i="1"/>
  <c r="F20" i="1"/>
  <c r="F18" i="1"/>
  <c r="F5" i="1"/>
  <c r="F4" i="1"/>
  <c r="E9" i="1" l="1"/>
  <c r="C19" i="1" s="1"/>
  <c r="E11" i="1"/>
  <c r="C21" i="1" s="1"/>
  <c r="C12" i="1"/>
  <c r="E13" i="1" s="1"/>
  <c r="A20" i="1" l="1"/>
</calcChain>
</file>

<file path=xl/sharedStrings.xml><?xml version="1.0" encoding="utf-8"?>
<sst xmlns="http://schemas.openxmlformats.org/spreadsheetml/2006/main" count="15" uniqueCount="15">
  <si>
    <t>BINOMIAL OPTION PRICING WITH STATE PRICES IN 
A TWO-PERIOD (THREE-DATE) MODEL</t>
  </si>
  <si>
    <t>Up, U</t>
  </si>
  <si>
    <t>Down, D</t>
  </si>
  <si>
    <t>State prices</t>
  </si>
  <si>
    <t>Interest rate, R</t>
  </si>
  <si>
    <r>
      <t>q</t>
    </r>
    <r>
      <rPr>
        <vertAlign val="subscript"/>
        <sz val="10"/>
        <rFont val="Arial"/>
        <family val="2"/>
      </rPr>
      <t>U</t>
    </r>
  </si>
  <si>
    <t>Initial stock price, S</t>
  </si>
  <si>
    <r>
      <t>q</t>
    </r>
    <r>
      <rPr>
        <vertAlign val="subscript"/>
        <sz val="10"/>
        <rFont val="Arial"/>
        <family val="2"/>
      </rPr>
      <t>D</t>
    </r>
  </si>
  <si>
    <t>Option exercise price, X</t>
  </si>
  <si>
    <t>Stock price</t>
  </si>
  <si>
    <t>Bond price</t>
  </si>
  <si>
    <t>Call option price</t>
  </si>
  <si>
    <r>
      <t>=q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*E18+q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>*E20</t>
    </r>
  </si>
  <si>
    <r>
      <t xml:space="preserve">  =q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*C19+q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>*C21</t>
    </r>
  </si>
  <si>
    <r>
      <t>=q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*E20+q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>*E22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</si>
</sst>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/>
    <xf numFmtId="4" fontId="0" fillId="0" borderId="0" xfId="0" applyNumberFormat="1" applyAlignment="1"/>
    <xf numFmtId="0" fontId="0" fillId="0" borderId="0" xfId="0" applyAlignment="1">
      <alignment horizontal="left"/>
    </xf>
    <xf numFmtId="0" fontId="3" fillId="0" borderId="0" xfId="0" applyFont="1" applyAlignment="1"/>
    <xf numFmtId="176" fontId="0" fillId="0" borderId="0" xfId="0" applyNumberFormat="1" applyAlignment="1"/>
    <xf numFmtId="176" fontId="0" fillId="0" borderId="0" xfId="0" applyNumberFormat="1" applyAlignment="1">
      <alignment horizontal="center"/>
    </xf>
    <xf numFmtId="176" fontId="0" fillId="0" borderId="0" xfId="0" quotePrefix="1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176" fontId="0" fillId="2" borderId="0" xfId="0" applyNumberFormat="1" applyFill="1" applyAlignment="1">
      <alignment horizontal="right"/>
    </xf>
    <xf numFmtId="0" fontId="0" fillId="0" borderId="0" xfId="0" quotePrefix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60960</xdr:rowOff>
    </xdr:from>
    <xdr:to>
      <xdr:col>2</xdr:col>
      <xdr:colOff>0</xdr:colOff>
      <xdr:row>10</xdr:row>
      <xdr:rowOff>68580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E1024CDF-24F1-4D5D-A9AA-1D879EF881B3}"/>
            </a:ext>
          </a:extLst>
        </xdr:cNvPr>
        <xdr:cNvSpPr>
          <a:spLocks noChangeShapeType="1"/>
        </xdr:cNvSpPr>
      </xdr:nvSpPr>
      <xdr:spPr bwMode="auto">
        <a:xfrm flipV="1">
          <a:off x="1466850" y="1981200"/>
          <a:ext cx="6096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10</xdr:row>
      <xdr:rowOff>76200</xdr:rowOff>
    </xdr:from>
    <xdr:to>
      <xdr:col>2</xdr:col>
      <xdr:colOff>7620</xdr:colOff>
      <xdr:row>11</xdr:row>
      <xdr:rowOff>68580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D32885CF-BCF7-4D85-A712-E54CE2803264}"/>
            </a:ext>
          </a:extLst>
        </xdr:cNvPr>
        <xdr:cNvSpPr>
          <a:spLocks noChangeShapeType="1"/>
        </xdr:cNvSpPr>
      </xdr:nvSpPr>
      <xdr:spPr bwMode="auto">
        <a:xfrm>
          <a:off x="1466850" y="2171700"/>
          <a:ext cx="6191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9</xdr:row>
      <xdr:rowOff>45720</xdr:rowOff>
    </xdr:from>
    <xdr:to>
      <xdr:col>8</xdr:col>
      <xdr:colOff>0</xdr:colOff>
      <xdr:row>10</xdr:row>
      <xdr:rowOff>76200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1FAA72A1-8C29-4DCA-9C28-6F0D47CB777D}"/>
            </a:ext>
          </a:extLst>
        </xdr:cNvPr>
        <xdr:cNvSpPr>
          <a:spLocks noChangeShapeType="1"/>
        </xdr:cNvSpPr>
      </xdr:nvSpPr>
      <xdr:spPr bwMode="auto">
        <a:xfrm flipV="1">
          <a:off x="5153025" y="1971675"/>
          <a:ext cx="6000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10</xdr:row>
      <xdr:rowOff>83820</xdr:rowOff>
    </xdr:from>
    <xdr:to>
      <xdr:col>7</xdr:col>
      <xdr:colOff>480060</xdr:colOff>
      <xdr:row>11</xdr:row>
      <xdr:rowOff>76200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E7ECEF4B-A2C5-443D-913B-B483E3D6AC3D}"/>
            </a:ext>
          </a:extLst>
        </xdr:cNvPr>
        <xdr:cNvSpPr>
          <a:spLocks noChangeShapeType="1"/>
        </xdr:cNvSpPr>
      </xdr:nvSpPr>
      <xdr:spPr bwMode="auto">
        <a:xfrm>
          <a:off x="5143500" y="2181225"/>
          <a:ext cx="4762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18</xdr:row>
      <xdr:rowOff>60960</xdr:rowOff>
    </xdr:from>
    <xdr:to>
      <xdr:col>2</xdr:col>
      <xdr:colOff>0</xdr:colOff>
      <xdr:row>19</xdr:row>
      <xdr:rowOff>68580</xdr:rowOff>
    </xdr:to>
    <xdr:sp macro="" textlink="">
      <xdr:nvSpPr>
        <xdr:cNvPr id="6" name="Line 17">
          <a:extLst>
            <a:ext uri="{FF2B5EF4-FFF2-40B4-BE49-F238E27FC236}">
              <a16:creationId xmlns:a16="http://schemas.microsoft.com/office/drawing/2014/main" id="{EE585398-3736-4207-A457-8D3B2ADC8C25}"/>
            </a:ext>
          </a:extLst>
        </xdr:cNvPr>
        <xdr:cNvSpPr>
          <a:spLocks noChangeShapeType="1"/>
        </xdr:cNvSpPr>
      </xdr:nvSpPr>
      <xdr:spPr bwMode="auto">
        <a:xfrm flipV="1">
          <a:off x="1466850" y="3552825"/>
          <a:ext cx="6096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76200</xdr:rowOff>
    </xdr:from>
    <xdr:to>
      <xdr:col>2</xdr:col>
      <xdr:colOff>7620</xdr:colOff>
      <xdr:row>20</xdr:row>
      <xdr:rowOff>68580</xdr:rowOff>
    </xdr:to>
    <xdr:sp macro="" textlink="">
      <xdr:nvSpPr>
        <xdr:cNvPr id="7" name="Line 18">
          <a:extLst>
            <a:ext uri="{FF2B5EF4-FFF2-40B4-BE49-F238E27FC236}">
              <a16:creationId xmlns:a16="http://schemas.microsoft.com/office/drawing/2014/main" id="{8A84542E-5776-45F0-B631-CF605E29A1AF}"/>
            </a:ext>
          </a:extLst>
        </xdr:cNvPr>
        <xdr:cNvSpPr>
          <a:spLocks noChangeShapeType="1"/>
        </xdr:cNvSpPr>
      </xdr:nvSpPr>
      <xdr:spPr bwMode="auto">
        <a:xfrm>
          <a:off x="1466850" y="3743325"/>
          <a:ext cx="6191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222</xdr:row>
      <xdr:rowOff>0</xdr:rowOff>
    </xdr:from>
    <xdr:to>
      <xdr:col>2</xdr:col>
      <xdr:colOff>480060</xdr:colOff>
      <xdr:row>222</xdr:row>
      <xdr:rowOff>0</xdr:rowOff>
    </xdr:to>
    <xdr:sp macro="" textlink="">
      <xdr:nvSpPr>
        <xdr:cNvPr id="8" name="Line 29">
          <a:extLst>
            <a:ext uri="{FF2B5EF4-FFF2-40B4-BE49-F238E27FC236}">
              <a16:creationId xmlns:a16="http://schemas.microsoft.com/office/drawing/2014/main" id="{57B76551-8E36-4FDF-BA50-40CE44FFD112}"/>
            </a:ext>
          </a:extLst>
        </xdr:cNvPr>
        <xdr:cNvSpPr>
          <a:spLocks noChangeShapeType="1"/>
        </xdr:cNvSpPr>
      </xdr:nvSpPr>
      <xdr:spPr bwMode="auto">
        <a:xfrm flipV="1">
          <a:off x="2076450" y="38509575"/>
          <a:ext cx="476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222</xdr:row>
      <xdr:rowOff>0</xdr:rowOff>
    </xdr:from>
    <xdr:to>
      <xdr:col>7</xdr:col>
      <xdr:colOff>0</xdr:colOff>
      <xdr:row>222</xdr:row>
      <xdr:rowOff>0</xdr:rowOff>
    </xdr:to>
    <xdr:sp macro="" textlink="">
      <xdr:nvSpPr>
        <xdr:cNvPr id="9" name="Line 33">
          <a:extLst>
            <a:ext uri="{FF2B5EF4-FFF2-40B4-BE49-F238E27FC236}">
              <a16:creationId xmlns:a16="http://schemas.microsoft.com/office/drawing/2014/main" id="{C02839C8-75C0-42A5-AD2F-4E9FC1AD61E5}"/>
            </a:ext>
          </a:extLst>
        </xdr:cNvPr>
        <xdr:cNvSpPr>
          <a:spLocks noChangeShapeType="1"/>
        </xdr:cNvSpPr>
      </xdr:nvSpPr>
      <xdr:spPr bwMode="auto">
        <a:xfrm flipV="1">
          <a:off x="4533900" y="38509575"/>
          <a:ext cx="609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222</xdr:row>
      <xdr:rowOff>0</xdr:rowOff>
    </xdr:from>
    <xdr:to>
      <xdr:col>9</xdr:col>
      <xdr:colOff>0</xdr:colOff>
      <xdr:row>222</xdr:row>
      <xdr:rowOff>0</xdr:rowOff>
    </xdr:to>
    <xdr:sp macro="" textlink="">
      <xdr:nvSpPr>
        <xdr:cNvPr id="10" name="Line 35">
          <a:extLst>
            <a:ext uri="{FF2B5EF4-FFF2-40B4-BE49-F238E27FC236}">
              <a16:creationId xmlns:a16="http://schemas.microsoft.com/office/drawing/2014/main" id="{3B09A3C9-770B-4B17-914D-44D8474A2713}"/>
            </a:ext>
          </a:extLst>
        </xdr:cNvPr>
        <xdr:cNvSpPr>
          <a:spLocks noChangeShapeType="1"/>
        </xdr:cNvSpPr>
      </xdr:nvSpPr>
      <xdr:spPr bwMode="auto">
        <a:xfrm flipV="1">
          <a:off x="5753100" y="38509575"/>
          <a:ext cx="628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480060</xdr:colOff>
      <xdr:row>222</xdr:row>
      <xdr:rowOff>0</xdr:rowOff>
    </xdr:from>
    <xdr:to>
      <xdr:col>9</xdr:col>
      <xdr:colOff>0</xdr:colOff>
      <xdr:row>222</xdr:row>
      <xdr:rowOff>0</xdr:rowOff>
    </xdr:to>
    <xdr:sp macro="" textlink="">
      <xdr:nvSpPr>
        <xdr:cNvPr id="11" name="Line 36">
          <a:extLst>
            <a:ext uri="{FF2B5EF4-FFF2-40B4-BE49-F238E27FC236}">
              <a16:creationId xmlns:a16="http://schemas.microsoft.com/office/drawing/2014/main" id="{83F09A95-C214-4D10-85F6-78D40FF3A56D}"/>
            </a:ext>
          </a:extLst>
        </xdr:cNvPr>
        <xdr:cNvSpPr>
          <a:spLocks noChangeShapeType="1"/>
        </xdr:cNvSpPr>
      </xdr:nvSpPr>
      <xdr:spPr bwMode="auto">
        <a:xfrm>
          <a:off x="5619750" y="38509575"/>
          <a:ext cx="7620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222</xdr:row>
      <xdr:rowOff>0</xdr:rowOff>
    </xdr:from>
    <xdr:to>
      <xdr:col>8</xdr:col>
      <xdr:colOff>495300</xdr:colOff>
      <xdr:row>222</xdr:row>
      <xdr:rowOff>0</xdr:rowOff>
    </xdr:to>
    <xdr:sp macro="" textlink="">
      <xdr:nvSpPr>
        <xdr:cNvPr id="12" name="Line 37">
          <a:extLst>
            <a:ext uri="{FF2B5EF4-FFF2-40B4-BE49-F238E27FC236}">
              <a16:creationId xmlns:a16="http://schemas.microsoft.com/office/drawing/2014/main" id="{3C101C55-BD53-4218-B43E-91D8AF888BA9}"/>
            </a:ext>
          </a:extLst>
        </xdr:cNvPr>
        <xdr:cNvSpPr>
          <a:spLocks noChangeShapeType="1"/>
        </xdr:cNvSpPr>
      </xdr:nvSpPr>
      <xdr:spPr bwMode="auto">
        <a:xfrm flipV="1">
          <a:off x="5753100" y="38509575"/>
          <a:ext cx="4953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8</xdr:row>
      <xdr:rowOff>45720</xdr:rowOff>
    </xdr:from>
    <xdr:to>
      <xdr:col>4</xdr:col>
      <xdr:colOff>0</xdr:colOff>
      <xdr:row>9</xdr:row>
      <xdr:rowOff>53340</xdr:rowOff>
    </xdr:to>
    <xdr:sp macro="" textlink="">
      <xdr:nvSpPr>
        <xdr:cNvPr id="13" name="Line 39">
          <a:extLst>
            <a:ext uri="{FF2B5EF4-FFF2-40B4-BE49-F238E27FC236}">
              <a16:creationId xmlns:a16="http://schemas.microsoft.com/office/drawing/2014/main" id="{BE57B7F6-DF38-4A73-94AB-3C4CE07D8E6A}"/>
            </a:ext>
          </a:extLst>
        </xdr:cNvPr>
        <xdr:cNvSpPr>
          <a:spLocks noChangeShapeType="1"/>
        </xdr:cNvSpPr>
      </xdr:nvSpPr>
      <xdr:spPr bwMode="auto">
        <a:xfrm flipV="1">
          <a:off x="2695575" y="1800225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22860</xdr:colOff>
      <xdr:row>9</xdr:row>
      <xdr:rowOff>45720</xdr:rowOff>
    </xdr:from>
    <xdr:to>
      <xdr:col>4</xdr:col>
      <xdr:colOff>7620</xdr:colOff>
      <xdr:row>10</xdr:row>
      <xdr:rowOff>68580</xdr:rowOff>
    </xdr:to>
    <xdr:sp macro="" textlink="">
      <xdr:nvSpPr>
        <xdr:cNvPr id="14" name="Line 40">
          <a:extLst>
            <a:ext uri="{FF2B5EF4-FFF2-40B4-BE49-F238E27FC236}">
              <a16:creationId xmlns:a16="http://schemas.microsoft.com/office/drawing/2014/main" id="{E7971077-8608-4075-9DF6-195CEE3D314B}"/>
            </a:ext>
          </a:extLst>
        </xdr:cNvPr>
        <xdr:cNvSpPr>
          <a:spLocks noChangeShapeType="1"/>
        </xdr:cNvSpPr>
      </xdr:nvSpPr>
      <xdr:spPr bwMode="auto">
        <a:xfrm>
          <a:off x="2705100" y="1971675"/>
          <a:ext cx="60007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10</xdr:row>
      <xdr:rowOff>76200</xdr:rowOff>
    </xdr:from>
    <xdr:to>
      <xdr:col>3</xdr:col>
      <xdr:colOff>480060</xdr:colOff>
      <xdr:row>11</xdr:row>
      <xdr:rowOff>83820</xdr:rowOff>
    </xdr:to>
    <xdr:sp macro="" textlink="">
      <xdr:nvSpPr>
        <xdr:cNvPr id="15" name="Line 41">
          <a:extLst>
            <a:ext uri="{FF2B5EF4-FFF2-40B4-BE49-F238E27FC236}">
              <a16:creationId xmlns:a16="http://schemas.microsoft.com/office/drawing/2014/main" id="{824BFDA3-7804-4633-B4F2-5EEEAA153EB1}"/>
            </a:ext>
          </a:extLst>
        </xdr:cNvPr>
        <xdr:cNvSpPr>
          <a:spLocks noChangeShapeType="1"/>
        </xdr:cNvSpPr>
      </xdr:nvSpPr>
      <xdr:spPr bwMode="auto">
        <a:xfrm flipV="1">
          <a:off x="2686050" y="2171700"/>
          <a:ext cx="47625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11</xdr:row>
      <xdr:rowOff>83820</xdr:rowOff>
    </xdr:from>
    <xdr:to>
      <xdr:col>4</xdr:col>
      <xdr:colOff>0</xdr:colOff>
      <xdr:row>12</xdr:row>
      <xdr:rowOff>76200</xdr:rowOff>
    </xdr:to>
    <xdr:sp macro="" textlink="">
      <xdr:nvSpPr>
        <xdr:cNvPr id="16" name="Line 42">
          <a:extLst>
            <a:ext uri="{FF2B5EF4-FFF2-40B4-BE49-F238E27FC236}">
              <a16:creationId xmlns:a16="http://schemas.microsoft.com/office/drawing/2014/main" id="{9483B48B-10B9-4BDC-AFA6-4E4BE80F9B86}"/>
            </a:ext>
          </a:extLst>
        </xdr:cNvPr>
        <xdr:cNvSpPr>
          <a:spLocks noChangeShapeType="1"/>
        </xdr:cNvSpPr>
      </xdr:nvSpPr>
      <xdr:spPr bwMode="auto">
        <a:xfrm>
          <a:off x="2686050" y="2352675"/>
          <a:ext cx="6096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7620</xdr:colOff>
      <xdr:row>8</xdr:row>
      <xdr:rowOff>45720</xdr:rowOff>
    </xdr:from>
    <xdr:to>
      <xdr:col>10</xdr:col>
      <xdr:colOff>0</xdr:colOff>
      <xdr:row>9</xdr:row>
      <xdr:rowOff>53340</xdr:rowOff>
    </xdr:to>
    <xdr:sp macro="" textlink="">
      <xdr:nvSpPr>
        <xdr:cNvPr id="17" name="Line 43">
          <a:extLst>
            <a:ext uri="{FF2B5EF4-FFF2-40B4-BE49-F238E27FC236}">
              <a16:creationId xmlns:a16="http://schemas.microsoft.com/office/drawing/2014/main" id="{017744C1-B7B9-49E5-9B8D-FFC7A51F76D0}"/>
            </a:ext>
          </a:extLst>
        </xdr:cNvPr>
        <xdr:cNvSpPr>
          <a:spLocks noChangeShapeType="1"/>
        </xdr:cNvSpPr>
      </xdr:nvSpPr>
      <xdr:spPr bwMode="auto">
        <a:xfrm flipV="1">
          <a:off x="6391275" y="1800225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22860</xdr:colOff>
      <xdr:row>9</xdr:row>
      <xdr:rowOff>45720</xdr:rowOff>
    </xdr:from>
    <xdr:to>
      <xdr:col>10</xdr:col>
      <xdr:colOff>7620</xdr:colOff>
      <xdr:row>10</xdr:row>
      <xdr:rowOff>68580</xdr:rowOff>
    </xdr:to>
    <xdr:sp macro="" textlink="">
      <xdr:nvSpPr>
        <xdr:cNvPr id="18" name="Line 44">
          <a:extLst>
            <a:ext uri="{FF2B5EF4-FFF2-40B4-BE49-F238E27FC236}">
              <a16:creationId xmlns:a16="http://schemas.microsoft.com/office/drawing/2014/main" id="{AD9572E3-FBC9-4077-9B25-831C393E99D5}"/>
            </a:ext>
          </a:extLst>
        </xdr:cNvPr>
        <xdr:cNvSpPr>
          <a:spLocks noChangeShapeType="1"/>
        </xdr:cNvSpPr>
      </xdr:nvSpPr>
      <xdr:spPr bwMode="auto">
        <a:xfrm>
          <a:off x="6400800" y="1971675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10</xdr:row>
      <xdr:rowOff>76200</xdr:rowOff>
    </xdr:from>
    <xdr:to>
      <xdr:col>9</xdr:col>
      <xdr:colOff>495300</xdr:colOff>
      <xdr:row>11</xdr:row>
      <xdr:rowOff>83820</xdr:rowOff>
    </xdr:to>
    <xdr:sp macro="" textlink="">
      <xdr:nvSpPr>
        <xdr:cNvPr id="19" name="Line 45">
          <a:extLst>
            <a:ext uri="{FF2B5EF4-FFF2-40B4-BE49-F238E27FC236}">
              <a16:creationId xmlns:a16="http://schemas.microsoft.com/office/drawing/2014/main" id="{0B85A0D0-DDA1-44CF-B780-62AD9C939727}"/>
            </a:ext>
          </a:extLst>
        </xdr:cNvPr>
        <xdr:cNvSpPr>
          <a:spLocks noChangeShapeType="1"/>
        </xdr:cNvSpPr>
      </xdr:nvSpPr>
      <xdr:spPr bwMode="auto">
        <a:xfrm flipV="1">
          <a:off x="6381750" y="2171700"/>
          <a:ext cx="4953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11</xdr:row>
      <xdr:rowOff>83820</xdr:rowOff>
    </xdr:from>
    <xdr:to>
      <xdr:col>10</xdr:col>
      <xdr:colOff>0</xdr:colOff>
      <xdr:row>12</xdr:row>
      <xdr:rowOff>76200</xdr:rowOff>
    </xdr:to>
    <xdr:sp macro="" textlink="">
      <xdr:nvSpPr>
        <xdr:cNvPr id="20" name="Line 46">
          <a:extLst>
            <a:ext uri="{FF2B5EF4-FFF2-40B4-BE49-F238E27FC236}">
              <a16:creationId xmlns:a16="http://schemas.microsoft.com/office/drawing/2014/main" id="{F00273ED-9EB9-4AB0-87D7-DFCF1CDFE6D6}"/>
            </a:ext>
          </a:extLst>
        </xdr:cNvPr>
        <xdr:cNvSpPr>
          <a:spLocks noChangeShapeType="1"/>
        </xdr:cNvSpPr>
      </xdr:nvSpPr>
      <xdr:spPr bwMode="auto">
        <a:xfrm>
          <a:off x="6381750" y="2352675"/>
          <a:ext cx="6286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17</xdr:row>
      <xdr:rowOff>45720</xdr:rowOff>
    </xdr:from>
    <xdr:to>
      <xdr:col>4</xdr:col>
      <xdr:colOff>0</xdr:colOff>
      <xdr:row>18</xdr:row>
      <xdr:rowOff>53340</xdr:rowOff>
    </xdr:to>
    <xdr:sp macro="" textlink="">
      <xdr:nvSpPr>
        <xdr:cNvPr id="21" name="Line 47">
          <a:extLst>
            <a:ext uri="{FF2B5EF4-FFF2-40B4-BE49-F238E27FC236}">
              <a16:creationId xmlns:a16="http://schemas.microsoft.com/office/drawing/2014/main" id="{DE953244-7884-4EFE-9E7E-62C9FEA20AA6}"/>
            </a:ext>
          </a:extLst>
        </xdr:cNvPr>
        <xdr:cNvSpPr>
          <a:spLocks noChangeShapeType="1"/>
        </xdr:cNvSpPr>
      </xdr:nvSpPr>
      <xdr:spPr bwMode="auto">
        <a:xfrm flipV="1">
          <a:off x="2695575" y="3371850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22860</xdr:colOff>
      <xdr:row>18</xdr:row>
      <xdr:rowOff>45720</xdr:rowOff>
    </xdr:from>
    <xdr:to>
      <xdr:col>4</xdr:col>
      <xdr:colOff>7620</xdr:colOff>
      <xdr:row>19</xdr:row>
      <xdr:rowOff>68580</xdr:rowOff>
    </xdr:to>
    <xdr:sp macro="" textlink="">
      <xdr:nvSpPr>
        <xdr:cNvPr id="22" name="Line 48">
          <a:extLst>
            <a:ext uri="{FF2B5EF4-FFF2-40B4-BE49-F238E27FC236}">
              <a16:creationId xmlns:a16="http://schemas.microsoft.com/office/drawing/2014/main" id="{7E37220D-9373-4ABB-8735-2200162D69F0}"/>
            </a:ext>
          </a:extLst>
        </xdr:cNvPr>
        <xdr:cNvSpPr>
          <a:spLocks noChangeShapeType="1"/>
        </xdr:cNvSpPr>
      </xdr:nvSpPr>
      <xdr:spPr bwMode="auto">
        <a:xfrm>
          <a:off x="2705100" y="3543300"/>
          <a:ext cx="60007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19</xdr:row>
      <xdr:rowOff>76200</xdr:rowOff>
    </xdr:from>
    <xdr:to>
      <xdr:col>3</xdr:col>
      <xdr:colOff>480060</xdr:colOff>
      <xdr:row>20</xdr:row>
      <xdr:rowOff>83820</xdr:rowOff>
    </xdr:to>
    <xdr:sp macro="" textlink="">
      <xdr:nvSpPr>
        <xdr:cNvPr id="23" name="Line 49">
          <a:extLst>
            <a:ext uri="{FF2B5EF4-FFF2-40B4-BE49-F238E27FC236}">
              <a16:creationId xmlns:a16="http://schemas.microsoft.com/office/drawing/2014/main" id="{8AD21ED8-6465-4953-9B26-857D6B267EBF}"/>
            </a:ext>
          </a:extLst>
        </xdr:cNvPr>
        <xdr:cNvSpPr>
          <a:spLocks noChangeShapeType="1"/>
        </xdr:cNvSpPr>
      </xdr:nvSpPr>
      <xdr:spPr bwMode="auto">
        <a:xfrm flipV="1">
          <a:off x="2686050" y="3743325"/>
          <a:ext cx="47625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20</xdr:row>
      <xdr:rowOff>83820</xdr:rowOff>
    </xdr:from>
    <xdr:to>
      <xdr:col>4</xdr:col>
      <xdr:colOff>0</xdr:colOff>
      <xdr:row>21</xdr:row>
      <xdr:rowOff>76200</xdr:rowOff>
    </xdr:to>
    <xdr:sp macro="" textlink="">
      <xdr:nvSpPr>
        <xdr:cNvPr id="24" name="Line 50">
          <a:extLst>
            <a:ext uri="{FF2B5EF4-FFF2-40B4-BE49-F238E27FC236}">
              <a16:creationId xmlns:a16="http://schemas.microsoft.com/office/drawing/2014/main" id="{C725888C-925D-429E-888F-70C410DC832D}"/>
            </a:ext>
          </a:extLst>
        </xdr:cNvPr>
        <xdr:cNvSpPr>
          <a:spLocks noChangeShapeType="1"/>
        </xdr:cNvSpPr>
      </xdr:nvSpPr>
      <xdr:spPr bwMode="auto">
        <a:xfrm>
          <a:off x="2686050" y="3924300"/>
          <a:ext cx="6096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236220</xdr:colOff>
      <xdr:row>15</xdr:row>
      <xdr:rowOff>53340</xdr:rowOff>
    </xdr:from>
    <xdr:to>
      <xdr:col>3</xdr:col>
      <xdr:colOff>266700</xdr:colOff>
      <xdr:row>17</xdr:row>
      <xdr:rowOff>99060</xdr:rowOff>
    </xdr:to>
    <xdr:sp macro="" textlink="">
      <xdr:nvSpPr>
        <xdr:cNvPr id="25" name="Oval 52">
          <a:extLst>
            <a:ext uri="{FF2B5EF4-FFF2-40B4-BE49-F238E27FC236}">
              <a16:creationId xmlns:a16="http://schemas.microsoft.com/office/drawing/2014/main" id="{BF1A0CE9-2024-4430-B2E8-E44C1DF1E541}"/>
            </a:ext>
          </a:extLst>
        </xdr:cNvPr>
        <xdr:cNvSpPr>
          <a:spLocks noChangeArrowheads="1"/>
        </xdr:cNvSpPr>
      </xdr:nvSpPr>
      <xdr:spPr bwMode="auto">
        <a:xfrm>
          <a:off x="1704975" y="3009900"/>
          <a:ext cx="1247775" cy="409575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1</xdr:col>
      <xdr:colOff>274320</xdr:colOff>
      <xdr:row>21</xdr:row>
      <xdr:rowOff>60960</xdr:rowOff>
    </xdr:from>
    <xdr:to>
      <xdr:col>3</xdr:col>
      <xdr:colOff>304800</xdr:colOff>
      <xdr:row>23</xdr:row>
      <xdr:rowOff>106680</xdr:rowOff>
    </xdr:to>
    <xdr:sp macro="" textlink="">
      <xdr:nvSpPr>
        <xdr:cNvPr id="26" name="Oval 53">
          <a:extLst>
            <a:ext uri="{FF2B5EF4-FFF2-40B4-BE49-F238E27FC236}">
              <a16:creationId xmlns:a16="http://schemas.microsoft.com/office/drawing/2014/main" id="{72811FED-A9AD-4418-9553-E45611F946D9}"/>
            </a:ext>
          </a:extLst>
        </xdr:cNvPr>
        <xdr:cNvSpPr>
          <a:spLocks noChangeArrowheads="1"/>
        </xdr:cNvSpPr>
      </xdr:nvSpPr>
      <xdr:spPr bwMode="auto">
        <a:xfrm>
          <a:off x="1743075" y="4067175"/>
          <a:ext cx="1247775" cy="447675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1</xdr:col>
      <xdr:colOff>411480</xdr:colOff>
      <xdr:row>17</xdr:row>
      <xdr:rowOff>68580</xdr:rowOff>
    </xdr:from>
    <xdr:to>
      <xdr:col>2</xdr:col>
      <xdr:colOff>83820</xdr:colOff>
      <xdr:row>18</xdr:row>
      <xdr:rowOff>30480</xdr:rowOff>
    </xdr:to>
    <xdr:sp macro="" textlink="">
      <xdr:nvSpPr>
        <xdr:cNvPr id="27" name="Line 54">
          <a:extLst>
            <a:ext uri="{FF2B5EF4-FFF2-40B4-BE49-F238E27FC236}">
              <a16:creationId xmlns:a16="http://schemas.microsoft.com/office/drawing/2014/main" id="{335D65FE-43BE-4C7D-ADC2-A581D8D607ED}"/>
            </a:ext>
          </a:extLst>
        </xdr:cNvPr>
        <xdr:cNvSpPr>
          <a:spLocks noChangeShapeType="1"/>
        </xdr:cNvSpPr>
      </xdr:nvSpPr>
      <xdr:spPr bwMode="auto">
        <a:xfrm>
          <a:off x="1876425" y="3390900"/>
          <a:ext cx="285750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45720</xdr:colOff>
      <xdr:row>20</xdr:row>
      <xdr:rowOff>60960</xdr:rowOff>
    </xdr:from>
    <xdr:to>
      <xdr:col>0</xdr:col>
      <xdr:colOff>944880</xdr:colOff>
      <xdr:row>22</xdr:row>
      <xdr:rowOff>99060</xdr:rowOff>
    </xdr:to>
    <xdr:sp macro="" textlink="">
      <xdr:nvSpPr>
        <xdr:cNvPr id="28" name="Oval 56">
          <a:extLst>
            <a:ext uri="{FF2B5EF4-FFF2-40B4-BE49-F238E27FC236}">
              <a16:creationId xmlns:a16="http://schemas.microsoft.com/office/drawing/2014/main" id="{DC3904BE-14BF-49EC-A3ED-C2FFE4FEF62B}"/>
            </a:ext>
          </a:extLst>
        </xdr:cNvPr>
        <xdr:cNvSpPr>
          <a:spLocks noChangeArrowheads="1"/>
        </xdr:cNvSpPr>
      </xdr:nvSpPr>
      <xdr:spPr bwMode="auto">
        <a:xfrm>
          <a:off x="47625" y="3895725"/>
          <a:ext cx="895350" cy="409575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0</xdr:col>
      <xdr:colOff>777240</xdr:colOff>
      <xdr:row>19</xdr:row>
      <xdr:rowOff>114300</xdr:rowOff>
    </xdr:from>
    <xdr:to>
      <xdr:col>0</xdr:col>
      <xdr:colOff>952500</xdr:colOff>
      <xdr:row>20</xdr:row>
      <xdr:rowOff>106680</xdr:rowOff>
    </xdr:to>
    <xdr:sp macro="" textlink="">
      <xdr:nvSpPr>
        <xdr:cNvPr id="29" name="Line 57">
          <a:extLst>
            <a:ext uri="{FF2B5EF4-FFF2-40B4-BE49-F238E27FC236}">
              <a16:creationId xmlns:a16="http://schemas.microsoft.com/office/drawing/2014/main" id="{3E2E556A-2EA2-48F9-9741-2D2BD944DD00}"/>
            </a:ext>
          </a:extLst>
        </xdr:cNvPr>
        <xdr:cNvSpPr>
          <a:spLocks noChangeShapeType="1"/>
        </xdr:cNvSpPr>
      </xdr:nvSpPr>
      <xdr:spPr bwMode="auto">
        <a:xfrm flipV="1">
          <a:off x="781050" y="3781425"/>
          <a:ext cx="1714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20</xdr:row>
      <xdr:rowOff>121920</xdr:rowOff>
    </xdr:from>
    <xdr:to>
      <xdr:col>2</xdr:col>
      <xdr:colOff>99060</xdr:colOff>
      <xdr:row>21</xdr:row>
      <xdr:rowOff>99060</xdr:rowOff>
    </xdr:to>
    <xdr:sp macro="" textlink="">
      <xdr:nvSpPr>
        <xdr:cNvPr id="30" name="Line 58">
          <a:extLst>
            <a:ext uri="{FF2B5EF4-FFF2-40B4-BE49-F238E27FC236}">
              <a16:creationId xmlns:a16="http://schemas.microsoft.com/office/drawing/2014/main" id="{BEE24F1A-B89B-4D60-AF3F-8D001E7AABE7}"/>
            </a:ext>
          </a:extLst>
        </xdr:cNvPr>
        <xdr:cNvSpPr>
          <a:spLocks noChangeShapeType="1"/>
        </xdr:cNvSpPr>
      </xdr:nvSpPr>
      <xdr:spPr bwMode="auto">
        <a:xfrm flipV="1">
          <a:off x="2076450" y="3962400"/>
          <a:ext cx="952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13</xdr:col>
      <xdr:colOff>579120</xdr:colOff>
      <xdr:row>6</xdr:row>
      <xdr:rowOff>45720</xdr:rowOff>
    </xdr:from>
    <xdr:to>
      <xdr:col>26</xdr:col>
      <xdr:colOff>281940</xdr:colOff>
      <xdr:row>33</xdr:row>
      <xdr:rowOff>15240</xdr:rowOff>
    </xdr:to>
    <xdr:pic>
      <xdr:nvPicPr>
        <xdr:cNvPr id="31" name="图片 30">
          <a:extLst>
            <a:ext uri="{FF2B5EF4-FFF2-40B4-BE49-F238E27FC236}">
              <a16:creationId xmlns:a16="http://schemas.microsoft.com/office/drawing/2014/main" id="{900317B1-4B97-CB65-259A-5906346110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410700" y="1188720"/>
          <a:ext cx="7620000" cy="4762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7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444-45"/>
      <sheetName val="Pages 444-45中文"/>
      <sheetName val="Page 446, top"/>
      <sheetName val="Page 446, top中文"/>
      <sheetName val="Page 446, bottom"/>
      <sheetName val="Page 446, bottom中文"/>
      <sheetName val="Page 448, picture"/>
      <sheetName val="Page 448，pictures中文"/>
      <sheetName val="Page 448"/>
      <sheetName val="Page 448中文"/>
      <sheetName val="Page 451"/>
      <sheetName val="Page 451中文"/>
      <sheetName val="Page 452"/>
      <sheetName val="Page 452中文"/>
      <sheetName val="Page 454"/>
      <sheetName val="Page 454 (中文)"/>
      <sheetName val="Page 457"/>
      <sheetName val="VBA option functions"/>
      <sheetName val="Page 457中文"/>
      <sheetName val="Page 458"/>
      <sheetName val="Page 458中文"/>
      <sheetName val="Page 460"/>
      <sheetName val="Page 460 (中文)"/>
      <sheetName val="Page 461"/>
      <sheetName val="Page 461 (中文)"/>
      <sheetName val="Page 462"/>
      <sheetName val="Page 462中文"/>
      <sheetName val="Page 463"/>
      <sheetName val="Page 463中文"/>
      <sheetName val="Page 464"/>
      <sheetName val="Page 464中文"/>
      <sheetName val="Page 465"/>
      <sheetName val="Page 465中文"/>
      <sheetName val="Page 466"/>
      <sheetName val="Page 466中文"/>
      <sheetName val="Page 467"/>
      <sheetName val="Page 467中文"/>
      <sheetName val="Page 473"/>
      <sheetName val="Page 473中文"/>
      <sheetName val="Page 474"/>
      <sheetName val="Page 474中文"/>
      <sheetName val="Page 475"/>
      <sheetName val="Page 475中文"/>
      <sheetName val="Page 477"/>
      <sheetName val="Page 477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K23"/>
  <sheetViews>
    <sheetView tabSelected="1" zoomScale="160" zoomScaleNormal="160" workbookViewId="0">
      <selection activeCell="A28" sqref="A28"/>
    </sheetView>
  </sheetViews>
  <sheetFormatPr defaultRowHeight="13.8" x14ac:dyDescent="0.25"/>
  <cols>
    <col min="1" max="1" width="21.44140625" style="2" customWidth="1"/>
    <col min="2" max="4" width="8.88671875" style="2"/>
    <col min="5" max="5" width="9.109375" style="4" customWidth="1"/>
    <col min="6" max="8" width="8.88671875" style="2"/>
    <col min="9" max="10" width="9.109375" style="4" customWidth="1"/>
    <col min="11" max="11" width="8.88671875" style="2"/>
  </cols>
  <sheetData>
    <row r="1" spans="1:11" ht="17.399999999999999" x14ac:dyDescent="0.25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x14ac:dyDescent="0.25">
      <c r="A2" s="2" t="s">
        <v>1</v>
      </c>
      <c r="B2" s="3">
        <v>1.1000000000000001</v>
      </c>
    </row>
    <row r="3" spans="1:11" x14ac:dyDescent="0.25">
      <c r="A3" s="2" t="s">
        <v>2</v>
      </c>
      <c r="B3" s="3">
        <v>0.97</v>
      </c>
      <c r="D3" s="5" t="s">
        <v>3</v>
      </c>
      <c r="E3" s="2"/>
    </row>
    <row r="4" spans="1:11" ht="15.6" x14ac:dyDescent="0.35">
      <c r="A4" s="2" t="s">
        <v>4</v>
      </c>
      <c r="B4" s="3">
        <v>1.06</v>
      </c>
      <c r="D4" s="2" t="s">
        <v>5</v>
      </c>
      <c r="E4" s="6">
        <f>(B4-B3)/(B4*(B2-B3))</f>
        <v>0.65312046444121918</v>
      </c>
      <c r="F4" s="2" t="str">
        <f ca="1">[2]!getformula(E4)</f>
        <v>&lt;--  =(B4-B3)/(B4*(B2-B3))</v>
      </c>
    </row>
    <row r="5" spans="1:11" ht="15.6" x14ac:dyDescent="0.35">
      <c r="A5" s="2" t="s">
        <v>6</v>
      </c>
      <c r="B5" s="3">
        <v>50</v>
      </c>
      <c r="D5" s="2" t="s">
        <v>7</v>
      </c>
      <c r="E5" s="6">
        <f>(B2-B4)/(B4*(B2-B3))</f>
        <v>0.29027576197387517</v>
      </c>
      <c r="F5" s="2" t="str">
        <f ca="1">[2]!getformula(E5)</f>
        <v>&lt;--  =(B2-B4)/(B4*(B2-B3))</v>
      </c>
    </row>
    <row r="6" spans="1:11" x14ac:dyDescent="0.25">
      <c r="A6" s="2" t="s">
        <v>8</v>
      </c>
      <c r="B6" s="3">
        <v>50</v>
      </c>
    </row>
    <row r="8" spans="1:11" x14ac:dyDescent="0.25">
      <c r="A8" s="5" t="s">
        <v>9</v>
      </c>
      <c r="E8" s="2"/>
      <c r="G8" s="5" t="s">
        <v>10</v>
      </c>
    </row>
    <row r="9" spans="1:11" x14ac:dyDescent="0.25">
      <c r="C9" s="4"/>
      <c r="D9" s="4"/>
      <c r="E9" s="7">
        <f>C10*B2</f>
        <v>60.500000000000014</v>
      </c>
      <c r="K9" s="8">
        <f>I10*B4</f>
        <v>1.1236000000000002</v>
      </c>
    </row>
    <row r="10" spans="1:11" x14ac:dyDescent="0.25">
      <c r="C10" s="7">
        <f>A11*B2</f>
        <v>55.000000000000007</v>
      </c>
      <c r="D10" s="4"/>
      <c r="E10" s="9"/>
      <c r="I10" s="7">
        <f>G11*B4</f>
        <v>1.06</v>
      </c>
      <c r="K10" s="7"/>
    </row>
    <row r="11" spans="1:11" x14ac:dyDescent="0.25">
      <c r="A11" s="6">
        <f>B5</f>
        <v>50</v>
      </c>
      <c r="C11" s="9"/>
      <c r="D11" s="4"/>
      <c r="E11" s="7">
        <f>C10*B3</f>
        <v>53.350000000000009</v>
      </c>
      <c r="G11" s="10">
        <v>1</v>
      </c>
      <c r="I11" s="7"/>
      <c r="K11" s="8">
        <f>I10*B4</f>
        <v>1.1236000000000002</v>
      </c>
    </row>
    <row r="12" spans="1:11" x14ac:dyDescent="0.25">
      <c r="C12" s="7">
        <f>A11*B3</f>
        <v>48.5</v>
      </c>
      <c r="D12" s="4"/>
      <c r="E12" s="9"/>
      <c r="I12" s="7">
        <f>G11*B4</f>
        <v>1.06</v>
      </c>
      <c r="K12" s="7"/>
    </row>
    <row r="13" spans="1:11" x14ac:dyDescent="0.25">
      <c r="C13" s="11"/>
      <c r="E13" s="7">
        <f>C12*B3</f>
        <v>47.045000000000002</v>
      </c>
      <c r="J13" s="2"/>
      <c r="K13" s="8">
        <f>I12*B4</f>
        <v>1.1236000000000002</v>
      </c>
    </row>
    <row r="14" spans="1:11" x14ac:dyDescent="0.25">
      <c r="C14" s="11"/>
      <c r="E14" s="11"/>
    </row>
    <row r="15" spans="1:11" x14ac:dyDescent="0.25">
      <c r="C15" s="11"/>
      <c r="E15" s="11"/>
    </row>
    <row r="16" spans="1:11" x14ac:dyDescent="0.25">
      <c r="A16" s="5" t="s">
        <v>11</v>
      </c>
      <c r="C16" s="11"/>
      <c r="E16" s="11"/>
    </row>
    <row r="17" spans="1:8" ht="15.6" x14ac:dyDescent="0.35">
      <c r="C17" s="12" t="s">
        <v>12</v>
      </c>
      <c r="E17" s="11"/>
    </row>
    <row r="18" spans="1:8" x14ac:dyDescent="0.25">
      <c r="D18" s="4"/>
      <c r="E18" s="7">
        <f>MAX(E9-$B$6,0)</f>
        <v>10.500000000000014</v>
      </c>
      <c r="F18" s="2" t="str">
        <f ca="1">[2]!getformula(E18)</f>
        <v>&lt;--  =MAX(E9-$B$6,0)</v>
      </c>
    </row>
    <row r="19" spans="1:8" x14ac:dyDescent="0.25">
      <c r="C19" s="7">
        <f>$E$4*E18+$E$5*E20</f>
        <v>7.8301886792452944</v>
      </c>
      <c r="D19" s="4"/>
      <c r="E19" s="9"/>
    </row>
    <row r="20" spans="1:8" x14ac:dyDescent="0.25">
      <c r="A20" s="13">
        <f>$E$4*C19+$E$5*C21</f>
        <v>5.7491663524470251</v>
      </c>
      <c r="C20" s="11"/>
      <c r="D20" s="4"/>
      <c r="E20" s="7">
        <f>MAX(E11-$B$6,0)</f>
        <v>3.3500000000000085</v>
      </c>
      <c r="F20" s="2" t="str">
        <f ca="1">[2]!getformula(E20)</f>
        <v>&lt;--  =MAX(E11-$B$6,0)</v>
      </c>
      <c r="H20" s="14"/>
    </row>
    <row r="21" spans="1:8" x14ac:dyDescent="0.25">
      <c r="C21" s="7">
        <f>$E$4*E20+$E$5*E22</f>
        <v>2.18795355587809</v>
      </c>
      <c r="D21" s="4"/>
      <c r="E21" s="9"/>
    </row>
    <row r="22" spans="1:8" ht="15.6" x14ac:dyDescent="0.35">
      <c r="A22" s="14" t="s">
        <v>13</v>
      </c>
      <c r="E22" s="7">
        <f>MAX(E13-$B$6,0)</f>
        <v>0</v>
      </c>
      <c r="F22" s="2" t="str">
        <f ca="1">[2]!getformula(E22)</f>
        <v>&lt;--  =MAX(E13-$B$6,0)</v>
      </c>
    </row>
    <row r="23" spans="1:8" ht="15.6" x14ac:dyDescent="0.35">
      <c r="C23" s="12" t="s">
        <v>14</v>
      </c>
      <c r="E23" s="11"/>
    </row>
  </sheetData>
  <mergeCells count="1">
    <mergeCell ref="A1:K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2024-11-20T05:53:55Z</dcterms:modified>
</cp:coreProperties>
</file>