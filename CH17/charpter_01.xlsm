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F410B2A7-C767-4449-B380-B15E9B0E450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" l="1"/>
  <c r="D12" i="1"/>
  <c r="B11" i="1"/>
  <c r="D10" i="1" s="1"/>
  <c r="D15" i="1" s="1"/>
  <c r="B20" i="1" s="1"/>
  <c r="I10" i="1"/>
  <c r="C23" i="1"/>
  <c r="C21" i="1"/>
  <c r="C20" i="1"/>
  <c r="J12" i="1"/>
  <c r="J10" i="1"/>
  <c r="E17" i="1"/>
  <c r="E15" i="1"/>
  <c r="E12" i="1"/>
  <c r="E10" i="1"/>
  <c r="B21" i="1" l="1"/>
  <c r="B23" i="1" s="1"/>
  <c r="D17" i="1"/>
</calcChain>
</file>

<file path=xl/sharedStrings.xml><?xml version="1.0" encoding="utf-8"?>
<sst xmlns="http://schemas.openxmlformats.org/spreadsheetml/2006/main" count="14" uniqueCount="14">
  <si>
    <t>BINOMIAL OPTION PRICING IN A ONE-PERIOD MODEL</t>
  </si>
  <si>
    <t>Up, U</t>
  </si>
  <si>
    <t>Down, D</t>
  </si>
  <si>
    <t>Initial stock price</t>
  </si>
  <si>
    <t>Interest rate, R</t>
  </si>
  <si>
    <t>Exercise price</t>
  </si>
  <si>
    <t>Stock price</t>
  </si>
  <si>
    <t>Bond price</t>
  </si>
  <si>
    <t>Call option</t>
  </si>
  <si>
    <t>???</t>
  </si>
  <si>
    <t>Solving the portfolio problem:  A shares + B bonds combine to give option payoffs</t>
  </si>
  <si>
    <t>A</t>
  </si>
  <si>
    <t>B</t>
  </si>
  <si>
    <t>Call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</si>
</sst>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#,##0.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4" fontId="0" fillId="0" borderId="0" xfId="0" applyNumberFormat="1" applyAlignment="1"/>
    <xf numFmtId="0" fontId="0" fillId="0" borderId="0" xfId="0" applyAlignment="1">
      <alignment horizontal="left"/>
    </xf>
    <xf numFmtId="0" fontId="0" fillId="0" borderId="0" xfId="0" quotePrefix="1" applyAlignment="1"/>
    <xf numFmtId="0" fontId="3" fillId="0" borderId="0" xfId="0" applyFont="1" applyAlignment="1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right"/>
    </xf>
    <xf numFmtId="176" fontId="0" fillId="0" borderId="0" xfId="0" quotePrefix="1" applyNumberFormat="1" applyAlignment="1"/>
    <xf numFmtId="177" fontId="0" fillId="0" borderId="0" xfId="0" applyNumberFormat="1" applyAlignment="1"/>
    <xf numFmtId="177" fontId="0" fillId="0" borderId="0" xfId="0" quotePrefix="1" applyNumberFormat="1" applyAlignment="1"/>
    <xf numFmtId="0" fontId="0" fillId="2" borderId="0" xfId="0" applyFill="1" applyAlignment="1"/>
    <xf numFmtId="177" fontId="0" fillId="2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60960</xdr:rowOff>
    </xdr:from>
    <xdr:to>
      <xdr:col>3</xdr:col>
      <xdr:colOff>0</xdr:colOff>
      <xdr:row>10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126ADB69-AAC7-4B0C-B2F3-2453E4F7417C}"/>
            </a:ext>
          </a:extLst>
        </xdr:cNvPr>
        <xdr:cNvSpPr>
          <a:spLocks noChangeShapeType="1"/>
        </xdr:cNvSpPr>
      </xdr:nvSpPr>
      <xdr:spPr bwMode="auto">
        <a:xfrm flipV="1">
          <a:off x="1638300" y="164782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76200</xdr:rowOff>
    </xdr:from>
    <xdr:to>
      <xdr:col>3</xdr:col>
      <xdr:colOff>7620</xdr:colOff>
      <xdr:row>11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58A520CF-B385-4394-B3A3-91B83F3C0081}"/>
            </a:ext>
          </a:extLst>
        </xdr:cNvPr>
        <xdr:cNvSpPr>
          <a:spLocks noChangeShapeType="1"/>
        </xdr:cNvSpPr>
      </xdr:nvSpPr>
      <xdr:spPr bwMode="auto">
        <a:xfrm>
          <a:off x="1638300" y="183832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9</xdr:row>
      <xdr:rowOff>45720</xdr:rowOff>
    </xdr:from>
    <xdr:to>
      <xdr:col>8</xdr:col>
      <xdr:colOff>0</xdr:colOff>
      <xdr:row>10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1A50FFD5-E45E-4D06-9B5A-378BF000E36A}"/>
            </a:ext>
          </a:extLst>
        </xdr:cNvPr>
        <xdr:cNvSpPr>
          <a:spLocks noChangeShapeType="1"/>
        </xdr:cNvSpPr>
      </xdr:nvSpPr>
      <xdr:spPr bwMode="auto">
        <a:xfrm flipV="1">
          <a:off x="5153025" y="1638300"/>
          <a:ext cx="61912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10</xdr:row>
      <xdr:rowOff>83820</xdr:rowOff>
    </xdr:from>
    <xdr:to>
      <xdr:col>7</xdr:col>
      <xdr:colOff>495300</xdr:colOff>
      <xdr:row>11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C10E8359-CD50-4B81-924F-1A0F98654087}"/>
            </a:ext>
          </a:extLst>
        </xdr:cNvPr>
        <xdr:cNvSpPr>
          <a:spLocks noChangeShapeType="1"/>
        </xdr:cNvSpPr>
      </xdr:nvSpPr>
      <xdr:spPr bwMode="auto">
        <a:xfrm>
          <a:off x="5143500" y="1847850"/>
          <a:ext cx="4953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14</xdr:row>
      <xdr:rowOff>53340</xdr:rowOff>
    </xdr:from>
    <xdr:to>
      <xdr:col>3</xdr:col>
      <xdr:colOff>7620</xdr:colOff>
      <xdr:row>15</xdr:row>
      <xdr:rowOff>83820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6001F591-CA67-4DF6-8B4F-3C8C9DDF1A2E}"/>
            </a:ext>
          </a:extLst>
        </xdr:cNvPr>
        <xdr:cNvSpPr>
          <a:spLocks noChangeShapeType="1"/>
        </xdr:cNvSpPr>
      </xdr:nvSpPr>
      <xdr:spPr bwMode="auto">
        <a:xfrm flipV="1">
          <a:off x="1504950" y="2505075"/>
          <a:ext cx="7524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</xdr:colOff>
      <xdr:row>15</xdr:row>
      <xdr:rowOff>83820</xdr:rowOff>
    </xdr:from>
    <xdr:to>
      <xdr:col>3</xdr:col>
      <xdr:colOff>0</xdr:colOff>
      <xdr:row>16</xdr:row>
      <xdr:rowOff>76200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5917E2CE-AF84-4CC0-9868-26D7AD1F5129}"/>
            </a:ext>
          </a:extLst>
        </xdr:cNvPr>
        <xdr:cNvSpPr>
          <a:spLocks noChangeShapeType="1"/>
        </xdr:cNvSpPr>
      </xdr:nvSpPr>
      <xdr:spPr bwMode="auto">
        <a:xfrm>
          <a:off x="1647825" y="2705100"/>
          <a:ext cx="6000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11</xdr:col>
      <xdr:colOff>556260</xdr:colOff>
      <xdr:row>7</xdr:row>
      <xdr:rowOff>106680</xdr:rowOff>
    </xdr:from>
    <xdr:to>
      <xdr:col>24</xdr:col>
      <xdr:colOff>304800</xdr:colOff>
      <xdr:row>33</xdr:row>
      <xdr:rowOff>55245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BC901392-12C4-C38B-D53F-567BF048A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839200" y="1379220"/>
          <a:ext cx="7673340" cy="45186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J24"/>
  <sheetViews>
    <sheetView tabSelected="1" zoomScale="145" zoomScaleNormal="145" workbookViewId="0">
      <selection activeCell="P5" sqref="P5"/>
    </sheetView>
  </sheetViews>
  <sheetFormatPr defaultRowHeight="13.8" x14ac:dyDescent="0.25"/>
  <cols>
    <col min="1" max="1" width="15" style="2" customWidth="1"/>
    <col min="2" max="3" width="8.88671875" style="2"/>
    <col min="4" max="4" width="9.109375" style="4" customWidth="1"/>
    <col min="5" max="5" width="20" style="2" bestFit="1" customWidth="1"/>
    <col min="6" max="6" width="4.109375" style="2" customWidth="1"/>
    <col min="7" max="7" width="8.88671875" style="2"/>
    <col min="8" max="8" width="9.109375" style="4" customWidth="1"/>
    <col min="9" max="9" width="8.88671875" style="2"/>
    <col min="10" max="10" width="19" style="2" bestFit="1" customWidth="1"/>
  </cols>
  <sheetData>
    <row r="1" spans="1:10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2" t="s">
        <v>1</v>
      </c>
      <c r="B2" s="3">
        <v>1.1000000000000001</v>
      </c>
    </row>
    <row r="3" spans="1:10" x14ac:dyDescent="0.25">
      <c r="A3" s="2" t="s">
        <v>2</v>
      </c>
      <c r="B3" s="3">
        <v>0.97</v>
      </c>
    </row>
    <row r="4" spans="1:10" x14ac:dyDescent="0.25">
      <c r="I4" s="5"/>
    </row>
    <row r="5" spans="1:10" x14ac:dyDescent="0.25">
      <c r="A5" s="2" t="s">
        <v>3</v>
      </c>
      <c r="B5" s="3">
        <v>50</v>
      </c>
      <c r="I5" s="5"/>
    </row>
    <row r="6" spans="1:10" x14ac:dyDescent="0.25">
      <c r="A6" s="2" t="s">
        <v>4</v>
      </c>
      <c r="B6" s="3">
        <v>1.06</v>
      </c>
    </row>
    <row r="7" spans="1:10" x14ac:dyDescent="0.25">
      <c r="A7" s="2" t="s">
        <v>5</v>
      </c>
      <c r="B7" s="3">
        <v>50</v>
      </c>
    </row>
    <row r="9" spans="1:10" x14ac:dyDescent="0.25">
      <c r="B9" s="6" t="s">
        <v>6</v>
      </c>
      <c r="G9" s="6" t="s">
        <v>7</v>
      </c>
      <c r="H9" s="2"/>
      <c r="I9" s="4"/>
    </row>
    <row r="10" spans="1:10" x14ac:dyDescent="0.25">
      <c r="D10" s="7">
        <f>$B$11*B2</f>
        <v>55.000000000000007</v>
      </c>
      <c r="E10" s="2" t="str">
        <f ca="1">[2]!getformula(D10)</f>
        <v>&lt;--  =$B$11*B2</v>
      </c>
      <c r="H10" s="2"/>
      <c r="I10" s="7">
        <f>$G$11*$B$6</f>
        <v>1.06</v>
      </c>
      <c r="J10" s="2" t="str">
        <f ca="1">[2]!getformula(I10)</f>
        <v>&lt;--  =$G$11*$B$6</v>
      </c>
    </row>
    <row r="11" spans="1:10" x14ac:dyDescent="0.25">
      <c r="B11" s="3">
        <f>B5</f>
        <v>50</v>
      </c>
      <c r="D11" s="8"/>
      <c r="G11" s="3">
        <v>1</v>
      </c>
      <c r="H11" s="2"/>
      <c r="I11" s="8"/>
    </row>
    <row r="12" spans="1:10" x14ac:dyDescent="0.25">
      <c r="D12" s="7">
        <f>$B$11*B3</f>
        <v>48.5</v>
      </c>
      <c r="E12" s="2" t="str">
        <f ca="1">[2]!getformula(D12)</f>
        <v>&lt;--  =$B$11*B3</v>
      </c>
      <c r="H12" s="2"/>
      <c r="I12" s="7">
        <f>$G$11*$B$6</f>
        <v>1.06</v>
      </c>
      <c r="J12" s="2" t="str">
        <f ca="1">[2]!getformula(I12)</f>
        <v>&lt;--  =$G$11*$B$6</v>
      </c>
    </row>
    <row r="13" spans="1:10" x14ac:dyDescent="0.25">
      <c r="H13" s="2"/>
      <c r="I13" s="4"/>
    </row>
    <row r="14" spans="1:10" x14ac:dyDescent="0.25">
      <c r="B14" s="6" t="s">
        <v>8</v>
      </c>
      <c r="G14" s="4"/>
      <c r="H14" s="2"/>
    </row>
    <row r="15" spans="1:10" x14ac:dyDescent="0.25">
      <c r="D15" s="7">
        <f>MAX(D10-$B$7,0)</f>
        <v>5.0000000000000071</v>
      </c>
      <c r="E15" s="2" t="str">
        <f ca="1">[2]!getformula(D15)</f>
        <v>&lt;--  =MAX(D10-$B$7,0)</v>
      </c>
      <c r="G15" s="4"/>
      <c r="H15" s="2"/>
      <c r="J15" s="5"/>
    </row>
    <row r="16" spans="1:10" x14ac:dyDescent="0.25">
      <c r="B16" s="9" t="s">
        <v>9</v>
      </c>
      <c r="D16" s="8"/>
      <c r="G16" s="4"/>
      <c r="H16" s="10"/>
      <c r="J16" s="5"/>
    </row>
    <row r="17" spans="1:8" x14ac:dyDescent="0.25">
      <c r="D17" s="7">
        <f>MAX(D12-$B$7,0)</f>
        <v>0</v>
      </c>
      <c r="E17" s="2" t="str">
        <f ca="1">[2]!getformula(D17)</f>
        <v>&lt;--  =MAX(D12-$B$7,0)</v>
      </c>
      <c r="G17" s="4"/>
      <c r="H17" s="2"/>
    </row>
    <row r="18" spans="1:8" x14ac:dyDescent="0.25">
      <c r="D18" s="7"/>
      <c r="G18" s="4"/>
      <c r="H18" s="2"/>
    </row>
    <row r="19" spans="1:8" x14ac:dyDescent="0.25">
      <c r="A19" s="6" t="s">
        <v>10</v>
      </c>
      <c r="F19" s="10"/>
      <c r="G19" s="4"/>
      <c r="H19" s="2"/>
    </row>
    <row r="20" spans="1:8" x14ac:dyDescent="0.25">
      <c r="A20" s="2" t="s">
        <v>11</v>
      </c>
      <c r="B20" s="11">
        <f>D15/(D10-D12)</f>
        <v>0.7692307692307695</v>
      </c>
      <c r="C20" s="2" t="str">
        <f ca="1">[2]!getformula(B20)</f>
        <v>&lt;--  =D15/(D10-D12)</v>
      </c>
      <c r="H20" s="2"/>
    </row>
    <row r="21" spans="1:8" x14ac:dyDescent="0.25">
      <c r="A21" s="2" t="s">
        <v>12</v>
      </c>
      <c r="B21" s="12">
        <f>-D12*B20/B6</f>
        <v>-35.195936139332375</v>
      </c>
      <c r="C21" s="2" t="str">
        <f ca="1">[2]!getformula(B21)</f>
        <v>&lt;--  =-D12*B20/B6</v>
      </c>
      <c r="H21" s="2"/>
    </row>
    <row r="22" spans="1:8" x14ac:dyDescent="0.25">
      <c r="F22" s="10"/>
      <c r="G22" s="4"/>
      <c r="H22" s="2"/>
    </row>
    <row r="23" spans="1:8" x14ac:dyDescent="0.25">
      <c r="A23" s="13" t="s">
        <v>13</v>
      </c>
      <c r="B23" s="14">
        <f>B20*B5+B21</f>
        <v>3.2656023222060995</v>
      </c>
      <c r="C23" s="2" t="str">
        <f ca="1">[2]!getformula(B23)</f>
        <v>&lt;--  =B20*B5+B21</v>
      </c>
      <c r="F23" s="10"/>
      <c r="G23" s="4"/>
      <c r="H23" s="2"/>
    </row>
    <row r="24" spans="1:8" x14ac:dyDescent="0.25">
      <c r="F24" s="10"/>
      <c r="G24" s="4"/>
      <c r="H24" s="2"/>
    </row>
  </sheetData>
  <mergeCells count="1">
    <mergeCell ref="A1:J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2024-11-20T03:37:38Z</dcterms:modified>
</cp:coreProperties>
</file>