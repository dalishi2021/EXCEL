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7\"/>
    </mc:Choice>
  </mc:AlternateContent>
  <xr:revisionPtr revIDLastSave="0" documentId="13_ncr:1_{69ED89E0-DC8A-4477-BB5E-B984710004CE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7" i="1" l="1"/>
  <c r="C14" i="1"/>
  <c r="C13" i="1"/>
  <c r="B14" i="1"/>
  <c r="B13" i="1"/>
  <c r="B17" i="1" l="1"/>
</calcChain>
</file>

<file path=xl/sharedStrings.xml><?xml version="1.0" encoding="utf-8"?>
<sst xmlns="http://schemas.openxmlformats.org/spreadsheetml/2006/main" count="22" uniqueCount="21">
  <si>
    <t>ESO FUNCTION SENSITIVITY TO NUMBER OF SUBDIVISIONS n OF ONE YEAR</t>
  </si>
  <si>
    <t>S</t>
  </si>
  <si>
    <t>Current stock price</t>
  </si>
  <si>
    <t>X</t>
  </si>
  <si>
    <t>Option exercise price</t>
  </si>
  <si>
    <t>T</t>
  </si>
  <si>
    <t>Time to option exercise (in years)</t>
  </si>
  <si>
    <t>Vesting period (years)</t>
  </si>
  <si>
    <t>Interest</t>
  </si>
  <si>
    <t>Annual interest rate</t>
  </si>
  <si>
    <t>Sigma</t>
  </si>
  <si>
    <t>Riskiness of stock</t>
  </si>
  <si>
    <t>Stock dividend rate</t>
  </si>
  <si>
    <t>Annual dividend rate on stock</t>
  </si>
  <si>
    <t>Exit rate, e</t>
  </si>
  <si>
    <t>Option exercise multiple, m</t>
  </si>
  <si>
    <t>n</t>
  </si>
  <si>
    <t>Number of subdivisions of one year</t>
  </si>
  <si>
    <t>Employee stock option value</t>
  </si>
  <si>
    <t>Black-Scholes call</t>
  </si>
  <si>
    <t>Sensitivity of ESO value to number of subdivisions 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</si>
</sst>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/>
    <xf numFmtId="176" fontId="0" fillId="0" borderId="0" xfId="0" applyNumberFormat="1" applyAlignment="1"/>
    <xf numFmtId="2" fontId="0" fillId="0" borderId="0" xfId="0" applyNumberFormat="1" applyAlignment="1"/>
    <xf numFmtId="10" fontId="0" fillId="0" borderId="0" xfId="0" applyNumberFormat="1" applyAlignment="1"/>
    <xf numFmtId="9" fontId="0" fillId="0" borderId="0" xfId="0" applyNumberFormat="1" applyAlignment="1"/>
    <xf numFmtId="0" fontId="0" fillId="2" borderId="0" xfId="0" applyFill="1" applyAlignment="1"/>
    <xf numFmtId="176" fontId="0" fillId="2" borderId="0" xfId="0" applyNumberFormat="1" applyFill="1" applyAlignment="1"/>
    <xf numFmtId="0" fontId="3" fillId="0" borderId="0" xfId="0" applyFont="1" applyAlignment="1"/>
    <xf numFmtId="0" fontId="0" fillId="0" borderId="0" xfId="0" applyAlignment="1">
      <alignment horizontal="center"/>
    </xf>
    <xf numFmtId="176" fontId="0" fillId="0" borderId="0" xfId="0" applyNumberFormat="1" applyAlignment="1">
      <alignment horizontal="center"/>
    </xf>
    <xf numFmtId="0" fontId="0" fillId="3" borderId="0" xfId="0" applyFill="1" applyAlignment="1"/>
    <xf numFmtId="176" fontId="0" fillId="3" borderId="0" xfId="0" applyNumberFormat="1" applyFill="1" applyAlignment="1"/>
    <xf numFmtId="0" fontId="0" fillId="3" borderId="0" xfId="0" applyFill="1" applyAlignment="1">
      <alignment horizontal="center"/>
    </xf>
    <xf numFmtId="176" fontId="0" fillId="3" borderId="0" xfId="0" applyNumberFormat="1" applyFill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702381655652443"/>
          <c:y val="8.2539746512080306E-2"/>
          <c:w val="0.76873782235631105"/>
          <c:h val="0.70793705662284279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'[1]Page 473'!$A$18:$A$25</c:f>
              <c:numCache>
                <c:formatCode>General</c:formatCode>
                <c:ptCount val="8"/>
                <c:pt idx="0">
                  <c:v>2</c:v>
                </c:pt>
                <c:pt idx="1">
                  <c:v>5</c:v>
                </c:pt>
                <c:pt idx="2">
                  <c:v>10</c:v>
                </c:pt>
                <c:pt idx="3">
                  <c:v>25</c:v>
                </c:pt>
                <c:pt idx="4">
                  <c:v>50</c:v>
                </c:pt>
                <c:pt idx="5">
                  <c:v>75</c:v>
                </c:pt>
                <c:pt idx="6">
                  <c:v>100</c:v>
                </c:pt>
                <c:pt idx="7">
                  <c:v>200</c:v>
                </c:pt>
              </c:numCache>
            </c:numRef>
          </c:xVal>
          <c:yVal>
            <c:numRef>
              <c:f>'[1]Page 473'!$B$18:$B$25</c:f>
              <c:numCache>
                <c:formatCode>0.0000</c:formatCode>
                <c:ptCount val="8"/>
                <c:pt idx="0">
                  <c:v>12.82132442559365</c:v>
                </c:pt>
                <c:pt idx="1">
                  <c:v>13.287015644675151</c:v>
                </c:pt>
                <c:pt idx="2">
                  <c:v>13.431186183335145</c:v>
                </c:pt>
                <c:pt idx="3">
                  <c:v>13.527540754954591</c:v>
                </c:pt>
                <c:pt idx="4">
                  <c:v>13.564559664268787</c:v>
                </c:pt>
                <c:pt idx="5">
                  <c:v>13.573283665913946</c:v>
                </c:pt>
                <c:pt idx="6">
                  <c:v>13.575343687142343</c:v>
                </c:pt>
                <c:pt idx="7">
                  <c:v>13.580950432903865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99-4B2F-816E-017866E50A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6644616"/>
        <c:axId val="1"/>
      </c:scatterChart>
      <c:valAx>
        <c:axId val="426644616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Subdivisions, n</a:t>
                </a:r>
              </a:p>
            </c:rich>
          </c:tx>
          <c:layout>
            <c:manualLayout>
              <c:xMode val="edge"/>
              <c:yMode val="edge"/>
              <c:x val="0.45610348578003096"/>
              <c:y val="0.8888894440225427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  <c:majorUnit val="25"/>
      </c:valAx>
      <c:valAx>
        <c:axId val="1"/>
        <c:scaling>
          <c:orientation val="minMax"/>
          <c:max val="13.6"/>
          <c:min val="12.8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ESO</a:t>
                </a:r>
              </a:p>
            </c:rich>
          </c:tx>
          <c:layout>
            <c:manualLayout>
              <c:xMode val="edge"/>
              <c:yMode val="edge"/>
              <c:x val="2.9978562183151765E-2"/>
              <c:y val="0.3968257457665507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426644616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60960</xdr:colOff>
      <xdr:row>17</xdr:row>
      <xdr:rowOff>38100</xdr:rowOff>
    </xdr:from>
    <xdr:to>
      <xdr:col>5</xdr:col>
      <xdr:colOff>441960</xdr:colOff>
      <xdr:row>34</xdr:row>
      <xdr:rowOff>121920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19552B1-C6AE-4FA7-8416-6D53ABDF18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426720</xdr:colOff>
      <xdr:row>3</xdr:row>
      <xdr:rowOff>114300</xdr:rowOff>
    </xdr:from>
    <xdr:to>
      <xdr:col>19</xdr:col>
      <xdr:colOff>325755</xdr:colOff>
      <xdr:row>40</xdr:row>
      <xdr:rowOff>19050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7096B3E9-C367-43B3-3370-44EE16C427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8244840" y="685800"/>
          <a:ext cx="7223760" cy="63779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7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7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s 444-45"/>
      <sheetName val="Pages 444-45中文"/>
      <sheetName val="Page 446, top"/>
      <sheetName val="Page 446, top中文"/>
      <sheetName val="Page 446, bottom"/>
      <sheetName val="Page 446, bottom中文"/>
      <sheetName val="Page 448, picture"/>
      <sheetName val="Page 448，pictures中文"/>
      <sheetName val="Page 448"/>
      <sheetName val="Page 448中文"/>
      <sheetName val="Page 451"/>
      <sheetName val="Page 451中文"/>
      <sheetName val="Page 452"/>
      <sheetName val="Page 452中文"/>
      <sheetName val="Page 454"/>
      <sheetName val="Page 454 (中文)"/>
      <sheetName val="Page 457"/>
      <sheetName val="VBA option functions"/>
      <sheetName val="Page 457中文"/>
      <sheetName val="Page 458"/>
      <sheetName val="Page 458中文"/>
      <sheetName val="Page 460"/>
      <sheetName val="Page 460 (中文)"/>
      <sheetName val="Page 461"/>
      <sheetName val="Page 461 (中文)"/>
      <sheetName val="Page 462"/>
      <sheetName val="Page 462中文"/>
      <sheetName val="Page 463"/>
      <sheetName val="Page 463中文"/>
      <sheetName val="Page 464"/>
      <sheetName val="Page 464中文"/>
      <sheetName val="Page 465"/>
      <sheetName val="Page 465中文"/>
      <sheetName val="Page 466"/>
      <sheetName val="Page 466中文"/>
      <sheetName val="Page 467"/>
      <sheetName val="Page 467中文"/>
      <sheetName val="Page 473"/>
      <sheetName val="Page 473中文"/>
      <sheetName val="Page 474"/>
      <sheetName val="Page 474中文"/>
      <sheetName val="Page 475"/>
      <sheetName val="Page 475中文"/>
      <sheetName val="Page 477"/>
      <sheetName val="Page 477中文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>
        <row r="18">
          <cell r="A18">
            <v>2</v>
          </cell>
          <cell r="B18">
            <v>12.82132442559365</v>
          </cell>
        </row>
        <row r="19">
          <cell r="A19">
            <v>5</v>
          </cell>
          <cell r="B19">
            <v>13.287015644675151</v>
          </cell>
        </row>
        <row r="20">
          <cell r="A20">
            <v>10</v>
          </cell>
          <cell r="B20">
            <v>13.431186183335145</v>
          </cell>
        </row>
        <row r="21">
          <cell r="A21">
            <v>25</v>
          </cell>
          <cell r="B21">
            <v>13.527540754954591</v>
          </cell>
        </row>
        <row r="22">
          <cell r="A22">
            <v>50</v>
          </cell>
          <cell r="B22">
            <v>13.564559664268787</v>
          </cell>
        </row>
        <row r="23">
          <cell r="A23">
            <v>75</v>
          </cell>
          <cell r="B23">
            <v>13.573283665913946</v>
          </cell>
        </row>
        <row r="24">
          <cell r="A24">
            <v>100</v>
          </cell>
          <cell r="B24">
            <v>13.575343687142343</v>
          </cell>
        </row>
        <row r="25">
          <cell r="A25">
            <v>200</v>
          </cell>
          <cell r="B25">
            <v>13.580950432903865</v>
          </cell>
        </row>
      </sheetData>
      <sheetData sheetId="38"/>
      <sheetData sheetId="39"/>
      <sheetData sheetId="40"/>
      <sheetData sheetId="41"/>
      <sheetData sheetId="42"/>
      <sheetData sheetId="43"/>
      <sheetData sheetId="4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BSCall"/>
      <definedName name="ESO"/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:F25"/>
  <sheetViews>
    <sheetView tabSelected="1" zoomScale="145" zoomScaleNormal="145" workbookViewId="0">
      <selection activeCell="C15" sqref="C15"/>
    </sheetView>
  </sheetViews>
  <sheetFormatPr defaultRowHeight="13.8" x14ac:dyDescent="0.25"/>
  <cols>
    <col min="1" max="1" width="25.33203125" style="2" customWidth="1"/>
    <col min="2" max="2" width="11.5546875" style="2" bestFit="1" customWidth="1"/>
    <col min="3" max="3" width="41.5546875" style="2" customWidth="1"/>
    <col min="4" max="6" width="8.88671875" style="2"/>
  </cols>
  <sheetData>
    <row r="1" spans="1:6" ht="17.399999999999999" x14ac:dyDescent="0.25">
      <c r="A1" s="1" t="s">
        <v>0</v>
      </c>
      <c r="B1" s="1"/>
      <c r="C1" s="1"/>
      <c r="D1" s="1"/>
      <c r="E1" s="1"/>
      <c r="F1" s="1"/>
    </row>
    <row r="2" spans="1:6" x14ac:dyDescent="0.25">
      <c r="A2" s="2" t="s">
        <v>1</v>
      </c>
      <c r="B2" s="2">
        <v>50</v>
      </c>
      <c r="C2" s="2" t="s">
        <v>2</v>
      </c>
    </row>
    <row r="3" spans="1:6" x14ac:dyDescent="0.25">
      <c r="A3" s="2" t="s">
        <v>3</v>
      </c>
      <c r="B3" s="2">
        <v>50</v>
      </c>
      <c r="C3" s="2" t="s">
        <v>4</v>
      </c>
    </row>
    <row r="4" spans="1:6" x14ac:dyDescent="0.25">
      <c r="A4" s="2" t="s">
        <v>5</v>
      </c>
      <c r="B4" s="3">
        <v>10</v>
      </c>
      <c r="C4" s="2" t="s">
        <v>6</v>
      </c>
    </row>
    <row r="5" spans="1:6" x14ac:dyDescent="0.25">
      <c r="A5" s="2" t="s">
        <v>7</v>
      </c>
      <c r="B5" s="4">
        <v>3</v>
      </c>
    </row>
    <row r="6" spans="1:6" x14ac:dyDescent="0.25">
      <c r="A6" s="2" t="s">
        <v>8</v>
      </c>
      <c r="B6" s="5">
        <v>0.05</v>
      </c>
      <c r="C6" s="2" t="s">
        <v>9</v>
      </c>
    </row>
    <row r="7" spans="1:6" x14ac:dyDescent="0.25">
      <c r="A7" s="2" t="s">
        <v>10</v>
      </c>
      <c r="B7" s="6">
        <v>0.35</v>
      </c>
      <c r="C7" s="2" t="s">
        <v>11</v>
      </c>
    </row>
    <row r="8" spans="1:6" x14ac:dyDescent="0.25">
      <c r="A8" s="2" t="s">
        <v>12</v>
      </c>
      <c r="B8" s="5">
        <v>2.5000000000000001E-2</v>
      </c>
      <c r="C8" s="2" t="s">
        <v>13</v>
      </c>
    </row>
    <row r="9" spans="1:6" x14ac:dyDescent="0.25">
      <c r="A9" s="2" t="s">
        <v>14</v>
      </c>
      <c r="B9" s="5">
        <v>0.1</v>
      </c>
    </row>
    <row r="10" spans="1:6" x14ac:dyDescent="0.25">
      <c r="A10" s="2" t="s">
        <v>15</v>
      </c>
      <c r="B10" s="4">
        <v>3</v>
      </c>
    </row>
    <row r="11" spans="1:6" x14ac:dyDescent="0.25">
      <c r="A11" s="12" t="s">
        <v>16</v>
      </c>
      <c r="B11" s="12">
        <v>25</v>
      </c>
      <c r="C11" s="2" t="s">
        <v>17</v>
      </c>
    </row>
    <row r="13" spans="1:6" x14ac:dyDescent="0.25">
      <c r="A13" s="12" t="s">
        <v>18</v>
      </c>
      <c r="B13" s="13">
        <f>[2]!ESO(B2,B3,B4,B5,B6,B7,B8,B9,B10,B11)</f>
        <v>13.527540754954591</v>
      </c>
      <c r="C13" s="2" t="str">
        <f ca="1">[2]!getformula(B13)</f>
        <v>&lt;--  =ESO(B2,B3,B4,B5,B6,B7,B8,B9,B10,B11)</v>
      </c>
    </row>
    <row r="14" spans="1:6" x14ac:dyDescent="0.25">
      <c r="A14" s="7" t="s">
        <v>19</v>
      </c>
      <c r="B14" s="8">
        <f>[2]!BSCall(B2*EXP(-B8*B4),B3,B4,B6,B7)</f>
        <v>19.184213151700067</v>
      </c>
      <c r="C14" s="2" t="str">
        <f ca="1">[2]!getformula(B14)</f>
        <v>&lt;--  =BSCall(B2*EXP(-B8*B4),B3,B4,B6,B7)</v>
      </c>
    </row>
    <row r="16" spans="1:6" x14ac:dyDescent="0.25">
      <c r="A16" s="9" t="s">
        <v>20</v>
      </c>
    </row>
    <row r="17" spans="1:3" x14ac:dyDescent="0.25">
      <c r="A17" s="10" t="s">
        <v>16</v>
      </c>
      <c r="B17" s="11">
        <f>B13</f>
        <v>13.527540754954591</v>
      </c>
      <c r="C17" s="4" t="str">
        <f ca="1">[2]!getformula(B17)&amp;", data table header"</f>
        <v>&lt;--  =B13, data table header</v>
      </c>
    </row>
    <row r="18" spans="1:3" x14ac:dyDescent="0.25">
      <c r="A18" s="10">
        <v>2</v>
      </c>
      <c r="B18" s="11">
        <f t="dataTable" ref="B18:B25" dt2D="0" dtr="0" r1="B11"/>
        <v>12.82132442559365</v>
      </c>
    </row>
    <row r="19" spans="1:3" x14ac:dyDescent="0.25">
      <c r="A19" s="10">
        <v>5</v>
      </c>
      <c r="B19" s="11">
        <v>13.287015644675151</v>
      </c>
    </row>
    <row r="20" spans="1:3" x14ac:dyDescent="0.25">
      <c r="A20" s="10">
        <v>10</v>
      </c>
      <c r="B20" s="11">
        <v>13.431186183335145</v>
      </c>
    </row>
    <row r="21" spans="1:3" x14ac:dyDescent="0.25">
      <c r="A21" s="14">
        <v>25</v>
      </c>
      <c r="B21" s="15">
        <v>13.527540754954591</v>
      </c>
    </row>
    <row r="22" spans="1:3" x14ac:dyDescent="0.25">
      <c r="A22" s="14">
        <v>50</v>
      </c>
      <c r="B22" s="15">
        <v>13.564559664268787</v>
      </c>
    </row>
    <row r="23" spans="1:3" x14ac:dyDescent="0.25">
      <c r="A23" s="10">
        <v>75</v>
      </c>
      <c r="B23" s="11">
        <v>13.573283665913946</v>
      </c>
    </row>
    <row r="24" spans="1:3" x14ac:dyDescent="0.25">
      <c r="A24" s="10">
        <v>100</v>
      </c>
      <c r="B24" s="11">
        <v>13.575343687142343</v>
      </c>
    </row>
    <row r="25" spans="1:3" x14ac:dyDescent="0.25">
      <c r="A25" s="10">
        <v>200</v>
      </c>
      <c r="B25" s="11">
        <v>13.580950432903865</v>
      </c>
    </row>
  </sheetData>
  <mergeCells count="1">
    <mergeCell ref="A1:F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2024-11-21T02:58:23Z</dcterms:modified>
</cp:coreProperties>
</file>