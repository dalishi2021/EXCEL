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1BF91A42-D898-4AD3-B835-1132FF2315D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1" i="1"/>
  <c r="B8" i="1"/>
  <c r="B7" i="1"/>
  <c r="C12" i="1"/>
  <c r="C11" i="1"/>
  <c r="C8" i="1"/>
  <c r="C7" i="1"/>
</calcChain>
</file>

<file path=xl/sharedStrings.xml><?xml version="1.0" encoding="utf-8"?>
<sst xmlns="http://schemas.openxmlformats.org/spreadsheetml/2006/main" count="10" uniqueCount="10">
  <si>
    <t>Up, U</t>
  </si>
  <si>
    <t>Down, D</t>
  </si>
  <si>
    <t>Interest rate, R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</si>
  <si>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</si>
  <si>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</si>
  <si>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</si>
  <si>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Check:  Confirm that state prices actually price the stock and the bond</t>
  </si>
  <si>
    <r>
      <t>Pricing the stock:  1 = 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*U+q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*D?</t>
    </r>
  </si>
  <si>
    <t>DERIVING THE STATE PRICES</t>
    <phoneticPr fontId="1" type="noConversion"/>
  </si>
  <si>
    <r>
      <t>Pricing the bond:  R = 1/(q</t>
    </r>
    <r>
      <rPr>
        <vertAlign val="subscript"/>
        <sz val="10"/>
        <rFont val="等线"/>
        <family val="2"/>
        <charset val="134"/>
      </rPr>
      <t>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等线"/>
        <family val="2"/>
        <charset val="134"/>
      </rPr>
      <t>D)</t>
    </r>
    <r>
      <rPr>
        <sz val="11"/>
        <color theme="1"/>
        <rFont val="等线"/>
        <family val="2"/>
        <charset val="134"/>
        <scheme val="minor"/>
      </rPr>
      <t xml:space="preserve"> ?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</si>
</sst>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vertAlign val="subscript"/>
      <sz val="10"/>
      <name val="等线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4" fontId="0" fillId="0" borderId="0" xfId="0" applyNumberFormat="1" applyAlignment="1"/>
    <xf numFmtId="0" fontId="3" fillId="0" borderId="0" xfId="0" applyFont="1" applyAlignment="1"/>
    <xf numFmtId="0" fontId="0" fillId="2" borderId="0" xfId="0" applyFill="1" applyAlignment="1"/>
    <xf numFmtId="176" fontId="0" fillId="2" borderId="0" xfId="0" applyNumberFormat="1" applyFill="1" applyAlignment="1"/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464820</xdr:colOff>
      <xdr:row>5</xdr:row>
      <xdr:rowOff>45720</xdr:rowOff>
    </xdr:from>
    <xdr:to>
      <xdr:col>12</xdr:col>
      <xdr:colOff>247650</xdr:colOff>
      <xdr:row>17</xdr:row>
      <xdr:rowOff>135255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112CB85-BBE0-119B-2F25-54462CD62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0" y="967740"/>
          <a:ext cx="4648200" cy="22936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2"/>
  <sheetViews>
    <sheetView tabSelected="1" zoomScale="160" zoomScaleNormal="160" workbookViewId="0">
      <selection activeCell="K21" sqref="K21"/>
    </sheetView>
  </sheetViews>
  <sheetFormatPr defaultRowHeight="13.8" x14ac:dyDescent="0.25"/>
  <cols>
    <col min="1" max="1" width="36.109375" style="2" customWidth="1"/>
    <col min="2" max="2" width="8.88671875" style="2"/>
    <col min="3" max="3" width="22.6640625" style="2" bestFit="1" customWidth="1"/>
  </cols>
  <sheetData>
    <row r="1" spans="1:3" ht="17.399999999999999" x14ac:dyDescent="0.3">
      <c r="A1" s="1" t="s">
        <v>8</v>
      </c>
      <c r="B1" s="1"/>
      <c r="C1" s="1"/>
    </row>
    <row r="2" spans="1:3" x14ac:dyDescent="0.25">
      <c r="A2" s="2" t="s">
        <v>0</v>
      </c>
      <c r="B2" s="3">
        <v>1.1000000000000001</v>
      </c>
    </row>
    <row r="3" spans="1:3" x14ac:dyDescent="0.25">
      <c r="A3" s="2" t="s">
        <v>1</v>
      </c>
      <c r="B3" s="3">
        <v>0.97</v>
      </c>
    </row>
    <row r="4" spans="1:3" x14ac:dyDescent="0.25">
      <c r="A4" s="2" t="s">
        <v>2</v>
      </c>
      <c r="B4" s="3">
        <v>1.06</v>
      </c>
    </row>
    <row r="6" spans="1:3" x14ac:dyDescent="0.25">
      <c r="A6" s="4" t="s">
        <v>3</v>
      </c>
    </row>
    <row r="7" spans="1:3" ht="15.6" x14ac:dyDescent="0.35">
      <c r="A7" s="5" t="s">
        <v>4</v>
      </c>
      <c r="B7" s="6">
        <f>(B4-B3)/(B4*(B2-B3))</f>
        <v>0.65312046444121918</v>
      </c>
      <c r="C7" s="2" t="str">
        <f ca="1">[2]!getformula(B7)</f>
        <v>&lt;--  =(B4-B3)/(B4*(B2-B3))</v>
      </c>
    </row>
    <row r="8" spans="1:3" ht="15.6" x14ac:dyDescent="0.35">
      <c r="A8" s="5" t="s">
        <v>5</v>
      </c>
      <c r="B8" s="6">
        <f>(B2-B4)/(B4*(B2-B3))</f>
        <v>0.29027576197387517</v>
      </c>
      <c r="C8" s="2" t="str">
        <f ca="1">[2]!getformula(B8)</f>
        <v>&lt;--  =(B2-B4)/(B4*(B2-B3))</v>
      </c>
    </row>
    <row r="10" spans="1:3" x14ac:dyDescent="0.25">
      <c r="A10" s="7" t="s">
        <v>6</v>
      </c>
      <c r="B10" s="8"/>
      <c r="C10" s="8"/>
    </row>
    <row r="11" spans="1:3" ht="15.6" x14ac:dyDescent="0.35">
      <c r="A11" s="2" t="s">
        <v>7</v>
      </c>
      <c r="B11" s="2">
        <f>B7*B2+B8*B3</f>
        <v>1</v>
      </c>
      <c r="C11" s="2" t="str">
        <f ca="1">[2]!getformula(B11)</f>
        <v>&lt;--  =B7*B2+B8*B3</v>
      </c>
    </row>
    <row r="12" spans="1:3" ht="15.6" x14ac:dyDescent="0.35">
      <c r="A12" s="2" t="s">
        <v>9</v>
      </c>
      <c r="B12" s="2">
        <f>1/(B7+B8)</f>
        <v>1.06</v>
      </c>
      <c r="C12" s="2" t="str">
        <f ca="1">[2]!getformula(B12)</f>
        <v>&lt;--  =1/(B7+B8)</v>
      </c>
    </row>
  </sheetData>
  <mergeCells count="2">
    <mergeCell ref="A1:C1"/>
    <mergeCell ref="A10:C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2024-11-20T03:37:44Z</dcterms:modified>
</cp:coreProperties>
</file>