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D63A2372-77BB-4590-9914-4DD28F4D57D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9" i="1"/>
  <c r="B10" i="1"/>
  <c r="B9" i="1"/>
</calcChain>
</file>

<file path=xl/sharedStrings.xml><?xml version="1.0" encoding="utf-8"?>
<sst xmlns="http://schemas.openxmlformats.org/spreadsheetml/2006/main" count="9" uniqueCount="9">
  <si>
    <t>VBA FUNCTIONS FOR CALLS AND PUTS</t>
  </si>
  <si>
    <t>Up, U</t>
  </si>
  <si>
    <t>Down, D</t>
  </si>
  <si>
    <t>Interest rate, R</t>
  </si>
  <si>
    <t>Initial stock price, S</t>
  </si>
  <si>
    <t>Option exercise price, X</t>
  </si>
  <si>
    <t>Number of periods, n</t>
  </si>
  <si>
    <t>European call</t>
  </si>
  <si>
    <t>European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</si>
</sst>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/>
    <xf numFmtId="4" fontId="0" fillId="0" borderId="0" xfId="0" applyNumberFormat="1" applyAlignment="1"/>
    <xf numFmtId="3" fontId="0" fillId="0" borderId="0" xfId="0" applyNumberFormat="1" applyAlignment="1"/>
    <xf numFmtId="0" fontId="0" fillId="2" borderId="0" xfId="0" applyFill="1" applyAlignment="1"/>
    <xf numFmtId="176" fontId="0" fillId="2" borderId="0" xfId="0" applyNumberFormat="1" applyFill="1" applyAlignment="1"/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251460</xdr:colOff>
      <xdr:row>3</xdr:row>
      <xdr:rowOff>60960</xdr:rowOff>
    </xdr:from>
    <xdr:to>
      <xdr:col>13</xdr:col>
      <xdr:colOff>167640</xdr:colOff>
      <xdr:row>13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1518ADE-C2A7-D5C6-D539-6CFBE7598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63640" y="632460"/>
          <a:ext cx="5410200" cy="17678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eur_call"/>
      <definedName name="binomial_eur_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0"/>
  <sheetViews>
    <sheetView tabSelected="1" zoomScale="145" zoomScaleNormal="145" workbookViewId="0">
      <selection activeCell="G22" sqref="G22"/>
    </sheetView>
  </sheetViews>
  <sheetFormatPr defaultRowHeight="13.8" x14ac:dyDescent="0.25"/>
  <cols>
    <col min="1" max="1" width="31.33203125" style="1" customWidth="1"/>
    <col min="2" max="2" width="8.88671875" style="1"/>
    <col min="3" max="3" width="38.5546875" style="1" bestFit="1" customWidth="1"/>
  </cols>
  <sheetData>
    <row r="1" spans="1:3" ht="17.399999999999999" x14ac:dyDescent="0.3">
      <c r="A1" s="6" t="s">
        <v>0</v>
      </c>
      <c r="B1" s="6"/>
      <c r="C1" s="6"/>
    </row>
    <row r="2" spans="1:3" x14ac:dyDescent="0.25">
      <c r="A2" s="1" t="s">
        <v>1</v>
      </c>
      <c r="B2" s="2">
        <v>1.1000000000000001</v>
      </c>
    </row>
    <row r="3" spans="1:3" x14ac:dyDescent="0.25">
      <c r="A3" s="1" t="s">
        <v>2</v>
      </c>
      <c r="B3" s="2">
        <v>0.97</v>
      </c>
    </row>
    <row r="4" spans="1:3" x14ac:dyDescent="0.25">
      <c r="A4" s="1" t="s">
        <v>3</v>
      </c>
      <c r="B4" s="2">
        <v>1.06</v>
      </c>
    </row>
    <row r="5" spans="1:3" x14ac:dyDescent="0.25">
      <c r="A5" s="1" t="s">
        <v>4</v>
      </c>
      <c r="B5" s="2">
        <v>50</v>
      </c>
    </row>
    <row r="6" spans="1:3" x14ac:dyDescent="0.25">
      <c r="A6" s="1" t="s">
        <v>5</v>
      </c>
      <c r="B6" s="2">
        <v>50</v>
      </c>
    </row>
    <row r="7" spans="1:3" x14ac:dyDescent="0.25">
      <c r="A7" s="1" t="s">
        <v>6</v>
      </c>
      <c r="B7" s="3">
        <v>4</v>
      </c>
    </row>
    <row r="9" spans="1:3" x14ac:dyDescent="0.25">
      <c r="A9" s="4" t="s">
        <v>7</v>
      </c>
      <c r="B9" s="5">
        <f>[1]!binomial_eur_call(B2,B3,B4,B5,B6,B7)</f>
        <v>10.436036460331524</v>
      </c>
      <c r="C9" s="1" t="str">
        <f ca="1">[1]!getformula(B9)</f>
        <v>&lt;--  =binomial_eur_call(B2,B3,B4,B5,B6,B7)</v>
      </c>
    </row>
    <row r="10" spans="1:3" x14ac:dyDescent="0.25">
      <c r="A10" s="4" t="s">
        <v>8</v>
      </c>
      <c r="B10" s="5">
        <f>[1]!binomial_eur_put(B2,B3,B4,B5,B6,B7)</f>
        <v>4.0719622232543884E-2</v>
      </c>
      <c r="C10" s="1" t="str">
        <f ca="1">[1]!getformula(B10)</f>
        <v>&lt;--  =binomial_eur_put(B2,B3,B4,B5,B6,B7)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2024-11-20T08:42:14Z</dcterms:modified>
</cp:coreProperties>
</file>