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7\"/>
    </mc:Choice>
  </mc:AlternateContent>
  <xr:revisionPtr revIDLastSave="0" documentId="13_ncr:1_{A8D018A1-08BA-47CA-8525-93874300765F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1" i="1" l="1"/>
  <c r="D19" i="1"/>
  <c r="F20" i="1" s="1"/>
  <c r="H21" i="1" s="1"/>
  <c r="D17" i="1"/>
  <c r="F16" i="1" s="1"/>
  <c r="B9" i="1"/>
  <c r="B13" i="1" s="1"/>
  <c r="B8" i="1"/>
  <c r="C13" i="1"/>
  <c r="C12" i="1"/>
  <c r="C9" i="1"/>
  <c r="C8" i="1"/>
  <c r="H15" i="1" l="1"/>
  <c r="H17" i="1"/>
  <c r="F51" i="1"/>
  <c r="H31" i="1"/>
  <c r="H47" i="1"/>
  <c r="H60" i="1"/>
  <c r="F18" i="1"/>
  <c r="H19" i="1" s="1"/>
  <c r="B12" i="1"/>
  <c r="H54" i="1" l="1"/>
  <c r="H25" i="1"/>
  <c r="H41" i="1"/>
  <c r="H56" i="1"/>
  <c r="H27" i="1"/>
  <c r="H43" i="1"/>
  <c r="H29" i="1"/>
  <c r="H58" i="1"/>
  <c r="F59" i="1" s="1"/>
  <c r="H45" i="1"/>
  <c r="F57" i="1" l="1"/>
  <c r="E62" i="1"/>
  <c r="F28" i="1"/>
  <c r="F36" i="1"/>
  <c r="F30" i="1"/>
  <c r="F38" i="1"/>
  <c r="F34" i="1"/>
  <c r="F26" i="1"/>
  <c r="F55" i="1"/>
  <c r="F52" i="1"/>
  <c r="D27" i="1" l="1"/>
  <c r="D35" i="1"/>
  <c r="D29" i="1"/>
  <c r="D37" i="1"/>
  <c r="B28" i="1" l="1"/>
</calcChain>
</file>

<file path=xl/sharedStrings.xml><?xml version="1.0" encoding="utf-8"?>
<sst xmlns="http://schemas.openxmlformats.org/spreadsheetml/2006/main" count="30" uniqueCount="25">
  <si>
    <t>TIME-DEPENDENT EXERCISE PRICES</t>
  </si>
  <si>
    <t>Initial stock price</t>
  </si>
  <si>
    <t>Exercise prices</t>
  </si>
  <si>
    <t>Up</t>
  </si>
  <si>
    <t>Date 1</t>
  </si>
  <si>
    <t>Down</t>
  </si>
  <si>
    <t>Date 2</t>
  </si>
  <si>
    <t>Interest rate</t>
  </si>
  <si>
    <t>Date 3</t>
  </si>
  <si>
    <t>State prices</t>
  </si>
  <si>
    <r>
      <t>q</t>
    </r>
    <r>
      <rPr>
        <vertAlign val="subscript"/>
        <sz val="10"/>
        <rFont val="Arial"/>
        <family val="2"/>
      </rPr>
      <t>U</t>
    </r>
  </si>
  <si>
    <r>
      <t>q</t>
    </r>
    <r>
      <rPr>
        <vertAlign val="subscript"/>
        <sz val="10"/>
        <rFont val="Arial"/>
        <family val="2"/>
      </rPr>
      <t>D</t>
    </r>
  </si>
  <si>
    <t>Check</t>
  </si>
  <si>
    <r>
      <t>1/(q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>+q</t>
    </r>
    <r>
      <rPr>
        <vertAlign val="subscript"/>
        <sz val="10"/>
        <rFont val="Arial"/>
        <family val="2"/>
      </rPr>
      <t>D</t>
    </r>
    <r>
      <rPr>
        <sz val="11"/>
        <color theme="1"/>
        <rFont val="等线"/>
        <family val="2"/>
        <charset val="134"/>
        <scheme val="minor"/>
      </rPr>
      <t>)</t>
    </r>
  </si>
  <si>
    <r>
      <t>q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>*Up+q</t>
    </r>
    <r>
      <rPr>
        <vertAlign val="subscript"/>
        <sz val="10"/>
        <rFont val="Arial"/>
        <family val="2"/>
      </rPr>
      <t>D</t>
    </r>
    <r>
      <rPr>
        <sz val="11"/>
        <color theme="1"/>
        <rFont val="等线"/>
        <family val="2"/>
        <charset val="134"/>
        <scheme val="minor"/>
      </rPr>
      <t>*Down</t>
    </r>
  </si>
  <si>
    <t>Stock price</t>
  </si>
  <si>
    <t>Date 0</t>
  </si>
  <si>
    <t>Value at each node</t>
  </si>
  <si>
    <t>&lt;-- =MAX(H16-E6,0)</t>
  </si>
  <si>
    <t>&lt;-- =MAX(H18-E6,0)</t>
  </si>
  <si>
    <t>Early exercise?</t>
  </si>
  <si>
    <t>Illustration--Date 3 payoffs</t>
  </si>
  <si>
    <t>exercise</t>
  </si>
  <si>
    <t>PV</t>
  </si>
  <si>
    <t>Illustration--Date 2 &amp; 3 market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</si>
</sst>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0" borderId="0" xfId="0" applyAlignment="1"/>
    <xf numFmtId="0" fontId="3" fillId="0" borderId="0" xfId="0" applyFont="1" applyAlignment="1">
      <alignment horizontal="centerContinuous"/>
    </xf>
    <xf numFmtId="0" fontId="3" fillId="0" borderId="0" xfId="0" applyFont="1" applyAlignment="1"/>
    <xf numFmtId="2" fontId="0" fillId="0" borderId="0" xfId="0" applyNumberFormat="1" applyAlignment="1"/>
    <xf numFmtId="176" fontId="0" fillId="0" borderId="0" xfId="0" applyNumberFormat="1" applyAlignment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177" fontId="0" fillId="0" borderId="0" xfId="0" applyNumberFormat="1" applyAlignment="1">
      <alignment horizontal="center"/>
    </xf>
    <xf numFmtId="177" fontId="0" fillId="0" borderId="0" xfId="0" applyNumberFormat="1" applyAlignment="1"/>
    <xf numFmtId="0" fontId="0" fillId="0" borderId="1" xfId="0" applyBorder="1" applyAlignment="1"/>
    <xf numFmtId="177" fontId="0" fillId="0" borderId="2" xfId="0" applyNumberFormat="1" applyBorder="1" applyAlignment="1"/>
    <xf numFmtId="0" fontId="0" fillId="0" borderId="3" xfId="0" applyBorder="1" applyAlignment="1"/>
    <xf numFmtId="177" fontId="0" fillId="0" borderId="4" xfId="0" applyNumberFormat="1" applyBorder="1" applyAlignment="1"/>
    <xf numFmtId="177" fontId="0" fillId="0" borderId="0" xfId="0" applyNumberFormat="1" applyAlignment="1">
      <alignment horizontal="left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53340</xdr:rowOff>
    </xdr:from>
    <xdr:to>
      <xdr:col>5</xdr:col>
      <xdr:colOff>7620</xdr:colOff>
      <xdr:row>16</xdr:row>
      <xdr:rowOff>60960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83B31C8E-2C9A-46EC-8EBA-66C03F65E8BB}"/>
            </a:ext>
          </a:extLst>
        </xdr:cNvPr>
        <xdr:cNvSpPr>
          <a:spLocks noChangeShapeType="1"/>
        </xdr:cNvSpPr>
      </xdr:nvSpPr>
      <xdr:spPr bwMode="auto">
        <a:xfrm flipV="1">
          <a:off x="3429000" y="2790825"/>
          <a:ext cx="619125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</xdr:colOff>
      <xdr:row>16</xdr:row>
      <xdr:rowOff>76200</xdr:rowOff>
    </xdr:from>
    <xdr:to>
      <xdr:col>5</xdr:col>
      <xdr:colOff>7620</xdr:colOff>
      <xdr:row>17</xdr:row>
      <xdr:rowOff>53340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BF3B3C6D-8A38-4C6D-AD31-DC525E38F52D}"/>
            </a:ext>
          </a:extLst>
        </xdr:cNvPr>
        <xdr:cNvSpPr>
          <a:spLocks noChangeShapeType="1"/>
        </xdr:cNvSpPr>
      </xdr:nvSpPr>
      <xdr:spPr bwMode="auto">
        <a:xfrm>
          <a:off x="3438525" y="2981325"/>
          <a:ext cx="609600" cy="1524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14</xdr:row>
      <xdr:rowOff>76200</xdr:rowOff>
    </xdr:from>
    <xdr:to>
      <xdr:col>7</xdr:col>
      <xdr:colOff>0</xdr:colOff>
      <xdr:row>15</xdr:row>
      <xdr:rowOff>53340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55C7B36A-BD7D-45F2-92AB-7F4FFCA9940A}"/>
            </a:ext>
          </a:extLst>
        </xdr:cNvPr>
        <xdr:cNvSpPr>
          <a:spLocks noChangeShapeType="1"/>
        </xdr:cNvSpPr>
      </xdr:nvSpPr>
      <xdr:spPr bwMode="auto">
        <a:xfrm flipV="1">
          <a:off x="4648200" y="2638425"/>
          <a:ext cx="609600" cy="1524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</xdr:colOff>
      <xdr:row>15</xdr:row>
      <xdr:rowOff>68580</xdr:rowOff>
    </xdr:from>
    <xdr:to>
      <xdr:col>7</xdr:col>
      <xdr:colOff>0</xdr:colOff>
      <xdr:row>16</xdr:row>
      <xdr:rowOff>53340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94DF50E3-C67E-4EF5-9721-ED7A6E9C7B29}"/>
            </a:ext>
          </a:extLst>
        </xdr:cNvPr>
        <xdr:cNvSpPr>
          <a:spLocks noChangeShapeType="1"/>
        </xdr:cNvSpPr>
      </xdr:nvSpPr>
      <xdr:spPr bwMode="auto">
        <a:xfrm>
          <a:off x="4657725" y="2800350"/>
          <a:ext cx="600075" cy="16192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16</xdr:row>
      <xdr:rowOff>60960</xdr:rowOff>
    </xdr:from>
    <xdr:to>
      <xdr:col>7</xdr:col>
      <xdr:colOff>0</xdr:colOff>
      <xdr:row>17</xdr:row>
      <xdr:rowOff>68580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75856DF2-2AB1-40F4-968B-9C5B2DAD40E9}"/>
            </a:ext>
          </a:extLst>
        </xdr:cNvPr>
        <xdr:cNvSpPr>
          <a:spLocks noChangeShapeType="1"/>
        </xdr:cNvSpPr>
      </xdr:nvSpPr>
      <xdr:spPr bwMode="auto">
        <a:xfrm flipH="1">
          <a:off x="4648200" y="2962275"/>
          <a:ext cx="609600" cy="18097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17</xdr:row>
      <xdr:rowOff>76200</xdr:rowOff>
    </xdr:from>
    <xdr:to>
      <xdr:col>7</xdr:col>
      <xdr:colOff>0</xdr:colOff>
      <xdr:row>18</xdr:row>
      <xdr:rowOff>60960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1B8BC6C2-EA25-44E3-A84F-793AEE0AB81C}"/>
            </a:ext>
          </a:extLst>
        </xdr:cNvPr>
        <xdr:cNvSpPr>
          <a:spLocks noChangeShapeType="1"/>
        </xdr:cNvSpPr>
      </xdr:nvSpPr>
      <xdr:spPr bwMode="auto">
        <a:xfrm>
          <a:off x="4648200" y="3152775"/>
          <a:ext cx="609600" cy="1524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18</xdr:row>
      <xdr:rowOff>68580</xdr:rowOff>
    </xdr:from>
    <xdr:to>
      <xdr:col>7</xdr:col>
      <xdr:colOff>0</xdr:colOff>
      <xdr:row>19</xdr:row>
      <xdr:rowOff>68580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160C1614-0228-4C66-A0C8-7E05A7021930}"/>
            </a:ext>
          </a:extLst>
        </xdr:cNvPr>
        <xdr:cNvSpPr>
          <a:spLocks noChangeShapeType="1"/>
        </xdr:cNvSpPr>
      </xdr:nvSpPr>
      <xdr:spPr bwMode="auto">
        <a:xfrm flipH="1">
          <a:off x="4648200" y="3314700"/>
          <a:ext cx="609600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15240</xdr:colOff>
      <xdr:row>19</xdr:row>
      <xdr:rowOff>68580</xdr:rowOff>
    </xdr:from>
    <xdr:to>
      <xdr:col>7</xdr:col>
      <xdr:colOff>7620</xdr:colOff>
      <xdr:row>20</xdr:row>
      <xdr:rowOff>76200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214FD405-0E1D-44AF-B61A-E3EF9C4C3F15}"/>
            </a:ext>
          </a:extLst>
        </xdr:cNvPr>
        <xdr:cNvSpPr>
          <a:spLocks noChangeShapeType="1"/>
        </xdr:cNvSpPr>
      </xdr:nvSpPr>
      <xdr:spPr bwMode="auto">
        <a:xfrm>
          <a:off x="4667250" y="3486150"/>
          <a:ext cx="600075" cy="18097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480060</xdr:colOff>
      <xdr:row>16</xdr:row>
      <xdr:rowOff>68580</xdr:rowOff>
    </xdr:from>
    <xdr:to>
      <xdr:col>3</xdr:col>
      <xdr:colOff>0</xdr:colOff>
      <xdr:row>17</xdr:row>
      <xdr:rowOff>68580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id="{F122327C-D14D-4E75-8135-5097DF8CFB54}"/>
            </a:ext>
          </a:extLst>
        </xdr:cNvPr>
        <xdr:cNvSpPr>
          <a:spLocks noChangeShapeType="1"/>
        </xdr:cNvSpPr>
      </xdr:nvSpPr>
      <xdr:spPr bwMode="auto">
        <a:xfrm flipH="1">
          <a:off x="2076450" y="2971800"/>
          <a:ext cx="742950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472440</xdr:colOff>
      <xdr:row>17</xdr:row>
      <xdr:rowOff>76200</xdr:rowOff>
    </xdr:from>
    <xdr:to>
      <xdr:col>3</xdr:col>
      <xdr:colOff>0</xdr:colOff>
      <xdr:row>18</xdr:row>
      <xdr:rowOff>83820</xdr:rowOff>
    </xdr:to>
    <xdr:sp macro="" textlink="">
      <xdr:nvSpPr>
        <xdr:cNvPr id="11" name="Line 10">
          <a:extLst>
            <a:ext uri="{FF2B5EF4-FFF2-40B4-BE49-F238E27FC236}">
              <a16:creationId xmlns:a16="http://schemas.microsoft.com/office/drawing/2014/main" id="{802DC4FA-E941-4C52-BC8A-F3E4104ED0E0}"/>
            </a:ext>
          </a:extLst>
        </xdr:cNvPr>
        <xdr:cNvSpPr>
          <a:spLocks noChangeShapeType="1"/>
        </xdr:cNvSpPr>
      </xdr:nvSpPr>
      <xdr:spPr bwMode="auto">
        <a:xfrm>
          <a:off x="2076450" y="3152775"/>
          <a:ext cx="742950" cy="18097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25</xdr:row>
      <xdr:rowOff>53340</xdr:rowOff>
    </xdr:from>
    <xdr:to>
      <xdr:col>5</xdr:col>
      <xdr:colOff>7620</xdr:colOff>
      <xdr:row>26</xdr:row>
      <xdr:rowOff>60960</xdr:rowOff>
    </xdr:to>
    <xdr:sp macro="" textlink="">
      <xdr:nvSpPr>
        <xdr:cNvPr id="12" name="Line 11">
          <a:extLst>
            <a:ext uri="{FF2B5EF4-FFF2-40B4-BE49-F238E27FC236}">
              <a16:creationId xmlns:a16="http://schemas.microsoft.com/office/drawing/2014/main" id="{80243548-6957-4C9A-A432-367EF09807AB}"/>
            </a:ext>
          </a:extLst>
        </xdr:cNvPr>
        <xdr:cNvSpPr>
          <a:spLocks noChangeShapeType="1"/>
        </xdr:cNvSpPr>
      </xdr:nvSpPr>
      <xdr:spPr bwMode="auto">
        <a:xfrm flipV="1">
          <a:off x="3429000" y="4505325"/>
          <a:ext cx="619125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</xdr:colOff>
      <xdr:row>26</xdr:row>
      <xdr:rowOff>76200</xdr:rowOff>
    </xdr:from>
    <xdr:to>
      <xdr:col>5</xdr:col>
      <xdr:colOff>7620</xdr:colOff>
      <xdr:row>27</xdr:row>
      <xdr:rowOff>53340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C174C390-2850-4936-9F7C-DF7B912CC1FA}"/>
            </a:ext>
          </a:extLst>
        </xdr:cNvPr>
        <xdr:cNvSpPr>
          <a:spLocks noChangeShapeType="1"/>
        </xdr:cNvSpPr>
      </xdr:nvSpPr>
      <xdr:spPr bwMode="auto">
        <a:xfrm>
          <a:off x="3438525" y="4695825"/>
          <a:ext cx="6096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24</xdr:row>
      <xdr:rowOff>76200</xdr:rowOff>
    </xdr:from>
    <xdr:to>
      <xdr:col>7</xdr:col>
      <xdr:colOff>0</xdr:colOff>
      <xdr:row>25</xdr:row>
      <xdr:rowOff>53340</xdr:rowOff>
    </xdr:to>
    <xdr:sp macro="" textlink="">
      <xdr:nvSpPr>
        <xdr:cNvPr id="14" name="Line 13">
          <a:extLst>
            <a:ext uri="{FF2B5EF4-FFF2-40B4-BE49-F238E27FC236}">
              <a16:creationId xmlns:a16="http://schemas.microsoft.com/office/drawing/2014/main" id="{673D581F-25EC-4A70-8AAF-0BD9BAEBF897}"/>
            </a:ext>
          </a:extLst>
        </xdr:cNvPr>
        <xdr:cNvSpPr>
          <a:spLocks noChangeShapeType="1"/>
        </xdr:cNvSpPr>
      </xdr:nvSpPr>
      <xdr:spPr bwMode="auto">
        <a:xfrm flipV="1">
          <a:off x="4648200" y="4352925"/>
          <a:ext cx="609600" cy="1524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</xdr:colOff>
      <xdr:row>25</xdr:row>
      <xdr:rowOff>68580</xdr:rowOff>
    </xdr:from>
    <xdr:to>
      <xdr:col>7</xdr:col>
      <xdr:colOff>0</xdr:colOff>
      <xdr:row>26</xdr:row>
      <xdr:rowOff>53340</xdr:rowOff>
    </xdr:to>
    <xdr:sp macro="" textlink="">
      <xdr:nvSpPr>
        <xdr:cNvPr id="15" name="Line 14">
          <a:extLst>
            <a:ext uri="{FF2B5EF4-FFF2-40B4-BE49-F238E27FC236}">
              <a16:creationId xmlns:a16="http://schemas.microsoft.com/office/drawing/2014/main" id="{CA8D8DBD-E650-449F-A480-F47CFEB26A62}"/>
            </a:ext>
          </a:extLst>
        </xdr:cNvPr>
        <xdr:cNvSpPr>
          <a:spLocks noChangeShapeType="1"/>
        </xdr:cNvSpPr>
      </xdr:nvSpPr>
      <xdr:spPr bwMode="auto">
        <a:xfrm>
          <a:off x="4657725" y="4514850"/>
          <a:ext cx="600075" cy="16192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26</xdr:row>
      <xdr:rowOff>60960</xdr:rowOff>
    </xdr:from>
    <xdr:to>
      <xdr:col>7</xdr:col>
      <xdr:colOff>0</xdr:colOff>
      <xdr:row>27</xdr:row>
      <xdr:rowOff>68580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9621A6D4-0AD6-4320-9D21-F76E2BAC636A}"/>
            </a:ext>
          </a:extLst>
        </xdr:cNvPr>
        <xdr:cNvSpPr>
          <a:spLocks noChangeShapeType="1"/>
        </xdr:cNvSpPr>
      </xdr:nvSpPr>
      <xdr:spPr bwMode="auto">
        <a:xfrm flipH="1">
          <a:off x="4648200" y="4676775"/>
          <a:ext cx="609600" cy="18097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27</xdr:row>
      <xdr:rowOff>76200</xdr:rowOff>
    </xdr:from>
    <xdr:to>
      <xdr:col>7</xdr:col>
      <xdr:colOff>0</xdr:colOff>
      <xdr:row>28</xdr:row>
      <xdr:rowOff>60960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31C2CD95-4364-4ED8-ABEC-5FD607512762}"/>
            </a:ext>
          </a:extLst>
        </xdr:cNvPr>
        <xdr:cNvSpPr>
          <a:spLocks noChangeShapeType="1"/>
        </xdr:cNvSpPr>
      </xdr:nvSpPr>
      <xdr:spPr bwMode="auto">
        <a:xfrm>
          <a:off x="4648200" y="4867275"/>
          <a:ext cx="609600" cy="1524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28</xdr:row>
      <xdr:rowOff>68580</xdr:rowOff>
    </xdr:from>
    <xdr:to>
      <xdr:col>7</xdr:col>
      <xdr:colOff>0</xdr:colOff>
      <xdr:row>29</xdr:row>
      <xdr:rowOff>68580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A29B949F-8C99-40C1-975B-AFC02D95C86F}"/>
            </a:ext>
          </a:extLst>
        </xdr:cNvPr>
        <xdr:cNvSpPr>
          <a:spLocks noChangeShapeType="1"/>
        </xdr:cNvSpPr>
      </xdr:nvSpPr>
      <xdr:spPr bwMode="auto">
        <a:xfrm flipH="1">
          <a:off x="4648200" y="5029200"/>
          <a:ext cx="609600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480060</xdr:colOff>
      <xdr:row>26</xdr:row>
      <xdr:rowOff>68580</xdr:rowOff>
    </xdr:from>
    <xdr:to>
      <xdr:col>3</xdr:col>
      <xdr:colOff>0</xdr:colOff>
      <xdr:row>27</xdr:row>
      <xdr:rowOff>68580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E6B4E8AF-C02E-4370-AEB8-0105B8B4B78A}"/>
            </a:ext>
          </a:extLst>
        </xdr:cNvPr>
        <xdr:cNvSpPr>
          <a:spLocks noChangeShapeType="1"/>
        </xdr:cNvSpPr>
      </xdr:nvSpPr>
      <xdr:spPr bwMode="auto">
        <a:xfrm flipH="1">
          <a:off x="2076450" y="4686300"/>
          <a:ext cx="742950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472440</xdr:colOff>
      <xdr:row>27</xdr:row>
      <xdr:rowOff>76200</xdr:rowOff>
    </xdr:from>
    <xdr:to>
      <xdr:col>3</xdr:col>
      <xdr:colOff>0</xdr:colOff>
      <xdr:row>28</xdr:row>
      <xdr:rowOff>83820</xdr:rowOff>
    </xdr:to>
    <xdr:sp macro="" textlink="">
      <xdr:nvSpPr>
        <xdr:cNvPr id="20" name="Line 19">
          <a:extLst>
            <a:ext uri="{FF2B5EF4-FFF2-40B4-BE49-F238E27FC236}">
              <a16:creationId xmlns:a16="http://schemas.microsoft.com/office/drawing/2014/main" id="{F9B2ADBA-143C-44E2-83D6-EF965D6EA266}"/>
            </a:ext>
          </a:extLst>
        </xdr:cNvPr>
        <xdr:cNvSpPr>
          <a:spLocks noChangeShapeType="1"/>
        </xdr:cNvSpPr>
      </xdr:nvSpPr>
      <xdr:spPr bwMode="auto">
        <a:xfrm>
          <a:off x="2076450" y="4867275"/>
          <a:ext cx="742950" cy="18097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481</xdr:row>
      <xdr:rowOff>0</xdr:rowOff>
    </xdr:from>
    <xdr:to>
      <xdr:col>7</xdr:col>
      <xdr:colOff>7620</xdr:colOff>
      <xdr:row>481</xdr:row>
      <xdr:rowOff>0</xdr:rowOff>
    </xdr:to>
    <xdr:sp macro="" textlink="">
      <xdr:nvSpPr>
        <xdr:cNvPr id="21" name="Line 20">
          <a:extLst>
            <a:ext uri="{FF2B5EF4-FFF2-40B4-BE49-F238E27FC236}">
              <a16:creationId xmlns:a16="http://schemas.microsoft.com/office/drawing/2014/main" id="{9CB6C411-DC1D-4313-BF20-E972AB8CF9FF}"/>
            </a:ext>
          </a:extLst>
        </xdr:cNvPr>
        <xdr:cNvSpPr>
          <a:spLocks noChangeShapeType="1"/>
        </xdr:cNvSpPr>
      </xdr:nvSpPr>
      <xdr:spPr bwMode="auto">
        <a:xfrm flipV="1">
          <a:off x="4648200" y="82619850"/>
          <a:ext cx="619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</xdr:colOff>
      <xdr:row>481</xdr:row>
      <xdr:rowOff>0</xdr:rowOff>
    </xdr:from>
    <xdr:to>
      <xdr:col>7</xdr:col>
      <xdr:colOff>7620</xdr:colOff>
      <xdr:row>481</xdr:row>
      <xdr:rowOff>0</xdr:rowOff>
    </xdr:to>
    <xdr:sp macro="" textlink="">
      <xdr:nvSpPr>
        <xdr:cNvPr id="22" name="Line 21">
          <a:extLst>
            <a:ext uri="{FF2B5EF4-FFF2-40B4-BE49-F238E27FC236}">
              <a16:creationId xmlns:a16="http://schemas.microsoft.com/office/drawing/2014/main" id="{97E5BFC6-9F17-447F-8135-A5EA27758FF9}"/>
            </a:ext>
          </a:extLst>
        </xdr:cNvPr>
        <xdr:cNvSpPr>
          <a:spLocks noChangeShapeType="1"/>
        </xdr:cNvSpPr>
      </xdr:nvSpPr>
      <xdr:spPr bwMode="auto">
        <a:xfrm>
          <a:off x="4657725" y="82619850"/>
          <a:ext cx="609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481</xdr:row>
      <xdr:rowOff>0</xdr:rowOff>
    </xdr:from>
    <xdr:to>
      <xdr:col>9</xdr:col>
      <xdr:colOff>0</xdr:colOff>
      <xdr:row>481</xdr:row>
      <xdr:rowOff>0</xdr:rowOff>
    </xdr:to>
    <xdr:sp macro="" textlink="">
      <xdr:nvSpPr>
        <xdr:cNvPr id="23" name="Line 22">
          <a:extLst>
            <a:ext uri="{FF2B5EF4-FFF2-40B4-BE49-F238E27FC236}">
              <a16:creationId xmlns:a16="http://schemas.microsoft.com/office/drawing/2014/main" id="{45A8ACC2-9F13-46EA-8D7D-F78681F1DAC6}"/>
            </a:ext>
          </a:extLst>
        </xdr:cNvPr>
        <xdr:cNvSpPr>
          <a:spLocks noChangeShapeType="1"/>
        </xdr:cNvSpPr>
      </xdr:nvSpPr>
      <xdr:spPr bwMode="auto">
        <a:xfrm flipV="1">
          <a:off x="5867400" y="82619850"/>
          <a:ext cx="2533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7620</xdr:colOff>
      <xdr:row>481</xdr:row>
      <xdr:rowOff>0</xdr:rowOff>
    </xdr:from>
    <xdr:to>
      <xdr:col>9</xdr:col>
      <xdr:colOff>0</xdr:colOff>
      <xdr:row>481</xdr:row>
      <xdr:rowOff>0</xdr:rowOff>
    </xdr:to>
    <xdr:sp macro="" textlink="">
      <xdr:nvSpPr>
        <xdr:cNvPr id="24" name="Line 23">
          <a:extLst>
            <a:ext uri="{FF2B5EF4-FFF2-40B4-BE49-F238E27FC236}">
              <a16:creationId xmlns:a16="http://schemas.microsoft.com/office/drawing/2014/main" id="{9C3EDD4F-615A-4866-B5CA-80F213671235}"/>
            </a:ext>
          </a:extLst>
        </xdr:cNvPr>
        <xdr:cNvSpPr>
          <a:spLocks noChangeShapeType="1"/>
        </xdr:cNvSpPr>
      </xdr:nvSpPr>
      <xdr:spPr bwMode="auto">
        <a:xfrm>
          <a:off x="5876925" y="82619850"/>
          <a:ext cx="2524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481</xdr:row>
      <xdr:rowOff>0</xdr:rowOff>
    </xdr:from>
    <xdr:to>
      <xdr:col>9</xdr:col>
      <xdr:colOff>0</xdr:colOff>
      <xdr:row>481</xdr:row>
      <xdr:rowOff>0</xdr:rowOff>
    </xdr:to>
    <xdr:sp macro="" textlink="">
      <xdr:nvSpPr>
        <xdr:cNvPr id="25" name="Line 24">
          <a:extLst>
            <a:ext uri="{FF2B5EF4-FFF2-40B4-BE49-F238E27FC236}">
              <a16:creationId xmlns:a16="http://schemas.microsoft.com/office/drawing/2014/main" id="{D3ADB736-0EBF-4F6A-8E1F-A54E76D96130}"/>
            </a:ext>
          </a:extLst>
        </xdr:cNvPr>
        <xdr:cNvSpPr>
          <a:spLocks noChangeShapeType="1"/>
        </xdr:cNvSpPr>
      </xdr:nvSpPr>
      <xdr:spPr bwMode="auto">
        <a:xfrm flipH="1">
          <a:off x="5867400" y="82619850"/>
          <a:ext cx="2533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481</xdr:row>
      <xdr:rowOff>0</xdr:rowOff>
    </xdr:from>
    <xdr:to>
      <xdr:col>9</xdr:col>
      <xdr:colOff>0</xdr:colOff>
      <xdr:row>481</xdr:row>
      <xdr:rowOff>0</xdr:rowOff>
    </xdr:to>
    <xdr:sp macro="" textlink="">
      <xdr:nvSpPr>
        <xdr:cNvPr id="26" name="Line 25">
          <a:extLst>
            <a:ext uri="{FF2B5EF4-FFF2-40B4-BE49-F238E27FC236}">
              <a16:creationId xmlns:a16="http://schemas.microsoft.com/office/drawing/2014/main" id="{F6C41C8B-56CC-4A3E-A88E-3AAF4586B967}"/>
            </a:ext>
          </a:extLst>
        </xdr:cNvPr>
        <xdr:cNvSpPr>
          <a:spLocks noChangeShapeType="1"/>
        </xdr:cNvSpPr>
      </xdr:nvSpPr>
      <xdr:spPr bwMode="auto">
        <a:xfrm>
          <a:off x="5867400" y="82619850"/>
          <a:ext cx="2533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481</xdr:row>
      <xdr:rowOff>0</xdr:rowOff>
    </xdr:from>
    <xdr:to>
      <xdr:col>9</xdr:col>
      <xdr:colOff>0</xdr:colOff>
      <xdr:row>481</xdr:row>
      <xdr:rowOff>0</xdr:rowOff>
    </xdr:to>
    <xdr:sp macro="" textlink="">
      <xdr:nvSpPr>
        <xdr:cNvPr id="27" name="Line 26">
          <a:extLst>
            <a:ext uri="{FF2B5EF4-FFF2-40B4-BE49-F238E27FC236}">
              <a16:creationId xmlns:a16="http://schemas.microsoft.com/office/drawing/2014/main" id="{73F33D7F-51F7-47F8-ACF8-D2CE8A07A5BC}"/>
            </a:ext>
          </a:extLst>
        </xdr:cNvPr>
        <xdr:cNvSpPr>
          <a:spLocks noChangeShapeType="1"/>
        </xdr:cNvSpPr>
      </xdr:nvSpPr>
      <xdr:spPr bwMode="auto">
        <a:xfrm flipH="1">
          <a:off x="5867400" y="82619850"/>
          <a:ext cx="2533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15240</xdr:colOff>
      <xdr:row>481</xdr:row>
      <xdr:rowOff>0</xdr:rowOff>
    </xdr:from>
    <xdr:to>
      <xdr:col>9</xdr:col>
      <xdr:colOff>7620</xdr:colOff>
      <xdr:row>481</xdr:row>
      <xdr:rowOff>0</xdr:rowOff>
    </xdr:to>
    <xdr:sp macro="" textlink="">
      <xdr:nvSpPr>
        <xdr:cNvPr id="28" name="Line 27">
          <a:extLst>
            <a:ext uri="{FF2B5EF4-FFF2-40B4-BE49-F238E27FC236}">
              <a16:creationId xmlns:a16="http://schemas.microsoft.com/office/drawing/2014/main" id="{A5FF0720-5252-4743-8C3A-30992938D5EE}"/>
            </a:ext>
          </a:extLst>
        </xdr:cNvPr>
        <xdr:cNvSpPr>
          <a:spLocks noChangeShapeType="1"/>
        </xdr:cNvSpPr>
      </xdr:nvSpPr>
      <xdr:spPr bwMode="auto">
        <a:xfrm>
          <a:off x="5886450" y="82619850"/>
          <a:ext cx="2524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480060</xdr:colOff>
      <xdr:row>481</xdr:row>
      <xdr:rowOff>0</xdr:rowOff>
    </xdr:from>
    <xdr:to>
      <xdr:col>5</xdr:col>
      <xdr:colOff>0</xdr:colOff>
      <xdr:row>481</xdr:row>
      <xdr:rowOff>0</xdr:rowOff>
    </xdr:to>
    <xdr:sp macro="" textlink="">
      <xdr:nvSpPr>
        <xdr:cNvPr id="29" name="Line 28">
          <a:extLst>
            <a:ext uri="{FF2B5EF4-FFF2-40B4-BE49-F238E27FC236}">
              <a16:creationId xmlns:a16="http://schemas.microsoft.com/office/drawing/2014/main" id="{614E6697-58BE-45A5-A684-F4C3B56B5BEC}"/>
            </a:ext>
          </a:extLst>
        </xdr:cNvPr>
        <xdr:cNvSpPr>
          <a:spLocks noChangeShapeType="1"/>
        </xdr:cNvSpPr>
      </xdr:nvSpPr>
      <xdr:spPr bwMode="auto">
        <a:xfrm flipH="1">
          <a:off x="3295650" y="82619850"/>
          <a:ext cx="7429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472440</xdr:colOff>
      <xdr:row>481</xdr:row>
      <xdr:rowOff>0</xdr:rowOff>
    </xdr:from>
    <xdr:to>
      <xdr:col>5</xdr:col>
      <xdr:colOff>0</xdr:colOff>
      <xdr:row>481</xdr:row>
      <xdr:rowOff>0</xdr:rowOff>
    </xdr:to>
    <xdr:sp macro="" textlink="">
      <xdr:nvSpPr>
        <xdr:cNvPr id="30" name="Line 29">
          <a:extLst>
            <a:ext uri="{FF2B5EF4-FFF2-40B4-BE49-F238E27FC236}">
              <a16:creationId xmlns:a16="http://schemas.microsoft.com/office/drawing/2014/main" id="{124F7783-A802-440B-93C8-76D89B9E198A}"/>
            </a:ext>
          </a:extLst>
        </xdr:cNvPr>
        <xdr:cNvSpPr>
          <a:spLocks noChangeShapeType="1"/>
        </xdr:cNvSpPr>
      </xdr:nvSpPr>
      <xdr:spPr bwMode="auto">
        <a:xfrm>
          <a:off x="3295650" y="82619850"/>
          <a:ext cx="7429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481</xdr:row>
      <xdr:rowOff>0</xdr:rowOff>
    </xdr:from>
    <xdr:to>
      <xdr:col>7</xdr:col>
      <xdr:colOff>7620</xdr:colOff>
      <xdr:row>481</xdr:row>
      <xdr:rowOff>0</xdr:rowOff>
    </xdr:to>
    <xdr:sp macro="" textlink="">
      <xdr:nvSpPr>
        <xdr:cNvPr id="31" name="Line 30">
          <a:extLst>
            <a:ext uri="{FF2B5EF4-FFF2-40B4-BE49-F238E27FC236}">
              <a16:creationId xmlns:a16="http://schemas.microsoft.com/office/drawing/2014/main" id="{692B28DE-9B53-4397-B2D2-2B7E2420470B}"/>
            </a:ext>
          </a:extLst>
        </xdr:cNvPr>
        <xdr:cNvSpPr>
          <a:spLocks noChangeShapeType="1"/>
        </xdr:cNvSpPr>
      </xdr:nvSpPr>
      <xdr:spPr bwMode="auto">
        <a:xfrm flipV="1">
          <a:off x="4648200" y="82619850"/>
          <a:ext cx="619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</xdr:colOff>
      <xdr:row>481</xdr:row>
      <xdr:rowOff>0</xdr:rowOff>
    </xdr:from>
    <xdr:to>
      <xdr:col>7</xdr:col>
      <xdr:colOff>7620</xdr:colOff>
      <xdr:row>481</xdr:row>
      <xdr:rowOff>0</xdr:rowOff>
    </xdr:to>
    <xdr:sp macro="" textlink="">
      <xdr:nvSpPr>
        <xdr:cNvPr id="32" name="Line 31">
          <a:extLst>
            <a:ext uri="{FF2B5EF4-FFF2-40B4-BE49-F238E27FC236}">
              <a16:creationId xmlns:a16="http://schemas.microsoft.com/office/drawing/2014/main" id="{3C56EB40-060E-43E2-BD1B-9BFAD423E338}"/>
            </a:ext>
          </a:extLst>
        </xdr:cNvPr>
        <xdr:cNvSpPr>
          <a:spLocks noChangeShapeType="1"/>
        </xdr:cNvSpPr>
      </xdr:nvSpPr>
      <xdr:spPr bwMode="auto">
        <a:xfrm>
          <a:off x="4657725" y="82619850"/>
          <a:ext cx="609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481</xdr:row>
      <xdr:rowOff>0</xdr:rowOff>
    </xdr:from>
    <xdr:to>
      <xdr:col>9</xdr:col>
      <xdr:colOff>0</xdr:colOff>
      <xdr:row>481</xdr:row>
      <xdr:rowOff>0</xdr:rowOff>
    </xdr:to>
    <xdr:sp macro="" textlink="">
      <xdr:nvSpPr>
        <xdr:cNvPr id="33" name="Line 32">
          <a:extLst>
            <a:ext uri="{FF2B5EF4-FFF2-40B4-BE49-F238E27FC236}">
              <a16:creationId xmlns:a16="http://schemas.microsoft.com/office/drawing/2014/main" id="{4213E9F1-8BFB-41C7-98FB-3075E5A4E803}"/>
            </a:ext>
          </a:extLst>
        </xdr:cNvPr>
        <xdr:cNvSpPr>
          <a:spLocks noChangeShapeType="1"/>
        </xdr:cNvSpPr>
      </xdr:nvSpPr>
      <xdr:spPr bwMode="auto">
        <a:xfrm flipV="1">
          <a:off x="5867400" y="82619850"/>
          <a:ext cx="2533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7620</xdr:colOff>
      <xdr:row>481</xdr:row>
      <xdr:rowOff>0</xdr:rowOff>
    </xdr:from>
    <xdr:to>
      <xdr:col>9</xdr:col>
      <xdr:colOff>0</xdr:colOff>
      <xdr:row>481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CBA6A3FE-05AA-4955-B55A-7420D68C566F}"/>
            </a:ext>
          </a:extLst>
        </xdr:cNvPr>
        <xdr:cNvSpPr>
          <a:spLocks noChangeShapeType="1"/>
        </xdr:cNvSpPr>
      </xdr:nvSpPr>
      <xdr:spPr bwMode="auto">
        <a:xfrm>
          <a:off x="5876925" y="82619850"/>
          <a:ext cx="2524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481</xdr:row>
      <xdr:rowOff>0</xdr:rowOff>
    </xdr:from>
    <xdr:to>
      <xdr:col>9</xdr:col>
      <xdr:colOff>0</xdr:colOff>
      <xdr:row>481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45F8288E-E180-496F-B87E-8DAD41C686CC}"/>
            </a:ext>
          </a:extLst>
        </xdr:cNvPr>
        <xdr:cNvSpPr>
          <a:spLocks noChangeShapeType="1"/>
        </xdr:cNvSpPr>
      </xdr:nvSpPr>
      <xdr:spPr bwMode="auto">
        <a:xfrm flipH="1">
          <a:off x="5867400" y="82619850"/>
          <a:ext cx="2533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481</xdr:row>
      <xdr:rowOff>0</xdr:rowOff>
    </xdr:from>
    <xdr:to>
      <xdr:col>9</xdr:col>
      <xdr:colOff>0</xdr:colOff>
      <xdr:row>481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650CA7FD-DBE8-4F7A-8887-C476B9DE3F5F}"/>
            </a:ext>
          </a:extLst>
        </xdr:cNvPr>
        <xdr:cNvSpPr>
          <a:spLocks noChangeShapeType="1"/>
        </xdr:cNvSpPr>
      </xdr:nvSpPr>
      <xdr:spPr bwMode="auto">
        <a:xfrm>
          <a:off x="5867400" y="82619850"/>
          <a:ext cx="2533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481</xdr:row>
      <xdr:rowOff>0</xdr:rowOff>
    </xdr:from>
    <xdr:to>
      <xdr:col>9</xdr:col>
      <xdr:colOff>0</xdr:colOff>
      <xdr:row>481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D297F55C-238F-4C20-AAF7-8D180C4CF1E7}"/>
            </a:ext>
          </a:extLst>
        </xdr:cNvPr>
        <xdr:cNvSpPr>
          <a:spLocks noChangeShapeType="1"/>
        </xdr:cNvSpPr>
      </xdr:nvSpPr>
      <xdr:spPr bwMode="auto">
        <a:xfrm flipH="1">
          <a:off x="5867400" y="82619850"/>
          <a:ext cx="2533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15240</xdr:colOff>
      <xdr:row>481</xdr:row>
      <xdr:rowOff>0</xdr:rowOff>
    </xdr:from>
    <xdr:to>
      <xdr:col>9</xdr:col>
      <xdr:colOff>7620</xdr:colOff>
      <xdr:row>481</xdr:row>
      <xdr:rowOff>0</xdr:rowOff>
    </xdr:to>
    <xdr:sp macro="" textlink="">
      <xdr:nvSpPr>
        <xdr:cNvPr id="38" name="Line 37">
          <a:extLst>
            <a:ext uri="{FF2B5EF4-FFF2-40B4-BE49-F238E27FC236}">
              <a16:creationId xmlns:a16="http://schemas.microsoft.com/office/drawing/2014/main" id="{1A6162AF-7557-4D09-82C6-0EFAE2F7809E}"/>
            </a:ext>
          </a:extLst>
        </xdr:cNvPr>
        <xdr:cNvSpPr>
          <a:spLocks noChangeShapeType="1"/>
        </xdr:cNvSpPr>
      </xdr:nvSpPr>
      <xdr:spPr bwMode="auto">
        <a:xfrm>
          <a:off x="5886450" y="82619850"/>
          <a:ext cx="2524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480060</xdr:colOff>
      <xdr:row>481</xdr:row>
      <xdr:rowOff>0</xdr:rowOff>
    </xdr:from>
    <xdr:to>
      <xdr:col>5</xdr:col>
      <xdr:colOff>0</xdr:colOff>
      <xdr:row>481</xdr:row>
      <xdr:rowOff>0</xdr:rowOff>
    </xdr:to>
    <xdr:sp macro="" textlink="">
      <xdr:nvSpPr>
        <xdr:cNvPr id="39" name="Line 38">
          <a:extLst>
            <a:ext uri="{FF2B5EF4-FFF2-40B4-BE49-F238E27FC236}">
              <a16:creationId xmlns:a16="http://schemas.microsoft.com/office/drawing/2014/main" id="{5933D74E-5C33-4AC4-B4B1-0F18FB79F281}"/>
            </a:ext>
          </a:extLst>
        </xdr:cNvPr>
        <xdr:cNvSpPr>
          <a:spLocks noChangeShapeType="1"/>
        </xdr:cNvSpPr>
      </xdr:nvSpPr>
      <xdr:spPr bwMode="auto">
        <a:xfrm flipH="1">
          <a:off x="3295650" y="82619850"/>
          <a:ext cx="7429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472440</xdr:colOff>
      <xdr:row>481</xdr:row>
      <xdr:rowOff>0</xdr:rowOff>
    </xdr:from>
    <xdr:to>
      <xdr:col>5</xdr:col>
      <xdr:colOff>0</xdr:colOff>
      <xdr:row>481</xdr:row>
      <xdr:rowOff>0</xdr:rowOff>
    </xdr:to>
    <xdr:sp macro="" textlink="">
      <xdr:nvSpPr>
        <xdr:cNvPr id="40" name="Line 39">
          <a:extLst>
            <a:ext uri="{FF2B5EF4-FFF2-40B4-BE49-F238E27FC236}">
              <a16:creationId xmlns:a16="http://schemas.microsoft.com/office/drawing/2014/main" id="{D20E3235-1EA7-4A1C-B50F-AAEF21F90D47}"/>
            </a:ext>
          </a:extLst>
        </xdr:cNvPr>
        <xdr:cNvSpPr>
          <a:spLocks noChangeShapeType="1"/>
        </xdr:cNvSpPr>
      </xdr:nvSpPr>
      <xdr:spPr bwMode="auto">
        <a:xfrm>
          <a:off x="3295650" y="82619850"/>
          <a:ext cx="7429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17</xdr:row>
      <xdr:rowOff>53340</xdr:rowOff>
    </xdr:from>
    <xdr:to>
      <xdr:col>5</xdr:col>
      <xdr:colOff>15240</xdr:colOff>
      <xdr:row>18</xdr:row>
      <xdr:rowOff>76200</xdr:rowOff>
    </xdr:to>
    <xdr:sp macro="" textlink="">
      <xdr:nvSpPr>
        <xdr:cNvPr id="41" name="Line 40">
          <a:extLst>
            <a:ext uri="{FF2B5EF4-FFF2-40B4-BE49-F238E27FC236}">
              <a16:creationId xmlns:a16="http://schemas.microsoft.com/office/drawing/2014/main" id="{E27CFBBF-E39E-4CB4-8F09-776C5E72AF47}"/>
            </a:ext>
          </a:extLst>
        </xdr:cNvPr>
        <xdr:cNvSpPr>
          <a:spLocks noChangeShapeType="1"/>
        </xdr:cNvSpPr>
      </xdr:nvSpPr>
      <xdr:spPr bwMode="auto">
        <a:xfrm flipV="1">
          <a:off x="3429000" y="3133725"/>
          <a:ext cx="628650" cy="1905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15240</xdr:colOff>
      <xdr:row>18</xdr:row>
      <xdr:rowOff>91440</xdr:rowOff>
    </xdr:from>
    <xdr:to>
      <xdr:col>5</xdr:col>
      <xdr:colOff>7620</xdr:colOff>
      <xdr:row>19</xdr:row>
      <xdr:rowOff>76200</xdr:rowOff>
    </xdr:to>
    <xdr:sp macro="" textlink="">
      <xdr:nvSpPr>
        <xdr:cNvPr id="42" name="Line 41">
          <a:extLst>
            <a:ext uri="{FF2B5EF4-FFF2-40B4-BE49-F238E27FC236}">
              <a16:creationId xmlns:a16="http://schemas.microsoft.com/office/drawing/2014/main" id="{B3E663D7-A725-4721-8F52-736371403118}"/>
            </a:ext>
          </a:extLst>
        </xdr:cNvPr>
        <xdr:cNvSpPr>
          <a:spLocks noChangeShapeType="1"/>
        </xdr:cNvSpPr>
      </xdr:nvSpPr>
      <xdr:spPr bwMode="auto">
        <a:xfrm>
          <a:off x="3448050" y="3343275"/>
          <a:ext cx="600075" cy="1524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</xdr:colOff>
      <xdr:row>26</xdr:row>
      <xdr:rowOff>76200</xdr:rowOff>
    </xdr:from>
    <xdr:to>
      <xdr:col>5</xdr:col>
      <xdr:colOff>7620</xdr:colOff>
      <xdr:row>27</xdr:row>
      <xdr:rowOff>53340</xdr:rowOff>
    </xdr:to>
    <xdr:sp macro="" textlink="">
      <xdr:nvSpPr>
        <xdr:cNvPr id="43" name="Line 42">
          <a:extLst>
            <a:ext uri="{FF2B5EF4-FFF2-40B4-BE49-F238E27FC236}">
              <a16:creationId xmlns:a16="http://schemas.microsoft.com/office/drawing/2014/main" id="{AD3A2A0B-35D2-498A-8F06-A09FD7E5F91F}"/>
            </a:ext>
          </a:extLst>
        </xdr:cNvPr>
        <xdr:cNvSpPr>
          <a:spLocks noChangeShapeType="1"/>
        </xdr:cNvSpPr>
      </xdr:nvSpPr>
      <xdr:spPr bwMode="auto">
        <a:xfrm>
          <a:off x="3438525" y="4695825"/>
          <a:ext cx="6096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</xdr:colOff>
      <xdr:row>26</xdr:row>
      <xdr:rowOff>76200</xdr:rowOff>
    </xdr:from>
    <xdr:to>
      <xdr:col>5</xdr:col>
      <xdr:colOff>7620</xdr:colOff>
      <xdr:row>27</xdr:row>
      <xdr:rowOff>53340</xdr:rowOff>
    </xdr:to>
    <xdr:sp macro="" textlink="">
      <xdr:nvSpPr>
        <xdr:cNvPr id="44" name="Line 43">
          <a:extLst>
            <a:ext uri="{FF2B5EF4-FFF2-40B4-BE49-F238E27FC236}">
              <a16:creationId xmlns:a16="http://schemas.microsoft.com/office/drawing/2014/main" id="{9A7B29FF-6440-42F0-8B3B-7FB2136815C2}"/>
            </a:ext>
          </a:extLst>
        </xdr:cNvPr>
        <xdr:cNvSpPr>
          <a:spLocks noChangeShapeType="1"/>
        </xdr:cNvSpPr>
      </xdr:nvSpPr>
      <xdr:spPr bwMode="auto">
        <a:xfrm>
          <a:off x="3438525" y="4695825"/>
          <a:ext cx="609600" cy="1524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27</xdr:row>
      <xdr:rowOff>53340</xdr:rowOff>
    </xdr:from>
    <xdr:to>
      <xdr:col>5</xdr:col>
      <xdr:colOff>15240</xdr:colOff>
      <xdr:row>28</xdr:row>
      <xdr:rowOff>76200</xdr:rowOff>
    </xdr:to>
    <xdr:sp macro="" textlink="">
      <xdr:nvSpPr>
        <xdr:cNvPr id="45" name="Line 44">
          <a:extLst>
            <a:ext uri="{FF2B5EF4-FFF2-40B4-BE49-F238E27FC236}">
              <a16:creationId xmlns:a16="http://schemas.microsoft.com/office/drawing/2014/main" id="{74905E17-58E4-4C3C-A03F-1E46A424F4B7}"/>
            </a:ext>
          </a:extLst>
        </xdr:cNvPr>
        <xdr:cNvSpPr>
          <a:spLocks noChangeShapeType="1"/>
        </xdr:cNvSpPr>
      </xdr:nvSpPr>
      <xdr:spPr bwMode="auto">
        <a:xfrm flipV="1">
          <a:off x="3429000" y="4848225"/>
          <a:ext cx="628650" cy="1905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15240</xdr:colOff>
      <xdr:row>28</xdr:row>
      <xdr:rowOff>91440</xdr:rowOff>
    </xdr:from>
    <xdr:to>
      <xdr:col>5</xdr:col>
      <xdr:colOff>7620</xdr:colOff>
      <xdr:row>29</xdr:row>
      <xdr:rowOff>76200</xdr:rowOff>
    </xdr:to>
    <xdr:sp macro="" textlink="">
      <xdr:nvSpPr>
        <xdr:cNvPr id="46" name="Line 45">
          <a:extLst>
            <a:ext uri="{FF2B5EF4-FFF2-40B4-BE49-F238E27FC236}">
              <a16:creationId xmlns:a16="http://schemas.microsoft.com/office/drawing/2014/main" id="{8B74E69C-DC1D-49DC-944D-6E40F221764A}"/>
            </a:ext>
          </a:extLst>
        </xdr:cNvPr>
        <xdr:cNvSpPr>
          <a:spLocks noChangeShapeType="1"/>
        </xdr:cNvSpPr>
      </xdr:nvSpPr>
      <xdr:spPr bwMode="auto">
        <a:xfrm>
          <a:off x="3448050" y="5057775"/>
          <a:ext cx="600075" cy="1524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</xdr:colOff>
      <xdr:row>481</xdr:row>
      <xdr:rowOff>0</xdr:rowOff>
    </xdr:from>
    <xdr:to>
      <xdr:col>7</xdr:col>
      <xdr:colOff>7620</xdr:colOff>
      <xdr:row>481</xdr:row>
      <xdr:rowOff>0</xdr:rowOff>
    </xdr:to>
    <xdr:sp macro="" textlink="">
      <xdr:nvSpPr>
        <xdr:cNvPr id="47" name="Line 46">
          <a:extLst>
            <a:ext uri="{FF2B5EF4-FFF2-40B4-BE49-F238E27FC236}">
              <a16:creationId xmlns:a16="http://schemas.microsoft.com/office/drawing/2014/main" id="{61D40EBF-C6F9-4B32-8AF9-05137DF1F0F9}"/>
            </a:ext>
          </a:extLst>
        </xdr:cNvPr>
        <xdr:cNvSpPr>
          <a:spLocks noChangeShapeType="1"/>
        </xdr:cNvSpPr>
      </xdr:nvSpPr>
      <xdr:spPr bwMode="auto">
        <a:xfrm>
          <a:off x="4657725" y="82619850"/>
          <a:ext cx="609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</xdr:colOff>
      <xdr:row>481</xdr:row>
      <xdr:rowOff>0</xdr:rowOff>
    </xdr:from>
    <xdr:to>
      <xdr:col>7</xdr:col>
      <xdr:colOff>7620</xdr:colOff>
      <xdr:row>481</xdr:row>
      <xdr:rowOff>0</xdr:rowOff>
    </xdr:to>
    <xdr:sp macro="" textlink="">
      <xdr:nvSpPr>
        <xdr:cNvPr id="48" name="Line 47">
          <a:extLst>
            <a:ext uri="{FF2B5EF4-FFF2-40B4-BE49-F238E27FC236}">
              <a16:creationId xmlns:a16="http://schemas.microsoft.com/office/drawing/2014/main" id="{FB074C1C-1B90-4882-9054-DF0A3694F657}"/>
            </a:ext>
          </a:extLst>
        </xdr:cNvPr>
        <xdr:cNvSpPr>
          <a:spLocks noChangeShapeType="1"/>
        </xdr:cNvSpPr>
      </xdr:nvSpPr>
      <xdr:spPr bwMode="auto">
        <a:xfrm>
          <a:off x="4657725" y="82619850"/>
          <a:ext cx="609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481</xdr:row>
      <xdr:rowOff>0</xdr:rowOff>
    </xdr:from>
    <xdr:to>
      <xdr:col>7</xdr:col>
      <xdr:colOff>15240</xdr:colOff>
      <xdr:row>481</xdr:row>
      <xdr:rowOff>0</xdr:rowOff>
    </xdr:to>
    <xdr:sp macro="" textlink="">
      <xdr:nvSpPr>
        <xdr:cNvPr id="49" name="Line 48">
          <a:extLst>
            <a:ext uri="{FF2B5EF4-FFF2-40B4-BE49-F238E27FC236}">
              <a16:creationId xmlns:a16="http://schemas.microsoft.com/office/drawing/2014/main" id="{EC6A037A-1CF7-4053-9CB3-B0230744F40D}"/>
            </a:ext>
          </a:extLst>
        </xdr:cNvPr>
        <xdr:cNvSpPr>
          <a:spLocks noChangeShapeType="1"/>
        </xdr:cNvSpPr>
      </xdr:nvSpPr>
      <xdr:spPr bwMode="auto">
        <a:xfrm flipV="1">
          <a:off x="4648200" y="82619850"/>
          <a:ext cx="628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15240</xdr:colOff>
      <xdr:row>481</xdr:row>
      <xdr:rowOff>0</xdr:rowOff>
    </xdr:from>
    <xdr:to>
      <xdr:col>7</xdr:col>
      <xdr:colOff>7620</xdr:colOff>
      <xdr:row>481</xdr:row>
      <xdr:rowOff>0</xdr:rowOff>
    </xdr:to>
    <xdr:sp macro="" textlink="">
      <xdr:nvSpPr>
        <xdr:cNvPr id="50" name="Line 49">
          <a:extLst>
            <a:ext uri="{FF2B5EF4-FFF2-40B4-BE49-F238E27FC236}">
              <a16:creationId xmlns:a16="http://schemas.microsoft.com/office/drawing/2014/main" id="{0315D4B8-AD79-4C44-8EED-3B5DF7990F54}"/>
            </a:ext>
          </a:extLst>
        </xdr:cNvPr>
        <xdr:cNvSpPr>
          <a:spLocks noChangeShapeType="1"/>
        </xdr:cNvSpPr>
      </xdr:nvSpPr>
      <xdr:spPr bwMode="auto">
        <a:xfrm>
          <a:off x="4667250" y="82619850"/>
          <a:ext cx="6000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</xdr:colOff>
      <xdr:row>481</xdr:row>
      <xdr:rowOff>0</xdr:rowOff>
    </xdr:from>
    <xdr:to>
      <xdr:col>7</xdr:col>
      <xdr:colOff>7620</xdr:colOff>
      <xdr:row>481</xdr:row>
      <xdr:rowOff>0</xdr:rowOff>
    </xdr:to>
    <xdr:sp macro="" textlink="">
      <xdr:nvSpPr>
        <xdr:cNvPr id="51" name="Line 50">
          <a:extLst>
            <a:ext uri="{FF2B5EF4-FFF2-40B4-BE49-F238E27FC236}">
              <a16:creationId xmlns:a16="http://schemas.microsoft.com/office/drawing/2014/main" id="{A6F60AFE-675A-4557-825B-EC0A46BEE587}"/>
            </a:ext>
          </a:extLst>
        </xdr:cNvPr>
        <xdr:cNvSpPr>
          <a:spLocks noChangeShapeType="1"/>
        </xdr:cNvSpPr>
      </xdr:nvSpPr>
      <xdr:spPr bwMode="auto">
        <a:xfrm>
          <a:off x="4657725" y="82619850"/>
          <a:ext cx="609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</xdr:colOff>
      <xdr:row>481</xdr:row>
      <xdr:rowOff>0</xdr:rowOff>
    </xdr:from>
    <xdr:to>
      <xdr:col>7</xdr:col>
      <xdr:colOff>7620</xdr:colOff>
      <xdr:row>481</xdr:row>
      <xdr:rowOff>0</xdr:rowOff>
    </xdr:to>
    <xdr:sp macro="" textlink="">
      <xdr:nvSpPr>
        <xdr:cNvPr id="52" name="Line 51">
          <a:extLst>
            <a:ext uri="{FF2B5EF4-FFF2-40B4-BE49-F238E27FC236}">
              <a16:creationId xmlns:a16="http://schemas.microsoft.com/office/drawing/2014/main" id="{DA60E21C-B6CD-4C62-B42D-8D9089E36DD8}"/>
            </a:ext>
          </a:extLst>
        </xdr:cNvPr>
        <xdr:cNvSpPr>
          <a:spLocks noChangeShapeType="1"/>
        </xdr:cNvSpPr>
      </xdr:nvSpPr>
      <xdr:spPr bwMode="auto">
        <a:xfrm>
          <a:off x="4657725" y="82619850"/>
          <a:ext cx="609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</xdr:colOff>
      <xdr:row>29</xdr:row>
      <xdr:rowOff>76200</xdr:rowOff>
    </xdr:from>
    <xdr:to>
      <xdr:col>7</xdr:col>
      <xdr:colOff>0</xdr:colOff>
      <xdr:row>30</xdr:row>
      <xdr:rowOff>68580</xdr:rowOff>
    </xdr:to>
    <xdr:sp macro="" textlink="">
      <xdr:nvSpPr>
        <xdr:cNvPr id="53" name="Line 52">
          <a:extLst>
            <a:ext uri="{FF2B5EF4-FFF2-40B4-BE49-F238E27FC236}">
              <a16:creationId xmlns:a16="http://schemas.microsoft.com/office/drawing/2014/main" id="{1D49AA38-9406-4777-89D4-A935CF599CD0}"/>
            </a:ext>
          </a:extLst>
        </xdr:cNvPr>
        <xdr:cNvSpPr>
          <a:spLocks noChangeShapeType="1"/>
        </xdr:cNvSpPr>
      </xdr:nvSpPr>
      <xdr:spPr bwMode="auto">
        <a:xfrm>
          <a:off x="4657725" y="5210175"/>
          <a:ext cx="600075" cy="16192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33</xdr:row>
      <xdr:rowOff>53340</xdr:rowOff>
    </xdr:from>
    <xdr:to>
      <xdr:col>5</xdr:col>
      <xdr:colOff>7620</xdr:colOff>
      <xdr:row>34</xdr:row>
      <xdr:rowOff>60960</xdr:rowOff>
    </xdr:to>
    <xdr:sp macro="" textlink="">
      <xdr:nvSpPr>
        <xdr:cNvPr id="54" name="Line 53">
          <a:extLst>
            <a:ext uri="{FF2B5EF4-FFF2-40B4-BE49-F238E27FC236}">
              <a16:creationId xmlns:a16="http://schemas.microsoft.com/office/drawing/2014/main" id="{4667FDD3-470C-4C0E-B5E9-322EAA780020}"/>
            </a:ext>
          </a:extLst>
        </xdr:cNvPr>
        <xdr:cNvSpPr>
          <a:spLocks noChangeShapeType="1"/>
        </xdr:cNvSpPr>
      </xdr:nvSpPr>
      <xdr:spPr bwMode="auto">
        <a:xfrm flipV="1">
          <a:off x="3429000" y="5876925"/>
          <a:ext cx="619125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</xdr:colOff>
      <xdr:row>34</xdr:row>
      <xdr:rowOff>76200</xdr:rowOff>
    </xdr:from>
    <xdr:to>
      <xdr:col>5</xdr:col>
      <xdr:colOff>7620</xdr:colOff>
      <xdr:row>35</xdr:row>
      <xdr:rowOff>53340</xdr:rowOff>
    </xdr:to>
    <xdr:sp macro="" textlink="">
      <xdr:nvSpPr>
        <xdr:cNvPr id="55" name="Line 54">
          <a:extLst>
            <a:ext uri="{FF2B5EF4-FFF2-40B4-BE49-F238E27FC236}">
              <a16:creationId xmlns:a16="http://schemas.microsoft.com/office/drawing/2014/main" id="{A42775FE-A80C-4916-8104-4978F4338A49}"/>
            </a:ext>
          </a:extLst>
        </xdr:cNvPr>
        <xdr:cNvSpPr>
          <a:spLocks noChangeShapeType="1"/>
        </xdr:cNvSpPr>
      </xdr:nvSpPr>
      <xdr:spPr bwMode="auto">
        <a:xfrm>
          <a:off x="3438525" y="6067425"/>
          <a:ext cx="6096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32</xdr:row>
      <xdr:rowOff>76200</xdr:rowOff>
    </xdr:from>
    <xdr:to>
      <xdr:col>7</xdr:col>
      <xdr:colOff>0</xdr:colOff>
      <xdr:row>33</xdr:row>
      <xdr:rowOff>68580</xdr:rowOff>
    </xdr:to>
    <xdr:sp macro="" textlink="">
      <xdr:nvSpPr>
        <xdr:cNvPr id="56" name="Line 55">
          <a:extLst>
            <a:ext uri="{FF2B5EF4-FFF2-40B4-BE49-F238E27FC236}">
              <a16:creationId xmlns:a16="http://schemas.microsoft.com/office/drawing/2014/main" id="{567E8FDE-CFC5-4C05-8375-BCAD6A61B1C5}"/>
            </a:ext>
          </a:extLst>
        </xdr:cNvPr>
        <xdr:cNvSpPr>
          <a:spLocks noChangeShapeType="1"/>
        </xdr:cNvSpPr>
      </xdr:nvSpPr>
      <xdr:spPr bwMode="auto">
        <a:xfrm flipV="1">
          <a:off x="4648200" y="5724525"/>
          <a:ext cx="609600" cy="16192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</xdr:colOff>
      <xdr:row>33</xdr:row>
      <xdr:rowOff>68580</xdr:rowOff>
    </xdr:from>
    <xdr:to>
      <xdr:col>7</xdr:col>
      <xdr:colOff>0</xdr:colOff>
      <xdr:row>34</xdr:row>
      <xdr:rowOff>53340</xdr:rowOff>
    </xdr:to>
    <xdr:sp macro="" textlink="">
      <xdr:nvSpPr>
        <xdr:cNvPr id="57" name="Line 56">
          <a:extLst>
            <a:ext uri="{FF2B5EF4-FFF2-40B4-BE49-F238E27FC236}">
              <a16:creationId xmlns:a16="http://schemas.microsoft.com/office/drawing/2014/main" id="{D2778138-34B3-4D1F-9A3A-55FFB4EF2EC4}"/>
            </a:ext>
          </a:extLst>
        </xdr:cNvPr>
        <xdr:cNvSpPr>
          <a:spLocks noChangeShapeType="1"/>
        </xdr:cNvSpPr>
      </xdr:nvSpPr>
      <xdr:spPr bwMode="auto">
        <a:xfrm>
          <a:off x="4657725" y="5886450"/>
          <a:ext cx="600075" cy="16192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34</xdr:row>
      <xdr:rowOff>60960</xdr:rowOff>
    </xdr:from>
    <xdr:to>
      <xdr:col>7</xdr:col>
      <xdr:colOff>0</xdr:colOff>
      <xdr:row>35</xdr:row>
      <xdr:rowOff>68580</xdr:rowOff>
    </xdr:to>
    <xdr:sp macro="" textlink="">
      <xdr:nvSpPr>
        <xdr:cNvPr id="58" name="Line 57">
          <a:extLst>
            <a:ext uri="{FF2B5EF4-FFF2-40B4-BE49-F238E27FC236}">
              <a16:creationId xmlns:a16="http://schemas.microsoft.com/office/drawing/2014/main" id="{45A40ECC-1EBB-4C07-B6C2-B2B69B9F38BC}"/>
            </a:ext>
          </a:extLst>
        </xdr:cNvPr>
        <xdr:cNvSpPr>
          <a:spLocks noChangeShapeType="1"/>
        </xdr:cNvSpPr>
      </xdr:nvSpPr>
      <xdr:spPr bwMode="auto">
        <a:xfrm flipH="1">
          <a:off x="4648200" y="6048375"/>
          <a:ext cx="609600" cy="18097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35</xdr:row>
      <xdr:rowOff>76200</xdr:rowOff>
    </xdr:from>
    <xdr:to>
      <xdr:col>7</xdr:col>
      <xdr:colOff>0</xdr:colOff>
      <xdr:row>36</xdr:row>
      <xdr:rowOff>60960</xdr:rowOff>
    </xdr:to>
    <xdr:sp macro="" textlink="">
      <xdr:nvSpPr>
        <xdr:cNvPr id="59" name="Line 58">
          <a:extLst>
            <a:ext uri="{FF2B5EF4-FFF2-40B4-BE49-F238E27FC236}">
              <a16:creationId xmlns:a16="http://schemas.microsoft.com/office/drawing/2014/main" id="{DB2966C7-50E0-4D93-B40E-572C41E3C67A}"/>
            </a:ext>
          </a:extLst>
        </xdr:cNvPr>
        <xdr:cNvSpPr>
          <a:spLocks noChangeShapeType="1"/>
        </xdr:cNvSpPr>
      </xdr:nvSpPr>
      <xdr:spPr bwMode="auto">
        <a:xfrm>
          <a:off x="4648200" y="6238875"/>
          <a:ext cx="609600" cy="1524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36</xdr:row>
      <xdr:rowOff>68580</xdr:rowOff>
    </xdr:from>
    <xdr:to>
      <xdr:col>7</xdr:col>
      <xdr:colOff>0</xdr:colOff>
      <xdr:row>37</xdr:row>
      <xdr:rowOff>68580</xdr:rowOff>
    </xdr:to>
    <xdr:sp macro="" textlink="">
      <xdr:nvSpPr>
        <xdr:cNvPr id="60" name="Line 59">
          <a:extLst>
            <a:ext uri="{FF2B5EF4-FFF2-40B4-BE49-F238E27FC236}">
              <a16:creationId xmlns:a16="http://schemas.microsoft.com/office/drawing/2014/main" id="{C870E07A-5245-43F7-8FFC-66697230F320}"/>
            </a:ext>
          </a:extLst>
        </xdr:cNvPr>
        <xdr:cNvSpPr>
          <a:spLocks noChangeShapeType="1"/>
        </xdr:cNvSpPr>
      </xdr:nvSpPr>
      <xdr:spPr bwMode="auto">
        <a:xfrm flipH="1">
          <a:off x="4648200" y="6400800"/>
          <a:ext cx="609600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480060</xdr:colOff>
      <xdr:row>34</xdr:row>
      <xdr:rowOff>68580</xdr:rowOff>
    </xdr:from>
    <xdr:to>
      <xdr:col>3</xdr:col>
      <xdr:colOff>0</xdr:colOff>
      <xdr:row>35</xdr:row>
      <xdr:rowOff>68580</xdr:rowOff>
    </xdr:to>
    <xdr:sp macro="" textlink="">
      <xdr:nvSpPr>
        <xdr:cNvPr id="61" name="Line 60">
          <a:extLst>
            <a:ext uri="{FF2B5EF4-FFF2-40B4-BE49-F238E27FC236}">
              <a16:creationId xmlns:a16="http://schemas.microsoft.com/office/drawing/2014/main" id="{7796C5F5-88D6-42B6-93C6-862C1DD53053}"/>
            </a:ext>
          </a:extLst>
        </xdr:cNvPr>
        <xdr:cNvSpPr>
          <a:spLocks noChangeShapeType="1"/>
        </xdr:cNvSpPr>
      </xdr:nvSpPr>
      <xdr:spPr bwMode="auto">
        <a:xfrm flipH="1">
          <a:off x="2076450" y="6057900"/>
          <a:ext cx="742950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472440</xdr:colOff>
      <xdr:row>35</xdr:row>
      <xdr:rowOff>76200</xdr:rowOff>
    </xdr:from>
    <xdr:to>
      <xdr:col>3</xdr:col>
      <xdr:colOff>0</xdr:colOff>
      <xdr:row>36</xdr:row>
      <xdr:rowOff>83820</xdr:rowOff>
    </xdr:to>
    <xdr:sp macro="" textlink="">
      <xdr:nvSpPr>
        <xdr:cNvPr id="62" name="Line 61">
          <a:extLst>
            <a:ext uri="{FF2B5EF4-FFF2-40B4-BE49-F238E27FC236}">
              <a16:creationId xmlns:a16="http://schemas.microsoft.com/office/drawing/2014/main" id="{081B737E-A226-451C-AF09-20B89CD8CB07}"/>
            </a:ext>
          </a:extLst>
        </xdr:cNvPr>
        <xdr:cNvSpPr>
          <a:spLocks noChangeShapeType="1"/>
        </xdr:cNvSpPr>
      </xdr:nvSpPr>
      <xdr:spPr bwMode="auto">
        <a:xfrm>
          <a:off x="2076450" y="6238875"/>
          <a:ext cx="742950" cy="18097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</xdr:colOff>
      <xdr:row>34</xdr:row>
      <xdr:rowOff>76200</xdr:rowOff>
    </xdr:from>
    <xdr:to>
      <xdr:col>5</xdr:col>
      <xdr:colOff>7620</xdr:colOff>
      <xdr:row>35</xdr:row>
      <xdr:rowOff>53340</xdr:rowOff>
    </xdr:to>
    <xdr:sp macro="" textlink="">
      <xdr:nvSpPr>
        <xdr:cNvPr id="63" name="Line 62">
          <a:extLst>
            <a:ext uri="{FF2B5EF4-FFF2-40B4-BE49-F238E27FC236}">
              <a16:creationId xmlns:a16="http://schemas.microsoft.com/office/drawing/2014/main" id="{48FF4DA7-9B9B-4AAF-8A03-D71721C18FA7}"/>
            </a:ext>
          </a:extLst>
        </xdr:cNvPr>
        <xdr:cNvSpPr>
          <a:spLocks noChangeShapeType="1"/>
        </xdr:cNvSpPr>
      </xdr:nvSpPr>
      <xdr:spPr bwMode="auto">
        <a:xfrm>
          <a:off x="3438525" y="6067425"/>
          <a:ext cx="6096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</xdr:colOff>
      <xdr:row>34</xdr:row>
      <xdr:rowOff>76200</xdr:rowOff>
    </xdr:from>
    <xdr:to>
      <xdr:col>5</xdr:col>
      <xdr:colOff>7620</xdr:colOff>
      <xdr:row>35</xdr:row>
      <xdr:rowOff>53340</xdr:rowOff>
    </xdr:to>
    <xdr:sp macro="" textlink="">
      <xdr:nvSpPr>
        <xdr:cNvPr id="64" name="Line 63">
          <a:extLst>
            <a:ext uri="{FF2B5EF4-FFF2-40B4-BE49-F238E27FC236}">
              <a16:creationId xmlns:a16="http://schemas.microsoft.com/office/drawing/2014/main" id="{11DE96A2-D78C-4B6E-818D-840A0132888A}"/>
            </a:ext>
          </a:extLst>
        </xdr:cNvPr>
        <xdr:cNvSpPr>
          <a:spLocks noChangeShapeType="1"/>
        </xdr:cNvSpPr>
      </xdr:nvSpPr>
      <xdr:spPr bwMode="auto">
        <a:xfrm>
          <a:off x="3438525" y="6067425"/>
          <a:ext cx="609600" cy="1524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35</xdr:row>
      <xdr:rowOff>53340</xdr:rowOff>
    </xdr:from>
    <xdr:to>
      <xdr:col>5</xdr:col>
      <xdr:colOff>15240</xdr:colOff>
      <xdr:row>36</xdr:row>
      <xdr:rowOff>76200</xdr:rowOff>
    </xdr:to>
    <xdr:sp macro="" textlink="">
      <xdr:nvSpPr>
        <xdr:cNvPr id="65" name="Line 64">
          <a:extLst>
            <a:ext uri="{FF2B5EF4-FFF2-40B4-BE49-F238E27FC236}">
              <a16:creationId xmlns:a16="http://schemas.microsoft.com/office/drawing/2014/main" id="{269367BC-D515-4596-B460-15FF84349063}"/>
            </a:ext>
          </a:extLst>
        </xdr:cNvPr>
        <xdr:cNvSpPr>
          <a:spLocks noChangeShapeType="1"/>
        </xdr:cNvSpPr>
      </xdr:nvSpPr>
      <xdr:spPr bwMode="auto">
        <a:xfrm flipV="1">
          <a:off x="3429000" y="6219825"/>
          <a:ext cx="628650" cy="1905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15240</xdr:colOff>
      <xdr:row>36</xdr:row>
      <xdr:rowOff>91440</xdr:rowOff>
    </xdr:from>
    <xdr:to>
      <xdr:col>5</xdr:col>
      <xdr:colOff>7620</xdr:colOff>
      <xdr:row>37</xdr:row>
      <xdr:rowOff>76200</xdr:rowOff>
    </xdr:to>
    <xdr:sp macro="" textlink="">
      <xdr:nvSpPr>
        <xdr:cNvPr id="66" name="Line 65">
          <a:extLst>
            <a:ext uri="{FF2B5EF4-FFF2-40B4-BE49-F238E27FC236}">
              <a16:creationId xmlns:a16="http://schemas.microsoft.com/office/drawing/2014/main" id="{8FC45909-F92C-4B08-B821-2779B61A2C16}"/>
            </a:ext>
          </a:extLst>
        </xdr:cNvPr>
        <xdr:cNvSpPr>
          <a:spLocks noChangeShapeType="1"/>
        </xdr:cNvSpPr>
      </xdr:nvSpPr>
      <xdr:spPr bwMode="auto">
        <a:xfrm>
          <a:off x="3448050" y="6429375"/>
          <a:ext cx="600075" cy="1524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</xdr:colOff>
      <xdr:row>37</xdr:row>
      <xdr:rowOff>76200</xdr:rowOff>
    </xdr:from>
    <xdr:to>
      <xdr:col>7</xdr:col>
      <xdr:colOff>0</xdr:colOff>
      <xdr:row>38</xdr:row>
      <xdr:rowOff>68580</xdr:rowOff>
    </xdr:to>
    <xdr:sp macro="" textlink="">
      <xdr:nvSpPr>
        <xdr:cNvPr id="67" name="Line 66">
          <a:extLst>
            <a:ext uri="{FF2B5EF4-FFF2-40B4-BE49-F238E27FC236}">
              <a16:creationId xmlns:a16="http://schemas.microsoft.com/office/drawing/2014/main" id="{87FEB26E-846C-4938-BE98-AFBF52C8C001}"/>
            </a:ext>
          </a:extLst>
        </xdr:cNvPr>
        <xdr:cNvSpPr>
          <a:spLocks noChangeShapeType="1"/>
        </xdr:cNvSpPr>
      </xdr:nvSpPr>
      <xdr:spPr bwMode="auto">
        <a:xfrm>
          <a:off x="4657725" y="6581775"/>
          <a:ext cx="600075" cy="16192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41</xdr:row>
      <xdr:rowOff>53340</xdr:rowOff>
    </xdr:from>
    <xdr:to>
      <xdr:col>5</xdr:col>
      <xdr:colOff>7620</xdr:colOff>
      <xdr:row>42</xdr:row>
      <xdr:rowOff>60960</xdr:rowOff>
    </xdr:to>
    <xdr:sp macro="" textlink="">
      <xdr:nvSpPr>
        <xdr:cNvPr id="68" name="Line 67">
          <a:extLst>
            <a:ext uri="{FF2B5EF4-FFF2-40B4-BE49-F238E27FC236}">
              <a16:creationId xmlns:a16="http://schemas.microsoft.com/office/drawing/2014/main" id="{69CDCDD7-2459-4D07-AD7A-C3DAAD893873}"/>
            </a:ext>
          </a:extLst>
        </xdr:cNvPr>
        <xdr:cNvSpPr>
          <a:spLocks noChangeShapeType="1"/>
        </xdr:cNvSpPr>
      </xdr:nvSpPr>
      <xdr:spPr bwMode="auto">
        <a:xfrm flipV="1">
          <a:off x="3429000" y="7248525"/>
          <a:ext cx="619125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</xdr:colOff>
      <xdr:row>42</xdr:row>
      <xdr:rowOff>76200</xdr:rowOff>
    </xdr:from>
    <xdr:to>
      <xdr:col>5</xdr:col>
      <xdr:colOff>7620</xdr:colOff>
      <xdr:row>43</xdr:row>
      <xdr:rowOff>53340</xdr:rowOff>
    </xdr:to>
    <xdr:sp macro="" textlink="">
      <xdr:nvSpPr>
        <xdr:cNvPr id="69" name="Line 68">
          <a:extLst>
            <a:ext uri="{FF2B5EF4-FFF2-40B4-BE49-F238E27FC236}">
              <a16:creationId xmlns:a16="http://schemas.microsoft.com/office/drawing/2014/main" id="{5E982545-B2DF-4819-86E4-0EE8635866A0}"/>
            </a:ext>
          </a:extLst>
        </xdr:cNvPr>
        <xdr:cNvSpPr>
          <a:spLocks noChangeShapeType="1"/>
        </xdr:cNvSpPr>
      </xdr:nvSpPr>
      <xdr:spPr bwMode="auto">
        <a:xfrm>
          <a:off x="3438525" y="7439025"/>
          <a:ext cx="6096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40</xdr:row>
      <xdr:rowOff>76200</xdr:rowOff>
    </xdr:from>
    <xdr:to>
      <xdr:col>7</xdr:col>
      <xdr:colOff>0</xdr:colOff>
      <xdr:row>41</xdr:row>
      <xdr:rowOff>68580</xdr:rowOff>
    </xdr:to>
    <xdr:sp macro="" textlink="">
      <xdr:nvSpPr>
        <xdr:cNvPr id="70" name="Line 69">
          <a:extLst>
            <a:ext uri="{FF2B5EF4-FFF2-40B4-BE49-F238E27FC236}">
              <a16:creationId xmlns:a16="http://schemas.microsoft.com/office/drawing/2014/main" id="{7B7AB4C9-CC73-4E2C-B941-A119EE6AE620}"/>
            </a:ext>
          </a:extLst>
        </xdr:cNvPr>
        <xdr:cNvSpPr>
          <a:spLocks noChangeShapeType="1"/>
        </xdr:cNvSpPr>
      </xdr:nvSpPr>
      <xdr:spPr bwMode="auto">
        <a:xfrm flipV="1">
          <a:off x="4648200" y="7096125"/>
          <a:ext cx="609600" cy="16192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</xdr:colOff>
      <xdr:row>41</xdr:row>
      <xdr:rowOff>68580</xdr:rowOff>
    </xdr:from>
    <xdr:to>
      <xdr:col>7</xdr:col>
      <xdr:colOff>0</xdr:colOff>
      <xdr:row>42</xdr:row>
      <xdr:rowOff>53340</xdr:rowOff>
    </xdr:to>
    <xdr:sp macro="" textlink="">
      <xdr:nvSpPr>
        <xdr:cNvPr id="71" name="Line 70">
          <a:extLst>
            <a:ext uri="{FF2B5EF4-FFF2-40B4-BE49-F238E27FC236}">
              <a16:creationId xmlns:a16="http://schemas.microsoft.com/office/drawing/2014/main" id="{9737C287-C4A3-4DF3-8938-9CBCE6AEF3D6}"/>
            </a:ext>
          </a:extLst>
        </xdr:cNvPr>
        <xdr:cNvSpPr>
          <a:spLocks noChangeShapeType="1"/>
        </xdr:cNvSpPr>
      </xdr:nvSpPr>
      <xdr:spPr bwMode="auto">
        <a:xfrm>
          <a:off x="4657725" y="7258050"/>
          <a:ext cx="600075" cy="16192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42</xdr:row>
      <xdr:rowOff>60960</xdr:rowOff>
    </xdr:from>
    <xdr:to>
      <xdr:col>7</xdr:col>
      <xdr:colOff>0</xdr:colOff>
      <xdr:row>43</xdr:row>
      <xdr:rowOff>68580</xdr:rowOff>
    </xdr:to>
    <xdr:sp macro="" textlink="">
      <xdr:nvSpPr>
        <xdr:cNvPr id="72" name="Line 71">
          <a:extLst>
            <a:ext uri="{FF2B5EF4-FFF2-40B4-BE49-F238E27FC236}">
              <a16:creationId xmlns:a16="http://schemas.microsoft.com/office/drawing/2014/main" id="{97B6DE7B-BFF2-445C-B83C-D0224C1706CE}"/>
            </a:ext>
          </a:extLst>
        </xdr:cNvPr>
        <xdr:cNvSpPr>
          <a:spLocks noChangeShapeType="1"/>
        </xdr:cNvSpPr>
      </xdr:nvSpPr>
      <xdr:spPr bwMode="auto">
        <a:xfrm flipH="1">
          <a:off x="4648200" y="7419975"/>
          <a:ext cx="609600" cy="18097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43</xdr:row>
      <xdr:rowOff>76200</xdr:rowOff>
    </xdr:from>
    <xdr:to>
      <xdr:col>7</xdr:col>
      <xdr:colOff>0</xdr:colOff>
      <xdr:row>44</xdr:row>
      <xdr:rowOff>60960</xdr:rowOff>
    </xdr:to>
    <xdr:sp macro="" textlink="">
      <xdr:nvSpPr>
        <xdr:cNvPr id="73" name="Line 72">
          <a:extLst>
            <a:ext uri="{FF2B5EF4-FFF2-40B4-BE49-F238E27FC236}">
              <a16:creationId xmlns:a16="http://schemas.microsoft.com/office/drawing/2014/main" id="{009E2B7D-BB2F-4143-9161-8074A5A6233D}"/>
            </a:ext>
          </a:extLst>
        </xdr:cNvPr>
        <xdr:cNvSpPr>
          <a:spLocks noChangeShapeType="1"/>
        </xdr:cNvSpPr>
      </xdr:nvSpPr>
      <xdr:spPr bwMode="auto">
        <a:xfrm>
          <a:off x="4648200" y="7610475"/>
          <a:ext cx="609600" cy="14287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44</xdr:row>
      <xdr:rowOff>68580</xdr:rowOff>
    </xdr:from>
    <xdr:to>
      <xdr:col>7</xdr:col>
      <xdr:colOff>0</xdr:colOff>
      <xdr:row>45</xdr:row>
      <xdr:rowOff>68580</xdr:rowOff>
    </xdr:to>
    <xdr:sp macro="" textlink="">
      <xdr:nvSpPr>
        <xdr:cNvPr id="74" name="Line 73">
          <a:extLst>
            <a:ext uri="{FF2B5EF4-FFF2-40B4-BE49-F238E27FC236}">
              <a16:creationId xmlns:a16="http://schemas.microsoft.com/office/drawing/2014/main" id="{722ABC5D-589B-47FF-B7F8-9DF2D1F7ABBE}"/>
            </a:ext>
          </a:extLst>
        </xdr:cNvPr>
        <xdr:cNvSpPr>
          <a:spLocks noChangeShapeType="1"/>
        </xdr:cNvSpPr>
      </xdr:nvSpPr>
      <xdr:spPr bwMode="auto">
        <a:xfrm flipH="1">
          <a:off x="4648200" y="7762875"/>
          <a:ext cx="609600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480060</xdr:colOff>
      <xdr:row>42</xdr:row>
      <xdr:rowOff>68580</xdr:rowOff>
    </xdr:from>
    <xdr:to>
      <xdr:col>3</xdr:col>
      <xdr:colOff>0</xdr:colOff>
      <xdr:row>43</xdr:row>
      <xdr:rowOff>68580</xdr:rowOff>
    </xdr:to>
    <xdr:sp macro="" textlink="">
      <xdr:nvSpPr>
        <xdr:cNvPr id="75" name="Line 74">
          <a:extLst>
            <a:ext uri="{FF2B5EF4-FFF2-40B4-BE49-F238E27FC236}">
              <a16:creationId xmlns:a16="http://schemas.microsoft.com/office/drawing/2014/main" id="{6E3A2068-769C-4963-ADC7-3E59D6295BB9}"/>
            </a:ext>
          </a:extLst>
        </xdr:cNvPr>
        <xdr:cNvSpPr>
          <a:spLocks noChangeShapeType="1"/>
        </xdr:cNvSpPr>
      </xdr:nvSpPr>
      <xdr:spPr bwMode="auto">
        <a:xfrm flipH="1">
          <a:off x="2076450" y="7429500"/>
          <a:ext cx="742950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472440</xdr:colOff>
      <xdr:row>43</xdr:row>
      <xdr:rowOff>76200</xdr:rowOff>
    </xdr:from>
    <xdr:to>
      <xdr:col>3</xdr:col>
      <xdr:colOff>0</xdr:colOff>
      <xdr:row>44</xdr:row>
      <xdr:rowOff>83820</xdr:rowOff>
    </xdr:to>
    <xdr:sp macro="" textlink="">
      <xdr:nvSpPr>
        <xdr:cNvPr id="76" name="Line 75">
          <a:extLst>
            <a:ext uri="{FF2B5EF4-FFF2-40B4-BE49-F238E27FC236}">
              <a16:creationId xmlns:a16="http://schemas.microsoft.com/office/drawing/2014/main" id="{161B6409-D8C4-4E84-8E66-ABD182FEB15F}"/>
            </a:ext>
          </a:extLst>
        </xdr:cNvPr>
        <xdr:cNvSpPr>
          <a:spLocks noChangeShapeType="1"/>
        </xdr:cNvSpPr>
      </xdr:nvSpPr>
      <xdr:spPr bwMode="auto">
        <a:xfrm>
          <a:off x="2076450" y="7610475"/>
          <a:ext cx="742950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</xdr:colOff>
      <xdr:row>42</xdr:row>
      <xdr:rowOff>76200</xdr:rowOff>
    </xdr:from>
    <xdr:to>
      <xdr:col>5</xdr:col>
      <xdr:colOff>7620</xdr:colOff>
      <xdr:row>43</xdr:row>
      <xdr:rowOff>53340</xdr:rowOff>
    </xdr:to>
    <xdr:sp macro="" textlink="">
      <xdr:nvSpPr>
        <xdr:cNvPr id="77" name="Line 76">
          <a:extLst>
            <a:ext uri="{FF2B5EF4-FFF2-40B4-BE49-F238E27FC236}">
              <a16:creationId xmlns:a16="http://schemas.microsoft.com/office/drawing/2014/main" id="{ED55C612-BAF0-4639-96B8-BDEE71B28B00}"/>
            </a:ext>
          </a:extLst>
        </xdr:cNvPr>
        <xdr:cNvSpPr>
          <a:spLocks noChangeShapeType="1"/>
        </xdr:cNvSpPr>
      </xdr:nvSpPr>
      <xdr:spPr bwMode="auto">
        <a:xfrm>
          <a:off x="3438525" y="7439025"/>
          <a:ext cx="6096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</xdr:colOff>
      <xdr:row>42</xdr:row>
      <xdr:rowOff>76200</xdr:rowOff>
    </xdr:from>
    <xdr:to>
      <xdr:col>5</xdr:col>
      <xdr:colOff>7620</xdr:colOff>
      <xdr:row>43</xdr:row>
      <xdr:rowOff>53340</xdr:rowOff>
    </xdr:to>
    <xdr:sp macro="" textlink="">
      <xdr:nvSpPr>
        <xdr:cNvPr id="78" name="Line 77">
          <a:extLst>
            <a:ext uri="{FF2B5EF4-FFF2-40B4-BE49-F238E27FC236}">
              <a16:creationId xmlns:a16="http://schemas.microsoft.com/office/drawing/2014/main" id="{FDDC017C-4E84-4177-9422-6DDD278CFC24}"/>
            </a:ext>
          </a:extLst>
        </xdr:cNvPr>
        <xdr:cNvSpPr>
          <a:spLocks noChangeShapeType="1"/>
        </xdr:cNvSpPr>
      </xdr:nvSpPr>
      <xdr:spPr bwMode="auto">
        <a:xfrm>
          <a:off x="3438525" y="7439025"/>
          <a:ext cx="609600" cy="1524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43</xdr:row>
      <xdr:rowOff>53340</xdr:rowOff>
    </xdr:from>
    <xdr:to>
      <xdr:col>5</xdr:col>
      <xdr:colOff>15240</xdr:colOff>
      <xdr:row>44</xdr:row>
      <xdr:rowOff>76200</xdr:rowOff>
    </xdr:to>
    <xdr:sp macro="" textlink="">
      <xdr:nvSpPr>
        <xdr:cNvPr id="79" name="Line 78">
          <a:extLst>
            <a:ext uri="{FF2B5EF4-FFF2-40B4-BE49-F238E27FC236}">
              <a16:creationId xmlns:a16="http://schemas.microsoft.com/office/drawing/2014/main" id="{E5AD929A-682A-418B-8F76-A5C4A87EF5E3}"/>
            </a:ext>
          </a:extLst>
        </xdr:cNvPr>
        <xdr:cNvSpPr>
          <a:spLocks noChangeShapeType="1"/>
        </xdr:cNvSpPr>
      </xdr:nvSpPr>
      <xdr:spPr bwMode="auto">
        <a:xfrm flipV="1">
          <a:off x="3429000" y="7591425"/>
          <a:ext cx="628650" cy="18097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15240</xdr:colOff>
      <xdr:row>44</xdr:row>
      <xdr:rowOff>91440</xdr:rowOff>
    </xdr:from>
    <xdr:to>
      <xdr:col>5</xdr:col>
      <xdr:colOff>7620</xdr:colOff>
      <xdr:row>45</xdr:row>
      <xdr:rowOff>76200</xdr:rowOff>
    </xdr:to>
    <xdr:sp macro="" textlink="">
      <xdr:nvSpPr>
        <xdr:cNvPr id="80" name="Line 79">
          <a:extLst>
            <a:ext uri="{FF2B5EF4-FFF2-40B4-BE49-F238E27FC236}">
              <a16:creationId xmlns:a16="http://schemas.microsoft.com/office/drawing/2014/main" id="{CE025D9D-3041-4D41-85C9-B780124E7675}"/>
            </a:ext>
          </a:extLst>
        </xdr:cNvPr>
        <xdr:cNvSpPr>
          <a:spLocks noChangeShapeType="1"/>
        </xdr:cNvSpPr>
      </xdr:nvSpPr>
      <xdr:spPr bwMode="auto">
        <a:xfrm>
          <a:off x="3448050" y="7791450"/>
          <a:ext cx="600075" cy="1524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</xdr:colOff>
      <xdr:row>45</xdr:row>
      <xdr:rowOff>76200</xdr:rowOff>
    </xdr:from>
    <xdr:to>
      <xdr:col>7</xdr:col>
      <xdr:colOff>0</xdr:colOff>
      <xdr:row>46</xdr:row>
      <xdr:rowOff>68580</xdr:rowOff>
    </xdr:to>
    <xdr:sp macro="" textlink="">
      <xdr:nvSpPr>
        <xdr:cNvPr id="81" name="Line 80">
          <a:extLst>
            <a:ext uri="{FF2B5EF4-FFF2-40B4-BE49-F238E27FC236}">
              <a16:creationId xmlns:a16="http://schemas.microsoft.com/office/drawing/2014/main" id="{6181AED2-1871-40F9-B983-84B6DB728243}"/>
            </a:ext>
          </a:extLst>
        </xdr:cNvPr>
        <xdr:cNvSpPr>
          <a:spLocks noChangeShapeType="1"/>
        </xdr:cNvSpPr>
      </xdr:nvSpPr>
      <xdr:spPr bwMode="auto">
        <a:xfrm>
          <a:off x="4657725" y="7943850"/>
          <a:ext cx="600075" cy="16192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54</xdr:row>
      <xdr:rowOff>53340</xdr:rowOff>
    </xdr:from>
    <xdr:to>
      <xdr:col>5</xdr:col>
      <xdr:colOff>7620</xdr:colOff>
      <xdr:row>55</xdr:row>
      <xdr:rowOff>68580</xdr:rowOff>
    </xdr:to>
    <xdr:sp macro="" textlink="">
      <xdr:nvSpPr>
        <xdr:cNvPr id="82" name="Line 81">
          <a:extLst>
            <a:ext uri="{FF2B5EF4-FFF2-40B4-BE49-F238E27FC236}">
              <a16:creationId xmlns:a16="http://schemas.microsoft.com/office/drawing/2014/main" id="{BC80A569-855D-4199-A44B-1CC0EBEFAE78}"/>
            </a:ext>
          </a:extLst>
        </xdr:cNvPr>
        <xdr:cNvSpPr>
          <a:spLocks noChangeShapeType="1"/>
        </xdr:cNvSpPr>
      </xdr:nvSpPr>
      <xdr:spPr bwMode="auto">
        <a:xfrm flipV="1">
          <a:off x="3429000" y="9467850"/>
          <a:ext cx="619125" cy="18097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</xdr:colOff>
      <xdr:row>55</xdr:row>
      <xdr:rowOff>76200</xdr:rowOff>
    </xdr:from>
    <xdr:to>
      <xdr:col>5</xdr:col>
      <xdr:colOff>7620</xdr:colOff>
      <xdr:row>56</xdr:row>
      <xdr:rowOff>53340</xdr:rowOff>
    </xdr:to>
    <xdr:sp macro="" textlink="">
      <xdr:nvSpPr>
        <xdr:cNvPr id="83" name="Line 82">
          <a:extLst>
            <a:ext uri="{FF2B5EF4-FFF2-40B4-BE49-F238E27FC236}">
              <a16:creationId xmlns:a16="http://schemas.microsoft.com/office/drawing/2014/main" id="{EC18718E-28C9-4FE2-A03D-B4110F45F3F4}"/>
            </a:ext>
          </a:extLst>
        </xdr:cNvPr>
        <xdr:cNvSpPr>
          <a:spLocks noChangeShapeType="1"/>
        </xdr:cNvSpPr>
      </xdr:nvSpPr>
      <xdr:spPr bwMode="auto">
        <a:xfrm>
          <a:off x="3438525" y="9658350"/>
          <a:ext cx="6096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53</xdr:row>
      <xdr:rowOff>76200</xdr:rowOff>
    </xdr:from>
    <xdr:to>
      <xdr:col>7</xdr:col>
      <xdr:colOff>0</xdr:colOff>
      <xdr:row>54</xdr:row>
      <xdr:rowOff>76200</xdr:rowOff>
    </xdr:to>
    <xdr:sp macro="" textlink="">
      <xdr:nvSpPr>
        <xdr:cNvPr id="84" name="Line 83">
          <a:extLst>
            <a:ext uri="{FF2B5EF4-FFF2-40B4-BE49-F238E27FC236}">
              <a16:creationId xmlns:a16="http://schemas.microsoft.com/office/drawing/2014/main" id="{7BC32614-D189-4A62-B47A-4C6F4B162F03}"/>
            </a:ext>
          </a:extLst>
        </xdr:cNvPr>
        <xdr:cNvSpPr>
          <a:spLocks noChangeShapeType="1"/>
        </xdr:cNvSpPr>
      </xdr:nvSpPr>
      <xdr:spPr bwMode="auto">
        <a:xfrm flipV="1">
          <a:off x="4648200" y="9315450"/>
          <a:ext cx="609600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</xdr:colOff>
      <xdr:row>54</xdr:row>
      <xdr:rowOff>68580</xdr:rowOff>
    </xdr:from>
    <xdr:to>
      <xdr:col>7</xdr:col>
      <xdr:colOff>0</xdr:colOff>
      <xdr:row>55</xdr:row>
      <xdr:rowOff>53340</xdr:rowOff>
    </xdr:to>
    <xdr:sp macro="" textlink="">
      <xdr:nvSpPr>
        <xdr:cNvPr id="85" name="Line 84">
          <a:extLst>
            <a:ext uri="{FF2B5EF4-FFF2-40B4-BE49-F238E27FC236}">
              <a16:creationId xmlns:a16="http://schemas.microsoft.com/office/drawing/2014/main" id="{C7C3E9D3-C7EB-4459-ACB3-58DB36A19000}"/>
            </a:ext>
          </a:extLst>
        </xdr:cNvPr>
        <xdr:cNvSpPr>
          <a:spLocks noChangeShapeType="1"/>
        </xdr:cNvSpPr>
      </xdr:nvSpPr>
      <xdr:spPr bwMode="auto">
        <a:xfrm>
          <a:off x="4657725" y="9477375"/>
          <a:ext cx="600075" cy="16192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55</xdr:row>
      <xdr:rowOff>60960</xdr:rowOff>
    </xdr:from>
    <xdr:to>
      <xdr:col>7</xdr:col>
      <xdr:colOff>0</xdr:colOff>
      <xdr:row>56</xdr:row>
      <xdr:rowOff>68580</xdr:rowOff>
    </xdr:to>
    <xdr:sp macro="" textlink="">
      <xdr:nvSpPr>
        <xdr:cNvPr id="86" name="Line 85">
          <a:extLst>
            <a:ext uri="{FF2B5EF4-FFF2-40B4-BE49-F238E27FC236}">
              <a16:creationId xmlns:a16="http://schemas.microsoft.com/office/drawing/2014/main" id="{AD5BBC15-9EB0-42C7-8241-A8E6494CA31D}"/>
            </a:ext>
          </a:extLst>
        </xdr:cNvPr>
        <xdr:cNvSpPr>
          <a:spLocks noChangeShapeType="1"/>
        </xdr:cNvSpPr>
      </xdr:nvSpPr>
      <xdr:spPr bwMode="auto">
        <a:xfrm flipH="1">
          <a:off x="4648200" y="9639300"/>
          <a:ext cx="609600" cy="18097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56</xdr:row>
      <xdr:rowOff>76200</xdr:rowOff>
    </xdr:from>
    <xdr:to>
      <xdr:col>7</xdr:col>
      <xdr:colOff>0</xdr:colOff>
      <xdr:row>57</xdr:row>
      <xdr:rowOff>60960</xdr:rowOff>
    </xdr:to>
    <xdr:sp macro="" textlink="">
      <xdr:nvSpPr>
        <xdr:cNvPr id="87" name="Line 86">
          <a:extLst>
            <a:ext uri="{FF2B5EF4-FFF2-40B4-BE49-F238E27FC236}">
              <a16:creationId xmlns:a16="http://schemas.microsoft.com/office/drawing/2014/main" id="{01DE1626-E376-45F9-AE62-EA5D5C53E375}"/>
            </a:ext>
          </a:extLst>
        </xdr:cNvPr>
        <xdr:cNvSpPr>
          <a:spLocks noChangeShapeType="1"/>
        </xdr:cNvSpPr>
      </xdr:nvSpPr>
      <xdr:spPr bwMode="auto">
        <a:xfrm>
          <a:off x="4648200" y="9829800"/>
          <a:ext cx="609600" cy="1524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57</xdr:row>
      <xdr:rowOff>68580</xdr:rowOff>
    </xdr:from>
    <xdr:to>
      <xdr:col>7</xdr:col>
      <xdr:colOff>0</xdr:colOff>
      <xdr:row>58</xdr:row>
      <xdr:rowOff>68580</xdr:rowOff>
    </xdr:to>
    <xdr:sp macro="" textlink="">
      <xdr:nvSpPr>
        <xdr:cNvPr id="88" name="Line 87">
          <a:extLst>
            <a:ext uri="{FF2B5EF4-FFF2-40B4-BE49-F238E27FC236}">
              <a16:creationId xmlns:a16="http://schemas.microsoft.com/office/drawing/2014/main" id="{61B7B65B-3817-4C42-8728-F5BE4806FA3F}"/>
            </a:ext>
          </a:extLst>
        </xdr:cNvPr>
        <xdr:cNvSpPr>
          <a:spLocks noChangeShapeType="1"/>
        </xdr:cNvSpPr>
      </xdr:nvSpPr>
      <xdr:spPr bwMode="auto">
        <a:xfrm flipH="1">
          <a:off x="4648200" y="9991725"/>
          <a:ext cx="609600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480060</xdr:colOff>
      <xdr:row>55</xdr:row>
      <xdr:rowOff>68580</xdr:rowOff>
    </xdr:from>
    <xdr:to>
      <xdr:col>3</xdr:col>
      <xdr:colOff>0</xdr:colOff>
      <xdr:row>56</xdr:row>
      <xdr:rowOff>68580</xdr:rowOff>
    </xdr:to>
    <xdr:sp macro="" textlink="">
      <xdr:nvSpPr>
        <xdr:cNvPr id="89" name="Line 88">
          <a:extLst>
            <a:ext uri="{FF2B5EF4-FFF2-40B4-BE49-F238E27FC236}">
              <a16:creationId xmlns:a16="http://schemas.microsoft.com/office/drawing/2014/main" id="{CCDB2041-2840-433D-9E60-D770428D7AF5}"/>
            </a:ext>
          </a:extLst>
        </xdr:cNvPr>
        <xdr:cNvSpPr>
          <a:spLocks noChangeShapeType="1"/>
        </xdr:cNvSpPr>
      </xdr:nvSpPr>
      <xdr:spPr bwMode="auto">
        <a:xfrm flipH="1">
          <a:off x="2076450" y="9648825"/>
          <a:ext cx="742950" cy="17145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472440</xdr:colOff>
      <xdr:row>56</xdr:row>
      <xdr:rowOff>76200</xdr:rowOff>
    </xdr:from>
    <xdr:to>
      <xdr:col>3</xdr:col>
      <xdr:colOff>0</xdr:colOff>
      <xdr:row>57</xdr:row>
      <xdr:rowOff>83820</xdr:rowOff>
    </xdr:to>
    <xdr:sp macro="" textlink="">
      <xdr:nvSpPr>
        <xdr:cNvPr id="90" name="Line 89">
          <a:extLst>
            <a:ext uri="{FF2B5EF4-FFF2-40B4-BE49-F238E27FC236}">
              <a16:creationId xmlns:a16="http://schemas.microsoft.com/office/drawing/2014/main" id="{90BC9B40-10DA-42A6-BC1B-696311FB8FDA}"/>
            </a:ext>
          </a:extLst>
        </xdr:cNvPr>
        <xdr:cNvSpPr>
          <a:spLocks noChangeShapeType="1"/>
        </xdr:cNvSpPr>
      </xdr:nvSpPr>
      <xdr:spPr bwMode="auto">
        <a:xfrm>
          <a:off x="2076450" y="9829800"/>
          <a:ext cx="742950" cy="18097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</xdr:colOff>
      <xdr:row>55</xdr:row>
      <xdr:rowOff>76200</xdr:rowOff>
    </xdr:from>
    <xdr:to>
      <xdr:col>5</xdr:col>
      <xdr:colOff>7620</xdr:colOff>
      <xdr:row>56</xdr:row>
      <xdr:rowOff>53340</xdr:rowOff>
    </xdr:to>
    <xdr:sp macro="" textlink="">
      <xdr:nvSpPr>
        <xdr:cNvPr id="91" name="Line 90">
          <a:extLst>
            <a:ext uri="{FF2B5EF4-FFF2-40B4-BE49-F238E27FC236}">
              <a16:creationId xmlns:a16="http://schemas.microsoft.com/office/drawing/2014/main" id="{E5AE8B3B-67CB-4FA2-AAD9-F52A68968F84}"/>
            </a:ext>
          </a:extLst>
        </xdr:cNvPr>
        <xdr:cNvSpPr>
          <a:spLocks noChangeShapeType="1"/>
        </xdr:cNvSpPr>
      </xdr:nvSpPr>
      <xdr:spPr bwMode="auto">
        <a:xfrm>
          <a:off x="3438525" y="9658350"/>
          <a:ext cx="6096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</xdr:colOff>
      <xdr:row>55</xdr:row>
      <xdr:rowOff>76200</xdr:rowOff>
    </xdr:from>
    <xdr:to>
      <xdr:col>5</xdr:col>
      <xdr:colOff>7620</xdr:colOff>
      <xdr:row>56</xdr:row>
      <xdr:rowOff>53340</xdr:rowOff>
    </xdr:to>
    <xdr:sp macro="" textlink="">
      <xdr:nvSpPr>
        <xdr:cNvPr id="92" name="Line 91">
          <a:extLst>
            <a:ext uri="{FF2B5EF4-FFF2-40B4-BE49-F238E27FC236}">
              <a16:creationId xmlns:a16="http://schemas.microsoft.com/office/drawing/2014/main" id="{261E58E7-AD5C-4223-8A22-53BB82E9C435}"/>
            </a:ext>
          </a:extLst>
        </xdr:cNvPr>
        <xdr:cNvSpPr>
          <a:spLocks noChangeShapeType="1"/>
        </xdr:cNvSpPr>
      </xdr:nvSpPr>
      <xdr:spPr bwMode="auto">
        <a:xfrm>
          <a:off x="3438525" y="9658350"/>
          <a:ext cx="609600" cy="1524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56</xdr:row>
      <xdr:rowOff>53340</xdr:rowOff>
    </xdr:from>
    <xdr:to>
      <xdr:col>5</xdr:col>
      <xdr:colOff>15240</xdr:colOff>
      <xdr:row>57</xdr:row>
      <xdr:rowOff>76200</xdr:rowOff>
    </xdr:to>
    <xdr:sp macro="" textlink="">
      <xdr:nvSpPr>
        <xdr:cNvPr id="93" name="Line 92">
          <a:extLst>
            <a:ext uri="{FF2B5EF4-FFF2-40B4-BE49-F238E27FC236}">
              <a16:creationId xmlns:a16="http://schemas.microsoft.com/office/drawing/2014/main" id="{44EFEA15-5F3B-4F57-82E5-0E6E162027C2}"/>
            </a:ext>
          </a:extLst>
        </xdr:cNvPr>
        <xdr:cNvSpPr>
          <a:spLocks noChangeShapeType="1"/>
        </xdr:cNvSpPr>
      </xdr:nvSpPr>
      <xdr:spPr bwMode="auto">
        <a:xfrm flipV="1">
          <a:off x="3429000" y="9810750"/>
          <a:ext cx="628650" cy="1905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15240</xdr:colOff>
      <xdr:row>57</xdr:row>
      <xdr:rowOff>91440</xdr:rowOff>
    </xdr:from>
    <xdr:to>
      <xdr:col>5</xdr:col>
      <xdr:colOff>7620</xdr:colOff>
      <xdr:row>58</xdr:row>
      <xdr:rowOff>76200</xdr:rowOff>
    </xdr:to>
    <xdr:sp macro="" textlink="">
      <xdr:nvSpPr>
        <xdr:cNvPr id="94" name="Line 93">
          <a:extLst>
            <a:ext uri="{FF2B5EF4-FFF2-40B4-BE49-F238E27FC236}">
              <a16:creationId xmlns:a16="http://schemas.microsoft.com/office/drawing/2014/main" id="{30552355-5220-47C6-BE7B-D08A3060CB6E}"/>
            </a:ext>
          </a:extLst>
        </xdr:cNvPr>
        <xdr:cNvSpPr>
          <a:spLocks noChangeShapeType="1"/>
        </xdr:cNvSpPr>
      </xdr:nvSpPr>
      <xdr:spPr bwMode="auto">
        <a:xfrm>
          <a:off x="3448050" y="10020300"/>
          <a:ext cx="600075" cy="152400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</xdr:colOff>
      <xdr:row>58</xdr:row>
      <xdr:rowOff>76200</xdr:rowOff>
    </xdr:from>
    <xdr:to>
      <xdr:col>7</xdr:col>
      <xdr:colOff>0</xdr:colOff>
      <xdr:row>59</xdr:row>
      <xdr:rowOff>68580</xdr:rowOff>
    </xdr:to>
    <xdr:sp macro="" textlink="">
      <xdr:nvSpPr>
        <xdr:cNvPr id="95" name="Line 94">
          <a:extLst>
            <a:ext uri="{FF2B5EF4-FFF2-40B4-BE49-F238E27FC236}">
              <a16:creationId xmlns:a16="http://schemas.microsoft.com/office/drawing/2014/main" id="{9DA2E225-BFD7-46A1-85D1-4C73D9D33D40}"/>
            </a:ext>
          </a:extLst>
        </xdr:cNvPr>
        <xdr:cNvSpPr>
          <a:spLocks noChangeShapeType="1"/>
        </xdr:cNvSpPr>
      </xdr:nvSpPr>
      <xdr:spPr bwMode="auto">
        <a:xfrm>
          <a:off x="4657725" y="10172700"/>
          <a:ext cx="600075" cy="161925"/>
        </a:xfrm>
        <a:prstGeom prst="line">
          <a:avLst/>
        </a:prstGeom>
        <a:noFill/>
        <a:ln w="1714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213360</xdr:colOff>
      <xdr:row>52</xdr:row>
      <xdr:rowOff>0</xdr:rowOff>
    </xdr:from>
    <xdr:to>
      <xdr:col>5</xdr:col>
      <xdr:colOff>213360</xdr:colOff>
      <xdr:row>53</xdr:row>
      <xdr:rowOff>99060</xdr:rowOff>
    </xdr:to>
    <xdr:sp macro="" textlink="">
      <xdr:nvSpPr>
        <xdr:cNvPr id="96" name="Line 95">
          <a:extLst>
            <a:ext uri="{FF2B5EF4-FFF2-40B4-BE49-F238E27FC236}">
              <a16:creationId xmlns:a16="http://schemas.microsoft.com/office/drawing/2014/main" id="{352A8EBC-4927-4B13-B69E-41440A8257D1}"/>
            </a:ext>
          </a:extLst>
        </xdr:cNvPr>
        <xdr:cNvSpPr>
          <a:spLocks noChangeShapeType="1"/>
        </xdr:cNvSpPr>
      </xdr:nvSpPr>
      <xdr:spPr bwMode="auto">
        <a:xfrm>
          <a:off x="4248150" y="9067800"/>
          <a:ext cx="0" cy="2667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373380</xdr:colOff>
      <xdr:row>57</xdr:row>
      <xdr:rowOff>30480</xdr:rowOff>
    </xdr:from>
    <xdr:to>
      <xdr:col>5</xdr:col>
      <xdr:colOff>175260</xdr:colOff>
      <xdr:row>60</xdr:row>
      <xdr:rowOff>7620</xdr:rowOff>
    </xdr:to>
    <xdr:sp macro="" textlink="">
      <xdr:nvSpPr>
        <xdr:cNvPr id="97" name="Line 96">
          <a:extLst>
            <a:ext uri="{FF2B5EF4-FFF2-40B4-BE49-F238E27FC236}">
              <a16:creationId xmlns:a16="http://schemas.microsoft.com/office/drawing/2014/main" id="{10F86859-3C18-4262-86F0-82709CAB28E9}"/>
            </a:ext>
          </a:extLst>
        </xdr:cNvPr>
        <xdr:cNvSpPr>
          <a:spLocks noChangeShapeType="1"/>
        </xdr:cNvSpPr>
      </xdr:nvSpPr>
      <xdr:spPr bwMode="auto">
        <a:xfrm flipV="1">
          <a:off x="3800475" y="9953625"/>
          <a:ext cx="409575" cy="4953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76200</xdr:colOff>
      <xdr:row>21</xdr:row>
      <xdr:rowOff>19050</xdr:rowOff>
    </xdr:from>
    <xdr:to>
      <xdr:col>9</xdr:col>
      <xdr:colOff>586154</xdr:colOff>
      <xdr:row>23</xdr:row>
      <xdr:rowOff>43961</xdr:rowOff>
    </xdr:to>
    <xdr:sp macro="" textlink="">
      <xdr:nvSpPr>
        <xdr:cNvPr id="98" name="Text Box 97">
          <a:extLst>
            <a:ext uri="{FF2B5EF4-FFF2-40B4-BE49-F238E27FC236}">
              <a16:creationId xmlns:a16="http://schemas.microsoft.com/office/drawing/2014/main" id="{31A78E68-BBDC-4752-B75A-F43C16429A74}"/>
            </a:ext>
          </a:extLst>
        </xdr:cNvPr>
        <xdr:cNvSpPr txBox="1">
          <a:spLocks noChangeArrowheads="1"/>
        </xdr:cNvSpPr>
      </xdr:nvSpPr>
      <xdr:spPr bwMode="auto">
        <a:xfrm>
          <a:off x="5930412" y="3726473"/>
          <a:ext cx="3045069" cy="361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=MAX(q</a:t>
          </a:r>
          <a:r>
            <a:rPr lang="zh-CN" alt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U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*H25+q</a:t>
          </a:r>
          <a:r>
            <a:rPr lang="zh-CN" alt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D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*H27,MAX(F16-E4,0))</a:t>
          </a:r>
        </a:p>
      </xdr:txBody>
    </xdr:sp>
    <xdr:clientData/>
  </xdr:twoCellAnchor>
  <xdr:twoCellAnchor>
    <xdr:from>
      <xdr:col>5</xdr:col>
      <xdr:colOff>419100</xdr:colOff>
      <xdr:row>22</xdr:row>
      <xdr:rowOff>60960</xdr:rowOff>
    </xdr:from>
    <xdr:to>
      <xdr:col>8</xdr:col>
      <xdr:colOff>76200</xdr:colOff>
      <xdr:row>25</xdr:row>
      <xdr:rowOff>7620</xdr:rowOff>
    </xdr:to>
    <xdr:sp macro="" textlink="">
      <xdr:nvSpPr>
        <xdr:cNvPr id="99" name="Line 98">
          <a:extLst>
            <a:ext uri="{FF2B5EF4-FFF2-40B4-BE49-F238E27FC236}">
              <a16:creationId xmlns:a16="http://schemas.microsoft.com/office/drawing/2014/main" id="{DCD3D14D-B146-4FB3-A270-54125698962D}"/>
            </a:ext>
          </a:extLst>
        </xdr:cNvPr>
        <xdr:cNvSpPr>
          <a:spLocks noChangeShapeType="1"/>
        </xdr:cNvSpPr>
      </xdr:nvSpPr>
      <xdr:spPr bwMode="auto">
        <a:xfrm flipH="1">
          <a:off x="4457700" y="3990975"/>
          <a:ext cx="1485900" cy="4667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281940</xdr:colOff>
      <xdr:row>34</xdr:row>
      <xdr:rowOff>76200</xdr:rowOff>
    </xdr:from>
    <xdr:to>
      <xdr:col>8</xdr:col>
      <xdr:colOff>1150620</xdr:colOff>
      <xdr:row>37</xdr:row>
      <xdr:rowOff>30480</xdr:rowOff>
    </xdr:to>
    <xdr:sp macro="" textlink="">
      <xdr:nvSpPr>
        <xdr:cNvPr id="100" name="Text Box 99">
          <a:extLst>
            <a:ext uri="{FF2B5EF4-FFF2-40B4-BE49-F238E27FC236}">
              <a16:creationId xmlns:a16="http://schemas.microsoft.com/office/drawing/2014/main" id="{A628121F-FFD5-4B52-8B2E-5D4D3EFF4DC6}"/>
            </a:ext>
          </a:extLst>
        </xdr:cNvPr>
        <xdr:cNvSpPr txBox="1">
          <a:spLocks noChangeArrowheads="1"/>
        </xdr:cNvSpPr>
      </xdr:nvSpPr>
      <xdr:spPr bwMode="auto">
        <a:xfrm>
          <a:off x="5543550" y="6067425"/>
          <a:ext cx="1476375" cy="466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=IF(q</a:t>
          </a:r>
          <a:r>
            <a:rPr lang="zh-CN" alt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U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*H25+q</a:t>
          </a:r>
          <a:r>
            <a:rPr lang="zh-CN" alt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D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*H27&gt;=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MAX(F16-E4,0),"no","yes")</a:t>
          </a:r>
        </a:p>
      </xdr:txBody>
    </xdr:sp>
    <xdr:clientData/>
  </xdr:twoCellAnchor>
  <xdr:twoCellAnchor>
    <xdr:from>
      <xdr:col>5</xdr:col>
      <xdr:colOff>381000</xdr:colOff>
      <xdr:row>34</xdr:row>
      <xdr:rowOff>0</xdr:rowOff>
    </xdr:from>
    <xdr:to>
      <xdr:col>7</xdr:col>
      <xdr:colOff>281940</xdr:colOff>
      <xdr:row>36</xdr:row>
      <xdr:rowOff>7620</xdr:rowOff>
    </xdr:to>
    <xdr:sp macro="" textlink="">
      <xdr:nvSpPr>
        <xdr:cNvPr id="101" name="Line 100">
          <a:extLst>
            <a:ext uri="{FF2B5EF4-FFF2-40B4-BE49-F238E27FC236}">
              <a16:creationId xmlns:a16="http://schemas.microsoft.com/office/drawing/2014/main" id="{67957966-F072-4ABE-A69B-8F5EB0672603}"/>
            </a:ext>
          </a:extLst>
        </xdr:cNvPr>
        <xdr:cNvSpPr>
          <a:spLocks noChangeShapeType="1"/>
        </xdr:cNvSpPr>
      </xdr:nvSpPr>
      <xdr:spPr bwMode="auto">
        <a:xfrm flipH="1" flipV="1">
          <a:off x="4419600" y="5991225"/>
          <a:ext cx="1123950" cy="352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99060</xdr:colOff>
      <xdr:row>29</xdr:row>
      <xdr:rowOff>114300</xdr:rowOff>
    </xdr:from>
    <xdr:to>
      <xdr:col>2</xdr:col>
      <xdr:colOff>259080</xdr:colOff>
      <xdr:row>31</xdr:row>
      <xdr:rowOff>53340</xdr:rowOff>
    </xdr:to>
    <xdr:sp macro="" textlink="">
      <xdr:nvSpPr>
        <xdr:cNvPr id="102" name="Text Box 101">
          <a:extLst>
            <a:ext uri="{FF2B5EF4-FFF2-40B4-BE49-F238E27FC236}">
              <a16:creationId xmlns:a16="http://schemas.microsoft.com/office/drawing/2014/main" id="{2E60958D-D62E-417C-98B0-AF2E2CB014F7}"/>
            </a:ext>
          </a:extLst>
        </xdr:cNvPr>
        <xdr:cNvSpPr txBox="1">
          <a:spLocks noChangeArrowheads="1"/>
        </xdr:cNvSpPr>
      </xdr:nvSpPr>
      <xdr:spPr bwMode="auto">
        <a:xfrm>
          <a:off x="95250" y="5248275"/>
          <a:ext cx="2371725" cy="2857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=MAX(q</a:t>
          </a:r>
          <a:r>
            <a:rPr lang="zh-CN" alt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U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*F28+q</a:t>
          </a:r>
          <a:r>
            <a:rPr lang="zh-CN" altLang="en-US" sz="1000" b="0" i="0" u="none" strike="noStrike" baseline="-25000">
              <a:solidFill>
                <a:srgbClr val="000000"/>
              </a:solidFill>
              <a:latin typeface="Arial"/>
              <a:cs typeface="Arial"/>
            </a:rPr>
            <a:t>D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*F30,MAX(D19-E3,0))</a:t>
          </a:r>
        </a:p>
      </xdr:txBody>
    </xdr:sp>
    <xdr:clientData/>
  </xdr:twoCellAnchor>
  <xdr:twoCellAnchor>
    <xdr:from>
      <xdr:col>2</xdr:col>
      <xdr:colOff>266700</xdr:colOff>
      <xdr:row>29</xdr:row>
      <xdr:rowOff>7620</xdr:rowOff>
    </xdr:from>
    <xdr:to>
      <xdr:col>3</xdr:col>
      <xdr:colOff>312420</xdr:colOff>
      <xdr:row>30</xdr:row>
      <xdr:rowOff>83820</xdr:rowOff>
    </xdr:to>
    <xdr:sp macro="" textlink="">
      <xdr:nvSpPr>
        <xdr:cNvPr id="103" name="Line 102">
          <a:extLst>
            <a:ext uri="{FF2B5EF4-FFF2-40B4-BE49-F238E27FC236}">
              <a16:creationId xmlns:a16="http://schemas.microsoft.com/office/drawing/2014/main" id="{D85906B5-1C5F-416D-AA19-41603FDEF76A}"/>
            </a:ext>
          </a:extLst>
        </xdr:cNvPr>
        <xdr:cNvSpPr>
          <a:spLocks noChangeShapeType="1"/>
        </xdr:cNvSpPr>
      </xdr:nvSpPr>
      <xdr:spPr bwMode="auto">
        <a:xfrm flipV="1">
          <a:off x="2476500" y="5143500"/>
          <a:ext cx="657225" cy="2476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10</xdr:col>
      <xdr:colOff>441960</xdr:colOff>
      <xdr:row>4</xdr:row>
      <xdr:rowOff>0</xdr:rowOff>
    </xdr:from>
    <xdr:to>
      <xdr:col>24</xdr:col>
      <xdr:colOff>320040</xdr:colOff>
      <xdr:row>65</xdr:row>
      <xdr:rowOff>152400</xdr:rowOff>
    </xdr:to>
    <xdr:pic>
      <xdr:nvPicPr>
        <xdr:cNvPr id="104" name="图片 103">
          <a:extLst>
            <a:ext uri="{FF2B5EF4-FFF2-40B4-BE49-F238E27FC236}">
              <a16:creationId xmlns:a16="http://schemas.microsoft.com/office/drawing/2014/main" id="{61B1DD96-55B0-74DE-200E-A2A83ED4A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456420" y="746760"/>
          <a:ext cx="8404860" cy="109956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7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444-45"/>
      <sheetName val="Pages 444-45中文"/>
      <sheetName val="Page 446, top"/>
      <sheetName val="Page 446, top中文"/>
      <sheetName val="Page 446, bottom"/>
      <sheetName val="Page 446, bottom中文"/>
      <sheetName val="Page 448, picture"/>
      <sheetName val="Page 448，pictures中文"/>
      <sheetName val="Page 448"/>
      <sheetName val="Page 448中文"/>
      <sheetName val="Page 451"/>
      <sheetName val="Page 451中文"/>
      <sheetName val="Page 452"/>
      <sheetName val="Page 452中文"/>
      <sheetName val="Page 454"/>
      <sheetName val="Page 454 (中文)"/>
      <sheetName val="Page 457"/>
      <sheetName val="VBA option functions"/>
      <sheetName val="Page 457中文"/>
      <sheetName val="Page 458"/>
      <sheetName val="Page 458中文"/>
      <sheetName val="Page 460"/>
      <sheetName val="Page 460 (中文)"/>
      <sheetName val="Page 461"/>
      <sheetName val="Page 461 (中文)"/>
      <sheetName val="Page 462"/>
      <sheetName val="Page 462中文"/>
      <sheetName val="Page 463"/>
      <sheetName val="Page 463中文"/>
      <sheetName val="Page 464"/>
      <sheetName val="Page 464中文"/>
      <sheetName val="Page 465"/>
      <sheetName val="Page 465中文"/>
      <sheetName val="Page 466"/>
      <sheetName val="Page 466中文"/>
      <sheetName val="Page 467"/>
      <sheetName val="Page 467中文"/>
      <sheetName val="Page 473"/>
      <sheetName val="Page 473中文"/>
      <sheetName val="Page 474"/>
      <sheetName val="Page 474中文"/>
      <sheetName val="Page 475"/>
      <sheetName val="Page 475中文"/>
      <sheetName val="Page 477"/>
      <sheetName val="Page 477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I63"/>
  <sheetViews>
    <sheetView tabSelected="1" topLeftCell="A25" zoomScale="130" zoomScaleNormal="130" workbookViewId="0">
      <selection activeCell="I46" sqref="I46"/>
    </sheetView>
  </sheetViews>
  <sheetFormatPr defaultRowHeight="13.8" x14ac:dyDescent="0.25"/>
  <cols>
    <col min="1" max="1" width="23.33203125" style="2" customWidth="1"/>
    <col min="2" max="8" width="8.88671875" style="2"/>
    <col min="9" max="9" width="37" style="2" customWidth="1"/>
  </cols>
  <sheetData>
    <row r="1" spans="1:9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</row>
    <row r="2" spans="1:9" x14ac:dyDescent="0.25">
      <c r="A2" s="2" t="s">
        <v>1</v>
      </c>
      <c r="B2" s="2">
        <v>100</v>
      </c>
      <c r="D2" s="3" t="s">
        <v>2</v>
      </c>
      <c r="E2" s="3"/>
      <c r="G2" s="4"/>
    </row>
    <row r="3" spans="1:9" x14ac:dyDescent="0.25">
      <c r="A3" s="2" t="s">
        <v>3</v>
      </c>
      <c r="B3" s="5">
        <v>1.1000000000000001</v>
      </c>
      <c r="D3" s="2" t="s">
        <v>4</v>
      </c>
      <c r="E3" s="2">
        <v>100</v>
      </c>
    </row>
    <row r="4" spans="1:9" x14ac:dyDescent="0.25">
      <c r="A4" s="2" t="s">
        <v>5</v>
      </c>
      <c r="B4" s="5">
        <v>0.95</v>
      </c>
      <c r="D4" s="2" t="s">
        <v>6</v>
      </c>
      <c r="E4" s="2">
        <v>105</v>
      </c>
    </row>
    <row r="5" spans="1:9" x14ac:dyDescent="0.25">
      <c r="A5" s="2" t="s">
        <v>7</v>
      </c>
      <c r="B5" s="5">
        <v>1.06</v>
      </c>
      <c r="D5" s="2" t="s">
        <v>8</v>
      </c>
      <c r="E5" s="2">
        <v>112</v>
      </c>
    </row>
    <row r="7" spans="1:9" x14ac:dyDescent="0.25">
      <c r="A7" s="4" t="s">
        <v>9</v>
      </c>
    </row>
    <row r="8" spans="1:9" ht="15.6" x14ac:dyDescent="0.35">
      <c r="A8" s="2" t="s">
        <v>10</v>
      </c>
      <c r="B8" s="6">
        <f>(B5-B4)/(B5*(B3-B4))</f>
        <v>0.69182389937106914</v>
      </c>
      <c r="C8" s="2" t="str">
        <f ca="1">[2]!getformula(B8)</f>
        <v>&lt;--  =(B5-B4)/(B5*(B3-B4))</v>
      </c>
    </row>
    <row r="9" spans="1:9" ht="15.6" x14ac:dyDescent="0.35">
      <c r="A9" s="2" t="s">
        <v>11</v>
      </c>
      <c r="B9" s="6">
        <f>(B3-B5)/(B5*(B3-B4))</f>
        <v>0.25157232704402516</v>
      </c>
      <c r="C9" s="2" t="str">
        <f ca="1">[2]!getformula(B9)</f>
        <v>&lt;--  =(B3-B5)/(B5*(B3-B4))</v>
      </c>
    </row>
    <row r="11" spans="1:9" x14ac:dyDescent="0.25">
      <c r="A11" s="4" t="s">
        <v>12</v>
      </c>
    </row>
    <row r="12" spans="1:9" ht="15.6" x14ac:dyDescent="0.35">
      <c r="A12" s="2" t="s">
        <v>13</v>
      </c>
      <c r="B12" s="2">
        <f>1/(B8+B9)</f>
        <v>1.06</v>
      </c>
      <c r="C12" s="2" t="str">
        <f ca="1">[2]!getformula(B12)</f>
        <v>&lt;--  =1/(B8+B9)</v>
      </c>
    </row>
    <row r="13" spans="1:9" ht="15.6" x14ac:dyDescent="0.35">
      <c r="A13" s="2" t="s">
        <v>14</v>
      </c>
      <c r="B13" s="2">
        <f>B8*B3+B9*B4</f>
        <v>1</v>
      </c>
      <c r="C13" s="2" t="str">
        <f ca="1">[2]!getformula(B13)</f>
        <v>&lt;--  =B8*B3+B9*B4</v>
      </c>
    </row>
    <row r="15" spans="1:9" x14ac:dyDescent="0.25">
      <c r="B15" s="7" t="s">
        <v>15</v>
      </c>
      <c r="C15" s="8"/>
      <c r="D15" s="8"/>
      <c r="E15" s="8"/>
      <c r="F15" s="8"/>
      <c r="G15" s="8"/>
      <c r="H15" s="9">
        <f>F16*($B$3)</f>
        <v>133.10000000000005</v>
      </c>
    </row>
    <row r="16" spans="1:9" x14ac:dyDescent="0.25">
      <c r="B16" s="8"/>
      <c r="C16" s="8"/>
      <c r="D16" s="8"/>
      <c r="E16" s="8"/>
      <c r="F16" s="9">
        <f>D17*($B$3)</f>
        <v>121.00000000000003</v>
      </c>
      <c r="G16" s="8"/>
      <c r="H16" s="9"/>
    </row>
    <row r="17" spans="1:9" x14ac:dyDescent="0.25">
      <c r="B17" s="8"/>
      <c r="C17" s="8"/>
      <c r="D17" s="9">
        <f>B18*($B$3)</f>
        <v>110.00000000000001</v>
      </c>
      <c r="E17" s="8"/>
      <c r="F17" s="9"/>
      <c r="G17" s="8"/>
      <c r="H17" s="9">
        <f>F16*($B$4)</f>
        <v>114.95000000000002</v>
      </c>
    </row>
    <row r="18" spans="1:9" x14ac:dyDescent="0.25">
      <c r="B18" s="9">
        <v>100</v>
      </c>
      <c r="C18" s="8"/>
      <c r="D18" s="9"/>
      <c r="E18" s="8"/>
      <c r="F18" s="9">
        <f>D17*($B$4)</f>
        <v>104.50000000000001</v>
      </c>
      <c r="G18" s="8"/>
      <c r="H18" s="9"/>
    </row>
    <row r="19" spans="1:9" x14ac:dyDescent="0.25">
      <c r="B19" s="8"/>
      <c r="C19" s="8"/>
      <c r="D19" s="9">
        <f>B18*($B$4)</f>
        <v>95</v>
      </c>
      <c r="E19" s="8"/>
      <c r="F19" s="9"/>
      <c r="G19" s="8"/>
      <c r="H19" s="9">
        <f>F18*($B$4)</f>
        <v>99.275000000000006</v>
      </c>
    </row>
    <row r="20" spans="1:9" x14ac:dyDescent="0.25">
      <c r="B20" s="8"/>
      <c r="C20" s="8"/>
      <c r="D20" s="8"/>
      <c r="E20" s="8"/>
      <c r="F20" s="9">
        <f>D19*($B$4)</f>
        <v>90.25</v>
      </c>
      <c r="G20" s="8"/>
      <c r="H20" s="9"/>
    </row>
    <row r="21" spans="1:9" x14ac:dyDescent="0.25">
      <c r="B21" s="8"/>
      <c r="C21" s="8"/>
      <c r="D21" s="8"/>
      <c r="E21" s="8"/>
      <c r="F21" s="8"/>
      <c r="G21" s="8"/>
      <c r="H21" s="9">
        <f>F20*($B$4)</f>
        <v>85.737499999999997</v>
      </c>
    </row>
    <row r="22" spans="1:9" x14ac:dyDescent="0.25">
      <c r="B22" s="8"/>
      <c r="C22" s="8"/>
      <c r="D22" s="8"/>
      <c r="E22" s="8"/>
      <c r="F22" s="8"/>
      <c r="G22" s="8"/>
      <c r="H22" s="8"/>
    </row>
    <row r="23" spans="1:9" x14ac:dyDescent="0.25">
      <c r="A23" s="4"/>
      <c r="B23" s="7" t="s">
        <v>16</v>
      </c>
      <c r="C23" s="7"/>
      <c r="D23" s="7" t="s">
        <v>4</v>
      </c>
      <c r="E23" s="7"/>
      <c r="F23" s="7" t="s">
        <v>6</v>
      </c>
      <c r="G23" s="7"/>
      <c r="H23" s="7" t="s">
        <v>8</v>
      </c>
      <c r="I23" s="4"/>
    </row>
    <row r="25" spans="1:9" x14ac:dyDescent="0.25">
      <c r="B25" s="4" t="s">
        <v>17</v>
      </c>
      <c r="H25" s="10">
        <f>MAX(H15-E5,0)</f>
        <v>21.100000000000051</v>
      </c>
      <c r="I25" s="2" t="s">
        <v>18</v>
      </c>
    </row>
    <row r="26" spans="1:9" x14ac:dyDescent="0.25">
      <c r="F26" s="10">
        <f>MAX(B8*H25+B9*H27,MAX(F16-E4,0))</f>
        <v>16.000000000000028</v>
      </c>
      <c r="H26" s="10"/>
    </row>
    <row r="27" spans="1:9" x14ac:dyDescent="0.25">
      <c r="D27" s="10">
        <f>MAX(B8*F26+B9*F28,MAX(D17-E3,0))</f>
        <v>11.58261144733201</v>
      </c>
      <c r="F27" s="10"/>
      <c r="H27" s="10">
        <f>MAX(H17-E5,0)</f>
        <v>2.9500000000000171</v>
      </c>
      <c r="I27" s="2" t="s">
        <v>19</v>
      </c>
    </row>
    <row r="28" spans="1:9" x14ac:dyDescent="0.25">
      <c r="B28" s="15">
        <f>B8*D27+B9*D29</f>
        <v>8.368329908930555</v>
      </c>
      <c r="D28" s="10"/>
      <c r="F28" s="10">
        <f>MAX(B8*H27+B9*H29,MAX(F18-E4,0))</f>
        <v>2.040880503144666</v>
      </c>
      <c r="H28" s="10"/>
    </row>
    <row r="29" spans="1:9" x14ac:dyDescent="0.25">
      <c r="D29" s="10">
        <f>MAX(B8*F28+B9*F30,MAX(D19-E3,0))</f>
        <v>1.4119299078359324</v>
      </c>
      <c r="F29" s="10"/>
      <c r="H29" s="10">
        <f>MAX(H19-E5,0)</f>
        <v>0</v>
      </c>
    </row>
    <row r="30" spans="1:9" x14ac:dyDescent="0.25">
      <c r="F30" s="10">
        <f>MAX(B8*H29+B9*H31,MAX(F20-E4,0))</f>
        <v>0</v>
      </c>
      <c r="H30" s="10"/>
    </row>
    <row r="31" spans="1:9" x14ac:dyDescent="0.25">
      <c r="H31" s="10">
        <f>MAX(H21-E5,0)</f>
        <v>0</v>
      </c>
    </row>
    <row r="33" spans="2:8" x14ac:dyDescent="0.25">
      <c r="B33" s="4" t="s">
        <v>20</v>
      </c>
    </row>
    <row r="34" spans="2:8" x14ac:dyDescent="0.25">
      <c r="F34" s="8" t="str">
        <f>IF(B8*H25+B9*H27&gt;=MAX(F16-E4,0),"no","yes")</f>
        <v>yes</v>
      </c>
    </row>
    <row r="35" spans="2:8" x14ac:dyDescent="0.25">
      <c r="D35" s="8" t="str">
        <f>IF(B8*F26+B9*F28&gt;=MAX(D17-E3,0),"no","yes")</f>
        <v>no</v>
      </c>
    </row>
    <row r="36" spans="2:8" x14ac:dyDescent="0.25">
      <c r="B36" s="6"/>
      <c r="F36" s="8" t="str">
        <f>IF(B8*H27+B9*H29&gt;=MAX(F18-E4,0),"no","yes")</f>
        <v>no</v>
      </c>
    </row>
    <row r="37" spans="2:8" x14ac:dyDescent="0.25">
      <c r="D37" s="8" t="str">
        <f>IF(B8*F28+B9*F30&gt;=MAX(D19-E3,0),"no","yes")</f>
        <v>no</v>
      </c>
    </row>
    <row r="38" spans="2:8" x14ac:dyDescent="0.25">
      <c r="F38" s="8" t="str">
        <f>IF(B8*H29+B9*H31&gt;=MAX(F20-E4,0),"no","yes")</f>
        <v>no</v>
      </c>
    </row>
    <row r="41" spans="2:8" x14ac:dyDescent="0.25">
      <c r="B41" s="4" t="s">
        <v>21</v>
      </c>
      <c r="H41" s="6">
        <f>MAX(H15-E5,0)</f>
        <v>21.100000000000051</v>
      </c>
    </row>
    <row r="42" spans="2:8" x14ac:dyDescent="0.25">
      <c r="F42" s="8"/>
    </row>
    <row r="43" spans="2:8" x14ac:dyDescent="0.25">
      <c r="D43" s="8"/>
      <c r="H43" s="6">
        <f>MAX(H17-E5,0)</f>
        <v>2.9500000000000171</v>
      </c>
    </row>
    <row r="44" spans="2:8" x14ac:dyDescent="0.25">
      <c r="B44" s="6"/>
      <c r="F44" s="8"/>
    </row>
    <row r="45" spans="2:8" x14ac:dyDescent="0.25">
      <c r="D45" s="8"/>
      <c r="H45" s="6">
        <f>MAX(H19-E5,0)</f>
        <v>0</v>
      </c>
    </row>
    <row r="46" spans="2:8" x14ac:dyDescent="0.25">
      <c r="F46" s="8"/>
    </row>
    <row r="47" spans="2:8" x14ac:dyDescent="0.25">
      <c r="H47" s="6">
        <f>MAX(H21-E5,0)</f>
        <v>0</v>
      </c>
    </row>
    <row r="50" spans="2:8" ht="14.4" thickBot="1" x14ac:dyDescent="0.3"/>
    <row r="51" spans="2:8" ht="14.4" thickTop="1" x14ac:dyDescent="0.25">
      <c r="E51" s="11" t="s">
        <v>22</v>
      </c>
      <c r="F51" s="12">
        <f>MAX(F16-E4,0)</f>
        <v>16.000000000000028</v>
      </c>
    </row>
    <row r="52" spans="2:8" ht="14.4" thickBot="1" x14ac:dyDescent="0.3">
      <c r="E52" s="13" t="s">
        <v>23</v>
      </c>
      <c r="F52" s="14">
        <f>B8*H54+B9*H56</f>
        <v>15.339622641509472</v>
      </c>
    </row>
    <row r="53" spans="2:8" ht="14.4" thickTop="1" x14ac:dyDescent="0.25"/>
    <row r="54" spans="2:8" x14ac:dyDescent="0.25">
      <c r="B54" s="4" t="s">
        <v>24</v>
      </c>
      <c r="H54" s="10">
        <f>MAX(H15-E5,0)</f>
        <v>21.100000000000051</v>
      </c>
    </row>
    <row r="55" spans="2:8" x14ac:dyDescent="0.25">
      <c r="F55" s="9">
        <f>MAX(B8*H54+B9*H56,MAX(F16-E4,0))</f>
        <v>16.000000000000028</v>
      </c>
      <c r="H55" s="10"/>
    </row>
    <row r="56" spans="2:8" x14ac:dyDescent="0.25">
      <c r="D56" s="8"/>
      <c r="H56" s="10">
        <f>MAX(H17-E5,0)</f>
        <v>2.9500000000000171</v>
      </c>
    </row>
    <row r="57" spans="2:8" x14ac:dyDescent="0.25">
      <c r="B57" s="6"/>
      <c r="F57" s="9">
        <f>MAX(B8*H56+B9*H58,MAX(F18-E4,0))</f>
        <v>2.040880503144666</v>
      </c>
      <c r="H57" s="10"/>
    </row>
    <row r="58" spans="2:8" x14ac:dyDescent="0.25">
      <c r="D58" s="8"/>
      <c r="H58" s="10">
        <f>MAX(H19-E5,0)</f>
        <v>0</v>
      </c>
    </row>
    <row r="59" spans="2:8" x14ac:dyDescent="0.25">
      <c r="F59" s="9">
        <f>MAX(B8*H58+B9*H60,MAX(F20-E4,0))</f>
        <v>0</v>
      </c>
      <c r="H59" s="10"/>
    </row>
    <row r="60" spans="2:8" ht="14.4" thickBot="1" x14ac:dyDescent="0.3">
      <c r="H60" s="10">
        <f>MAX(H21-E5,0)</f>
        <v>0</v>
      </c>
    </row>
    <row r="61" spans="2:8" ht="14.4" thickTop="1" x14ac:dyDescent="0.25">
      <c r="D61" s="11" t="s">
        <v>22</v>
      </c>
      <c r="E61" s="12">
        <f>MAX(F19-E4,0)</f>
        <v>0</v>
      </c>
    </row>
    <row r="62" spans="2:8" ht="14.4" thickBot="1" x14ac:dyDescent="0.3">
      <c r="D62" s="13" t="s">
        <v>23</v>
      </c>
      <c r="E62" s="14">
        <f>B8*H56+B9*H58</f>
        <v>2.040880503144666</v>
      </c>
    </row>
    <row r="63" spans="2:8" ht="14.4" thickTop="1" x14ac:dyDescent="0.25"/>
  </sheetData>
  <mergeCells count="1">
    <mergeCell ref="A1:I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2024-11-21T03:32:32Z</dcterms:modified>
</cp:coreProperties>
</file>