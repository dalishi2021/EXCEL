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"/>
    </mc:Choice>
  </mc:AlternateContent>
  <xr:revisionPtr revIDLastSave="0" documentId="13_ncr:1_{5F573246-D65D-44B1-AEFC-3266172DCA8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  <c r="C8" i="1"/>
  <c r="C7" i="1"/>
</calcChain>
</file>

<file path=xl/sharedStrings.xml><?xml version="1.0" encoding="utf-8"?>
<sst xmlns="http://schemas.openxmlformats.org/spreadsheetml/2006/main" count="7" uniqueCount="7">
  <si>
    <t>Proposition 1--Higher Lower Bounds for Call Prices</t>
    <phoneticPr fontId="3" type="noConversion"/>
  </si>
  <si>
    <r>
      <t>Current stock price, S</t>
    </r>
    <r>
      <rPr>
        <vertAlign val="subscript"/>
        <sz val="10"/>
        <rFont val="Arial"/>
        <family val="2"/>
      </rPr>
      <t>0</t>
    </r>
  </si>
  <si>
    <t>Option exercise price, X</t>
  </si>
  <si>
    <t>Interest rate, r</t>
  </si>
  <si>
    <r>
      <t>Naive minimum option price, Max(S</t>
    </r>
    <r>
      <rPr>
        <vertAlign val="subscript"/>
        <sz val="10"/>
        <rFont val="Arial"/>
        <family val="2"/>
      </rPr>
      <t>0</t>
    </r>
    <r>
      <rPr>
        <sz val="11"/>
        <color theme="1"/>
        <rFont val="等线"/>
        <family val="2"/>
        <charset val="134"/>
        <scheme val="minor"/>
      </rPr>
      <t>-X,0)</t>
    </r>
  </si>
  <si>
    <r>
      <t>Proposition 1 lower bound on option price, Max(S</t>
    </r>
    <r>
      <rPr>
        <vertAlign val="subscript"/>
        <sz val="10"/>
        <rFont val="Arial"/>
        <family val="2"/>
      </rPr>
      <t>0</t>
    </r>
    <r>
      <rPr>
        <sz val="11"/>
        <color theme="1"/>
        <rFont val="等线"/>
        <family val="2"/>
        <charset val="134"/>
        <scheme val="minor"/>
      </rPr>
      <t xml:space="preserve"> - Exp(-rT)X,0)</t>
    </r>
  </si>
  <si>
    <t>Option time to maturity, 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</si>
</sst>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4"/>
      <name val="Arial"/>
      <family val="2"/>
    </font>
    <font>
      <sz val="8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176" fontId="0" fillId="0" borderId="0" xfId="0" applyNumberForma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22860</xdr:colOff>
      <xdr:row>3</xdr:row>
      <xdr:rowOff>106680</xdr:rowOff>
    </xdr:from>
    <xdr:to>
      <xdr:col>14</xdr:col>
      <xdr:colOff>266700</xdr:colOff>
      <xdr:row>12</xdr:row>
      <xdr:rowOff>163830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F3654E9-AA77-AC94-95CB-1ABAE57CE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972300" y="701040"/>
          <a:ext cx="6339840" cy="1676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6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3"/>
      <sheetName val="Page 423中文"/>
      <sheetName val="Page 424"/>
      <sheetName val="Page 424 中文"/>
      <sheetName val="Page 425"/>
      <sheetName val="Page 425 中文 "/>
      <sheetName val="Page 427 data"/>
      <sheetName val="Page 427中文"/>
      <sheetName val="Page 427"/>
      <sheetName val="Page 427 中文"/>
      <sheetName val="Page 429"/>
      <sheetName val="Page 429中文"/>
      <sheetName val="Page 430"/>
      <sheetName val="Page 430 中文"/>
      <sheetName val="Page 431(2)"/>
      <sheetName val="Page 431中文"/>
      <sheetName val="Page 431 data"/>
      <sheetName val="Page 431 data中文"/>
      <sheetName val="Page 431"/>
      <sheetName val="Page 431中文 (2)"/>
      <sheetName val="Page 432 data"/>
      <sheetName val="Page 432 data中文"/>
      <sheetName val="Page 432"/>
      <sheetName val="Page 432中文"/>
      <sheetName val="Page 433"/>
      <sheetName val="Page 433中文"/>
      <sheetName val="Proposition 3"/>
      <sheetName val="Proposition 3中文"/>
      <sheetName val="Page 437"/>
      <sheetName val="Page 437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16"/>
      <sheetData sheetId="17"/>
      <sheetData sheetId="20"/>
      <sheetData sheetId="21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8"/>
  <sheetViews>
    <sheetView tabSelected="1" zoomScale="145" zoomScaleNormal="145" workbookViewId="0">
      <selection activeCell="C12" sqref="C12"/>
    </sheetView>
  </sheetViews>
  <sheetFormatPr defaultRowHeight="13.8" x14ac:dyDescent="0.25"/>
  <cols>
    <col min="1" max="1" width="54.44140625" style="2" customWidth="1"/>
    <col min="2" max="2" width="8.88671875" style="2"/>
    <col min="3" max="3" width="29.109375" style="2" bestFit="1" customWidth="1"/>
  </cols>
  <sheetData>
    <row r="1" spans="1:3" ht="17.399999999999999" x14ac:dyDescent="0.3">
      <c r="A1" s="1" t="s">
        <v>0</v>
      </c>
      <c r="B1" s="1"/>
      <c r="C1" s="1"/>
    </row>
    <row r="2" spans="1:3" ht="15.6" x14ac:dyDescent="0.35">
      <c r="A2" s="2" t="s">
        <v>1</v>
      </c>
      <c r="B2" s="2">
        <v>83</v>
      </c>
    </row>
    <row r="3" spans="1:3" x14ac:dyDescent="0.25">
      <c r="A3" s="2" t="s">
        <v>6</v>
      </c>
      <c r="B3" s="2">
        <v>0.5</v>
      </c>
    </row>
    <row r="4" spans="1:3" x14ac:dyDescent="0.25">
      <c r="A4" s="2" t="s">
        <v>2</v>
      </c>
      <c r="B4" s="2">
        <v>80</v>
      </c>
    </row>
    <row r="5" spans="1:3" x14ac:dyDescent="0.25">
      <c r="A5" s="2" t="s">
        <v>3</v>
      </c>
      <c r="B5" s="3">
        <v>0.1</v>
      </c>
    </row>
    <row r="7" spans="1:3" ht="15.6" x14ac:dyDescent="0.35">
      <c r="A7" s="2" t="s">
        <v>4</v>
      </c>
      <c r="B7" s="2">
        <f>MAX(B2-B4,0)</f>
        <v>3</v>
      </c>
      <c r="C7" s="2" t="str">
        <f ca="1">[2]!getformula(B7)</f>
        <v>&lt;--  =MAX(B2-B4,0)</v>
      </c>
    </row>
    <row r="8" spans="1:3" ht="15.6" x14ac:dyDescent="0.35">
      <c r="A8" s="2" t="s">
        <v>5</v>
      </c>
      <c r="B8" s="4">
        <f>MAX(B2-EXP(-B5*B3)*B4,0)</f>
        <v>6.9016460399428752</v>
      </c>
      <c r="C8" s="2" t="str">
        <f ca="1">[2]!getformula(B8)</f>
        <v>&lt;--  =MAX(B2-EXP(-B5*B3)*B4,0)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2024-11-19T01:49:33Z</dcterms:modified>
</cp:coreProperties>
</file>