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"/>
    </mc:Choice>
  </mc:AlternateContent>
  <xr:revisionPtr revIDLastSave="0" documentId="13_ncr:1_{AD24F67F-AC25-4C2E-9E35-DAECAA5CDA1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Chart1" sheetId="2" r:id="rId1"/>
    <sheet name="Sheet1" sheetId="1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" l="1"/>
  <c r="E14" i="1"/>
  <c r="F14" i="1" s="1"/>
  <c r="D15" i="1"/>
  <c r="F15" i="1" s="1"/>
  <c r="E15" i="1"/>
  <c r="D16" i="1"/>
  <c r="F16" i="1" s="1"/>
  <c r="E16" i="1"/>
  <c r="D17" i="1"/>
  <c r="E17" i="1"/>
  <c r="F17" i="1"/>
  <c r="D18" i="1"/>
  <c r="F18" i="1" s="1"/>
  <c r="E18" i="1"/>
  <c r="D19" i="1"/>
  <c r="F19" i="1" s="1"/>
  <c r="E19" i="1"/>
  <c r="D20" i="1"/>
  <c r="F20" i="1" s="1"/>
  <c r="E20" i="1"/>
  <c r="D21" i="1"/>
  <c r="F21" i="1" s="1"/>
  <c r="E21" i="1"/>
  <c r="D22" i="1"/>
  <c r="F22" i="1" s="1"/>
  <c r="E22" i="1"/>
  <c r="D23" i="1"/>
  <c r="E23" i="1"/>
  <c r="F23" i="1"/>
  <c r="D24" i="1"/>
  <c r="F24" i="1" s="1"/>
  <c r="E24" i="1"/>
  <c r="D25" i="1"/>
  <c r="E25" i="1"/>
  <c r="F25" i="1"/>
  <c r="D26" i="1"/>
  <c r="E26" i="1"/>
  <c r="F26" i="1"/>
  <c r="D27" i="1"/>
  <c r="F27" i="1" s="1"/>
  <c r="E27" i="1"/>
  <c r="E13" i="1"/>
  <c r="D13" i="1"/>
  <c r="B8" i="1"/>
  <c r="B7" i="1"/>
  <c r="B6" i="1"/>
  <c r="E12" i="1"/>
  <c r="D12" i="1"/>
  <c r="C8" i="1"/>
  <c r="C7" i="1"/>
  <c r="C6" i="1"/>
  <c r="F13" i="1" l="1"/>
  <c r="F12" i="1"/>
</calcChain>
</file>

<file path=xl/sharedStrings.xml><?xml version="1.0" encoding="utf-8"?>
<sst xmlns="http://schemas.openxmlformats.org/spreadsheetml/2006/main" count="12" uniqueCount="12">
  <si>
    <t>Profit Patterns from a Spread</t>
  </si>
  <si>
    <t>Call price, X=40</t>
  </si>
  <si>
    <t>Call price, X=50</t>
  </si>
  <si>
    <r>
      <t>Terminal stock price, S</t>
    </r>
    <r>
      <rPr>
        <vertAlign val="subscript"/>
        <sz val="10"/>
        <rFont val="Arial"/>
        <family val="2"/>
      </rPr>
      <t>T</t>
    </r>
  </si>
  <si>
    <t>Profit from written X = 50 call</t>
  </si>
  <si>
    <t>Profit from purchased X = 40 call</t>
  </si>
  <si>
    <t>Bull spread profit</t>
  </si>
  <si>
    <t>Stock
price</t>
  </si>
  <si>
    <t>Purchased
call, X=40</t>
  </si>
  <si>
    <t>Written
call, X=50</t>
  </si>
  <si>
    <t>Spread
profit</t>
  </si>
  <si>
    <t>&lt;-- Data table header, hidden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</si>
</sst>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0" xfId="0" quotePrefix="1" applyAlignme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76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>
                <a:solidFill>
                  <a:schemeClr val="tx1"/>
                </a:solidFill>
              </a:rPr>
              <a:t>Bull Spread Profit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Sheet1!$D$11</c:f>
              <c:strCache>
                <c:ptCount val="1"/>
                <c:pt idx="0">
                  <c:v>Purchased
call, X=40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Sheet1!$C$12:$C$27</c:f>
              <c:numCache>
                <c:formatCode>General</c:formatCode>
                <c:ptCount val="16"/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</c:numCache>
            </c:numRef>
          </c:xVal>
          <c:yVal>
            <c:numRef>
              <c:f>Sheet1!$D$12:$D$27</c:f>
              <c:numCache>
                <c:formatCode>General</c:formatCode>
                <c:ptCount val="16"/>
                <c:pt idx="0" formatCode=";;">
                  <c:v>16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1</c:v>
                </c:pt>
                <c:pt idx="11">
                  <c:v>6</c:v>
                </c:pt>
                <c:pt idx="12">
                  <c:v>11</c:v>
                </c:pt>
                <c:pt idx="13">
                  <c:v>16</c:v>
                </c:pt>
                <c:pt idx="14">
                  <c:v>21</c:v>
                </c:pt>
                <c:pt idx="15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A1-4009-ADF4-F340EF484C3B}"/>
            </c:ext>
          </c:extLst>
        </c:ser>
        <c:ser>
          <c:idx val="1"/>
          <c:order val="1"/>
          <c:tx>
            <c:strRef>
              <c:f>Sheet1!$E$11</c:f>
              <c:strCache>
                <c:ptCount val="1"/>
                <c:pt idx="0">
                  <c:v>Written
call, X=50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Sheet1!$C$12:$C$27</c:f>
              <c:numCache>
                <c:formatCode>General</c:formatCode>
                <c:ptCount val="16"/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</c:numCache>
            </c:numRef>
          </c:xVal>
          <c:yVal>
            <c:numRef>
              <c:f>Sheet1!$E$12:$E$27</c:f>
              <c:numCache>
                <c:formatCode>General</c:formatCode>
                <c:ptCount val="16"/>
                <c:pt idx="0" formatCode=";;">
                  <c:v>-8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-3</c:v>
                </c:pt>
                <c:pt idx="13">
                  <c:v>-8</c:v>
                </c:pt>
                <c:pt idx="14">
                  <c:v>-13</c:v>
                </c:pt>
                <c:pt idx="15">
                  <c:v>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A1-4009-ADF4-F340EF484C3B}"/>
            </c:ext>
          </c:extLst>
        </c:ser>
        <c:ser>
          <c:idx val="2"/>
          <c:order val="2"/>
          <c:tx>
            <c:strRef>
              <c:f>Sheet1!$F$11</c:f>
              <c:strCache>
                <c:ptCount val="1"/>
                <c:pt idx="0">
                  <c:v>Spread
profit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Sheet1!$C$12:$C$27</c:f>
              <c:numCache>
                <c:formatCode>General</c:formatCode>
                <c:ptCount val="16"/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</c:numCache>
            </c:numRef>
          </c:xVal>
          <c:yVal>
            <c:numRef>
              <c:f>Sheet1!$F$12:$F$27</c:f>
              <c:numCache>
                <c:formatCode>General</c:formatCode>
                <c:ptCount val="16"/>
                <c:pt idx="0" formatCode=";;">
                  <c:v>8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3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A1-4009-ADF4-F340EF484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80360"/>
        <c:axId val="454281440"/>
      </c:scatterChart>
      <c:valAx>
        <c:axId val="4542803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4281440"/>
        <c:crosses val="autoZero"/>
        <c:crossBetween val="midCat"/>
      </c:valAx>
      <c:valAx>
        <c:axId val="454281440"/>
        <c:scaling>
          <c:orientation val="minMax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0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4280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2899443-F8DF-4885-9012-05E337C0E4BA}">
  <sheetPr/>
  <sheetViews>
    <sheetView tabSelected="1" zoomScale="13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2254BCD-BF84-C284-A84C-4E25B79FB08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0.75267</cdr:x>
      <cdr:y>0.76626</cdr:y>
    </cdr:from>
    <cdr:to>
      <cdr:x>0.95573</cdr:x>
      <cdr:y>0.87427</cdr:y>
    </cdr:to>
    <cdr:sp macro="" textlink="">
      <cdr:nvSpPr>
        <cdr:cNvPr id="2" name="文本框 1">
          <a:extLst xmlns:a="http://schemas.openxmlformats.org/drawingml/2006/main">
            <a:ext uri="{FF2B5EF4-FFF2-40B4-BE49-F238E27FC236}">
              <a16:creationId xmlns:a16="http://schemas.microsoft.com/office/drawing/2014/main" id="{255EB334-C36D-8B7E-8561-F5F66748ABDB}"/>
            </a:ext>
          </a:extLst>
        </cdr:cNvPr>
        <cdr:cNvSpPr txBox="1"/>
      </cdr:nvSpPr>
      <cdr:spPr>
        <a:xfrm xmlns:a="http://schemas.openxmlformats.org/drawingml/2006/main">
          <a:off x="8734778" y="5806722"/>
          <a:ext cx="2356555" cy="8184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 b="1" i="0" baseline="0">
              <a:effectLst/>
              <a:latin typeface="+mn-lt"/>
              <a:ea typeface="+mn-ea"/>
              <a:cs typeface="+mn-cs"/>
            </a:rPr>
            <a:t>Terminal stock price, S</a:t>
          </a:r>
          <a:r>
            <a:rPr lang="zh-CN" altLang="zh-CN" sz="1100" b="1" i="0" baseline="-25000">
              <a:effectLst/>
              <a:latin typeface="+mn-lt"/>
              <a:ea typeface="+mn-ea"/>
              <a:cs typeface="+mn-cs"/>
            </a:rPr>
            <a:t>T</a:t>
          </a:r>
          <a:r>
            <a:rPr lang="zh-CN" altLang="zh-CN" sz="1100" b="1" i="0" baseline="0">
              <a:effectLst/>
              <a:latin typeface="+mn-lt"/>
              <a:ea typeface="+mn-ea"/>
              <a:cs typeface="+mn-cs"/>
            </a:rPr>
            <a:t> ($)</a:t>
          </a:r>
          <a:endParaRPr lang="zh-CN" altLang="zh-CN">
            <a:effectLst/>
          </a:endParaRPr>
        </a:p>
        <a:p xmlns:a="http://schemas.openxmlformats.org/drawingml/2006/main">
          <a:endParaRPr lang="zh-CN" altLang="en-US" sz="1100" kern="12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563880</xdr:colOff>
      <xdr:row>1</xdr:row>
      <xdr:rowOff>114300</xdr:rowOff>
    </xdr:from>
    <xdr:to>
      <xdr:col>23</xdr:col>
      <xdr:colOff>209550</xdr:colOff>
      <xdr:row>29</xdr:row>
      <xdr:rowOff>76200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2804884-CAB9-3953-175E-E41C40C17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15300" y="335280"/>
          <a:ext cx="7559040" cy="5219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3"/>
      <sheetName val="Page 423中文"/>
      <sheetName val="Page 424"/>
      <sheetName val="Page 424 中文"/>
      <sheetName val="Page 425"/>
      <sheetName val="Page 425 中文 "/>
      <sheetName val="Page 427 data"/>
      <sheetName val="Page 427中文"/>
      <sheetName val="Page 427"/>
      <sheetName val="Page 427 中文"/>
      <sheetName val="Page 429"/>
      <sheetName val="Page 429中文"/>
      <sheetName val="Page 430"/>
      <sheetName val="Page 430 中文"/>
      <sheetName val="Page 431(2)"/>
      <sheetName val="Page 431中文"/>
      <sheetName val="Page 431 data"/>
      <sheetName val="Page 431 data中文"/>
      <sheetName val="Page 431"/>
      <sheetName val="Page 431中文 (2)"/>
      <sheetName val="Page 432 data"/>
      <sheetName val="Page 432 data中文"/>
      <sheetName val="Page 432"/>
      <sheetName val="Page 432中文"/>
      <sheetName val="Page 433"/>
      <sheetName val="Page 433中文"/>
      <sheetName val="Proposition 3"/>
      <sheetName val="Proposition 3中文"/>
      <sheetName val="Page 437"/>
      <sheetName val="Page 43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16"/>
      <sheetData sheetId="17"/>
      <sheetData sheetId="20"/>
      <sheetData sheetId="21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27"/>
  <sheetViews>
    <sheetView workbookViewId="0">
      <selection activeCell="C11" sqref="C11:F27"/>
    </sheetView>
  </sheetViews>
  <sheetFormatPr defaultRowHeight="13.8" x14ac:dyDescent="0.25"/>
  <cols>
    <col min="1" max="1" width="33.44140625" style="2" bestFit="1" customWidth="1"/>
    <col min="2" max="3" width="8.88671875" style="2"/>
    <col min="4" max="4" width="11.44140625" style="2" customWidth="1"/>
    <col min="5" max="9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</row>
    <row r="2" spans="1:7" x14ac:dyDescent="0.25">
      <c r="A2" s="2" t="s">
        <v>1</v>
      </c>
      <c r="B2" s="2">
        <v>4</v>
      </c>
    </row>
    <row r="3" spans="1:7" x14ac:dyDescent="0.25">
      <c r="A3" s="2" t="s">
        <v>2</v>
      </c>
      <c r="B3" s="2">
        <v>2</v>
      </c>
    </row>
    <row r="4" spans="1:7" ht="15.6" x14ac:dyDescent="0.35">
      <c r="A4" s="2" t="s">
        <v>3</v>
      </c>
      <c r="B4" s="2">
        <v>60</v>
      </c>
    </row>
    <row r="6" spans="1:7" x14ac:dyDescent="0.25">
      <c r="A6" s="2" t="s">
        <v>4</v>
      </c>
      <c r="B6" s="2">
        <f>-MAX(B4-50,0)+B3</f>
        <v>-8</v>
      </c>
      <c r="C6" s="2" t="str">
        <f ca="1">[1]!getformula(B6)</f>
        <v>&lt;--  =-MAX(B4-50,0)+B3</v>
      </c>
    </row>
    <row r="7" spans="1:7" x14ac:dyDescent="0.25">
      <c r="A7" s="2" t="s">
        <v>5</v>
      </c>
      <c r="B7" s="3">
        <f>MAX(B4-40,0)-B2</f>
        <v>16</v>
      </c>
      <c r="C7" s="2" t="str">
        <f ca="1">[1]!getformula(B7)</f>
        <v>&lt;--  =MAX(B4-40,0)-B2</v>
      </c>
    </row>
    <row r="8" spans="1:7" x14ac:dyDescent="0.25">
      <c r="A8" s="2" t="s">
        <v>6</v>
      </c>
      <c r="B8" s="3">
        <f>SUM(B6:B7)</f>
        <v>8</v>
      </c>
      <c r="C8" s="2" t="str">
        <f ca="1">[1]!getformula(B8)</f>
        <v>&lt;--  =SUM(B6:B7)</v>
      </c>
    </row>
    <row r="10" spans="1:7" x14ac:dyDescent="0.25">
      <c r="C10" s="4"/>
      <c r="D10" s="4"/>
      <c r="E10" s="4"/>
      <c r="F10" s="4"/>
    </row>
    <row r="11" spans="1:7" ht="39.6" x14ac:dyDescent="0.25">
      <c r="C11" s="5" t="s">
        <v>7</v>
      </c>
      <c r="D11" s="5" t="s">
        <v>8</v>
      </c>
      <c r="E11" s="5" t="s">
        <v>9</v>
      </c>
      <c r="F11" s="5" t="s">
        <v>10</v>
      </c>
    </row>
    <row r="12" spans="1:7" x14ac:dyDescent="0.25">
      <c r="D12" s="6">
        <f>B7</f>
        <v>16</v>
      </c>
      <c r="E12" s="6">
        <f>B6</f>
        <v>-8</v>
      </c>
      <c r="F12" s="6">
        <f>B8</f>
        <v>8</v>
      </c>
      <c r="G12" s="2" t="s">
        <v>11</v>
      </c>
    </row>
    <row r="13" spans="1:7" x14ac:dyDescent="0.25">
      <c r="C13" s="2">
        <v>0</v>
      </c>
      <c r="D13" s="2">
        <f>MAX(C13-40,0)-$B$2</f>
        <v>-4</v>
      </c>
      <c r="E13" s="2">
        <f>-MAX(C13-50,0)+$B$3</f>
        <v>2</v>
      </c>
      <c r="F13" s="2">
        <f>SUM(D13:E13)</f>
        <v>-2</v>
      </c>
    </row>
    <row r="14" spans="1:7" x14ac:dyDescent="0.25">
      <c r="C14" s="2">
        <v>5</v>
      </c>
      <c r="D14" s="2">
        <f t="shared" ref="D14:D27" si="0">MAX(C14-40,0)-$B$2</f>
        <v>-4</v>
      </c>
      <c r="E14" s="2">
        <f t="shared" ref="E14:E27" si="1">-MAX(C14-50,0)+$B$3</f>
        <v>2</v>
      </c>
      <c r="F14" s="2">
        <f t="shared" ref="F14:F27" si="2">SUM(D14:E14)</f>
        <v>-2</v>
      </c>
    </row>
    <row r="15" spans="1:7" x14ac:dyDescent="0.25">
      <c r="C15" s="2">
        <v>10</v>
      </c>
      <c r="D15" s="2">
        <f t="shared" si="0"/>
        <v>-4</v>
      </c>
      <c r="E15" s="2">
        <f t="shared" si="1"/>
        <v>2</v>
      </c>
      <c r="F15" s="2">
        <f t="shared" si="2"/>
        <v>-2</v>
      </c>
    </row>
    <row r="16" spans="1:7" x14ac:dyDescent="0.25">
      <c r="C16" s="2">
        <v>15</v>
      </c>
      <c r="D16" s="2">
        <f t="shared" si="0"/>
        <v>-4</v>
      </c>
      <c r="E16" s="2">
        <f t="shared" si="1"/>
        <v>2</v>
      </c>
      <c r="F16" s="2">
        <f t="shared" si="2"/>
        <v>-2</v>
      </c>
    </row>
    <row r="17" spans="3:6" x14ac:dyDescent="0.25">
      <c r="C17" s="2">
        <v>20</v>
      </c>
      <c r="D17" s="2">
        <f t="shared" si="0"/>
        <v>-4</v>
      </c>
      <c r="E17" s="2">
        <f t="shared" si="1"/>
        <v>2</v>
      </c>
      <c r="F17" s="2">
        <f t="shared" si="2"/>
        <v>-2</v>
      </c>
    </row>
    <row r="18" spans="3:6" x14ac:dyDescent="0.25">
      <c r="C18" s="2">
        <v>25</v>
      </c>
      <c r="D18" s="2">
        <f t="shared" si="0"/>
        <v>-4</v>
      </c>
      <c r="E18" s="2">
        <f t="shared" si="1"/>
        <v>2</v>
      </c>
      <c r="F18" s="2">
        <f t="shared" si="2"/>
        <v>-2</v>
      </c>
    </row>
    <row r="19" spans="3:6" x14ac:dyDescent="0.25">
      <c r="C19" s="2">
        <v>30</v>
      </c>
      <c r="D19" s="2">
        <f t="shared" si="0"/>
        <v>-4</v>
      </c>
      <c r="E19" s="2">
        <f t="shared" si="1"/>
        <v>2</v>
      </c>
      <c r="F19" s="2">
        <f t="shared" si="2"/>
        <v>-2</v>
      </c>
    </row>
    <row r="20" spans="3:6" x14ac:dyDescent="0.25">
      <c r="C20" s="2">
        <v>35</v>
      </c>
      <c r="D20" s="2">
        <f t="shared" si="0"/>
        <v>-4</v>
      </c>
      <c r="E20" s="2">
        <f t="shared" si="1"/>
        <v>2</v>
      </c>
      <c r="F20" s="2">
        <f t="shared" si="2"/>
        <v>-2</v>
      </c>
    </row>
    <row r="21" spans="3:6" x14ac:dyDescent="0.25">
      <c r="C21" s="2">
        <v>40</v>
      </c>
      <c r="D21" s="2">
        <f t="shared" si="0"/>
        <v>-4</v>
      </c>
      <c r="E21" s="2">
        <f t="shared" si="1"/>
        <v>2</v>
      </c>
      <c r="F21" s="2">
        <f t="shared" si="2"/>
        <v>-2</v>
      </c>
    </row>
    <row r="22" spans="3:6" x14ac:dyDescent="0.25">
      <c r="C22" s="2">
        <v>45</v>
      </c>
      <c r="D22" s="2">
        <f t="shared" si="0"/>
        <v>1</v>
      </c>
      <c r="E22" s="2">
        <f t="shared" si="1"/>
        <v>2</v>
      </c>
      <c r="F22" s="2">
        <f t="shared" si="2"/>
        <v>3</v>
      </c>
    </row>
    <row r="23" spans="3:6" x14ac:dyDescent="0.25">
      <c r="C23" s="2">
        <v>50</v>
      </c>
      <c r="D23" s="2">
        <f t="shared" si="0"/>
        <v>6</v>
      </c>
      <c r="E23" s="2">
        <f t="shared" si="1"/>
        <v>2</v>
      </c>
      <c r="F23" s="2">
        <f t="shared" si="2"/>
        <v>8</v>
      </c>
    </row>
    <row r="24" spans="3:6" x14ac:dyDescent="0.25">
      <c r="C24" s="2">
        <v>55</v>
      </c>
      <c r="D24" s="2">
        <f t="shared" si="0"/>
        <v>11</v>
      </c>
      <c r="E24" s="2">
        <f t="shared" si="1"/>
        <v>-3</v>
      </c>
      <c r="F24" s="2">
        <f t="shared" si="2"/>
        <v>8</v>
      </c>
    </row>
    <row r="25" spans="3:6" x14ac:dyDescent="0.25">
      <c r="C25" s="2">
        <v>60</v>
      </c>
      <c r="D25" s="2">
        <f t="shared" si="0"/>
        <v>16</v>
      </c>
      <c r="E25" s="2">
        <f t="shared" si="1"/>
        <v>-8</v>
      </c>
      <c r="F25" s="2">
        <f t="shared" si="2"/>
        <v>8</v>
      </c>
    </row>
    <row r="26" spans="3:6" x14ac:dyDescent="0.25">
      <c r="C26" s="2">
        <v>65</v>
      </c>
      <c r="D26" s="2">
        <f t="shared" si="0"/>
        <v>21</v>
      </c>
      <c r="E26" s="2">
        <f t="shared" si="1"/>
        <v>-13</v>
      </c>
      <c r="F26" s="2">
        <f t="shared" si="2"/>
        <v>8</v>
      </c>
    </row>
    <row r="27" spans="3:6" x14ac:dyDescent="0.25">
      <c r="C27" s="2">
        <v>70</v>
      </c>
      <c r="D27" s="2">
        <f t="shared" si="0"/>
        <v>26</v>
      </c>
      <c r="E27" s="2">
        <f t="shared" si="1"/>
        <v>-18</v>
      </c>
      <c r="F27" s="2">
        <f t="shared" si="2"/>
        <v>8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图表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2024-11-19T01:43:52Z</dcterms:modified>
</cp:coreProperties>
</file>