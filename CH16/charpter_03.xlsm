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"/>
    </mc:Choice>
  </mc:AlternateContent>
  <xr:revisionPtr revIDLastSave="0" documentId="13_ncr:1_{D30FADDF-2734-4325-B9E8-1FB921C2B22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Chart1" sheetId="2" r:id="rId1"/>
    <sheet name="Sheet1" sheetId="1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14" i="1"/>
  <c r="B10" i="1"/>
  <c r="B9" i="1"/>
  <c r="D13" i="1"/>
  <c r="E13" i="1"/>
  <c r="F13" i="1" s="1"/>
  <c r="B8" i="1"/>
  <c r="C10" i="1"/>
  <c r="C9" i="1"/>
  <c r="C8" i="1"/>
</calcChain>
</file>

<file path=xl/sharedStrings.xml><?xml version="1.0" encoding="utf-8"?>
<sst xmlns="http://schemas.openxmlformats.org/spreadsheetml/2006/main" count="13" uniqueCount="13">
  <si>
    <t>Profit Patterns from Protective Put</t>
  </si>
  <si>
    <t>Initial GP stock price = X</t>
  </si>
  <si>
    <t>Terminal GP stock price</t>
  </si>
  <si>
    <t>Put exercise price</t>
  </si>
  <si>
    <t>Put price, July</t>
  </si>
  <si>
    <t>Profit from stock, September</t>
  </si>
  <si>
    <t>Profit from put, September</t>
  </si>
  <si>
    <t>Protective put profit</t>
  </si>
  <si>
    <t>Terminal
stock price</t>
  </si>
  <si>
    <t>Stock
profit</t>
  </si>
  <si>
    <t>Put
profit</t>
  </si>
  <si>
    <t>Protective
put profit</t>
  </si>
  <si>
    <t>&lt;-- Data table 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</si>
</sst>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3" fillId="0" borderId="0" xfId="0" applyFont="1" applyAlignment="1">
      <alignment horizontal="center" wrapText="1"/>
    </xf>
    <xf numFmtId="176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>
                <a:solidFill>
                  <a:schemeClr val="tx1"/>
                </a:solidFill>
              </a:rPr>
              <a:t>Protective Put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Sheet1!$D$12</c:f>
              <c:strCache>
                <c:ptCount val="1"/>
                <c:pt idx="0">
                  <c:v>Stock
profit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Sheet1!$C$13:$C$28</c:f>
              <c:numCache>
                <c:formatCode>General</c:formatCode>
                <c:ptCount val="16"/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</c:numCache>
            </c:numRef>
          </c:xVal>
          <c:yVal>
            <c:numRef>
              <c:f>Sheet1!$D$13:$D$28</c:f>
              <c:numCache>
                <c:formatCode>General</c:formatCode>
                <c:ptCount val="16"/>
                <c:pt idx="0" formatCode=";;">
                  <c:v>-10</c:v>
                </c:pt>
                <c:pt idx="1">
                  <c:v>-40</c:v>
                </c:pt>
                <c:pt idx="2">
                  <c:v>-35</c:v>
                </c:pt>
                <c:pt idx="3">
                  <c:v>-30</c:v>
                </c:pt>
                <c:pt idx="4">
                  <c:v>-25</c:v>
                </c:pt>
                <c:pt idx="5">
                  <c:v>-20</c:v>
                </c:pt>
                <c:pt idx="6">
                  <c:v>-15</c:v>
                </c:pt>
                <c:pt idx="7">
                  <c:v>-10</c:v>
                </c:pt>
                <c:pt idx="8">
                  <c:v>-5</c:v>
                </c:pt>
                <c:pt idx="9">
                  <c:v>0</c:v>
                </c:pt>
                <c:pt idx="10">
                  <c:v>5</c:v>
                </c:pt>
                <c:pt idx="11">
                  <c:v>10</c:v>
                </c:pt>
                <c:pt idx="12">
                  <c:v>15</c:v>
                </c:pt>
                <c:pt idx="13">
                  <c:v>20</c:v>
                </c:pt>
                <c:pt idx="14">
                  <c:v>25</c:v>
                </c:pt>
                <c:pt idx="15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06-4DB7-B1AA-107DF6AB8330}"/>
            </c:ext>
          </c:extLst>
        </c:ser>
        <c:ser>
          <c:idx val="1"/>
          <c:order val="1"/>
          <c:tx>
            <c:strRef>
              <c:f>Sheet1!$E$12</c:f>
              <c:strCache>
                <c:ptCount val="1"/>
                <c:pt idx="0">
                  <c:v>Put
profit</c:v>
                </c:pt>
              </c:strCache>
            </c:strRef>
          </c:tx>
          <c:spPr>
            <a:ln w="254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Sheet1!$C$13:$C$28</c:f>
              <c:numCache>
                <c:formatCode>General</c:formatCode>
                <c:ptCount val="16"/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</c:numCache>
            </c:numRef>
          </c:xVal>
          <c:yVal>
            <c:numRef>
              <c:f>Sheet1!$E$13:$E$28</c:f>
              <c:numCache>
                <c:formatCode>General</c:formatCode>
                <c:ptCount val="16"/>
                <c:pt idx="0" formatCode=";;">
                  <c:v>8</c:v>
                </c:pt>
                <c:pt idx="1">
                  <c:v>38</c:v>
                </c:pt>
                <c:pt idx="2">
                  <c:v>33</c:v>
                </c:pt>
                <c:pt idx="3">
                  <c:v>28</c:v>
                </c:pt>
                <c:pt idx="4">
                  <c:v>23</c:v>
                </c:pt>
                <c:pt idx="5">
                  <c:v>18</c:v>
                </c:pt>
                <c:pt idx="6">
                  <c:v>13</c:v>
                </c:pt>
                <c:pt idx="7">
                  <c:v>8</c:v>
                </c:pt>
                <c:pt idx="8">
                  <c:v>3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6-4DB7-B1AA-107DF6AB8330}"/>
            </c:ext>
          </c:extLst>
        </c:ser>
        <c:ser>
          <c:idx val="2"/>
          <c:order val="2"/>
          <c:tx>
            <c:strRef>
              <c:f>Sheet1!$F$12</c:f>
              <c:strCache>
                <c:ptCount val="1"/>
                <c:pt idx="0">
                  <c:v>Protective
put profit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Sheet1!$C$13:$C$28</c:f>
              <c:numCache>
                <c:formatCode>General</c:formatCode>
                <c:ptCount val="16"/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</c:numCache>
            </c:numRef>
          </c:xVal>
          <c:yVal>
            <c:numRef>
              <c:f>Sheet1!$F$13:$F$28</c:f>
              <c:numCache>
                <c:formatCode>General</c:formatCode>
                <c:ptCount val="16"/>
                <c:pt idx="0" formatCode=";;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3</c:v>
                </c:pt>
                <c:pt idx="11">
                  <c:v>8</c:v>
                </c:pt>
                <c:pt idx="12">
                  <c:v>13</c:v>
                </c:pt>
                <c:pt idx="13">
                  <c:v>18</c:v>
                </c:pt>
                <c:pt idx="14">
                  <c:v>23</c:v>
                </c:pt>
                <c:pt idx="15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06-4DB7-B1AA-107DF6AB8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630608"/>
        <c:axId val="701629168"/>
      </c:scatterChart>
      <c:valAx>
        <c:axId val="7016306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629168"/>
        <c:crosses val="autoZero"/>
        <c:crossBetween val="midCat"/>
      </c:valAx>
      <c:valAx>
        <c:axId val="70162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1">
                    <a:solidFill>
                      <a:schemeClr val="tx1"/>
                    </a:solidFill>
                  </a:rPr>
                  <a:t>Profit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_ " sourceLinked="0"/>
        <c:majorTickMark val="in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63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681320578932075"/>
          <c:y val="0.83115179273415696"/>
          <c:w val="0.35720440647950052"/>
          <c:h val="4.6506865023888962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3962EFC-BA2E-47EC-A21C-0E4FE61A6CCB}">
  <sheetPr/>
  <sheetViews>
    <sheetView tabSelected="1" zoomScale="13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5D94C49-8D23-BE6D-4A8A-685F285D47E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0.7472</cdr:x>
      <cdr:y>0.56236</cdr:y>
    </cdr:from>
    <cdr:to>
      <cdr:x>0.96546</cdr:x>
      <cdr:y>0.65733</cdr:y>
    </cdr:to>
    <cdr:sp macro="" textlink="">
      <cdr:nvSpPr>
        <cdr:cNvPr id="2" name="文本框 1">
          <a:extLst xmlns:a="http://schemas.openxmlformats.org/drawingml/2006/main">
            <a:ext uri="{FF2B5EF4-FFF2-40B4-BE49-F238E27FC236}">
              <a16:creationId xmlns:a16="http://schemas.microsoft.com/office/drawing/2014/main" id="{93AE8C19-38FA-CB21-7FCE-51B798D087D4}"/>
            </a:ext>
          </a:extLst>
        </cdr:cNvPr>
        <cdr:cNvSpPr txBox="1"/>
      </cdr:nvSpPr>
      <cdr:spPr>
        <a:xfrm xmlns:a="http://schemas.openxmlformats.org/drawingml/2006/main">
          <a:off x="8671278" y="4261556"/>
          <a:ext cx="2532944" cy="7196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 b="1" i="0" baseline="0">
              <a:effectLst/>
              <a:latin typeface="+mn-lt"/>
              <a:ea typeface="+mn-ea"/>
              <a:cs typeface="+mn-cs"/>
            </a:rPr>
            <a:t>Terminal stock price, S</a:t>
          </a:r>
          <a:r>
            <a:rPr lang="zh-CN" altLang="zh-CN" sz="1100" b="1" i="0" baseline="-25000">
              <a:effectLst/>
              <a:latin typeface="+mn-lt"/>
              <a:ea typeface="+mn-ea"/>
              <a:cs typeface="+mn-cs"/>
            </a:rPr>
            <a:t>T</a:t>
          </a:r>
          <a:r>
            <a:rPr lang="zh-CN" altLang="zh-CN" sz="1100" b="1" i="0" baseline="0">
              <a:effectLst/>
              <a:latin typeface="+mn-lt"/>
              <a:ea typeface="+mn-ea"/>
              <a:cs typeface="+mn-cs"/>
            </a:rPr>
            <a:t> ($)</a:t>
          </a:r>
          <a:endParaRPr lang="zh-CN" altLang="zh-CN">
            <a:effectLst/>
          </a:endParaRPr>
        </a:p>
        <a:p xmlns:a="http://schemas.openxmlformats.org/drawingml/2006/main">
          <a:endParaRPr lang="zh-CN" altLang="en-US" sz="1100" kern="12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457200</xdr:colOff>
      <xdr:row>2</xdr:row>
      <xdr:rowOff>121920</xdr:rowOff>
    </xdr:from>
    <xdr:to>
      <xdr:col>22</xdr:col>
      <xdr:colOff>129540</xdr:colOff>
      <xdr:row>30</xdr:row>
      <xdr:rowOff>76200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6A895BB-E647-AC65-71BB-8A54A79B3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046720" y="518160"/>
          <a:ext cx="6995160" cy="51892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3"/>
      <sheetName val="Page 423中文"/>
      <sheetName val="Page 424"/>
      <sheetName val="Page 424 中文"/>
      <sheetName val="Page 425"/>
      <sheetName val="Page 425 中文 "/>
      <sheetName val="Page 427 data"/>
      <sheetName val="Page 427中文"/>
      <sheetName val="Page 427"/>
      <sheetName val="Page 427 中文"/>
      <sheetName val="Page 429"/>
      <sheetName val="Page 429中文"/>
      <sheetName val="Page 430"/>
      <sheetName val="Page 430 中文"/>
      <sheetName val="Page 431(2)"/>
      <sheetName val="Page 431中文"/>
      <sheetName val="Page 431 data"/>
      <sheetName val="Page 431 data中文"/>
      <sheetName val="Page 431"/>
      <sheetName val="Page 431中文 (2)"/>
      <sheetName val="Page 432 data"/>
      <sheetName val="Page 432 data中文"/>
      <sheetName val="Page 432"/>
      <sheetName val="Page 432中文"/>
      <sheetName val="Page 433"/>
      <sheetName val="Page 433中文"/>
      <sheetName val="Proposition 3"/>
      <sheetName val="Proposition 3中文"/>
      <sheetName val="Page 437"/>
      <sheetName val="Page 43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16"/>
      <sheetData sheetId="17"/>
      <sheetData sheetId="20"/>
      <sheetData sheetId="21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28"/>
  <sheetViews>
    <sheetView workbookViewId="0">
      <selection activeCell="R39" sqref="R39"/>
    </sheetView>
  </sheetViews>
  <sheetFormatPr defaultRowHeight="13.8" x14ac:dyDescent="0.25"/>
  <cols>
    <col min="1" max="1" width="29.44140625" style="2" customWidth="1"/>
    <col min="2" max="5" width="8.88671875" style="2"/>
    <col min="6" max="6" width="10.109375" style="2" customWidth="1"/>
    <col min="7" max="9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</row>
    <row r="2" spans="1:7" x14ac:dyDescent="0.25">
      <c r="A2" s="2" t="s">
        <v>1</v>
      </c>
      <c r="B2" s="2">
        <v>40</v>
      </c>
    </row>
    <row r="3" spans="1:7" x14ac:dyDescent="0.25">
      <c r="A3" s="2" t="s">
        <v>2</v>
      </c>
      <c r="B3" s="2">
        <v>30</v>
      </c>
    </row>
    <row r="5" spans="1:7" x14ac:dyDescent="0.25">
      <c r="A5" s="2" t="s">
        <v>3</v>
      </c>
      <c r="B5" s="2">
        <v>40</v>
      </c>
    </row>
    <row r="6" spans="1:7" x14ac:dyDescent="0.25">
      <c r="A6" s="2" t="s">
        <v>4</v>
      </c>
      <c r="B6" s="2">
        <v>2</v>
      </c>
    </row>
    <row r="8" spans="1:7" x14ac:dyDescent="0.25">
      <c r="A8" s="2" t="s">
        <v>5</v>
      </c>
      <c r="B8" s="2">
        <f>B3-$B$2</f>
        <v>-10</v>
      </c>
      <c r="C8" s="2" t="str">
        <f ca="1">[1]!getformula(B8)</f>
        <v>&lt;--  =B3-$B$2</v>
      </c>
    </row>
    <row r="9" spans="1:7" x14ac:dyDescent="0.25">
      <c r="A9" s="2" t="s">
        <v>6</v>
      </c>
      <c r="B9" s="2">
        <f>MAX(B5-B3,0)-B6</f>
        <v>8</v>
      </c>
      <c r="C9" s="2" t="str">
        <f ca="1">[1]!getformula(B9)</f>
        <v>&lt;--  =MAX(B5-B3,0)-B6</v>
      </c>
    </row>
    <row r="10" spans="1:7" x14ac:dyDescent="0.25">
      <c r="A10" s="2" t="s">
        <v>7</v>
      </c>
      <c r="B10" s="2">
        <f>SUM(B8:B9)</f>
        <v>-2</v>
      </c>
      <c r="C10" s="2" t="str">
        <f ca="1">[1]!getformula(B10)</f>
        <v>&lt;--  =SUM(B8:B9)</v>
      </c>
    </row>
    <row r="12" spans="1:7" ht="39.6" x14ac:dyDescent="0.25">
      <c r="C12" s="3" t="s">
        <v>8</v>
      </c>
      <c r="D12" s="3" t="s">
        <v>9</v>
      </c>
      <c r="E12" s="3" t="s">
        <v>10</v>
      </c>
      <c r="F12" s="3" t="s">
        <v>11</v>
      </c>
    </row>
    <row r="13" spans="1:7" x14ac:dyDescent="0.25">
      <c r="D13" s="4">
        <f>B8</f>
        <v>-10</v>
      </c>
      <c r="E13" s="4">
        <f>B9</f>
        <v>8</v>
      </c>
      <c r="F13" s="4">
        <f>E13+D13</f>
        <v>-2</v>
      </c>
      <c r="G13" s="2" t="s">
        <v>12</v>
      </c>
    </row>
    <row r="14" spans="1:7" x14ac:dyDescent="0.25">
      <c r="C14" s="2">
        <v>0</v>
      </c>
      <c r="D14" s="2">
        <f>C14-$B$2</f>
        <v>-40</v>
      </c>
      <c r="E14" s="2">
        <f>MAX($B$5-C14,0)-$B$6</f>
        <v>38</v>
      </c>
      <c r="F14" s="2">
        <f>SUM(D14:E14)</f>
        <v>-2</v>
      </c>
    </row>
    <row r="15" spans="1:7" x14ac:dyDescent="0.25">
      <c r="C15" s="2">
        <v>5</v>
      </c>
      <c r="D15" s="2">
        <f t="shared" ref="D15:D28" si="0">C15-$B$2</f>
        <v>-35</v>
      </c>
      <c r="E15" s="2">
        <f t="shared" ref="E15:E28" si="1">MAX($B$5-C15,0)-$B$6</f>
        <v>33</v>
      </c>
      <c r="F15" s="2">
        <f t="shared" ref="F15:F28" si="2">SUM(D15:E15)</f>
        <v>-2</v>
      </c>
    </row>
    <row r="16" spans="1:7" x14ac:dyDescent="0.25">
      <c r="C16" s="2">
        <v>10</v>
      </c>
      <c r="D16" s="2">
        <f t="shared" si="0"/>
        <v>-30</v>
      </c>
      <c r="E16" s="2">
        <f t="shared" si="1"/>
        <v>28</v>
      </c>
      <c r="F16" s="2">
        <f t="shared" si="2"/>
        <v>-2</v>
      </c>
    </row>
    <row r="17" spans="3:6" x14ac:dyDescent="0.25">
      <c r="C17" s="2">
        <v>15</v>
      </c>
      <c r="D17" s="2">
        <f t="shared" si="0"/>
        <v>-25</v>
      </c>
      <c r="E17" s="2">
        <f t="shared" si="1"/>
        <v>23</v>
      </c>
      <c r="F17" s="2">
        <f t="shared" si="2"/>
        <v>-2</v>
      </c>
    </row>
    <row r="18" spans="3:6" x14ac:dyDescent="0.25">
      <c r="C18" s="2">
        <v>20</v>
      </c>
      <c r="D18" s="2">
        <f t="shared" si="0"/>
        <v>-20</v>
      </c>
      <c r="E18" s="2">
        <f t="shared" si="1"/>
        <v>18</v>
      </c>
      <c r="F18" s="2">
        <f t="shared" si="2"/>
        <v>-2</v>
      </c>
    </row>
    <row r="19" spans="3:6" x14ac:dyDescent="0.25">
      <c r="C19" s="2">
        <v>25</v>
      </c>
      <c r="D19" s="2">
        <f t="shared" si="0"/>
        <v>-15</v>
      </c>
      <c r="E19" s="2">
        <f t="shared" si="1"/>
        <v>13</v>
      </c>
      <c r="F19" s="2">
        <f t="shared" si="2"/>
        <v>-2</v>
      </c>
    </row>
    <row r="20" spans="3:6" x14ac:dyDescent="0.25">
      <c r="C20" s="2">
        <v>30</v>
      </c>
      <c r="D20" s="2">
        <f t="shared" si="0"/>
        <v>-10</v>
      </c>
      <c r="E20" s="2">
        <f t="shared" si="1"/>
        <v>8</v>
      </c>
      <c r="F20" s="2">
        <f t="shared" si="2"/>
        <v>-2</v>
      </c>
    </row>
    <row r="21" spans="3:6" x14ac:dyDescent="0.25">
      <c r="C21" s="2">
        <v>35</v>
      </c>
      <c r="D21" s="2">
        <f t="shared" si="0"/>
        <v>-5</v>
      </c>
      <c r="E21" s="2">
        <f t="shared" si="1"/>
        <v>3</v>
      </c>
      <c r="F21" s="2">
        <f t="shared" si="2"/>
        <v>-2</v>
      </c>
    </row>
    <row r="22" spans="3:6" x14ac:dyDescent="0.25">
      <c r="C22" s="2">
        <v>40</v>
      </c>
      <c r="D22" s="2">
        <f t="shared" si="0"/>
        <v>0</v>
      </c>
      <c r="E22" s="2">
        <f t="shared" si="1"/>
        <v>-2</v>
      </c>
      <c r="F22" s="2">
        <f t="shared" si="2"/>
        <v>-2</v>
      </c>
    </row>
    <row r="23" spans="3:6" x14ac:dyDescent="0.25">
      <c r="C23" s="2">
        <v>45</v>
      </c>
      <c r="D23" s="2">
        <f t="shared" si="0"/>
        <v>5</v>
      </c>
      <c r="E23" s="2">
        <f t="shared" si="1"/>
        <v>-2</v>
      </c>
      <c r="F23" s="2">
        <f t="shared" si="2"/>
        <v>3</v>
      </c>
    </row>
    <row r="24" spans="3:6" x14ac:dyDescent="0.25">
      <c r="C24" s="2">
        <v>50</v>
      </c>
      <c r="D24" s="2">
        <f t="shared" si="0"/>
        <v>10</v>
      </c>
      <c r="E24" s="2">
        <f t="shared" si="1"/>
        <v>-2</v>
      </c>
      <c r="F24" s="2">
        <f t="shared" si="2"/>
        <v>8</v>
      </c>
    </row>
    <row r="25" spans="3:6" x14ac:dyDescent="0.25">
      <c r="C25" s="2">
        <v>55</v>
      </c>
      <c r="D25" s="2">
        <f t="shared" si="0"/>
        <v>15</v>
      </c>
      <c r="E25" s="2">
        <f t="shared" si="1"/>
        <v>-2</v>
      </c>
      <c r="F25" s="2">
        <f t="shared" si="2"/>
        <v>13</v>
      </c>
    </row>
    <row r="26" spans="3:6" x14ac:dyDescent="0.25">
      <c r="C26" s="2">
        <v>60</v>
      </c>
      <c r="D26" s="2">
        <f t="shared" si="0"/>
        <v>20</v>
      </c>
      <c r="E26" s="2">
        <f t="shared" si="1"/>
        <v>-2</v>
      </c>
      <c r="F26" s="2">
        <f t="shared" si="2"/>
        <v>18</v>
      </c>
    </row>
    <row r="27" spans="3:6" x14ac:dyDescent="0.25">
      <c r="C27" s="2">
        <v>65</v>
      </c>
      <c r="D27" s="2">
        <f t="shared" si="0"/>
        <v>25</v>
      </c>
      <c r="E27" s="2">
        <f t="shared" si="1"/>
        <v>-2</v>
      </c>
      <c r="F27" s="2">
        <f t="shared" si="2"/>
        <v>23</v>
      </c>
    </row>
    <row r="28" spans="3:6" x14ac:dyDescent="0.25">
      <c r="C28" s="2">
        <v>70</v>
      </c>
      <c r="D28" s="2">
        <f t="shared" si="0"/>
        <v>30</v>
      </c>
      <c r="E28" s="2">
        <f t="shared" si="1"/>
        <v>-2</v>
      </c>
      <c r="F28" s="2">
        <f t="shared" si="2"/>
        <v>28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图表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2024-11-19T01:43:44Z</dcterms:modified>
</cp:coreProperties>
</file>