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6\"/>
    </mc:Choice>
  </mc:AlternateContent>
  <xr:revisionPtr revIDLastSave="0" documentId="13_ncr:1_{D29A82E8-39B1-440B-8CF7-BCB3DA91B506}" xr6:coauthVersionLast="47" xr6:coauthVersionMax="47" xr10:uidLastSave="{00000000-0000-0000-0000-000000000000}"/>
  <bookViews>
    <workbookView xWindow="-38520" yWindow="-120" windowWidth="38640" windowHeight="21120" activeTab="3" xr2:uid="{EA6F33A8-FE0E-48B1-8C74-8B2321C6BA8B}"/>
  </bookViews>
  <sheets>
    <sheet name="Chart1" sheetId="3" r:id="rId1"/>
    <sheet name="Chart2" sheetId="4" r:id="rId2"/>
    <sheet name="Chart4" sheetId="6" r:id="rId3"/>
    <sheet name="Sheet1" sheetId="1" r:id="rId4"/>
  </sheets>
  <externalReferences>
    <externalReference r:id="rId5"/>
    <externalReference r:id="rId6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3" i="1" l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22" i="1"/>
  <c r="B16" i="1"/>
  <c r="B15" i="1"/>
  <c r="B11" i="1"/>
  <c r="B10" i="1"/>
  <c r="I37" i="1"/>
  <c r="G37" i="1"/>
  <c r="F37" i="1"/>
  <c r="D37" i="1"/>
  <c r="C37" i="1"/>
  <c r="I36" i="1"/>
  <c r="G36" i="1"/>
  <c r="F36" i="1"/>
  <c r="D36" i="1"/>
  <c r="C36" i="1"/>
  <c r="I35" i="1"/>
  <c r="G35" i="1"/>
  <c r="F35" i="1"/>
  <c r="D35" i="1"/>
  <c r="C35" i="1"/>
  <c r="I34" i="1"/>
  <c r="G34" i="1"/>
  <c r="F34" i="1"/>
  <c r="D34" i="1"/>
  <c r="C34" i="1"/>
  <c r="I33" i="1"/>
  <c r="G33" i="1"/>
  <c r="F33" i="1"/>
  <c r="D33" i="1"/>
  <c r="C33" i="1"/>
  <c r="I32" i="1"/>
  <c r="G32" i="1"/>
  <c r="F32" i="1"/>
  <c r="D32" i="1"/>
  <c r="C32" i="1"/>
  <c r="I31" i="1"/>
  <c r="G31" i="1"/>
  <c r="F31" i="1"/>
  <c r="D31" i="1"/>
  <c r="C31" i="1"/>
  <c r="I30" i="1"/>
  <c r="G30" i="1"/>
  <c r="F30" i="1"/>
  <c r="D30" i="1"/>
  <c r="C30" i="1"/>
  <c r="I29" i="1"/>
  <c r="G29" i="1"/>
  <c r="F29" i="1"/>
  <c r="D29" i="1"/>
  <c r="C29" i="1"/>
  <c r="I28" i="1"/>
  <c r="G28" i="1"/>
  <c r="F28" i="1"/>
  <c r="D28" i="1"/>
  <c r="C28" i="1"/>
  <c r="I27" i="1"/>
  <c r="G27" i="1"/>
  <c r="F27" i="1"/>
  <c r="D27" i="1"/>
  <c r="C27" i="1"/>
  <c r="I26" i="1"/>
  <c r="G26" i="1"/>
  <c r="F26" i="1"/>
  <c r="D26" i="1"/>
  <c r="C26" i="1"/>
  <c r="I25" i="1"/>
  <c r="G25" i="1"/>
  <c r="F25" i="1"/>
  <c r="D25" i="1"/>
  <c r="C25" i="1"/>
  <c r="I24" i="1"/>
  <c r="G24" i="1"/>
  <c r="F24" i="1"/>
  <c r="D24" i="1"/>
  <c r="C24" i="1"/>
  <c r="I23" i="1"/>
  <c r="G23" i="1"/>
  <c r="F23" i="1"/>
  <c r="D23" i="1"/>
  <c r="C23" i="1"/>
  <c r="I22" i="1"/>
  <c r="G22" i="1"/>
  <c r="F22" i="1"/>
  <c r="D22" i="1"/>
  <c r="C22" i="1"/>
  <c r="B6" i="1"/>
  <c r="B5" i="1"/>
  <c r="D39" i="1"/>
  <c r="C38" i="1"/>
  <c r="J39" i="1"/>
  <c r="I38" i="1"/>
  <c r="G39" i="1"/>
  <c r="F38" i="1"/>
  <c r="C16" i="1"/>
  <c r="C15" i="1"/>
  <c r="C11" i="1"/>
  <c r="C10" i="1"/>
</calcChain>
</file>

<file path=xl/sharedStrings.xml><?xml version="1.0" encoding="utf-8"?>
<sst xmlns="http://schemas.openxmlformats.org/spreadsheetml/2006/main" count="32" uniqueCount="24">
  <si>
    <t>Profit Patterns from GP Stock and Options</t>
  </si>
  <si>
    <t>Initial GP stock price</t>
  </si>
  <si>
    <t>Terminal GP stock price</t>
  </si>
  <si>
    <t>Profit from bought stock</t>
  </si>
  <si>
    <t>&lt;-- =B4-B3</t>
  </si>
  <si>
    <t>Profit from shorted stock</t>
  </si>
  <si>
    <t>&lt;-- =-B4+B3</t>
  </si>
  <si>
    <t>Call exercise price</t>
  </si>
  <si>
    <t>Call price, July</t>
  </si>
  <si>
    <t>Bought call profit</t>
  </si>
  <si>
    <t>Written call profit</t>
  </si>
  <si>
    <t>Put exercise price</t>
  </si>
  <si>
    <t>Put price, July</t>
  </si>
  <si>
    <t>Bought put profit</t>
  </si>
  <si>
    <t>Written put profit</t>
  </si>
  <si>
    <t>Terminal</t>
  </si>
  <si>
    <t>stock</t>
  </si>
  <si>
    <t>Bought</t>
  </si>
  <si>
    <t>Shorted</t>
  </si>
  <si>
    <t>Written</t>
  </si>
  <si>
    <t>price</t>
  </si>
  <si>
    <t>call</t>
  </si>
  <si>
    <t>put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</si>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</sst>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 applyAlignment="1">
      <alignment horizontal="center"/>
    </xf>
    <xf numFmtId="0" fontId="0" fillId="0" borderId="0" xfId="0" applyAlignment="1"/>
    <xf numFmtId="0" fontId="3" fillId="0" borderId="0" xfId="0" applyFont="1" applyAlignment="1">
      <alignment horizontal="center"/>
    </xf>
    <xf numFmtId="0" fontId="3" fillId="0" borderId="0" xfId="0" applyFont="1" applyAlignment="1"/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chartsheet" Target="chartsheets/sheet3.xml"/><Relationship Id="rId7" Type="http://schemas.openxmlformats.org/officeDocument/2006/relationships/theme" Target="theme/theme1.xml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externalLink" Target="externalLinks/externalLink2.xml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2400" b="1">
                <a:solidFill>
                  <a:schemeClr val="tx1"/>
                </a:solidFill>
              </a:rPr>
              <a:t>Stock Profit Patterns</a:t>
            </a:r>
          </a:p>
        </c:rich>
      </c:tx>
      <c:layout>
        <c:manualLayout>
          <c:xMode val="edge"/>
          <c:yMode val="edge"/>
          <c:x val="0.42886743164121405"/>
          <c:y val="1.00554527870099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Sheet1!$C$20:$C$21</c:f>
              <c:strCache>
                <c:ptCount val="2"/>
                <c:pt idx="0">
                  <c:v>Bought</c:v>
                </c:pt>
                <c:pt idx="1">
                  <c:v>stock</c:v>
                </c:pt>
              </c:strCache>
            </c:strRef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Sheet1!$B$22:$B$37</c:f>
              <c:numCache>
                <c:formatCode>General</c:formatCode>
                <c:ptCount val="16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</c:numCache>
            </c:numRef>
          </c:xVal>
          <c:yVal>
            <c:numRef>
              <c:f>Sheet1!$C$22:$C$37</c:f>
              <c:numCache>
                <c:formatCode>General</c:formatCode>
                <c:ptCount val="16"/>
                <c:pt idx="0">
                  <c:v>-40</c:v>
                </c:pt>
                <c:pt idx="1">
                  <c:v>-35</c:v>
                </c:pt>
                <c:pt idx="2">
                  <c:v>-30</c:v>
                </c:pt>
                <c:pt idx="3">
                  <c:v>-25</c:v>
                </c:pt>
                <c:pt idx="4">
                  <c:v>-20</c:v>
                </c:pt>
                <c:pt idx="5">
                  <c:v>-15</c:v>
                </c:pt>
                <c:pt idx="6">
                  <c:v>-10</c:v>
                </c:pt>
                <c:pt idx="7">
                  <c:v>-5</c:v>
                </c:pt>
                <c:pt idx="8">
                  <c:v>0</c:v>
                </c:pt>
                <c:pt idx="9">
                  <c:v>5</c:v>
                </c:pt>
                <c:pt idx="10">
                  <c:v>10</c:v>
                </c:pt>
                <c:pt idx="11">
                  <c:v>15</c:v>
                </c:pt>
                <c:pt idx="12">
                  <c:v>20</c:v>
                </c:pt>
                <c:pt idx="13">
                  <c:v>25</c:v>
                </c:pt>
                <c:pt idx="14">
                  <c:v>30</c:v>
                </c:pt>
                <c:pt idx="15">
                  <c:v>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42C-45F5-AD30-5F7F421B1A57}"/>
            </c:ext>
          </c:extLst>
        </c:ser>
        <c:ser>
          <c:idx val="1"/>
          <c:order val="1"/>
          <c:tx>
            <c:strRef>
              <c:f>Sheet1!$D$20:$D$21</c:f>
              <c:strCache>
                <c:ptCount val="2"/>
                <c:pt idx="0">
                  <c:v>Shorted</c:v>
                </c:pt>
                <c:pt idx="1">
                  <c:v>stock</c:v>
                </c:pt>
              </c:strCache>
            </c:strRef>
          </c:tx>
          <c:spPr>
            <a:ln w="3492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Sheet1!$B$22:$B$37</c:f>
              <c:numCache>
                <c:formatCode>General</c:formatCode>
                <c:ptCount val="16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</c:numCache>
            </c:numRef>
          </c:xVal>
          <c:yVal>
            <c:numRef>
              <c:f>Sheet1!$D$22:$D$37</c:f>
              <c:numCache>
                <c:formatCode>General</c:formatCode>
                <c:ptCount val="16"/>
                <c:pt idx="0">
                  <c:v>40</c:v>
                </c:pt>
                <c:pt idx="1">
                  <c:v>35</c:v>
                </c:pt>
                <c:pt idx="2">
                  <c:v>30</c:v>
                </c:pt>
                <c:pt idx="3">
                  <c:v>25</c:v>
                </c:pt>
                <c:pt idx="4">
                  <c:v>20</c:v>
                </c:pt>
                <c:pt idx="5">
                  <c:v>15</c:v>
                </c:pt>
                <c:pt idx="6">
                  <c:v>10</c:v>
                </c:pt>
                <c:pt idx="7">
                  <c:v>5</c:v>
                </c:pt>
                <c:pt idx="8">
                  <c:v>0</c:v>
                </c:pt>
                <c:pt idx="9">
                  <c:v>-5</c:v>
                </c:pt>
                <c:pt idx="10">
                  <c:v>-10</c:v>
                </c:pt>
                <c:pt idx="11">
                  <c:v>-15</c:v>
                </c:pt>
                <c:pt idx="12">
                  <c:v>-20</c:v>
                </c:pt>
                <c:pt idx="13">
                  <c:v>-25</c:v>
                </c:pt>
                <c:pt idx="14">
                  <c:v>-30</c:v>
                </c:pt>
                <c:pt idx="15">
                  <c:v>-35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42C-45F5-AD30-5F7F421B1A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966784"/>
        <c:axId val="463966424"/>
      </c:scatterChart>
      <c:valAx>
        <c:axId val="463966784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3966424"/>
        <c:crossesAt val="0"/>
        <c:crossBetween val="midCat"/>
      </c:valAx>
      <c:valAx>
        <c:axId val="46396642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2000" b="1">
                    <a:solidFill>
                      <a:schemeClr val="tx1"/>
                    </a:solidFill>
                  </a:rPr>
                  <a:t>Profit ($)</a:t>
                </a:r>
              </a:p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39667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0320791942019935"/>
          <c:y val="0.84267386366125652"/>
          <c:w val="0.26252803510734773"/>
          <c:h val="5.844751726647926E-2"/>
        </c:manualLayout>
      </c:layout>
      <c:overlay val="0"/>
      <c:spPr>
        <a:solidFill>
          <a:schemeClr val="lt1"/>
        </a:solidFill>
        <a:ln w="12700" cap="flat" cmpd="sng" algn="ctr">
          <a:solidFill>
            <a:schemeClr val="dk1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800" b="1">
                <a:solidFill>
                  <a:schemeClr val="tx1"/>
                </a:solidFill>
              </a:rPr>
              <a:t>Call Option Profit Patterns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Sheet1!$F$20:$F$21</c:f>
              <c:strCache>
                <c:ptCount val="2"/>
                <c:pt idx="0">
                  <c:v>Bought</c:v>
                </c:pt>
                <c:pt idx="1">
                  <c:v>call</c:v>
                </c:pt>
              </c:strCache>
            </c:strRef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Sheet1!$B$22:$B$37</c:f>
              <c:numCache>
                <c:formatCode>General</c:formatCode>
                <c:ptCount val="16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</c:numCache>
            </c:numRef>
          </c:xVal>
          <c:yVal>
            <c:numRef>
              <c:f>Sheet1!$F$22:$F$37</c:f>
              <c:numCache>
                <c:formatCode>General</c:formatCode>
                <c:ptCount val="16"/>
                <c:pt idx="0">
                  <c:v>-4</c:v>
                </c:pt>
                <c:pt idx="1">
                  <c:v>-4</c:v>
                </c:pt>
                <c:pt idx="2">
                  <c:v>-4</c:v>
                </c:pt>
                <c:pt idx="3">
                  <c:v>-4</c:v>
                </c:pt>
                <c:pt idx="4">
                  <c:v>-4</c:v>
                </c:pt>
                <c:pt idx="5">
                  <c:v>-4</c:v>
                </c:pt>
                <c:pt idx="6">
                  <c:v>-4</c:v>
                </c:pt>
                <c:pt idx="7">
                  <c:v>-4</c:v>
                </c:pt>
                <c:pt idx="8">
                  <c:v>-4</c:v>
                </c:pt>
                <c:pt idx="9">
                  <c:v>1</c:v>
                </c:pt>
                <c:pt idx="10">
                  <c:v>6</c:v>
                </c:pt>
                <c:pt idx="11">
                  <c:v>11</c:v>
                </c:pt>
                <c:pt idx="12">
                  <c:v>16</c:v>
                </c:pt>
                <c:pt idx="13">
                  <c:v>21</c:v>
                </c:pt>
                <c:pt idx="14">
                  <c:v>26</c:v>
                </c:pt>
                <c:pt idx="15">
                  <c:v>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21-4735-BA9B-33869C5F8ABC}"/>
            </c:ext>
          </c:extLst>
        </c:ser>
        <c:ser>
          <c:idx val="1"/>
          <c:order val="1"/>
          <c:tx>
            <c:strRef>
              <c:f>Sheet1!$G$20:$G$21</c:f>
              <c:strCache>
                <c:ptCount val="2"/>
                <c:pt idx="0">
                  <c:v>Written</c:v>
                </c:pt>
                <c:pt idx="1">
                  <c:v>call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Sheet1!$B$22:$B$37</c:f>
              <c:numCache>
                <c:formatCode>General</c:formatCode>
                <c:ptCount val="16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</c:numCache>
            </c:numRef>
          </c:xVal>
          <c:yVal>
            <c:numRef>
              <c:f>Sheet1!$G$22:$G$37</c:f>
              <c:numCache>
                <c:formatCode>General</c:formatCode>
                <c:ptCount val="16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-1</c:v>
                </c:pt>
                <c:pt idx="10">
                  <c:v>-6</c:v>
                </c:pt>
                <c:pt idx="11">
                  <c:v>-11</c:v>
                </c:pt>
                <c:pt idx="12">
                  <c:v>-16</c:v>
                </c:pt>
                <c:pt idx="13">
                  <c:v>-21</c:v>
                </c:pt>
                <c:pt idx="14">
                  <c:v>-26</c:v>
                </c:pt>
                <c:pt idx="15">
                  <c:v>-31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121-4735-BA9B-33869C5F8A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6912736"/>
        <c:axId val="946914536"/>
      </c:scatterChart>
      <c:valAx>
        <c:axId val="94691273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6914536"/>
        <c:crosses val="autoZero"/>
        <c:crossBetween val="midCat"/>
      </c:valAx>
      <c:valAx>
        <c:axId val="94691453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b="1">
                    <a:solidFill>
                      <a:schemeClr val="tx1"/>
                    </a:solidFill>
                  </a:rPr>
                  <a:t>Profit ($)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6912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2251859787065879"/>
          <c:y val="0.8139706924459269"/>
          <c:w val="0.35496280425868232"/>
          <c:h val="5.8660238918613918E-2"/>
        </c:manualLayout>
      </c:layout>
      <c:overlay val="0"/>
      <c:spPr>
        <a:solidFill>
          <a:schemeClr val="lt1"/>
        </a:solidFill>
        <a:ln w="12700" cap="flat" cmpd="sng" algn="ctr">
          <a:solidFill>
            <a:schemeClr val="dk1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800" b="1">
                <a:solidFill>
                  <a:schemeClr val="tx1"/>
                </a:solidFill>
              </a:rPr>
              <a:t>Put Option Profit Patterns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Sheet1!$I$20:$I$21</c:f>
              <c:strCache>
                <c:ptCount val="2"/>
                <c:pt idx="0">
                  <c:v>Bought</c:v>
                </c:pt>
                <c:pt idx="1">
                  <c:v>put</c:v>
                </c:pt>
              </c:strCache>
            </c:strRef>
          </c:tx>
          <c:spPr>
            <a:ln w="12700" cap="rnd">
              <a:solidFill>
                <a:srgbClr val="00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Sheet1!$B$22:$B$37</c:f>
              <c:numCache>
                <c:formatCode>General</c:formatCode>
                <c:ptCount val="16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</c:numCache>
            </c:numRef>
          </c:xVal>
          <c:yVal>
            <c:numRef>
              <c:f>Sheet1!$I$22:$I$37</c:f>
              <c:numCache>
                <c:formatCode>General</c:formatCode>
                <c:ptCount val="16"/>
                <c:pt idx="0">
                  <c:v>38</c:v>
                </c:pt>
                <c:pt idx="1">
                  <c:v>33</c:v>
                </c:pt>
                <c:pt idx="2">
                  <c:v>28</c:v>
                </c:pt>
                <c:pt idx="3">
                  <c:v>23</c:v>
                </c:pt>
                <c:pt idx="4">
                  <c:v>18</c:v>
                </c:pt>
                <c:pt idx="5">
                  <c:v>13</c:v>
                </c:pt>
                <c:pt idx="6">
                  <c:v>8</c:v>
                </c:pt>
                <c:pt idx="7">
                  <c:v>3</c:v>
                </c:pt>
                <c:pt idx="8">
                  <c:v>-2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  <c:pt idx="14">
                  <c:v>-2</c:v>
                </c:pt>
                <c:pt idx="15">
                  <c:v>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4AA-430F-A8A1-881F6B2163AD}"/>
            </c:ext>
          </c:extLst>
        </c:ser>
        <c:ser>
          <c:idx val="2"/>
          <c:order val="1"/>
          <c:tx>
            <c:strRef>
              <c:f>Sheet1!$J$20:$J$21</c:f>
              <c:strCache>
                <c:ptCount val="2"/>
                <c:pt idx="0">
                  <c:v>Written</c:v>
                </c:pt>
                <c:pt idx="1">
                  <c:v>put</c:v>
                </c:pt>
              </c:strCache>
            </c:strRef>
          </c:tx>
          <c:spPr>
            <a:ln w="28575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xVal>
            <c:numRef>
              <c:f>Sheet1!$B$22:$B$37</c:f>
              <c:numCache>
                <c:formatCode>General</c:formatCode>
                <c:ptCount val="16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</c:numCache>
            </c:numRef>
          </c:xVal>
          <c:yVal>
            <c:numRef>
              <c:f>Sheet1!$J$22:$J$37</c:f>
              <c:numCache>
                <c:formatCode>General</c:formatCode>
                <c:ptCount val="16"/>
                <c:pt idx="0">
                  <c:v>-38</c:v>
                </c:pt>
                <c:pt idx="1">
                  <c:v>-33</c:v>
                </c:pt>
                <c:pt idx="2">
                  <c:v>-28</c:v>
                </c:pt>
                <c:pt idx="3">
                  <c:v>-23</c:v>
                </c:pt>
                <c:pt idx="4">
                  <c:v>-18</c:v>
                </c:pt>
                <c:pt idx="5">
                  <c:v>-13</c:v>
                </c:pt>
                <c:pt idx="6">
                  <c:v>-8</c:v>
                </c:pt>
                <c:pt idx="7">
                  <c:v>-3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4AA-430F-A8A1-881F6B2163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4436624"/>
        <c:axId val="1034436264"/>
      </c:scatterChart>
      <c:valAx>
        <c:axId val="1034436624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34436264"/>
        <c:crosses val="autoZero"/>
        <c:crossBetween val="midCat"/>
      </c:valAx>
      <c:valAx>
        <c:axId val="103443626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800" b="1">
                    <a:solidFill>
                      <a:schemeClr val="tx1"/>
                    </a:solidFill>
                  </a:rPr>
                  <a:t>Profit ($)</a:t>
                </a:r>
              </a:p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1905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344366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0140776135165496"/>
          <c:y val="0.81753523169373155"/>
          <c:w val="0.30763426950859157"/>
          <c:h val="5.0563488043908283E-2"/>
        </c:manualLayout>
      </c:layout>
      <c:overlay val="0"/>
      <c:spPr>
        <a:solidFill>
          <a:schemeClr val="lt1"/>
        </a:solidFill>
        <a:ln w="12700" cap="flat" cmpd="sng" algn="ctr">
          <a:solidFill>
            <a:schemeClr val="dk1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90A3E53-43BB-4C88-B6B7-BCD04C590FFD}">
  <sheetPr/>
  <sheetViews>
    <sheetView zoomScale="135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3AE49F8-C16F-4D46-A294-3CE88D3A3366}">
  <sheetPr/>
  <sheetViews>
    <sheetView zoomScale="135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A7C944C-5443-4FF1-BC66-6DF441C1F83D}">
  <sheetPr/>
  <sheetViews>
    <sheetView zoomScale="13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11605092" cy="7577978"/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A7DE47FE-8349-73A3-6349-F34D3B99E4D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0.79462</cdr:x>
      <cdr:y>0.57446</cdr:y>
    </cdr:from>
    <cdr:to>
      <cdr:x>1</cdr:x>
      <cdr:y>0.64802</cdr:y>
    </cdr:to>
    <cdr:sp macro="" textlink="">
      <cdr:nvSpPr>
        <cdr:cNvPr id="2" name="文本框 1">
          <a:extLst xmlns:a="http://schemas.openxmlformats.org/drawingml/2006/main">
            <a:ext uri="{FF2B5EF4-FFF2-40B4-BE49-F238E27FC236}">
              <a16:creationId xmlns:a16="http://schemas.microsoft.com/office/drawing/2014/main" id="{C2D23677-5C6A-5F09-22AD-BCB2D96D31C2}"/>
            </a:ext>
          </a:extLst>
        </cdr:cNvPr>
        <cdr:cNvSpPr txBox="1"/>
      </cdr:nvSpPr>
      <cdr:spPr>
        <a:xfrm xmlns:a="http://schemas.openxmlformats.org/drawingml/2006/main">
          <a:off x="9221611" y="4353277"/>
          <a:ext cx="2383481" cy="55738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600" b="1" i="0" baseline="0">
              <a:effectLst/>
              <a:latin typeface="+mn-lt"/>
              <a:ea typeface="+mn-ea"/>
              <a:cs typeface="+mn-cs"/>
            </a:rPr>
            <a:t>Terminal stock price, S</a:t>
          </a:r>
          <a:r>
            <a:rPr lang="zh-CN" altLang="zh-CN" sz="1600" b="1" i="0" baseline="-25000">
              <a:effectLst/>
              <a:latin typeface="+mn-lt"/>
              <a:ea typeface="+mn-ea"/>
              <a:cs typeface="+mn-cs"/>
            </a:rPr>
            <a:t>T</a:t>
          </a:r>
          <a:r>
            <a:rPr lang="zh-CN" altLang="zh-CN" sz="1600" b="1" i="0" baseline="0">
              <a:effectLst/>
              <a:latin typeface="+mn-lt"/>
              <a:ea typeface="+mn-ea"/>
              <a:cs typeface="+mn-cs"/>
            </a:rPr>
            <a:t> ($)</a:t>
          </a:r>
          <a:r>
            <a:rPr lang="zh-CN" altLang="zh-CN" sz="1600" b="1" i="0" baseline="-25000">
              <a:effectLst/>
              <a:latin typeface="+mn-lt"/>
              <a:ea typeface="+mn-ea"/>
              <a:cs typeface="+mn-cs"/>
            </a:rPr>
            <a:t> </a:t>
          </a:r>
          <a:endParaRPr lang="zh-CN" altLang="zh-CN" sz="1600">
            <a:effectLst/>
          </a:endParaRPr>
        </a:p>
        <a:p xmlns:a="http://schemas.openxmlformats.org/drawingml/2006/main">
          <a:endParaRPr lang="zh-CN" altLang="en-US" sz="1100" kern="12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11605092" cy="7577978"/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BF44824A-495B-83F9-10B6-F2244D7165D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0.77759</cdr:x>
      <cdr:y>0.56608</cdr:y>
    </cdr:from>
    <cdr:to>
      <cdr:x>0.93688</cdr:x>
      <cdr:y>0.64057</cdr:y>
    </cdr:to>
    <cdr:sp macro="" textlink="">
      <cdr:nvSpPr>
        <cdr:cNvPr id="2" name="文本框 1">
          <a:extLst xmlns:a="http://schemas.openxmlformats.org/drawingml/2006/main">
            <a:ext uri="{FF2B5EF4-FFF2-40B4-BE49-F238E27FC236}">
              <a16:creationId xmlns:a16="http://schemas.microsoft.com/office/drawing/2014/main" id="{A19FBB66-511C-F6CC-5625-BED39FBBC952}"/>
            </a:ext>
          </a:extLst>
        </cdr:cNvPr>
        <cdr:cNvSpPr txBox="1"/>
      </cdr:nvSpPr>
      <cdr:spPr>
        <a:xfrm xmlns:a="http://schemas.openxmlformats.org/drawingml/2006/main">
          <a:off x="9024056" y="4289778"/>
          <a:ext cx="1848555" cy="56444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 b="1" i="0" baseline="0">
              <a:effectLst/>
              <a:latin typeface="+mn-lt"/>
              <a:ea typeface="+mn-ea"/>
              <a:cs typeface="+mn-cs"/>
            </a:rPr>
            <a:t>Terminal stock price, S</a:t>
          </a:r>
          <a:r>
            <a:rPr lang="zh-CN" altLang="zh-CN" sz="1100" b="1" i="0" baseline="-25000">
              <a:effectLst/>
              <a:latin typeface="+mn-lt"/>
              <a:ea typeface="+mn-ea"/>
              <a:cs typeface="+mn-cs"/>
            </a:rPr>
            <a:t>T</a:t>
          </a:r>
          <a:r>
            <a:rPr lang="zh-CN" altLang="zh-CN" sz="1100" b="1" i="0" baseline="0">
              <a:effectLst/>
              <a:latin typeface="+mn-lt"/>
              <a:ea typeface="+mn-ea"/>
              <a:cs typeface="+mn-cs"/>
            </a:rPr>
            <a:t> ($)</a:t>
          </a:r>
          <a:endParaRPr lang="zh-CN" altLang="zh-CN">
            <a:effectLst/>
          </a:endParaRPr>
        </a:p>
        <a:p xmlns:a="http://schemas.openxmlformats.org/drawingml/2006/main">
          <a:endParaRPr lang="zh-CN" altLang="en-US" sz="1100" kern="1200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11605092" cy="7577978"/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5189B204-A91B-1118-D50E-0B260EC691C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0.77516</cdr:x>
      <cdr:y>0.56236</cdr:y>
    </cdr:from>
    <cdr:to>
      <cdr:x>0.95087</cdr:x>
      <cdr:y>0.66478</cdr:y>
    </cdr:to>
    <cdr:sp macro="" textlink="">
      <cdr:nvSpPr>
        <cdr:cNvPr id="2" name="文本框 1">
          <a:extLst xmlns:a="http://schemas.openxmlformats.org/drawingml/2006/main">
            <a:ext uri="{FF2B5EF4-FFF2-40B4-BE49-F238E27FC236}">
              <a16:creationId xmlns:a16="http://schemas.microsoft.com/office/drawing/2014/main" id="{000E0066-2B39-32D9-50E6-8BA84B630BAE}"/>
            </a:ext>
          </a:extLst>
        </cdr:cNvPr>
        <cdr:cNvSpPr txBox="1"/>
      </cdr:nvSpPr>
      <cdr:spPr>
        <a:xfrm xmlns:a="http://schemas.openxmlformats.org/drawingml/2006/main">
          <a:off x="8995833" y="4261556"/>
          <a:ext cx="2039056" cy="7761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 b="1" i="0" baseline="0">
              <a:effectLst/>
              <a:latin typeface="+mn-lt"/>
              <a:ea typeface="+mn-ea"/>
              <a:cs typeface="+mn-cs"/>
            </a:rPr>
            <a:t>Terminal stock price, S</a:t>
          </a:r>
          <a:r>
            <a:rPr lang="zh-CN" altLang="zh-CN" sz="1100" b="1" i="0" baseline="-25000">
              <a:effectLst/>
              <a:latin typeface="+mn-lt"/>
              <a:ea typeface="+mn-ea"/>
              <a:cs typeface="+mn-cs"/>
            </a:rPr>
            <a:t>T</a:t>
          </a:r>
          <a:r>
            <a:rPr lang="zh-CN" altLang="zh-CN" sz="1100" b="1" i="0" baseline="0">
              <a:effectLst/>
              <a:latin typeface="+mn-lt"/>
              <a:ea typeface="+mn-ea"/>
              <a:cs typeface="+mn-cs"/>
            </a:rPr>
            <a:t> ($)</a:t>
          </a:r>
          <a:endParaRPr lang="zh-CN" altLang="zh-CN">
            <a:effectLst/>
          </a:endParaRPr>
        </a:p>
        <a:p xmlns:a="http://schemas.openxmlformats.org/drawingml/2006/main">
          <a:endParaRPr lang="zh-CN" altLang="en-US" sz="1100" kern="1200"/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83820</xdr:colOff>
      <xdr:row>3</xdr:row>
      <xdr:rowOff>60960</xdr:rowOff>
    </xdr:from>
    <xdr:to>
      <xdr:col>25</xdr:col>
      <xdr:colOff>281940</xdr:colOff>
      <xdr:row>41</xdr:row>
      <xdr:rowOff>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B82D35EA-6E19-4BAD-F4A9-009BA2BBBE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418320" y="632460"/>
          <a:ext cx="6911340" cy="659892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6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6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423"/>
      <sheetName val="Page 423中文"/>
      <sheetName val="Page 424"/>
      <sheetName val="Page 424 中文"/>
      <sheetName val="Page 425"/>
      <sheetName val="Page 425 中文 "/>
      <sheetName val="Page 427 data"/>
      <sheetName val="Page 427中文"/>
      <sheetName val="Page 427"/>
      <sheetName val="Page 427 中文"/>
      <sheetName val="Page 429"/>
      <sheetName val="Page 429中文"/>
      <sheetName val="Page 430"/>
      <sheetName val="Page 430 中文"/>
      <sheetName val="Page 431(2)"/>
      <sheetName val="Page 431中文"/>
      <sheetName val="Page 431 data"/>
      <sheetName val="Page 431 data中文"/>
      <sheetName val="Page 431"/>
      <sheetName val="Page 431中文 (2)"/>
      <sheetName val="Page 432 data"/>
      <sheetName val="Page 432 data中文"/>
      <sheetName val="Page 432"/>
      <sheetName val="Page 432中文"/>
      <sheetName val="Page 433"/>
      <sheetName val="Page 433中文"/>
      <sheetName val="Proposition 3"/>
      <sheetName val="Proposition 3中文"/>
      <sheetName val="Page 437"/>
      <sheetName val="Page 437中文"/>
    </sheetNames>
    <sheetDataSet>
      <sheetData sheetId="0"/>
      <sheetData sheetId="1"/>
      <sheetData sheetId="2"/>
      <sheetData sheetId="3"/>
      <sheetData sheetId="4"/>
      <sheetData sheetId="5"/>
      <sheetData sheetId="6">
        <row r="20">
          <cell r="C20" t="str">
            <v>Bought</v>
          </cell>
          <cell r="D20" t="str">
            <v>Shorted</v>
          </cell>
        </row>
        <row r="21">
          <cell r="C21" t="str">
            <v>stock</v>
          </cell>
          <cell r="D21" t="str">
            <v>stock</v>
          </cell>
        </row>
        <row r="22">
          <cell r="B22">
            <v>0</v>
          </cell>
          <cell r="C22">
            <v>-40</v>
          </cell>
          <cell r="D22">
            <v>40</v>
          </cell>
        </row>
        <row r="23">
          <cell r="B23">
            <v>5</v>
          </cell>
          <cell r="C23">
            <v>-35</v>
          </cell>
          <cell r="D23">
            <v>35</v>
          </cell>
        </row>
        <row r="24">
          <cell r="B24">
            <v>10</v>
          </cell>
          <cell r="C24">
            <v>-30</v>
          </cell>
          <cell r="D24">
            <v>30</v>
          </cell>
        </row>
        <row r="25">
          <cell r="B25">
            <v>15</v>
          </cell>
          <cell r="C25">
            <v>-25</v>
          </cell>
          <cell r="D25">
            <v>25</v>
          </cell>
        </row>
        <row r="26">
          <cell r="B26">
            <v>20</v>
          </cell>
          <cell r="C26">
            <v>-20</v>
          </cell>
          <cell r="D26">
            <v>20</v>
          </cell>
        </row>
        <row r="27">
          <cell r="B27">
            <v>25</v>
          </cell>
          <cell r="C27">
            <v>-15</v>
          </cell>
          <cell r="D27">
            <v>15</v>
          </cell>
        </row>
        <row r="28">
          <cell r="B28">
            <v>30</v>
          </cell>
          <cell r="C28">
            <v>-10</v>
          </cell>
          <cell r="D28">
            <v>10</v>
          </cell>
        </row>
        <row r="29">
          <cell r="B29">
            <v>35</v>
          </cell>
          <cell r="C29">
            <v>-5</v>
          </cell>
          <cell r="D29">
            <v>5</v>
          </cell>
        </row>
        <row r="30">
          <cell r="B30">
            <v>40</v>
          </cell>
          <cell r="C30">
            <v>0</v>
          </cell>
          <cell r="D30">
            <v>0</v>
          </cell>
        </row>
        <row r="31">
          <cell r="B31">
            <v>45</v>
          </cell>
          <cell r="C31">
            <v>5</v>
          </cell>
          <cell r="D31">
            <v>-5</v>
          </cell>
        </row>
        <row r="32">
          <cell r="B32">
            <v>50</v>
          </cell>
          <cell r="C32">
            <v>10</v>
          </cell>
          <cell r="D32">
            <v>-10</v>
          </cell>
        </row>
        <row r="33">
          <cell r="B33">
            <v>55</v>
          </cell>
          <cell r="C33">
            <v>15</v>
          </cell>
          <cell r="D33">
            <v>-15</v>
          </cell>
        </row>
        <row r="34">
          <cell r="B34">
            <v>60</v>
          </cell>
          <cell r="C34">
            <v>20</v>
          </cell>
          <cell r="D34">
            <v>-20</v>
          </cell>
        </row>
        <row r="35">
          <cell r="B35">
            <v>65</v>
          </cell>
          <cell r="C35">
            <v>25</v>
          </cell>
          <cell r="D35">
            <v>-25</v>
          </cell>
        </row>
        <row r="36">
          <cell r="B36">
            <v>70</v>
          </cell>
          <cell r="C36">
            <v>30</v>
          </cell>
          <cell r="D36">
            <v>-30</v>
          </cell>
        </row>
        <row r="37">
          <cell r="B37">
            <v>75</v>
          </cell>
          <cell r="C37">
            <v>35</v>
          </cell>
          <cell r="D37">
            <v>-35</v>
          </cell>
        </row>
      </sheetData>
      <sheetData sheetId="7"/>
      <sheetData sheetId="16"/>
      <sheetData sheetId="17"/>
      <sheetData sheetId="20"/>
      <sheetData sheetId="21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J39"/>
  <sheetViews>
    <sheetView tabSelected="1" zoomScale="130" zoomScaleNormal="130" workbookViewId="0">
      <selection activeCell="J41" sqref="J41"/>
    </sheetView>
  </sheetViews>
  <sheetFormatPr defaultRowHeight="13.8" x14ac:dyDescent="0.25"/>
  <cols>
    <col min="1" max="1" width="23.44140625" style="2" customWidth="1"/>
    <col min="2" max="10" width="8.88671875" style="2"/>
  </cols>
  <sheetData>
    <row r="1" spans="1:8" ht="17.399999999999999" x14ac:dyDescent="0.3">
      <c r="A1" s="1" t="s">
        <v>0</v>
      </c>
      <c r="B1" s="1"/>
      <c r="C1" s="1"/>
      <c r="D1" s="1"/>
      <c r="E1" s="1"/>
      <c r="F1" s="1"/>
      <c r="G1" s="1"/>
      <c r="H1" s="1"/>
    </row>
    <row r="2" spans="1:8" x14ac:dyDescent="0.25">
      <c r="A2" s="2" t="s">
        <v>1</v>
      </c>
      <c r="B2" s="2">
        <v>40</v>
      </c>
    </row>
    <row r="3" spans="1:8" x14ac:dyDescent="0.25">
      <c r="A3" s="2" t="s">
        <v>2</v>
      </c>
      <c r="B3" s="2">
        <v>70</v>
      </c>
    </row>
    <row r="5" spans="1:8" x14ac:dyDescent="0.25">
      <c r="A5" s="2" t="s">
        <v>3</v>
      </c>
      <c r="B5" s="2">
        <f>B3-B2</f>
        <v>30</v>
      </c>
      <c r="C5" s="2" t="s">
        <v>4</v>
      </c>
    </row>
    <row r="6" spans="1:8" x14ac:dyDescent="0.25">
      <c r="A6" s="2" t="s">
        <v>5</v>
      </c>
      <c r="B6" s="2">
        <f>-B3+B2</f>
        <v>-30</v>
      </c>
      <c r="C6" s="2" t="s">
        <v>6</v>
      </c>
    </row>
    <row r="8" spans="1:8" x14ac:dyDescent="0.25">
      <c r="A8" s="2" t="s">
        <v>7</v>
      </c>
      <c r="B8" s="2">
        <v>40</v>
      </c>
    </row>
    <row r="9" spans="1:8" x14ac:dyDescent="0.25">
      <c r="A9" s="2" t="s">
        <v>8</v>
      </c>
      <c r="B9" s="2">
        <v>4</v>
      </c>
    </row>
    <row r="10" spans="1:8" x14ac:dyDescent="0.25">
      <c r="A10" s="2" t="s">
        <v>9</v>
      </c>
      <c r="B10" s="2">
        <f>MAX(B3-B8,0)-B9</f>
        <v>26</v>
      </c>
      <c r="C10" s="2" t="str">
        <f ca="1">[2]!getformula(B10)</f>
        <v>&lt;--  =MAX(B3-B8,0)-B9</v>
      </c>
    </row>
    <row r="11" spans="1:8" x14ac:dyDescent="0.25">
      <c r="A11" s="2" t="s">
        <v>10</v>
      </c>
      <c r="B11" s="2">
        <f>B9-MAX(B3-B8,0)</f>
        <v>-26</v>
      </c>
      <c r="C11" s="2" t="str">
        <f ca="1">[2]!getformula(B11)</f>
        <v>&lt;--  =B9-MAX(B3-B8,0)</v>
      </c>
    </row>
    <row r="13" spans="1:8" x14ac:dyDescent="0.25">
      <c r="A13" s="2" t="s">
        <v>11</v>
      </c>
      <c r="B13" s="2">
        <v>40</v>
      </c>
    </row>
    <row r="14" spans="1:8" x14ac:dyDescent="0.25">
      <c r="A14" s="2" t="s">
        <v>12</v>
      </c>
      <c r="B14" s="2">
        <v>2</v>
      </c>
    </row>
    <row r="15" spans="1:8" x14ac:dyDescent="0.25">
      <c r="A15" s="2" t="s">
        <v>13</v>
      </c>
      <c r="B15" s="2">
        <f>MAX(0,B13-B3)-B14</f>
        <v>-2</v>
      </c>
      <c r="C15" s="2" t="str">
        <f ca="1">[2]!getformula(B15)</f>
        <v>&lt;--  =MAX(0,B13-B3)-B14</v>
      </c>
    </row>
    <row r="16" spans="1:8" x14ac:dyDescent="0.25">
      <c r="A16" s="2" t="s">
        <v>14</v>
      </c>
      <c r="B16" s="2">
        <f>B14-MAX(0,B13-B3)</f>
        <v>2</v>
      </c>
      <c r="C16" s="2" t="str">
        <f ca="1">[2]!getformula(B16)</f>
        <v>&lt;--  =B14-MAX(0,B13-B3)</v>
      </c>
    </row>
    <row r="19" spans="2:10" x14ac:dyDescent="0.25">
      <c r="B19" s="3" t="s">
        <v>15</v>
      </c>
      <c r="C19" s="3"/>
      <c r="D19" s="3"/>
      <c r="E19" s="4"/>
      <c r="F19" s="4"/>
      <c r="G19" s="4"/>
      <c r="H19" s="4"/>
      <c r="I19" s="4"/>
      <c r="J19" s="4"/>
    </row>
    <row r="20" spans="2:10" x14ac:dyDescent="0.25">
      <c r="B20" s="3" t="s">
        <v>16</v>
      </c>
      <c r="C20" s="3" t="s">
        <v>17</v>
      </c>
      <c r="D20" s="3" t="s">
        <v>18</v>
      </c>
      <c r="E20" s="4"/>
      <c r="F20" s="3" t="s">
        <v>17</v>
      </c>
      <c r="G20" s="3" t="s">
        <v>19</v>
      </c>
      <c r="H20" s="3"/>
      <c r="I20" s="3" t="s">
        <v>17</v>
      </c>
      <c r="J20" s="3" t="s">
        <v>19</v>
      </c>
    </row>
    <row r="21" spans="2:10" x14ac:dyDescent="0.25">
      <c r="B21" s="3" t="s">
        <v>20</v>
      </c>
      <c r="C21" s="3" t="s">
        <v>16</v>
      </c>
      <c r="D21" s="3" t="s">
        <v>16</v>
      </c>
      <c r="E21" s="4"/>
      <c r="F21" s="3" t="s">
        <v>21</v>
      </c>
      <c r="G21" s="3" t="s">
        <v>21</v>
      </c>
      <c r="H21" s="3"/>
      <c r="I21" s="3" t="s">
        <v>22</v>
      </c>
      <c r="J21" s="3" t="s">
        <v>22</v>
      </c>
    </row>
    <row r="22" spans="2:10" x14ac:dyDescent="0.25">
      <c r="B22" s="2">
        <v>0</v>
      </c>
      <c r="C22" s="2">
        <f>B22-$B$2</f>
        <v>-40</v>
      </c>
      <c r="D22" s="2">
        <f>$B$2-B22</f>
        <v>40</v>
      </c>
      <c r="E22" s="2" t="s">
        <v>23</v>
      </c>
      <c r="F22" s="2">
        <f>MAX(B22-$B$8,0)-$B$9</f>
        <v>-4</v>
      </c>
      <c r="G22" s="2">
        <f>-MAX(B22-$B$8,0)+$B$9</f>
        <v>4</v>
      </c>
      <c r="H22" s="2" t="s">
        <v>23</v>
      </c>
      <c r="I22" s="2">
        <f>MAX($B$13-B22,0)-$B$14</f>
        <v>38</v>
      </c>
      <c r="J22" s="2">
        <f>$B$14-MAX(0,$B$13-B22)</f>
        <v>-38</v>
      </c>
    </row>
    <row r="23" spans="2:10" x14ac:dyDescent="0.25">
      <c r="B23" s="2">
        <v>5</v>
      </c>
      <c r="C23" s="2">
        <f t="shared" ref="C23:C37" si="0">B23-$B$2</f>
        <v>-35</v>
      </c>
      <c r="D23" s="2">
        <f t="shared" ref="D23:D37" si="1">$B$2-B23</f>
        <v>35</v>
      </c>
      <c r="F23" s="2">
        <f t="shared" ref="F23:F37" si="2">MAX(B23-$B$8,0)-$B$9</f>
        <v>-4</v>
      </c>
      <c r="G23" s="2">
        <f t="shared" ref="G23:G37" si="3">-MAX(B23-$B$8,0)+$B$9</f>
        <v>4</v>
      </c>
      <c r="I23" s="2">
        <f t="shared" ref="I23:I37" si="4">MAX($B$13-B23,0)-$B$14</f>
        <v>33</v>
      </c>
      <c r="J23" s="2">
        <f t="shared" ref="J23:J37" si="5">$B$14-MAX(0,$B$13-B23)</f>
        <v>-33</v>
      </c>
    </row>
    <row r="24" spans="2:10" x14ac:dyDescent="0.25">
      <c r="B24" s="2">
        <v>10</v>
      </c>
      <c r="C24" s="2">
        <f t="shared" si="0"/>
        <v>-30</v>
      </c>
      <c r="D24" s="2">
        <f t="shared" si="1"/>
        <v>30</v>
      </c>
      <c r="F24" s="2">
        <f t="shared" si="2"/>
        <v>-4</v>
      </c>
      <c r="G24" s="2">
        <f t="shared" si="3"/>
        <v>4</v>
      </c>
      <c r="I24" s="2">
        <f t="shared" si="4"/>
        <v>28</v>
      </c>
      <c r="J24" s="2">
        <f t="shared" si="5"/>
        <v>-28</v>
      </c>
    </row>
    <row r="25" spans="2:10" x14ac:dyDescent="0.25">
      <c r="B25" s="2">
        <v>15</v>
      </c>
      <c r="C25" s="2">
        <f t="shared" si="0"/>
        <v>-25</v>
      </c>
      <c r="D25" s="2">
        <f t="shared" si="1"/>
        <v>25</v>
      </c>
      <c r="F25" s="2">
        <f t="shared" si="2"/>
        <v>-4</v>
      </c>
      <c r="G25" s="2">
        <f t="shared" si="3"/>
        <v>4</v>
      </c>
      <c r="I25" s="2">
        <f t="shared" si="4"/>
        <v>23</v>
      </c>
      <c r="J25" s="2">
        <f t="shared" si="5"/>
        <v>-23</v>
      </c>
    </row>
    <row r="26" spans="2:10" x14ac:dyDescent="0.25">
      <c r="B26" s="2">
        <v>20</v>
      </c>
      <c r="C26" s="2">
        <f t="shared" si="0"/>
        <v>-20</v>
      </c>
      <c r="D26" s="2">
        <f t="shared" si="1"/>
        <v>20</v>
      </c>
      <c r="F26" s="2">
        <f t="shared" si="2"/>
        <v>-4</v>
      </c>
      <c r="G26" s="2">
        <f t="shared" si="3"/>
        <v>4</v>
      </c>
      <c r="I26" s="2">
        <f t="shared" si="4"/>
        <v>18</v>
      </c>
      <c r="J26" s="2">
        <f t="shared" si="5"/>
        <v>-18</v>
      </c>
    </row>
    <row r="27" spans="2:10" x14ac:dyDescent="0.25">
      <c r="B27" s="2">
        <v>25</v>
      </c>
      <c r="C27" s="2">
        <f t="shared" si="0"/>
        <v>-15</v>
      </c>
      <c r="D27" s="2">
        <f t="shared" si="1"/>
        <v>15</v>
      </c>
      <c r="F27" s="2">
        <f t="shared" si="2"/>
        <v>-4</v>
      </c>
      <c r="G27" s="2">
        <f t="shared" si="3"/>
        <v>4</v>
      </c>
      <c r="I27" s="2">
        <f t="shared" si="4"/>
        <v>13</v>
      </c>
      <c r="J27" s="2">
        <f t="shared" si="5"/>
        <v>-13</v>
      </c>
    </row>
    <row r="28" spans="2:10" x14ac:dyDescent="0.25">
      <c r="B28" s="2">
        <v>30</v>
      </c>
      <c r="C28" s="2">
        <f t="shared" si="0"/>
        <v>-10</v>
      </c>
      <c r="D28" s="2">
        <f t="shared" si="1"/>
        <v>10</v>
      </c>
      <c r="F28" s="2">
        <f t="shared" si="2"/>
        <v>-4</v>
      </c>
      <c r="G28" s="2">
        <f t="shared" si="3"/>
        <v>4</v>
      </c>
      <c r="I28" s="2">
        <f t="shared" si="4"/>
        <v>8</v>
      </c>
      <c r="J28" s="2">
        <f t="shared" si="5"/>
        <v>-8</v>
      </c>
    </row>
    <row r="29" spans="2:10" x14ac:dyDescent="0.25">
      <c r="B29" s="2">
        <v>35</v>
      </c>
      <c r="C29" s="2">
        <f t="shared" si="0"/>
        <v>-5</v>
      </c>
      <c r="D29" s="2">
        <f t="shared" si="1"/>
        <v>5</v>
      </c>
      <c r="F29" s="2">
        <f t="shared" si="2"/>
        <v>-4</v>
      </c>
      <c r="G29" s="2">
        <f t="shared" si="3"/>
        <v>4</v>
      </c>
      <c r="I29" s="2">
        <f t="shared" si="4"/>
        <v>3</v>
      </c>
      <c r="J29" s="2">
        <f t="shared" si="5"/>
        <v>-3</v>
      </c>
    </row>
    <row r="30" spans="2:10" x14ac:dyDescent="0.25">
      <c r="B30" s="2">
        <v>40</v>
      </c>
      <c r="C30" s="2">
        <f t="shared" si="0"/>
        <v>0</v>
      </c>
      <c r="D30" s="2">
        <f t="shared" si="1"/>
        <v>0</v>
      </c>
      <c r="F30" s="2">
        <f t="shared" si="2"/>
        <v>-4</v>
      </c>
      <c r="G30" s="2">
        <f t="shared" si="3"/>
        <v>4</v>
      </c>
      <c r="I30" s="2">
        <f t="shared" si="4"/>
        <v>-2</v>
      </c>
      <c r="J30" s="2">
        <f t="shared" si="5"/>
        <v>2</v>
      </c>
    </row>
    <row r="31" spans="2:10" x14ac:dyDescent="0.25">
      <c r="B31" s="2">
        <v>45</v>
      </c>
      <c r="C31" s="2">
        <f t="shared" si="0"/>
        <v>5</v>
      </c>
      <c r="D31" s="2">
        <f t="shared" si="1"/>
        <v>-5</v>
      </c>
      <c r="F31" s="2">
        <f t="shared" si="2"/>
        <v>1</v>
      </c>
      <c r="G31" s="2">
        <f t="shared" si="3"/>
        <v>-1</v>
      </c>
      <c r="I31" s="2">
        <f t="shared" si="4"/>
        <v>-2</v>
      </c>
      <c r="J31" s="2">
        <f t="shared" si="5"/>
        <v>2</v>
      </c>
    </row>
    <row r="32" spans="2:10" x14ac:dyDescent="0.25">
      <c r="B32" s="2">
        <v>50</v>
      </c>
      <c r="C32" s="2">
        <f t="shared" si="0"/>
        <v>10</v>
      </c>
      <c r="D32" s="2">
        <f t="shared" si="1"/>
        <v>-10</v>
      </c>
      <c r="F32" s="2">
        <f t="shared" si="2"/>
        <v>6</v>
      </c>
      <c r="G32" s="2">
        <f t="shared" si="3"/>
        <v>-6</v>
      </c>
      <c r="I32" s="2">
        <f t="shared" si="4"/>
        <v>-2</v>
      </c>
      <c r="J32" s="2">
        <f t="shared" si="5"/>
        <v>2</v>
      </c>
    </row>
    <row r="33" spans="2:10" x14ac:dyDescent="0.25">
      <c r="B33" s="2">
        <v>55</v>
      </c>
      <c r="C33" s="2">
        <f t="shared" si="0"/>
        <v>15</v>
      </c>
      <c r="D33" s="2">
        <f t="shared" si="1"/>
        <v>-15</v>
      </c>
      <c r="F33" s="2">
        <f t="shared" si="2"/>
        <v>11</v>
      </c>
      <c r="G33" s="2">
        <f t="shared" si="3"/>
        <v>-11</v>
      </c>
      <c r="I33" s="2">
        <f t="shared" si="4"/>
        <v>-2</v>
      </c>
      <c r="J33" s="2">
        <f t="shared" si="5"/>
        <v>2</v>
      </c>
    </row>
    <row r="34" spans="2:10" x14ac:dyDescent="0.25">
      <c r="B34" s="2">
        <v>60</v>
      </c>
      <c r="C34" s="2">
        <f t="shared" si="0"/>
        <v>20</v>
      </c>
      <c r="D34" s="2">
        <f t="shared" si="1"/>
        <v>-20</v>
      </c>
      <c r="F34" s="2">
        <f t="shared" si="2"/>
        <v>16</v>
      </c>
      <c r="G34" s="2">
        <f t="shared" si="3"/>
        <v>-16</v>
      </c>
      <c r="I34" s="2">
        <f t="shared" si="4"/>
        <v>-2</v>
      </c>
      <c r="J34" s="2">
        <f t="shared" si="5"/>
        <v>2</v>
      </c>
    </row>
    <row r="35" spans="2:10" x14ac:dyDescent="0.25">
      <c r="B35" s="2">
        <v>65</v>
      </c>
      <c r="C35" s="2">
        <f t="shared" si="0"/>
        <v>25</v>
      </c>
      <c r="D35" s="2">
        <f t="shared" si="1"/>
        <v>-25</v>
      </c>
      <c r="F35" s="2">
        <f t="shared" si="2"/>
        <v>21</v>
      </c>
      <c r="G35" s="2">
        <f t="shared" si="3"/>
        <v>-21</v>
      </c>
      <c r="I35" s="2">
        <f t="shared" si="4"/>
        <v>-2</v>
      </c>
      <c r="J35" s="2">
        <f t="shared" si="5"/>
        <v>2</v>
      </c>
    </row>
    <row r="36" spans="2:10" x14ac:dyDescent="0.25">
      <c r="B36" s="2">
        <v>70</v>
      </c>
      <c r="C36" s="2">
        <f t="shared" si="0"/>
        <v>30</v>
      </c>
      <c r="D36" s="2">
        <f t="shared" si="1"/>
        <v>-30</v>
      </c>
      <c r="F36" s="2">
        <f t="shared" si="2"/>
        <v>26</v>
      </c>
      <c r="G36" s="2">
        <f t="shared" si="3"/>
        <v>-26</v>
      </c>
      <c r="I36" s="2">
        <f t="shared" si="4"/>
        <v>-2</v>
      </c>
      <c r="J36" s="2">
        <f t="shared" si="5"/>
        <v>2</v>
      </c>
    </row>
    <row r="37" spans="2:10" x14ac:dyDescent="0.25">
      <c r="B37" s="2">
        <v>75</v>
      </c>
      <c r="C37" s="2">
        <f t="shared" si="0"/>
        <v>35</v>
      </c>
      <c r="D37" s="2">
        <f t="shared" si="1"/>
        <v>-35</v>
      </c>
      <c r="F37" s="2">
        <f t="shared" si="2"/>
        <v>31</v>
      </c>
      <c r="G37" s="2">
        <f t="shared" si="3"/>
        <v>-31</v>
      </c>
      <c r="I37" s="2">
        <f t="shared" si="4"/>
        <v>-2</v>
      </c>
      <c r="J37" s="2">
        <f t="shared" si="5"/>
        <v>2</v>
      </c>
    </row>
    <row r="38" spans="2:10" x14ac:dyDescent="0.25">
      <c r="C38" s="2" t="str">
        <f ca="1">_xlfn.FORMULATEXT(C37)</f>
        <v>=B37-$B$2</v>
      </c>
      <c r="F38" s="2" t="str">
        <f ca="1">_xlfn.FORMULATEXT(F37)</f>
        <v>=MAX(B37-$B$8,0)-$B$9</v>
      </c>
      <c r="I38" s="2" t="str">
        <f ca="1">_xlfn.FORMULATEXT(I37)</f>
        <v>=MAX($B$13-B37,0)-$B$14</v>
      </c>
    </row>
    <row r="39" spans="2:10" x14ac:dyDescent="0.25">
      <c r="D39" s="2" t="str">
        <f ca="1">_xlfn.FORMULATEXT(D37)</f>
        <v>=$B$2-B37</v>
      </c>
      <c r="G39" s="2" t="str">
        <f ca="1">_xlfn.FORMULATEXT(G37)</f>
        <v>=-MAX(B37-$B$8,0)+$B$9</v>
      </c>
      <c r="J39" s="2" t="str">
        <f ca="1">_xlfn.FORMULATEXT(J37)</f>
        <v>=$B$14-MAX(0,$B$13-B37)</v>
      </c>
    </row>
  </sheetData>
  <mergeCells count="1">
    <mergeCell ref="A1:H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图表</vt:lpstr>
      </vt:variant>
      <vt:variant>
        <vt:i4>3</vt:i4>
      </vt:variant>
    </vt:vector>
  </HeadingPairs>
  <TitlesOfParts>
    <vt:vector size="4" baseType="lpstr">
      <vt:lpstr>Sheet1</vt:lpstr>
      <vt:lpstr>Chart1</vt:lpstr>
      <vt:lpstr>Chart2</vt:lpstr>
      <vt:lpstr>Chart4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2024-11-18T09:11:16Z</dcterms:modified>
</cp:coreProperties>
</file>