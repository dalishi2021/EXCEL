
<file path=[Content_Types].xml><?xml version="1.0" encoding="utf-8"?>
<Types xmlns="http://schemas.openxmlformats.org/package/2006/content-types"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/>
  <workbookPr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16\practice\"/>
    </mc:Choice>
  </mc:AlternateContent>
  <xr:revisionPtr revIDLastSave="0" documentId="13_ncr:1_{ADB79B1E-3183-406A-A999-39A059473F2B}" xr6:coauthVersionLast="47" xr6:coauthVersionMax="47" xr10:uidLastSave="{00000000-0000-0000-0000-000000000000}"/>
  <bookViews>
    <workbookView xWindow="-38520" yWindow="-120" windowWidth="38640" windowHeight="21120" xr2:uid="{EA6F33A8-FE0E-48B1-8C74-8B2321C6BA8B}"/>
  </bookViews>
  <sheets>
    <sheet name="Sheet1" sheetId="1" r:id="rId1"/>
  </sheets>
  <externalReferences>
    <externalReference r:id="rId2"/>
  </externalReferenc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9" i="1" l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8" i="1"/>
</calcChain>
</file>

<file path=xl/sharedStrings.xml><?xml version="1.0" encoding="utf-8"?>
<sst xmlns="http://schemas.openxmlformats.org/spreadsheetml/2006/main" count="7" uniqueCount="7">
  <si>
    <t xml:space="preserve">an arbitrage strategy is to sell two of the 50 puts and to buy a 40 and a 60 put.  This gives the </t>
  </si>
  <si>
    <t>following profit diagram:</t>
  </si>
  <si>
    <r>
      <t>S</t>
    </r>
    <r>
      <rPr>
        <b/>
        <vertAlign val="subscript"/>
        <sz val="10"/>
        <rFont val="Arial"/>
        <family val="2"/>
      </rPr>
      <t>T</t>
    </r>
  </si>
  <si>
    <t>Profit</t>
  </si>
  <si>
    <t>Note that the profit is positive, no matter what the stock price</t>
  </si>
  <si>
    <t>The prices violate the convexity arbitrage proposition, which says that 2*P(50)&lt;P(40)+P(60).  Thus</t>
    <phoneticPr fontId="1" type="noConversion"/>
  </si>
  <si>
    <t>at time T.  This is an arbitrage--it cannot be in equilibrium.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</si>
</sst>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10"/>
      <name val="Arial"/>
      <family val="2"/>
    </font>
    <font>
      <b/>
      <vertAlign val="subscript"/>
      <sz val="1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4">
    <xf numFmtId="0" fontId="0" fillId="0" borderId="0" xfId="0">
      <alignment vertical="center"/>
    </xf>
    <xf numFmtId="0" fontId="0" fillId="0" borderId="0" xfId="0" applyAlignment="1"/>
    <xf numFmtId="0" fontId="2" fillId="0" borderId="0" xfId="0" applyFont="1" applyAlignment="1">
      <alignment horizontal="center"/>
    </xf>
    <xf numFmtId="0" fontId="0" fillId="0" borderId="0" xfId="0" applyAlignment="1">
      <alignment horizontal="center"/>
    </xf>
  </cellXfs>
  <cellStyles count="1">
    <cellStyle name="常规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altLang="zh-CN"/>
              <a:t>Profit Diagram for Strategy</a:t>
            </a:r>
          </a:p>
        </c:rich>
      </c:tx>
      <c:layout>
        <c:manualLayout>
          <c:xMode val="edge"/>
          <c:yMode val="edge"/>
          <c:x val="0.30206000282689621"/>
          <c:y val="4.395620119405761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6018333483244498"/>
          <c:y val="0.2527481568658313"/>
          <c:w val="0.71853667339125316"/>
          <c:h val="0.47252916283611929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'[1]Exercise 8'!$A$8:$A$28</c:f>
              <c:numCache>
                <c:formatCode>General</c:formatCode>
                <c:ptCount val="21"/>
                <c:pt idx="0">
                  <c:v>30</c:v>
                </c:pt>
                <c:pt idx="1">
                  <c:v>32</c:v>
                </c:pt>
                <c:pt idx="2">
                  <c:v>34</c:v>
                </c:pt>
                <c:pt idx="3">
                  <c:v>36</c:v>
                </c:pt>
                <c:pt idx="4">
                  <c:v>38</c:v>
                </c:pt>
                <c:pt idx="5">
                  <c:v>40</c:v>
                </c:pt>
                <c:pt idx="6">
                  <c:v>42</c:v>
                </c:pt>
                <c:pt idx="7">
                  <c:v>44</c:v>
                </c:pt>
                <c:pt idx="8">
                  <c:v>46</c:v>
                </c:pt>
                <c:pt idx="9">
                  <c:v>48</c:v>
                </c:pt>
                <c:pt idx="10">
                  <c:v>50</c:v>
                </c:pt>
                <c:pt idx="11">
                  <c:v>52</c:v>
                </c:pt>
                <c:pt idx="12">
                  <c:v>54</c:v>
                </c:pt>
                <c:pt idx="13">
                  <c:v>56</c:v>
                </c:pt>
                <c:pt idx="14">
                  <c:v>58</c:v>
                </c:pt>
                <c:pt idx="15">
                  <c:v>60</c:v>
                </c:pt>
                <c:pt idx="16">
                  <c:v>62</c:v>
                </c:pt>
                <c:pt idx="17">
                  <c:v>64</c:v>
                </c:pt>
                <c:pt idx="18">
                  <c:v>66</c:v>
                </c:pt>
                <c:pt idx="19">
                  <c:v>68</c:v>
                </c:pt>
                <c:pt idx="20">
                  <c:v>70</c:v>
                </c:pt>
              </c:numCache>
            </c:numRef>
          </c:xVal>
          <c:yVal>
            <c:numRef>
              <c:f>'[1]Exercise 8'!$B$8:$B$28</c:f>
              <c:numCache>
                <c:formatCode>General</c:formatCode>
                <c:ptCount val="21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3</c:v>
                </c:pt>
                <c:pt idx="7">
                  <c:v>5</c:v>
                </c:pt>
                <c:pt idx="8">
                  <c:v>7</c:v>
                </c:pt>
                <c:pt idx="9">
                  <c:v>9</c:v>
                </c:pt>
                <c:pt idx="10">
                  <c:v>11</c:v>
                </c:pt>
                <c:pt idx="11">
                  <c:v>9</c:v>
                </c:pt>
                <c:pt idx="12">
                  <c:v>7</c:v>
                </c:pt>
                <c:pt idx="13">
                  <c:v>5</c:v>
                </c:pt>
                <c:pt idx="14">
                  <c:v>3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FCB-457E-873F-56422C08CA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2281568"/>
        <c:axId val="1"/>
      </c:scatterChart>
      <c:valAx>
        <c:axId val="982281568"/>
        <c:scaling>
          <c:orientation val="minMax"/>
          <c:min val="30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zh-CN" altLang="en-US" sz="800" b="1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Stock price at time T, S</a:t>
                </a:r>
                <a:r>
                  <a:rPr lang="zh-CN" altLang="en-US" sz="800" b="1" i="0" u="none" strike="noStrike" baseline="-25000">
                    <a:solidFill>
                      <a:srgbClr val="000000"/>
                    </a:solidFill>
                    <a:latin typeface="Arial"/>
                    <a:cs typeface="Arial"/>
                  </a:rPr>
                  <a:t>T</a:t>
                </a:r>
              </a:p>
            </c:rich>
          </c:tx>
          <c:layout>
            <c:manualLayout>
              <c:xMode val="edge"/>
              <c:yMode val="edge"/>
              <c:x val="0.36842167011462346"/>
              <c:y val="0.8388308394532660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altLang="zh-CN"/>
                  <a:t>Profit</a:t>
                </a:r>
              </a:p>
            </c:rich>
          </c:tx>
          <c:layout>
            <c:manualLayout>
              <c:xMode val="edge"/>
              <c:yMode val="edge"/>
              <c:x val="5.4920000513981125E-2"/>
              <c:y val="0.4249099448758902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982281568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198120</xdr:colOff>
      <xdr:row>3</xdr:row>
      <xdr:rowOff>91440</xdr:rowOff>
    </xdr:from>
    <xdr:to>
      <xdr:col>9</xdr:col>
      <xdr:colOff>91440</xdr:colOff>
      <xdr:row>18</xdr:row>
      <xdr:rowOff>91440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64D7C684-9602-41EA-9ED1-BFEE5E248BA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11</xdr:col>
      <xdr:colOff>301515</xdr:colOff>
      <xdr:row>3</xdr:row>
      <xdr:rowOff>161926</xdr:rowOff>
    </xdr:from>
    <xdr:to>
      <xdr:col>21</xdr:col>
      <xdr:colOff>314850</xdr:colOff>
      <xdr:row>33</xdr:row>
      <xdr:rowOff>57151</xdr:rowOff>
    </xdr:to>
    <xdr:pic>
      <xdr:nvPicPr>
        <xdr:cNvPr id="3" name="图片 2">
          <a:extLst>
            <a:ext uri="{FF2B5EF4-FFF2-40B4-BE49-F238E27FC236}">
              <a16:creationId xmlns:a16="http://schemas.microsoft.com/office/drawing/2014/main" id="{891CFCF1-AFA7-4E41-7AC0-615D882F71A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7021567" y="674305"/>
          <a:ext cx="6118663" cy="5045294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lizhengdong\&#20132;&#26131;&#26694;&#26550;\5_&#24037;&#20855;&#31665;\_&#20070;&#24211;\&#32534;&#31243;\EXCEL\&#36130;&#21153;&#37329;&#34701;&#24314;&#27169;&#31532;&#19977;&#29256;&#65288;&#29992;ECCEL&#24037;&#20855;&#65289;\Exercise%20files\fm3_problems16.xls" TargetMode="External"/><Relationship Id="rId1" Type="http://schemas.openxmlformats.org/officeDocument/2006/relationships/externalLinkPath" Target="/lizhengdong/&#20132;&#26131;&#26694;&#26550;/5_&#24037;&#20855;&#31665;/_&#20070;&#24211;/&#32534;&#31243;/EXCEL/&#36130;&#21153;&#37329;&#34701;&#24314;&#27169;&#31532;&#19977;&#29256;&#65288;&#29992;ECCEL&#24037;&#20855;&#65289;/Exercise%20files/fm3_problems16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Exercise 1"/>
      <sheetName val="Exercise 1 中文"/>
      <sheetName val="Exercise 2"/>
      <sheetName val="Exercise 2 中文"/>
      <sheetName val="Exercise 3"/>
      <sheetName val="Exercise 3 中文"/>
      <sheetName val="Exercise 4"/>
      <sheetName val="Exercise 4 中文"/>
      <sheetName val="Exercise 5"/>
      <sheetName val="Exercise 5 中文"/>
      <sheetName val="Exercise 6"/>
      <sheetName val="Exercise 6中文"/>
      <sheetName val="Exercise 7"/>
      <sheetName val="Exercise 7中文"/>
      <sheetName val="Exercise 8"/>
      <sheetName val="Exercise 8 中文"/>
      <sheetName val="Exercise 9"/>
      <sheetName val="Exercise 9 中文"/>
      <sheetName val="Exercise 10"/>
      <sheetName val="Exercise 10 中文"/>
      <sheetName val="Exercise 11"/>
      <sheetName val="Exercise 11 中文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>
        <row r="8">
          <cell r="A8">
            <v>30</v>
          </cell>
          <cell r="B8">
            <v>1</v>
          </cell>
        </row>
        <row r="9">
          <cell r="A9">
            <v>32</v>
          </cell>
          <cell r="B9">
            <v>1</v>
          </cell>
        </row>
        <row r="10">
          <cell r="A10">
            <v>34</v>
          </cell>
          <cell r="B10">
            <v>1</v>
          </cell>
        </row>
        <row r="11">
          <cell r="A11">
            <v>36</v>
          </cell>
          <cell r="B11">
            <v>1</v>
          </cell>
        </row>
        <row r="12">
          <cell r="A12">
            <v>38</v>
          </cell>
          <cell r="B12">
            <v>1</v>
          </cell>
        </row>
        <row r="13">
          <cell r="A13">
            <v>40</v>
          </cell>
          <cell r="B13">
            <v>1</v>
          </cell>
        </row>
        <row r="14">
          <cell r="A14">
            <v>42</v>
          </cell>
          <cell r="B14">
            <v>3</v>
          </cell>
        </row>
        <row r="15">
          <cell r="A15">
            <v>44</v>
          </cell>
          <cell r="B15">
            <v>5</v>
          </cell>
        </row>
        <row r="16">
          <cell r="A16">
            <v>46</v>
          </cell>
          <cell r="B16">
            <v>7</v>
          </cell>
        </row>
        <row r="17">
          <cell r="A17">
            <v>48</v>
          </cell>
          <cell r="B17">
            <v>9</v>
          </cell>
        </row>
        <row r="18">
          <cell r="A18">
            <v>50</v>
          </cell>
          <cell r="B18">
            <v>11</v>
          </cell>
        </row>
        <row r="19">
          <cell r="A19">
            <v>52</v>
          </cell>
          <cell r="B19">
            <v>9</v>
          </cell>
        </row>
        <row r="20">
          <cell r="A20">
            <v>54</v>
          </cell>
          <cell r="B20">
            <v>7</v>
          </cell>
        </row>
        <row r="21">
          <cell r="A21">
            <v>56</v>
          </cell>
          <cell r="B21">
            <v>5</v>
          </cell>
        </row>
        <row r="22">
          <cell r="A22">
            <v>58</v>
          </cell>
          <cell r="B22">
            <v>3</v>
          </cell>
        </row>
        <row r="23">
          <cell r="A23">
            <v>60</v>
          </cell>
          <cell r="B23">
            <v>1</v>
          </cell>
        </row>
        <row r="24">
          <cell r="A24">
            <v>62</v>
          </cell>
          <cell r="B24">
            <v>1</v>
          </cell>
        </row>
        <row r="25">
          <cell r="A25">
            <v>64</v>
          </cell>
          <cell r="B25">
            <v>1</v>
          </cell>
        </row>
        <row r="26">
          <cell r="A26">
            <v>66</v>
          </cell>
          <cell r="B26">
            <v>1</v>
          </cell>
        </row>
        <row r="27">
          <cell r="A27">
            <v>68</v>
          </cell>
          <cell r="B27">
            <v>1</v>
          </cell>
        </row>
        <row r="28">
          <cell r="A28">
            <v>70</v>
          </cell>
          <cell r="B28">
            <v>1</v>
          </cell>
        </row>
      </sheetData>
      <sheetData sheetId="15"/>
      <sheetData sheetId="16"/>
      <sheetData sheetId="17"/>
      <sheetData sheetId="18"/>
      <sheetData sheetId="19"/>
      <sheetData sheetId="20"/>
      <sheetData sheetId="21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dimension ref="A2:J28"/>
  <sheetViews>
    <sheetView tabSelected="1" zoomScale="145" zoomScaleNormal="145" workbookViewId="0">
      <selection activeCell="H26" sqref="H26"/>
    </sheetView>
  </sheetViews>
  <sheetFormatPr defaultRowHeight="13.8" x14ac:dyDescent="0.25"/>
  <cols>
    <col min="1" max="10" width="8.88671875" style="1"/>
  </cols>
  <sheetData>
    <row r="2" spans="1:2" x14ac:dyDescent="0.25">
      <c r="A2" s="1" t="s">
        <v>5</v>
      </c>
    </row>
    <row r="3" spans="1:2" x14ac:dyDescent="0.25">
      <c r="A3" s="1" t="s">
        <v>0</v>
      </c>
    </row>
    <row r="4" spans="1:2" x14ac:dyDescent="0.25">
      <c r="A4" s="1" t="s">
        <v>1</v>
      </c>
    </row>
    <row r="7" spans="1:2" ht="15.6" x14ac:dyDescent="0.35">
      <c r="A7" s="2" t="s">
        <v>2</v>
      </c>
      <c r="B7" s="2" t="s">
        <v>3</v>
      </c>
    </row>
    <row r="8" spans="1:2" x14ac:dyDescent="0.25">
      <c r="A8" s="3">
        <v>30</v>
      </c>
      <c r="B8" s="3">
        <f>(MAX(0,40-A8))-2*(MAX(0,50-A8))+MAX(0,60-A8)+4*2-6-1</f>
        <v>1</v>
      </c>
    </row>
    <row r="9" spans="1:2" x14ac:dyDescent="0.25">
      <c r="A9" s="3">
        <v>32</v>
      </c>
      <c r="B9" s="3">
        <f t="shared" ref="B9:B28" si="0">(MAX(0,40-A9))-2*(MAX(0,50-A9))+MAX(0,60-A9)+4*2-6-1</f>
        <v>1</v>
      </c>
    </row>
    <row r="10" spans="1:2" x14ac:dyDescent="0.25">
      <c r="A10" s="3">
        <v>34</v>
      </c>
      <c r="B10" s="3">
        <f t="shared" si="0"/>
        <v>1</v>
      </c>
    </row>
    <row r="11" spans="1:2" x14ac:dyDescent="0.25">
      <c r="A11" s="3">
        <v>36</v>
      </c>
      <c r="B11" s="3">
        <f t="shared" si="0"/>
        <v>1</v>
      </c>
    </row>
    <row r="12" spans="1:2" x14ac:dyDescent="0.25">
      <c r="A12" s="3">
        <v>38</v>
      </c>
      <c r="B12" s="3">
        <f t="shared" si="0"/>
        <v>1</v>
      </c>
    </row>
    <row r="13" spans="1:2" x14ac:dyDescent="0.25">
      <c r="A13" s="3">
        <v>40</v>
      </c>
      <c r="B13" s="3">
        <f t="shared" si="0"/>
        <v>1</v>
      </c>
    </row>
    <row r="14" spans="1:2" x14ac:dyDescent="0.25">
      <c r="A14" s="3">
        <v>42</v>
      </c>
      <c r="B14" s="3">
        <f t="shared" si="0"/>
        <v>3</v>
      </c>
    </row>
    <row r="15" spans="1:2" x14ac:dyDescent="0.25">
      <c r="A15" s="3">
        <v>44</v>
      </c>
      <c r="B15" s="3">
        <f t="shared" si="0"/>
        <v>5</v>
      </c>
    </row>
    <row r="16" spans="1:2" x14ac:dyDescent="0.25">
      <c r="A16" s="3">
        <v>46</v>
      </c>
      <c r="B16" s="3">
        <f t="shared" si="0"/>
        <v>7</v>
      </c>
    </row>
    <row r="17" spans="1:3" x14ac:dyDescent="0.25">
      <c r="A17" s="3">
        <v>48</v>
      </c>
      <c r="B17" s="3">
        <f t="shared" si="0"/>
        <v>9</v>
      </c>
    </row>
    <row r="18" spans="1:3" x14ac:dyDescent="0.25">
      <c r="A18" s="3">
        <v>50</v>
      </c>
      <c r="B18" s="3">
        <f t="shared" si="0"/>
        <v>11</v>
      </c>
    </row>
    <row r="19" spans="1:3" x14ac:dyDescent="0.25">
      <c r="A19" s="3">
        <v>52</v>
      </c>
      <c r="B19" s="3">
        <f t="shared" si="0"/>
        <v>9</v>
      </c>
    </row>
    <row r="20" spans="1:3" x14ac:dyDescent="0.25">
      <c r="A20" s="3">
        <v>54</v>
      </c>
      <c r="B20" s="3">
        <f t="shared" si="0"/>
        <v>7</v>
      </c>
      <c r="C20" s="1" t="s">
        <v>4</v>
      </c>
    </row>
    <row r="21" spans="1:3" x14ac:dyDescent="0.25">
      <c r="A21" s="3">
        <v>56</v>
      </c>
      <c r="B21" s="3">
        <f t="shared" si="0"/>
        <v>5</v>
      </c>
      <c r="C21" s="1" t="s">
        <v>6</v>
      </c>
    </row>
    <row r="22" spans="1:3" x14ac:dyDescent="0.25">
      <c r="A22" s="3">
        <v>58</v>
      </c>
      <c r="B22" s="3">
        <f t="shared" si="0"/>
        <v>3</v>
      </c>
    </row>
    <row r="23" spans="1:3" x14ac:dyDescent="0.25">
      <c r="A23" s="3">
        <v>60</v>
      </c>
      <c r="B23" s="3">
        <f t="shared" si="0"/>
        <v>1</v>
      </c>
    </row>
    <row r="24" spans="1:3" x14ac:dyDescent="0.25">
      <c r="A24" s="3">
        <v>62</v>
      </c>
      <c r="B24" s="3">
        <f t="shared" si="0"/>
        <v>1</v>
      </c>
    </row>
    <row r="25" spans="1:3" x14ac:dyDescent="0.25">
      <c r="A25" s="3">
        <v>64</v>
      </c>
      <c r="B25" s="3">
        <f t="shared" si="0"/>
        <v>1</v>
      </c>
    </row>
    <row r="26" spans="1:3" x14ac:dyDescent="0.25">
      <c r="A26" s="3">
        <v>66</v>
      </c>
      <c r="B26" s="3">
        <f t="shared" si="0"/>
        <v>1</v>
      </c>
    </row>
    <row r="27" spans="1:3" x14ac:dyDescent="0.25">
      <c r="A27" s="3">
        <v>68</v>
      </c>
      <c r="B27" s="3">
        <f t="shared" si="0"/>
        <v>1</v>
      </c>
    </row>
    <row r="28" spans="1:3" x14ac:dyDescent="0.25">
      <c r="A28" s="3">
        <v>70</v>
      </c>
      <c r="B28" s="3">
        <f t="shared" si="0"/>
        <v>1</v>
      </c>
    </row>
  </sheetData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2024-11-19T08:11:17Z</dcterms:modified>
</cp:coreProperties>
</file>