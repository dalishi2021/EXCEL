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9D91FFEA-A738-45E9-8670-53155E0B905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8" i="1" l="1"/>
  <c r="C78" i="1"/>
  <c r="D78" i="1"/>
  <c r="B79" i="1"/>
  <c r="C79" i="1"/>
  <c r="D79" i="1"/>
  <c r="B80" i="1"/>
  <c r="C80" i="1"/>
  <c r="D80" i="1"/>
  <c r="B81" i="1"/>
  <c r="C81" i="1"/>
  <c r="D81" i="1"/>
  <c r="B82" i="1"/>
  <c r="C82" i="1"/>
  <c r="D82" i="1"/>
  <c r="B83" i="1"/>
  <c r="C83" i="1"/>
  <c r="D83" i="1"/>
  <c r="B84" i="1"/>
  <c r="C84" i="1"/>
  <c r="D84" i="1"/>
  <c r="B85" i="1"/>
  <c r="C85" i="1"/>
  <c r="D85" i="1"/>
  <c r="B86" i="1"/>
  <c r="C86" i="1"/>
  <c r="D86" i="1"/>
  <c r="B87" i="1"/>
  <c r="C87" i="1"/>
  <c r="D87" i="1"/>
  <c r="D77" i="1"/>
  <c r="C77" i="1"/>
  <c r="B77" i="1"/>
  <c r="B64" i="1"/>
  <c r="B65" i="1"/>
  <c r="B66" i="1"/>
  <c r="B67" i="1"/>
  <c r="B68" i="1"/>
  <c r="B69" i="1"/>
  <c r="B70" i="1"/>
  <c r="B71" i="1"/>
  <c r="B72" i="1"/>
  <c r="B73" i="1"/>
  <c r="B63" i="1"/>
  <c r="B50" i="1"/>
  <c r="B51" i="1"/>
  <c r="B52" i="1"/>
  <c r="B53" i="1"/>
  <c r="B54" i="1"/>
  <c r="B55" i="1"/>
  <c r="B56" i="1"/>
  <c r="B57" i="1"/>
  <c r="B58" i="1"/>
  <c r="B59" i="1"/>
  <c r="B49" i="1"/>
  <c r="B31" i="1"/>
  <c r="B32" i="1"/>
  <c r="B33" i="1"/>
  <c r="B34" i="1"/>
  <c r="B35" i="1"/>
  <c r="B36" i="1"/>
  <c r="B37" i="1"/>
  <c r="B38" i="1"/>
  <c r="B39" i="1"/>
  <c r="B40" i="1"/>
  <c r="B30" i="1"/>
  <c r="B9" i="1"/>
  <c r="B10" i="1"/>
  <c r="B11" i="1"/>
  <c r="B12" i="1"/>
  <c r="B13" i="1"/>
  <c r="B14" i="1"/>
  <c r="B15" i="1"/>
  <c r="B16" i="1"/>
  <c r="B17" i="1"/>
  <c r="B18" i="1"/>
  <c r="B8" i="1"/>
</calcChain>
</file>

<file path=xl/sharedStrings.xml><?xml version="1.0" encoding="utf-8"?>
<sst xmlns="http://schemas.openxmlformats.org/spreadsheetml/2006/main" count="31" uniqueCount="20">
  <si>
    <t>6a</t>
  </si>
  <si>
    <t>buy 1 share</t>
  </si>
  <si>
    <r>
      <t>S</t>
    </r>
    <r>
      <rPr>
        <vertAlign val="subscript"/>
        <sz val="10"/>
        <rFont val="Arial"/>
        <family val="2"/>
      </rPr>
      <t>T</t>
    </r>
  </si>
  <si>
    <t>buy 1 call</t>
  </si>
  <si>
    <r>
      <t>Max(0,S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-90)-8</t>
    </r>
  </si>
  <si>
    <t>Profit</t>
  </si>
  <si>
    <t>6b</t>
  </si>
  <si>
    <t>buy 2 call</t>
  </si>
  <si>
    <r>
      <t>2*(Max(0,S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-90)-8)</t>
    </r>
  </si>
  <si>
    <t>6c</t>
  </si>
  <si>
    <t>For 1 share + 1 Call</t>
  </si>
  <si>
    <t>For 1 share + 2 Calls</t>
  </si>
  <si>
    <t>For 1 share + 3 Calls</t>
  </si>
  <si>
    <t>As shown on the graph, the profit lines cross at 98.</t>
  </si>
  <si>
    <r>
      <t>S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</si>
  <si>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t>X</t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</si>
  <si>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</si>
  <si>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t>1 calls</t>
    <phoneticPr fontId="1" type="noConversion"/>
  </si>
  <si>
    <t>3 calls</t>
    <phoneticPr fontId="1" type="noConversion"/>
  </si>
  <si>
    <t>2 calls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</si>
</sst>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vertAlign val="subscript"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/>
    <xf numFmtId="0" fontId="0" fillId="0" borderId="0" xfId="0" applyAlignment="1"/>
    <xf numFmtId="0" fontId="0" fillId="0" borderId="0" xfId="0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Profit for 1 Share + 1 Call</a:t>
            </a:r>
          </a:p>
        </c:rich>
      </c:tx>
      <c:layout>
        <c:manualLayout>
          <c:xMode val="edge"/>
          <c:yMode val="edge"/>
          <c:x val="0.26436855796672382"/>
          <c:y val="4.52831648834362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574784411998286"/>
          <c:y val="0.27169898930061775"/>
          <c:w val="0.62069139696535158"/>
          <c:h val="0.464152440055221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Sheet1!$B$7</c:f>
              <c:strCache>
                <c:ptCount val="1"/>
                <c:pt idx="0">
                  <c:v>Profit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Sheet1!$A$8:$A$18</c:f>
              <c:numCache>
                <c:formatCode>General</c:formatCode>
                <c:ptCount val="1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</c:numCache>
            </c:numRef>
          </c:xVal>
          <c:yVal>
            <c:numRef>
              <c:f>Sheet1!$B$8:$B$18</c:f>
              <c:numCache>
                <c:formatCode>General</c:formatCode>
                <c:ptCount val="11"/>
                <c:pt idx="0">
                  <c:v>-23</c:v>
                </c:pt>
                <c:pt idx="1">
                  <c:v>-21</c:v>
                </c:pt>
                <c:pt idx="2">
                  <c:v>-19</c:v>
                </c:pt>
                <c:pt idx="3">
                  <c:v>-17</c:v>
                </c:pt>
                <c:pt idx="4">
                  <c:v>-15</c:v>
                </c:pt>
                <c:pt idx="5">
                  <c:v>-13</c:v>
                </c:pt>
                <c:pt idx="6">
                  <c:v>-9</c:v>
                </c:pt>
                <c:pt idx="7">
                  <c:v>-5</c:v>
                </c:pt>
                <c:pt idx="8">
                  <c:v>-1</c:v>
                </c:pt>
                <c:pt idx="9">
                  <c:v>3</c:v>
                </c:pt>
                <c:pt idx="1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0F-40BF-BA7C-D725E1F4D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152144"/>
        <c:axId val="1"/>
      </c:scatterChart>
      <c:valAx>
        <c:axId val="987152144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82471495800488837"/>
              <c:y val="0.50188841079141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0.11206928000763292"/>
              <c:y val="0.437737260539884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71521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Profit for 1 Share + 2 Calls</a:t>
            </a:r>
          </a:p>
        </c:rich>
      </c:tx>
      <c:layout>
        <c:manualLayout>
          <c:xMode val="edge"/>
          <c:yMode val="edge"/>
          <c:x val="0.25926052157316359"/>
          <c:y val="4.74311275459419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356248813199517"/>
          <c:y val="0.28458676527565147"/>
          <c:w val="0.61538761164619049"/>
          <c:h val="0.4426905237621244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6'!$A$28:$A$38</c:f>
              <c:numCache>
                <c:formatCode>General</c:formatCode>
                <c:ptCount val="1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</c:numCache>
            </c:numRef>
          </c:xVal>
          <c:yVal>
            <c:numRef>
              <c:f>'[1]Exercise 6'!$B$28:$B$38</c:f>
              <c:numCache>
                <c:formatCode>General</c:formatCode>
                <c:ptCount val="11"/>
                <c:pt idx="0">
                  <c:v>-31</c:v>
                </c:pt>
                <c:pt idx="1">
                  <c:v>-29</c:v>
                </c:pt>
                <c:pt idx="2">
                  <c:v>-27</c:v>
                </c:pt>
                <c:pt idx="3">
                  <c:v>-25</c:v>
                </c:pt>
                <c:pt idx="4">
                  <c:v>-23</c:v>
                </c:pt>
                <c:pt idx="5">
                  <c:v>-21</c:v>
                </c:pt>
                <c:pt idx="6">
                  <c:v>-15</c:v>
                </c:pt>
                <c:pt idx="7">
                  <c:v>-9</c:v>
                </c:pt>
                <c:pt idx="8">
                  <c:v>-3</c:v>
                </c:pt>
                <c:pt idx="9">
                  <c:v>3</c:v>
                </c:pt>
                <c:pt idx="1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A7-402D-8D9F-923B3CE1F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278688"/>
        <c:axId val="1"/>
      </c:scatterChart>
      <c:valAx>
        <c:axId val="982278688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Stock price at time T,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37322119039653223"/>
              <c:y val="0.770755822621555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0.11111165210278438"/>
              <c:y val="0.438737929799962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2278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Profit for 1 Share + N Calls</a:t>
            </a:r>
          </a:p>
        </c:rich>
      </c:tx>
      <c:layout>
        <c:manualLayout>
          <c:xMode val="edge"/>
          <c:yMode val="edge"/>
          <c:x val="0.29594272076372319"/>
          <c:y val="4.37958155536091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899761336515513"/>
          <c:y val="0.24452663684098444"/>
          <c:w val="0.73508353221957046"/>
          <c:h val="0.554746997012382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6'!$A$75:$A$85</c:f>
              <c:numCache>
                <c:formatCode>General</c:formatCode>
                <c:ptCount val="1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</c:numCache>
            </c:numRef>
          </c:xVal>
          <c:yVal>
            <c:numRef>
              <c:f>'[1]Exercise 6'!$B$75:$B$85</c:f>
              <c:numCache>
                <c:formatCode>General</c:formatCode>
                <c:ptCount val="11"/>
                <c:pt idx="0">
                  <c:v>-39</c:v>
                </c:pt>
                <c:pt idx="1">
                  <c:v>-37</c:v>
                </c:pt>
                <c:pt idx="2">
                  <c:v>-35</c:v>
                </c:pt>
                <c:pt idx="3">
                  <c:v>-33</c:v>
                </c:pt>
                <c:pt idx="4">
                  <c:v>-31</c:v>
                </c:pt>
                <c:pt idx="5">
                  <c:v>-29</c:v>
                </c:pt>
                <c:pt idx="6">
                  <c:v>-21</c:v>
                </c:pt>
                <c:pt idx="7">
                  <c:v>-13</c:v>
                </c:pt>
                <c:pt idx="8">
                  <c:v>-5</c:v>
                </c:pt>
                <c:pt idx="9">
                  <c:v>3</c:v>
                </c:pt>
                <c:pt idx="1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9-4B5E-9230-07AB00F6706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'[1]Exercise 6'!$A$75:$A$85</c:f>
              <c:numCache>
                <c:formatCode>General</c:formatCode>
                <c:ptCount val="1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</c:numCache>
            </c:numRef>
          </c:xVal>
          <c:yVal>
            <c:numRef>
              <c:f>'[1]Exercise 6'!$C$75:$C$85</c:f>
              <c:numCache>
                <c:formatCode>General</c:formatCode>
                <c:ptCount val="11"/>
                <c:pt idx="0">
                  <c:v>-23</c:v>
                </c:pt>
                <c:pt idx="1">
                  <c:v>-21</c:v>
                </c:pt>
                <c:pt idx="2">
                  <c:v>-19</c:v>
                </c:pt>
                <c:pt idx="3">
                  <c:v>-17</c:v>
                </c:pt>
                <c:pt idx="4">
                  <c:v>-15</c:v>
                </c:pt>
                <c:pt idx="5">
                  <c:v>-13</c:v>
                </c:pt>
                <c:pt idx="6">
                  <c:v>-9</c:v>
                </c:pt>
                <c:pt idx="7">
                  <c:v>-5</c:v>
                </c:pt>
                <c:pt idx="8">
                  <c:v>-1</c:v>
                </c:pt>
                <c:pt idx="9">
                  <c:v>3</c:v>
                </c:pt>
                <c:pt idx="1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9-4B5E-9230-07AB00F6706F}"/>
            </c:ext>
          </c:extLst>
        </c:ser>
        <c:ser>
          <c:idx val="2"/>
          <c:order val="2"/>
          <c:spPr>
            <a:ln w="12700">
              <a:solidFill>
                <a:srgbClr val="00B05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dLbl>
              <c:idx val="9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zh-CN"/>
                </a:p>
              </c:txPr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16E9-4B5E-9230-07AB00F6706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'[1]Exercise 6'!$A$75:$A$85</c:f>
              <c:numCache>
                <c:formatCode>General</c:formatCode>
                <c:ptCount val="1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</c:numCache>
            </c:numRef>
          </c:xVal>
          <c:yVal>
            <c:numRef>
              <c:f>'[1]Exercise 6'!$D$75:$D$85</c:f>
              <c:numCache>
                <c:formatCode>General</c:formatCode>
                <c:ptCount val="11"/>
                <c:pt idx="0">
                  <c:v>-31</c:v>
                </c:pt>
                <c:pt idx="1">
                  <c:v>-29</c:v>
                </c:pt>
                <c:pt idx="2">
                  <c:v>-27</c:v>
                </c:pt>
                <c:pt idx="3">
                  <c:v>-25</c:v>
                </c:pt>
                <c:pt idx="4">
                  <c:v>-23</c:v>
                </c:pt>
                <c:pt idx="5">
                  <c:v>-21</c:v>
                </c:pt>
                <c:pt idx="6">
                  <c:v>-15</c:v>
                </c:pt>
                <c:pt idx="7">
                  <c:v>-9</c:v>
                </c:pt>
                <c:pt idx="8">
                  <c:v>-3</c:v>
                </c:pt>
                <c:pt idx="9">
                  <c:v>3</c:v>
                </c:pt>
                <c:pt idx="1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9-4B5E-9230-07AB00F67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283728"/>
        <c:axId val="1"/>
      </c:scatterChart>
      <c:valAx>
        <c:axId val="982283728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Stock price at time T,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38902147971360385"/>
              <c:y val="0.839419798110842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5.9665871121718374E-2"/>
              <c:y val="0.459856063312896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22837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4</xdr:row>
      <xdr:rowOff>91440</xdr:rowOff>
    </xdr:from>
    <xdr:to>
      <xdr:col>7</xdr:col>
      <xdr:colOff>434340</xdr:colOff>
      <xdr:row>20</xdr:row>
      <xdr:rowOff>15240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7E1CE39F-5A7D-4074-B908-319492D57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121920</xdr:colOff>
      <xdr:row>27</xdr:row>
      <xdr:rowOff>83820</xdr:rowOff>
    </xdr:from>
    <xdr:to>
      <xdr:col>7</xdr:col>
      <xdr:colOff>419100</xdr:colOff>
      <xdr:row>41</xdr:row>
      <xdr:rowOff>68580</xdr:rowOff>
    </xdr:to>
    <xdr:graphicFrame macro="">
      <xdr:nvGraphicFramePr>
        <xdr:cNvPr id="3" name="图表 3">
          <a:extLst>
            <a:ext uri="{FF2B5EF4-FFF2-40B4-BE49-F238E27FC236}">
              <a16:creationId xmlns:a16="http://schemas.microsoft.com/office/drawing/2014/main" id="{04738AA9-CAF2-4C63-BEBC-FB6886B84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320040</xdr:colOff>
      <xdr:row>75</xdr:row>
      <xdr:rowOff>15240</xdr:rowOff>
    </xdr:from>
    <xdr:to>
      <xdr:col>11</xdr:col>
      <xdr:colOff>45720</xdr:colOff>
      <xdr:row>90</xdr:row>
      <xdr:rowOff>30480</xdr:rowOff>
    </xdr:to>
    <xdr:graphicFrame macro="">
      <xdr:nvGraphicFramePr>
        <xdr:cNvPr id="4" name="图表 7">
          <a:extLst>
            <a:ext uri="{FF2B5EF4-FFF2-40B4-BE49-F238E27FC236}">
              <a16:creationId xmlns:a16="http://schemas.microsoft.com/office/drawing/2014/main" id="{42B7DBBC-BC4A-4C4E-901A-FB7EC4C97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68580</xdr:colOff>
      <xdr:row>4</xdr:row>
      <xdr:rowOff>45720</xdr:rowOff>
    </xdr:from>
    <xdr:to>
      <xdr:col>29</xdr:col>
      <xdr:colOff>323851</xdr:colOff>
      <xdr:row>94</xdr:row>
      <xdr:rowOff>93936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1F4856-8D8A-A6A1-B0EE-95B832FE9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8839200" y="617220"/>
          <a:ext cx="9997440" cy="160096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>
            <v>80</v>
          </cell>
          <cell r="B6">
            <v>-23</v>
          </cell>
        </row>
        <row r="7">
          <cell r="A7">
            <v>82</v>
          </cell>
          <cell r="B7">
            <v>-21</v>
          </cell>
        </row>
        <row r="8">
          <cell r="A8">
            <v>84</v>
          </cell>
          <cell r="B8">
            <v>-19</v>
          </cell>
        </row>
        <row r="9">
          <cell r="A9">
            <v>86</v>
          </cell>
          <cell r="B9">
            <v>-17</v>
          </cell>
        </row>
        <row r="10">
          <cell r="A10">
            <v>88</v>
          </cell>
          <cell r="B10">
            <v>-15</v>
          </cell>
        </row>
        <row r="11">
          <cell r="A11">
            <v>90</v>
          </cell>
          <cell r="B11">
            <v>-13</v>
          </cell>
        </row>
        <row r="12">
          <cell r="A12">
            <v>92</v>
          </cell>
          <cell r="B12">
            <v>-9</v>
          </cell>
        </row>
        <row r="13">
          <cell r="A13">
            <v>94</v>
          </cell>
          <cell r="B13">
            <v>-5</v>
          </cell>
        </row>
        <row r="14">
          <cell r="A14">
            <v>96</v>
          </cell>
          <cell r="B14">
            <v>-1</v>
          </cell>
        </row>
        <row r="15">
          <cell r="A15">
            <v>98</v>
          </cell>
          <cell r="B15">
            <v>3</v>
          </cell>
        </row>
        <row r="16">
          <cell r="A16">
            <v>100</v>
          </cell>
          <cell r="B16">
            <v>7</v>
          </cell>
        </row>
        <row r="28">
          <cell r="A28">
            <v>80</v>
          </cell>
          <cell r="B28">
            <v>-31</v>
          </cell>
        </row>
        <row r="29">
          <cell r="A29">
            <v>82</v>
          </cell>
          <cell r="B29">
            <v>-29</v>
          </cell>
        </row>
        <row r="30">
          <cell r="A30">
            <v>84</v>
          </cell>
          <cell r="B30">
            <v>-27</v>
          </cell>
        </row>
        <row r="31">
          <cell r="A31">
            <v>86</v>
          </cell>
          <cell r="B31">
            <v>-25</v>
          </cell>
        </row>
        <row r="32">
          <cell r="A32">
            <v>88</v>
          </cell>
          <cell r="B32">
            <v>-23</v>
          </cell>
        </row>
        <row r="33">
          <cell r="A33">
            <v>90</v>
          </cell>
          <cell r="B33">
            <v>-21</v>
          </cell>
        </row>
        <row r="34">
          <cell r="A34">
            <v>92</v>
          </cell>
          <cell r="B34">
            <v>-15</v>
          </cell>
        </row>
        <row r="35">
          <cell r="A35">
            <v>94</v>
          </cell>
          <cell r="B35">
            <v>-9</v>
          </cell>
        </row>
        <row r="36">
          <cell r="A36">
            <v>96</v>
          </cell>
          <cell r="B36">
            <v>-3</v>
          </cell>
        </row>
        <row r="37">
          <cell r="A37">
            <v>98</v>
          </cell>
          <cell r="B37">
            <v>3</v>
          </cell>
        </row>
        <row r="38">
          <cell r="A38">
            <v>100</v>
          </cell>
          <cell r="B38">
            <v>9</v>
          </cell>
        </row>
        <row r="75">
          <cell r="A75">
            <v>80</v>
          </cell>
          <cell r="B75">
            <v>-39</v>
          </cell>
          <cell r="C75">
            <v>-23</v>
          </cell>
          <cell r="D75">
            <v>-31</v>
          </cell>
        </row>
        <row r="76">
          <cell r="A76">
            <v>82</v>
          </cell>
          <cell r="B76">
            <v>-37</v>
          </cell>
          <cell r="C76">
            <v>-21</v>
          </cell>
          <cell r="D76">
            <v>-29</v>
          </cell>
        </row>
        <row r="77">
          <cell r="A77">
            <v>84</v>
          </cell>
          <cell r="B77">
            <v>-35</v>
          </cell>
          <cell r="C77">
            <v>-19</v>
          </cell>
          <cell r="D77">
            <v>-27</v>
          </cell>
        </row>
        <row r="78">
          <cell r="A78">
            <v>86</v>
          </cell>
          <cell r="B78">
            <v>-33</v>
          </cell>
          <cell r="C78">
            <v>-17</v>
          </cell>
          <cell r="D78">
            <v>-25</v>
          </cell>
        </row>
        <row r="79">
          <cell r="A79">
            <v>88</v>
          </cell>
          <cell r="B79">
            <v>-31</v>
          </cell>
          <cell r="C79">
            <v>-15</v>
          </cell>
          <cell r="D79">
            <v>-23</v>
          </cell>
        </row>
        <row r="80">
          <cell r="A80">
            <v>90</v>
          </cell>
          <cell r="B80">
            <v>-29</v>
          </cell>
          <cell r="C80">
            <v>-13</v>
          </cell>
          <cell r="D80">
            <v>-21</v>
          </cell>
        </row>
        <row r="81">
          <cell r="A81">
            <v>92</v>
          </cell>
          <cell r="B81">
            <v>-21</v>
          </cell>
          <cell r="C81">
            <v>-9</v>
          </cell>
          <cell r="D81">
            <v>-15</v>
          </cell>
        </row>
        <row r="82">
          <cell r="A82">
            <v>94</v>
          </cell>
          <cell r="B82">
            <v>-13</v>
          </cell>
          <cell r="C82">
            <v>-5</v>
          </cell>
          <cell r="D82">
            <v>-9</v>
          </cell>
        </row>
        <row r="83">
          <cell r="A83">
            <v>96</v>
          </cell>
          <cell r="B83">
            <v>-5</v>
          </cell>
          <cell r="C83">
            <v>-1</v>
          </cell>
          <cell r="D83">
            <v>-3</v>
          </cell>
        </row>
        <row r="84">
          <cell r="A84">
            <v>98</v>
          </cell>
          <cell r="B84">
            <v>3</v>
          </cell>
          <cell r="C84">
            <v>3</v>
          </cell>
          <cell r="D84">
            <v>3</v>
          </cell>
        </row>
        <row r="85">
          <cell r="A85">
            <v>100</v>
          </cell>
          <cell r="B85">
            <v>11</v>
          </cell>
          <cell r="C85">
            <v>7</v>
          </cell>
          <cell r="D85">
            <v>9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92"/>
  <sheetViews>
    <sheetView tabSelected="1" topLeftCell="A48" zoomScale="145" zoomScaleNormal="145" workbookViewId="0">
      <selection activeCell="H69" sqref="H69"/>
    </sheetView>
  </sheetViews>
  <sheetFormatPr defaultRowHeight="13.8" x14ac:dyDescent="0.25"/>
  <cols>
    <col min="1" max="1" width="18.44140625" style="2" customWidth="1"/>
    <col min="2" max="2" width="15.109375" style="2" customWidth="1"/>
    <col min="3" max="15" width="8.88671875" style="2"/>
  </cols>
  <sheetData>
    <row r="1" spans="1:2" x14ac:dyDescent="0.25">
      <c r="A1" s="1" t="s">
        <v>0</v>
      </c>
    </row>
    <row r="2" spans="1:2" ht="15.6" x14ac:dyDescent="0.35">
      <c r="A2" s="2" t="s">
        <v>1</v>
      </c>
      <c r="B2" s="3" t="s">
        <v>2</v>
      </c>
    </row>
    <row r="3" spans="1:2" ht="15.6" x14ac:dyDescent="0.35">
      <c r="A3" s="2" t="s">
        <v>3</v>
      </c>
      <c r="B3" s="2" t="s">
        <v>4</v>
      </c>
    </row>
    <row r="4" spans="1:2" ht="16.2" x14ac:dyDescent="0.35">
      <c r="A4" s="2" t="s">
        <v>14</v>
      </c>
      <c r="B4" s="3">
        <v>95</v>
      </c>
    </row>
    <row r="5" spans="1:2" x14ac:dyDescent="0.25">
      <c r="A5" s="2" t="s">
        <v>15</v>
      </c>
      <c r="B5" s="3">
        <v>90</v>
      </c>
    </row>
    <row r="6" spans="1:2" ht="16.2" x14ac:dyDescent="0.35">
      <c r="A6" s="2" t="s">
        <v>16</v>
      </c>
      <c r="B6" s="3">
        <v>8</v>
      </c>
    </row>
    <row r="7" spans="1:2" ht="15.6" x14ac:dyDescent="0.35">
      <c r="A7" s="3" t="s">
        <v>2</v>
      </c>
      <c r="B7" s="3" t="s">
        <v>5</v>
      </c>
    </row>
    <row r="8" spans="1:2" x14ac:dyDescent="0.25">
      <c r="A8" s="3">
        <v>80</v>
      </c>
      <c r="B8" s="3">
        <f>$A8-$B$4+MAX($A8-$B$5,0)-$B$6</f>
        <v>-23</v>
      </c>
    </row>
    <row r="9" spans="1:2" x14ac:dyDescent="0.25">
      <c r="A9" s="3">
        <v>82</v>
      </c>
      <c r="B9" s="3">
        <f t="shared" ref="B9:B18" si="0">$A9-$B$4+MAX($A9-$B$5,0)-$B$6</f>
        <v>-21</v>
      </c>
    </row>
    <row r="10" spans="1:2" x14ac:dyDescent="0.25">
      <c r="A10" s="3">
        <v>84</v>
      </c>
      <c r="B10" s="3">
        <f t="shared" si="0"/>
        <v>-19</v>
      </c>
    </row>
    <row r="11" spans="1:2" x14ac:dyDescent="0.25">
      <c r="A11" s="3">
        <v>86</v>
      </c>
      <c r="B11" s="3">
        <f t="shared" si="0"/>
        <v>-17</v>
      </c>
    </row>
    <row r="12" spans="1:2" x14ac:dyDescent="0.25">
      <c r="A12" s="3">
        <v>88</v>
      </c>
      <c r="B12" s="3">
        <f t="shared" si="0"/>
        <v>-15</v>
      </c>
    </row>
    <row r="13" spans="1:2" x14ac:dyDescent="0.25">
      <c r="A13" s="3">
        <v>90</v>
      </c>
      <c r="B13" s="3">
        <f t="shared" si="0"/>
        <v>-13</v>
      </c>
    </row>
    <row r="14" spans="1:2" x14ac:dyDescent="0.25">
      <c r="A14" s="3">
        <v>92</v>
      </c>
      <c r="B14" s="3">
        <f t="shared" si="0"/>
        <v>-9</v>
      </c>
    </row>
    <row r="15" spans="1:2" x14ac:dyDescent="0.25">
      <c r="A15" s="3">
        <v>94</v>
      </c>
      <c r="B15" s="3">
        <f t="shared" si="0"/>
        <v>-5</v>
      </c>
    </row>
    <row r="16" spans="1:2" x14ac:dyDescent="0.25">
      <c r="A16" s="3">
        <v>96</v>
      </c>
      <c r="B16" s="3">
        <f t="shared" si="0"/>
        <v>-1</v>
      </c>
    </row>
    <row r="17" spans="1:2" x14ac:dyDescent="0.25">
      <c r="A17" s="3">
        <v>98</v>
      </c>
      <c r="B17" s="3">
        <f t="shared" si="0"/>
        <v>3</v>
      </c>
    </row>
    <row r="18" spans="1:2" x14ac:dyDescent="0.25">
      <c r="A18" s="3">
        <v>100</v>
      </c>
      <c r="B18" s="3">
        <f t="shared" si="0"/>
        <v>7</v>
      </c>
    </row>
    <row r="25" spans="1:2" x14ac:dyDescent="0.25">
      <c r="A25" s="1" t="s">
        <v>6</v>
      </c>
    </row>
    <row r="26" spans="1:2" ht="15.6" x14ac:dyDescent="0.35">
      <c r="A26" s="2" t="s">
        <v>1</v>
      </c>
      <c r="B26" s="3" t="s">
        <v>2</v>
      </c>
    </row>
    <row r="27" spans="1:2" ht="15.6" x14ac:dyDescent="0.35">
      <c r="A27" s="2" t="s">
        <v>7</v>
      </c>
      <c r="B27" s="2" t="s">
        <v>8</v>
      </c>
    </row>
    <row r="29" spans="1:2" ht="15.6" x14ac:dyDescent="0.35">
      <c r="A29" s="3" t="s">
        <v>2</v>
      </c>
      <c r="B29" s="2" t="s">
        <v>5</v>
      </c>
    </row>
    <row r="30" spans="1:2" x14ac:dyDescent="0.25">
      <c r="A30" s="3">
        <v>80</v>
      </c>
      <c r="B30" s="3">
        <f>$A30-$B$4+2*(MAX($A30-$B$5,0)-$B$6)</f>
        <v>-31</v>
      </c>
    </row>
    <row r="31" spans="1:2" x14ac:dyDescent="0.25">
      <c r="A31" s="3">
        <v>82</v>
      </c>
      <c r="B31" s="3">
        <f t="shared" ref="B31:B40" si="1">$A31-$B$4+2*(MAX($A31-$B$5,0)-$B$6)</f>
        <v>-29</v>
      </c>
    </row>
    <row r="32" spans="1:2" x14ac:dyDescent="0.25">
      <c r="A32" s="3">
        <v>84</v>
      </c>
      <c r="B32" s="3">
        <f t="shared" si="1"/>
        <v>-27</v>
      </c>
    </row>
    <row r="33" spans="1:2" x14ac:dyDescent="0.25">
      <c r="A33" s="3">
        <v>86</v>
      </c>
      <c r="B33" s="3">
        <f t="shared" si="1"/>
        <v>-25</v>
      </c>
    </row>
    <row r="34" spans="1:2" x14ac:dyDescent="0.25">
      <c r="A34" s="3">
        <v>88</v>
      </c>
      <c r="B34" s="3">
        <f t="shared" si="1"/>
        <v>-23</v>
      </c>
    </row>
    <row r="35" spans="1:2" x14ac:dyDescent="0.25">
      <c r="A35" s="3">
        <v>90</v>
      </c>
      <c r="B35" s="3">
        <f t="shared" si="1"/>
        <v>-21</v>
      </c>
    </row>
    <row r="36" spans="1:2" x14ac:dyDescent="0.25">
      <c r="A36" s="3">
        <v>92</v>
      </c>
      <c r="B36" s="3">
        <f t="shared" si="1"/>
        <v>-15</v>
      </c>
    </row>
    <row r="37" spans="1:2" x14ac:dyDescent="0.25">
      <c r="A37" s="3">
        <v>94</v>
      </c>
      <c r="B37" s="3">
        <f t="shared" si="1"/>
        <v>-9</v>
      </c>
    </row>
    <row r="38" spans="1:2" x14ac:dyDescent="0.25">
      <c r="A38" s="3">
        <v>96</v>
      </c>
      <c r="B38" s="3">
        <f t="shared" si="1"/>
        <v>-3</v>
      </c>
    </row>
    <row r="39" spans="1:2" x14ac:dyDescent="0.25">
      <c r="A39" s="3">
        <v>98</v>
      </c>
      <c r="B39" s="3">
        <f t="shared" si="1"/>
        <v>3</v>
      </c>
    </row>
    <row r="40" spans="1:2" x14ac:dyDescent="0.25">
      <c r="A40" s="3">
        <v>100</v>
      </c>
      <c r="B40" s="3">
        <f t="shared" si="1"/>
        <v>9</v>
      </c>
    </row>
    <row r="45" spans="1:2" x14ac:dyDescent="0.25">
      <c r="A45" s="1" t="s">
        <v>9</v>
      </c>
    </row>
    <row r="47" spans="1:2" x14ac:dyDescent="0.25">
      <c r="A47" s="2" t="s">
        <v>10</v>
      </c>
    </row>
    <row r="48" spans="1:2" ht="15.6" x14ac:dyDescent="0.35">
      <c r="A48" s="3" t="s">
        <v>2</v>
      </c>
      <c r="B48" s="2" t="s">
        <v>5</v>
      </c>
    </row>
    <row r="49" spans="1:2" x14ac:dyDescent="0.25">
      <c r="A49" s="3">
        <v>80</v>
      </c>
      <c r="B49" s="3">
        <f>$A49-$B$4+MAX($A49-$B$5,0)-$B$6</f>
        <v>-23</v>
      </c>
    </row>
    <row r="50" spans="1:2" x14ac:dyDescent="0.25">
      <c r="A50" s="3">
        <v>82</v>
      </c>
      <c r="B50" s="3">
        <f t="shared" ref="B50:B59" si="2">$A50-$B$4+MAX($A50-$B$5,0)-$B$6</f>
        <v>-21</v>
      </c>
    </row>
    <row r="51" spans="1:2" x14ac:dyDescent="0.25">
      <c r="A51" s="3">
        <v>84</v>
      </c>
      <c r="B51" s="3">
        <f t="shared" si="2"/>
        <v>-19</v>
      </c>
    </row>
    <row r="52" spans="1:2" x14ac:dyDescent="0.25">
      <c r="A52" s="3">
        <v>86</v>
      </c>
      <c r="B52" s="3">
        <f t="shared" si="2"/>
        <v>-17</v>
      </c>
    </row>
    <row r="53" spans="1:2" x14ac:dyDescent="0.25">
      <c r="A53" s="3">
        <v>88</v>
      </c>
      <c r="B53" s="3">
        <f t="shared" si="2"/>
        <v>-15</v>
      </c>
    </row>
    <row r="54" spans="1:2" x14ac:dyDescent="0.25">
      <c r="A54" s="3">
        <v>90</v>
      </c>
      <c r="B54" s="3">
        <f t="shared" si="2"/>
        <v>-13</v>
      </c>
    </row>
    <row r="55" spans="1:2" x14ac:dyDescent="0.25">
      <c r="A55" s="3">
        <v>92</v>
      </c>
      <c r="B55" s="3">
        <f t="shared" si="2"/>
        <v>-9</v>
      </c>
    </row>
    <row r="56" spans="1:2" x14ac:dyDescent="0.25">
      <c r="A56" s="3">
        <v>94</v>
      </c>
      <c r="B56" s="3">
        <f t="shared" si="2"/>
        <v>-5</v>
      </c>
    </row>
    <row r="57" spans="1:2" x14ac:dyDescent="0.25">
      <c r="A57" s="3">
        <v>96</v>
      </c>
      <c r="B57" s="3">
        <f t="shared" si="2"/>
        <v>-1</v>
      </c>
    </row>
    <row r="58" spans="1:2" x14ac:dyDescent="0.25">
      <c r="A58" s="3">
        <v>98</v>
      </c>
      <c r="B58" s="3">
        <f t="shared" si="2"/>
        <v>3</v>
      </c>
    </row>
    <row r="59" spans="1:2" x14ac:dyDescent="0.25">
      <c r="A59" s="3">
        <v>100</v>
      </c>
      <c r="B59" s="3">
        <f t="shared" si="2"/>
        <v>7</v>
      </c>
    </row>
    <row r="61" spans="1:2" x14ac:dyDescent="0.25">
      <c r="A61" s="2" t="s">
        <v>11</v>
      </c>
    </row>
    <row r="62" spans="1:2" ht="15.6" x14ac:dyDescent="0.35">
      <c r="A62" s="3" t="s">
        <v>2</v>
      </c>
      <c r="B62" s="2" t="s">
        <v>5</v>
      </c>
    </row>
    <row r="63" spans="1:2" x14ac:dyDescent="0.25">
      <c r="A63" s="2">
        <v>80</v>
      </c>
      <c r="B63" s="3">
        <f>$A63-$B$4+2*(MAX($A63-$B$5,0)-$B$6)</f>
        <v>-31</v>
      </c>
    </row>
    <row r="64" spans="1:2" x14ac:dyDescent="0.25">
      <c r="A64" s="2">
        <v>82</v>
      </c>
      <c r="B64" s="3">
        <f t="shared" ref="B64:B73" si="3">$A64-$B$4+2*(MAX($A64-$B$5,0)-$B$6)</f>
        <v>-29</v>
      </c>
    </row>
    <row r="65" spans="1:4" x14ac:dyDescent="0.25">
      <c r="A65" s="2">
        <v>84</v>
      </c>
      <c r="B65" s="3">
        <f t="shared" si="3"/>
        <v>-27</v>
      </c>
    </row>
    <row r="66" spans="1:4" x14ac:dyDescent="0.25">
      <c r="A66" s="2">
        <v>86</v>
      </c>
      <c r="B66" s="3">
        <f t="shared" si="3"/>
        <v>-25</v>
      </c>
    </row>
    <row r="67" spans="1:4" x14ac:dyDescent="0.25">
      <c r="A67" s="2">
        <v>88</v>
      </c>
      <c r="B67" s="3">
        <f t="shared" si="3"/>
        <v>-23</v>
      </c>
    </row>
    <row r="68" spans="1:4" x14ac:dyDescent="0.25">
      <c r="A68" s="2">
        <v>90</v>
      </c>
      <c r="B68" s="3">
        <f t="shared" si="3"/>
        <v>-21</v>
      </c>
    </row>
    <row r="69" spans="1:4" x14ac:dyDescent="0.25">
      <c r="A69" s="2">
        <v>92</v>
      </c>
      <c r="B69" s="3">
        <f t="shared" si="3"/>
        <v>-15</v>
      </c>
    </row>
    <row r="70" spans="1:4" x14ac:dyDescent="0.25">
      <c r="A70" s="2">
        <v>94</v>
      </c>
      <c r="B70" s="3">
        <f t="shared" si="3"/>
        <v>-9</v>
      </c>
    </row>
    <row r="71" spans="1:4" x14ac:dyDescent="0.25">
      <c r="A71" s="2">
        <v>96</v>
      </c>
      <c r="B71" s="3">
        <f t="shared" si="3"/>
        <v>-3</v>
      </c>
    </row>
    <row r="72" spans="1:4" x14ac:dyDescent="0.25">
      <c r="A72" s="2">
        <v>98</v>
      </c>
      <c r="B72" s="3">
        <f t="shared" si="3"/>
        <v>3</v>
      </c>
    </row>
    <row r="73" spans="1:4" x14ac:dyDescent="0.25">
      <c r="A73" s="2">
        <v>100</v>
      </c>
      <c r="B73" s="3">
        <f t="shared" si="3"/>
        <v>9</v>
      </c>
    </row>
    <row r="75" spans="1:4" x14ac:dyDescent="0.25">
      <c r="A75" s="2" t="s">
        <v>12</v>
      </c>
      <c r="B75" s="3" t="s">
        <v>17</v>
      </c>
      <c r="C75" s="3" t="s">
        <v>19</v>
      </c>
      <c r="D75" s="3" t="s">
        <v>18</v>
      </c>
    </row>
    <row r="76" spans="1:4" ht="15.6" x14ac:dyDescent="0.35">
      <c r="A76" s="3" t="s">
        <v>2</v>
      </c>
      <c r="B76" s="3" t="s">
        <v>5</v>
      </c>
    </row>
    <row r="77" spans="1:4" x14ac:dyDescent="0.25">
      <c r="A77" s="2">
        <v>80</v>
      </c>
      <c r="B77" s="3">
        <f>$A77-$B$4+MAX($A77-$B$5,0)-$B$6</f>
        <v>-23</v>
      </c>
      <c r="C77" s="3">
        <f>$A77-$B$4+2*(MAX($A77-$B$5,0)-$B$6)</f>
        <v>-31</v>
      </c>
      <c r="D77" s="3">
        <f>$A77-$B$4+3*(MAX($A77-$B$5,0)-$B$6)</f>
        <v>-39</v>
      </c>
    </row>
    <row r="78" spans="1:4" x14ac:dyDescent="0.25">
      <c r="A78" s="2">
        <v>82</v>
      </c>
      <c r="B78" s="3">
        <f t="shared" ref="B78:B87" si="4">$A78-$B$4+MAX($A78-$B$5,0)-$B$6</f>
        <v>-21</v>
      </c>
      <c r="C78" s="3">
        <f t="shared" ref="C78:C87" si="5">$A78-$B$4+2*(MAX($A78-$B$5,0)-$B$6)</f>
        <v>-29</v>
      </c>
      <c r="D78" s="3">
        <f t="shared" ref="D78:D87" si="6">$A78-$B$4+3*(MAX($A78-$B$5,0)-$B$6)</f>
        <v>-37</v>
      </c>
    </row>
    <row r="79" spans="1:4" x14ac:dyDescent="0.25">
      <c r="A79" s="2">
        <v>84</v>
      </c>
      <c r="B79" s="3">
        <f t="shared" si="4"/>
        <v>-19</v>
      </c>
      <c r="C79" s="3">
        <f t="shared" si="5"/>
        <v>-27</v>
      </c>
      <c r="D79" s="3">
        <f t="shared" si="6"/>
        <v>-35</v>
      </c>
    </row>
    <row r="80" spans="1:4" x14ac:dyDescent="0.25">
      <c r="A80" s="2">
        <v>86</v>
      </c>
      <c r="B80" s="3">
        <f t="shared" si="4"/>
        <v>-17</v>
      </c>
      <c r="C80" s="3">
        <f t="shared" si="5"/>
        <v>-25</v>
      </c>
      <c r="D80" s="3">
        <f t="shared" si="6"/>
        <v>-33</v>
      </c>
    </row>
    <row r="81" spans="1:4" x14ac:dyDescent="0.25">
      <c r="A81" s="2">
        <v>88</v>
      </c>
      <c r="B81" s="3">
        <f t="shared" si="4"/>
        <v>-15</v>
      </c>
      <c r="C81" s="3">
        <f t="shared" si="5"/>
        <v>-23</v>
      </c>
      <c r="D81" s="3">
        <f t="shared" si="6"/>
        <v>-31</v>
      </c>
    </row>
    <row r="82" spans="1:4" x14ac:dyDescent="0.25">
      <c r="A82" s="2">
        <v>90</v>
      </c>
      <c r="B82" s="3">
        <f t="shared" si="4"/>
        <v>-13</v>
      </c>
      <c r="C82" s="3">
        <f t="shared" si="5"/>
        <v>-21</v>
      </c>
      <c r="D82" s="3">
        <f t="shared" si="6"/>
        <v>-29</v>
      </c>
    </row>
    <row r="83" spans="1:4" x14ac:dyDescent="0.25">
      <c r="A83" s="2">
        <v>92</v>
      </c>
      <c r="B83" s="3">
        <f t="shared" si="4"/>
        <v>-9</v>
      </c>
      <c r="C83" s="3">
        <f t="shared" si="5"/>
        <v>-15</v>
      </c>
      <c r="D83" s="3">
        <f t="shared" si="6"/>
        <v>-21</v>
      </c>
    </row>
    <row r="84" spans="1:4" x14ac:dyDescent="0.25">
      <c r="A84" s="2">
        <v>94</v>
      </c>
      <c r="B84" s="3">
        <f t="shared" si="4"/>
        <v>-5</v>
      </c>
      <c r="C84" s="3">
        <f t="shared" si="5"/>
        <v>-9</v>
      </c>
      <c r="D84" s="3">
        <f t="shared" si="6"/>
        <v>-13</v>
      </c>
    </row>
    <row r="85" spans="1:4" x14ac:dyDescent="0.25">
      <c r="A85" s="2">
        <v>96</v>
      </c>
      <c r="B85" s="3">
        <f t="shared" si="4"/>
        <v>-1</v>
      </c>
      <c r="C85" s="3">
        <f t="shared" si="5"/>
        <v>-3</v>
      </c>
      <c r="D85" s="3">
        <f t="shared" si="6"/>
        <v>-5</v>
      </c>
    </row>
    <row r="86" spans="1:4" x14ac:dyDescent="0.25">
      <c r="A86" s="4">
        <v>98</v>
      </c>
      <c r="B86" s="5">
        <f t="shared" si="4"/>
        <v>3</v>
      </c>
      <c r="C86" s="5">
        <f t="shared" si="5"/>
        <v>3</v>
      </c>
      <c r="D86" s="5">
        <f t="shared" si="6"/>
        <v>3</v>
      </c>
    </row>
    <row r="87" spans="1:4" x14ac:dyDescent="0.25">
      <c r="A87" s="2">
        <v>100</v>
      </c>
      <c r="B87" s="3">
        <f t="shared" si="4"/>
        <v>7</v>
      </c>
      <c r="C87" s="3">
        <f t="shared" si="5"/>
        <v>9</v>
      </c>
      <c r="D87" s="3">
        <f t="shared" si="6"/>
        <v>11</v>
      </c>
    </row>
    <row r="92" spans="1:4" x14ac:dyDescent="0.25">
      <c r="A92" s="2" t="s">
        <v>13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2024-11-19T07:21:30Z</dcterms:modified>
</cp:coreProperties>
</file>