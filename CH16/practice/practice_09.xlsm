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practice\"/>
    </mc:Choice>
  </mc:AlternateContent>
  <xr:revisionPtr revIDLastSave="0" documentId="13_ncr:1_{4F7ACE1A-EE25-4BB8-A61E-1694312439C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" l="1"/>
  <c r="D13" i="1"/>
  <c r="D12" i="1"/>
  <c r="D11" i="1"/>
  <c r="D15" i="1" l="1"/>
  <c r="C18" i="1" s="1"/>
</calcChain>
</file>

<file path=xl/sharedStrings.xml><?xml version="1.0" encoding="utf-8"?>
<sst xmlns="http://schemas.openxmlformats.org/spreadsheetml/2006/main" count="13" uniqueCount="13">
  <si>
    <t>Call</t>
  </si>
  <si>
    <t>Price</t>
  </si>
  <si>
    <t>Current Stock Price</t>
  </si>
  <si>
    <t>Strategy</t>
  </si>
  <si>
    <t>Profit</t>
  </si>
  <si>
    <t>Buy 1 40 Call</t>
  </si>
  <si>
    <t>Sell 2 50 Calls</t>
  </si>
  <si>
    <t>Buy 1 60 Call</t>
  </si>
  <si>
    <t>Sell 2 70 Calls</t>
  </si>
  <si>
    <t>Total profit</t>
  </si>
  <si>
    <t>Data table</t>
  </si>
  <si>
    <r>
      <t>S</t>
    </r>
    <r>
      <rPr>
        <vertAlign val="subscript"/>
        <sz val="10"/>
        <rFont val="Arial"/>
        <family val="2"/>
      </rPr>
      <t>T</t>
    </r>
  </si>
  <si>
    <t>&lt;-- header hidden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</si>
</sst>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/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2" fillId="0" borderId="0" xfId="0" applyFont="1" applyAlignment="1"/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Profit Diagram</a:t>
            </a:r>
          </a:p>
        </c:rich>
      </c:tx>
      <c:layout>
        <c:manualLayout>
          <c:xMode val="edge"/>
          <c:yMode val="edge"/>
          <c:x val="0.39080481703754555"/>
          <c:y val="4.37958155536091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21848240979842"/>
          <c:y val="0.24817628813711851"/>
          <c:w val="0.78620733780494456"/>
          <c:h val="0.5364987405317120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Sheet1!$B$19:$B$44</c:f>
              <c:numCache>
                <c:formatCode>General</c:formatCode>
                <c:ptCount val="26"/>
                <c:pt idx="0">
                  <c:v>30</c:v>
                </c:pt>
                <c:pt idx="1">
                  <c:v>32</c:v>
                </c:pt>
                <c:pt idx="2">
                  <c:v>34</c:v>
                </c:pt>
                <c:pt idx="3">
                  <c:v>36</c:v>
                </c:pt>
                <c:pt idx="4">
                  <c:v>38</c:v>
                </c:pt>
                <c:pt idx="5">
                  <c:v>40</c:v>
                </c:pt>
                <c:pt idx="6">
                  <c:v>42</c:v>
                </c:pt>
                <c:pt idx="7">
                  <c:v>44</c:v>
                </c:pt>
                <c:pt idx="8">
                  <c:v>46</c:v>
                </c:pt>
                <c:pt idx="9">
                  <c:v>48</c:v>
                </c:pt>
                <c:pt idx="10">
                  <c:v>50</c:v>
                </c:pt>
                <c:pt idx="11">
                  <c:v>52</c:v>
                </c:pt>
                <c:pt idx="12">
                  <c:v>54</c:v>
                </c:pt>
                <c:pt idx="13">
                  <c:v>56</c:v>
                </c:pt>
                <c:pt idx="14">
                  <c:v>58</c:v>
                </c:pt>
                <c:pt idx="15">
                  <c:v>60</c:v>
                </c:pt>
                <c:pt idx="16">
                  <c:v>62</c:v>
                </c:pt>
                <c:pt idx="17">
                  <c:v>64</c:v>
                </c:pt>
                <c:pt idx="18">
                  <c:v>66</c:v>
                </c:pt>
                <c:pt idx="19">
                  <c:v>68</c:v>
                </c:pt>
                <c:pt idx="20">
                  <c:v>70</c:v>
                </c:pt>
                <c:pt idx="21">
                  <c:v>72</c:v>
                </c:pt>
                <c:pt idx="22">
                  <c:v>74</c:v>
                </c:pt>
                <c:pt idx="23">
                  <c:v>76</c:v>
                </c:pt>
                <c:pt idx="24">
                  <c:v>78</c:v>
                </c:pt>
                <c:pt idx="25">
                  <c:v>80</c:v>
                </c:pt>
              </c:numCache>
            </c:numRef>
          </c:xVal>
          <c:yVal>
            <c:numRef>
              <c:f>Sheet1!$C$19:$C$44</c:f>
              <c:numCache>
                <c:formatCode>General</c:formatCode>
                <c:ptCount val="2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  <c:pt idx="10">
                  <c:v>12</c:v>
                </c:pt>
                <c:pt idx="11">
                  <c:v>10</c:v>
                </c:pt>
                <c:pt idx="12">
                  <c:v>8</c:v>
                </c:pt>
                <c:pt idx="13">
                  <c:v>6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-2</c:v>
                </c:pt>
                <c:pt idx="22">
                  <c:v>-6</c:v>
                </c:pt>
                <c:pt idx="23">
                  <c:v>-10</c:v>
                </c:pt>
                <c:pt idx="24">
                  <c:v>-14</c:v>
                </c:pt>
                <c:pt idx="25">
                  <c:v>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9-4FC2-8F8D-6D9CB059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2290208"/>
        <c:axId val="1"/>
      </c:scatterChart>
      <c:valAx>
        <c:axId val="982290208"/>
        <c:scaling>
          <c:orientation val="minMax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Stock price at time T, S</a:t>
                </a:r>
                <a:r>
                  <a:rPr lang="zh-CN" altLang="en-U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layout>
            <c:manualLayout>
              <c:xMode val="edge"/>
              <c:yMode val="edge"/>
              <c:x val="0.404597928227106"/>
              <c:y val="0.824821192926305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Profit</a:t>
                </a:r>
              </a:p>
            </c:rich>
          </c:tx>
          <c:layout>
            <c:manualLayout>
              <c:xMode val="edge"/>
              <c:yMode val="edge"/>
              <c:x val="4.8275889163461511E-2"/>
              <c:y val="0.45255676072062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822902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327660</xdr:colOff>
      <xdr:row>9</xdr:row>
      <xdr:rowOff>83820</xdr:rowOff>
    </xdr:from>
    <xdr:to>
      <xdr:col>11</xdr:col>
      <xdr:colOff>198120</xdr:colOff>
      <xdr:row>24</xdr:row>
      <xdr:rowOff>99060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AABD2C2-1B8A-4132-956C-32768F0CC4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114300</xdr:colOff>
      <xdr:row>5</xdr:row>
      <xdr:rowOff>106680</xdr:rowOff>
    </xdr:from>
    <xdr:to>
      <xdr:col>26</xdr:col>
      <xdr:colOff>129540</xdr:colOff>
      <xdr:row>52</xdr:row>
      <xdr:rowOff>114300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27E8CED5-A3D7-B851-B055-72805D0E7D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648700" y="998220"/>
          <a:ext cx="7322820" cy="82753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  <sheetName val="Exercise 7"/>
      <sheetName val="Exercise 7中文"/>
      <sheetName val="Exercise 8"/>
      <sheetName val="Exercise 8 中文"/>
      <sheetName val="Exercise 9"/>
      <sheetName val="Exercise 9 中文"/>
      <sheetName val="Exercise 10"/>
      <sheetName val="Exercise 10 中文"/>
      <sheetName val="Exercise 11"/>
      <sheetName val="Exercise 11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9">
          <cell r="B19">
            <v>30</v>
          </cell>
          <cell r="C19">
            <v>2</v>
          </cell>
        </row>
        <row r="20">
          <cell r="B20">
            <v>32</v>
          </cell>
          <cell r="C20">
            <v>2</v>
          </cell>
        </row>
        <row r="21">
          <cell r="B21">
            <v>34</v>
          </cell>
          <cell r="C21">
            <v>2</v>
          </cell>
        </row>
        <row r="22">
          <cell r="B22">
            <v>36</v>
          </cell>
          <cell r="C22">
            <v>2</v>
          </cell>
        </row>
        <row r="23">
          <cell r="B23">
            <v>38</v>
          </cell>
          <cell r="C23">
            <v>2</v>
          </cell>
        </row>
        <row r="24">
          <cell r="B24">
            <v>40</v>
          </cell>
          <cell r="C24">
            <v>2</v>
          </cell>
        </row>
        <row r="25">
          <cell r="B25">
            <v>42</v>
          </cell>
          <cell r="C25">
            <v>4</v>
          </cell>
        </row>
        <row r="26">
          <cell r="B26">
            <v>44</v>
          </cell>
          <cell r="C26">
            <v>6</v>
          </cell>
        </row>
        <row r="27">
          <cell r="B27">
            <v>46</v>
          </cell>
          <cell r="C27">
            <v>8</v>
          </cell>
        </row>
        <row r="28">
          <cell r="B28">
            <v>48</v>
          </cell>
          <cell r="C28">
            <v>10</v>
          </cell>
        </row>
        <row r="29">
          <cell r="B29">
            <v>50</v>
          </cell>
          <cell r="C29">
            <v>12</v>
          </cell>
        </row>
        <row r="30">
          <cell r="B30">
            <v>52</v>
          </cell>
          <cell r="C30">
            <v>10</v>
          </cell>
        </row>
        <row r="31">
          <cell r="B31">
            <v>54</v>
          </cell>
          <cell r="C31">
            <v>8</v>
          </cell>
        </row>
        <row r="32">
          <cell r="B32">
            <v>56</v>
          </cell>
          <cell r="C32">
            <v>6</v>
          </cell>
        </row>
        <row r="33">
          <cell r="B33">
            <v>58</v>
          </cell>
          <cell r="C33">
            <v>4</v>
          </cell>
        </row>
        <row r="34">
          <cell r="B34">
            <v>60</v>
          </cell>
          <cell r="C34">
            <v>2</v>
          </cell>
        </row>
        <row r="35">
          <cell r="B35">
            <v>62</v>
          </cell>
          <cell r="C35">
            <v>2</v>
          </cell>
        </row>
        <row r="36">
          <cell r="B36">
            <v>64</v>
          </cell>
          <cell r="C36">
            <v>2</v>
          </cell>
        </row>
        <row r="37">
          <cell r="B37">
            <v>66</v>
          </cell>
          <cell r="C37">
            <v>2</v>
          </cell>
        </row>
        <row r="38">
          <cell r="B38">
            <v>68</v>
          </cell>
          <cell r="C38">
            <v>2</v>
          </cell>
        </row>
        <row r="39">
          <cell r="B39">
            <v>70</v>
          </cell>
          <cell r="C39">
            <v>2</v>
          </cell>
        </row>
        <row r="40">
          <cell r="B40">
            <v>72</v>
          </cell>
          <cell r="C40">
            <v>-2</v>
          </cell>
        </row>
        <row r="41">
          <cell r="B41">
            <v>74</v>
          </cell>
          <cell r="C41">
            <v>-6</v>
          </cell>
        </row>
        <row r="42">
          <cell r="B42">
            <v>76</v>
          </cell>
          <cell r="C42">
            <v>-10</v>
          </cell>
        </row>
        <row r="43">
          <cell r="B43">
            <v>78</v>
          </cell>
          <cell r="C43">
            <v>-14</v>
          </cell>
        </row>
        <row r="44">
          <cell r="B44">
            <v>80</v>
          </cell>
          <cell r="C44">
            <v>-18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L44"/>
  <sheetViews>
    <sheetView tabSelected="1" workbookViewId="0">
      <selection activeCell="G28" sqref="G28"/>
    </sheetView>
  </sheetViews>
  <sheetFormatPr defaultRowHeight="13.8" x14ac:dyDescent="0.25"/>
  <cols>
    <col min="1" max="12" width="8.88671875" style="1"/>
  </cols>
  <sheetData>
    <row r="1" spans="2:4" ht="14.4" thickBot="1" x14ac:dyDescent="0.3"/>
    <row r="2" spans="2:4" ht="14.4" thickBot="1" x14ac:dyDescent="0.3">
      <c r="B2" s="2" t="s">
        <v>0</v>
      </c>
      <c r="C2" s="2" t="s">
        <v>1</v>
      </c>
    </row>
    <row r="3" spans="2:4" x14ac:dyDescent="0.25">
      <c r="B3" s="3">
        <v>40</v>
      </c>
      <c r="C3" s="4">
        <v>16.5</v>
      </c>
    </row>
    <row r="4" spans="2:4" x14ac:dyDescent="0.25">
      <c r="B4" s="3">
        <v>50</v>
      </c>
      <c r="C4" s="4">
        <v>9.5</v>
      </c>
    </row>
    <row r="5" spans="2:4" x14ac:dyDescent="0.25">
      <c r="B5" s="3">
        <v>60</v>
      </c>
      <c r="C5" s="4">
        <v>4.5</v>
      </c>
    </row>
    <row r="6" spans="2:4" ht="14.4" thickBot="1" x14ac:dyDescent="0.3">
      <c r="B6" s="5">
        <v>70</v>
      </c>
      <c r="C6" s="6">
        <v>2</v>
      </c>
    </row>
    <row r="8" spans="2:4" x14ac:dyDescent="0.25">
      <c r="B8" s="1" t="s">
        <v>2</v>
      </c>
      <c r="D8" s="1">
        <v>50</v>
      </c>
    </row>
    <row r="10" spans="2:4" x14ac:dyDescent="0.25">
      <c r="B10" s="1" t="s">
        <v>3</v>
      </c>
      <c r="D10" s="1" t="s">
        <v>4</v>
      </c>
    </row>
    <row r="11" spans="2:4" x14ac:dyDescent="0.25">
      <c r="B11" s="1" t="s">
        <v>5</v>
      </c>
      <c r="D11" s="1">
        <f>MAX(D8-B3,0)-C3</f>
        <v>-6.5</v>
      </c>
    </row>
    <row r="12" spans="2:4" x14ac:dyDescent="0.25">
      <c r="B12" s="1" t="s">
        <v>6</v>
      </c>
      <c r="D12" s="1">
        <f>-MAX(D8-B4,0)*2+2*C4</f>
        <v>19</v>
      </c>
    </row>
    <row r="13" spans="2:4" x14ac:dyDescent="0.25">
      <c r="B13" s="1" t="s">
        <v>7</v>
      </c>
      <c r="D13" s="1">
        <f>MAX(D8-B5,0)-C5</f>
        <v>-4.5</v>
      </c>
    </row>
    <row r="14" spans="2:4" x14ac:dyDescent="0.25">
      <c r="B14" s="1" t="s">
        <v>8</v>
      </c>
      <c r="D14" s="1">
        <f>-MAX(D8-B6,0)*2+C6*2</f>
        <v>4</v>
      </c>
    </row>
    <row r="15" spans="2:4" x14ac:dyDescent="0.25">
      <c r="B15" s="7" t="s">
        <v>9</v>
      </c>
      <c r="D15" s="1">
        <f>SUM(D11:D14)</f>
        <v>12</v>
      </c>
    </row>
    <row r="17" spans="2:4" x14ac:dyDescent="0.25">
      <c r="B17" s="7" t="s">
        <v>10</v>
      </c>
    </row>
    <row r="18" spans="2:4" ht="15.6" x14ac:dyDescent="0.35">
      <c r="B18" s="8" t="s">
        <v>11</v>
      </c>
      <c r="C18" s="9">
        <f>D15</f>
        <v>12</v>
      </c>
      <c r="D18" s="1" t="s">
        <v>12</v>
      </c>
    </row>
    <row r="19" spans="2:4" x14ac:dyDescent="0.25">
      <c r="B19" s="1">
        <v>30</v>
      </c>
      <c r="C19" s="1">
        <f t="dataTable" ref="C19:C44" dt2D="0" dtr="0" r1="D8"/>
        <v>2</v>
      </c>
    </row>
    <row r="20" spans="2:4" x14ac:dyDescent="0.25">
      <c r="B20" s="1">
        <v>32</v>
      </c>
      <c r="C20" s="1">
        <v>2</v>
      </c>
    </row>
    <row r="21" spans="2:4" x14ac:dyDescent="0.25">
      <c r="B21" s="1">
        <v>34</v>
      </c>
      <c r="C21" s="1">
        <v>2</v>
      </c>
    </row>
    <row r="22" spans="2:4" x14ac:dyDescent="0.25">
      <c r="B22" s="1">
        <v>36</v>
      </c>
      <c r="C22" s="1">
        <v>2</v>
      </c>
    </row>
    <row r="23" spans="2:4" x14ac:dyDescent="0.25">
      <c r="B23" s="1">
        <v>38</v>
      </c>
      <c r="C23" s="1">
        <v>2</v>
      </c>
    </row>
    <row r="24" spans="2:4" x14ac:dyDescent="0.25">
      <c r="B24" s="1">
        <v>40</v>
      </c>
      <c r="C24" s="1">
        <v>2</v>
      </c>
    </row>
    <row r="25" spans="2:4" x14ac:dyDescent="0.25">
      <c r="B25" s="1">
        <v>42</v>
      </c>
      <c r="C25" s="1">
        <v>4</v>
      </c>
    </row>
    <row r="26" spans="2:4" x14ac:dyDescent="0.25">
      <c r="B26" s="1">
        <v>44</v>
      </c>
      <c r="C26" s="1">
        <v>6</v>
      </c>
    </row>
    <row r="27" spans="2:4" x14ac:dyDescent="0.25">
      <c r="B27" s="1">
        <v>46</v>
      </c>
      <c r="C27" s="1">
        <v>8</v>
      </c>
    </row>
    <row r="28" spans="2:4" x14ac:dyDescent="0.25">
      <c r="B28" s="1">
        <v>48</v>
      </c>
      <c r="C28" s="1">
        <v>10</v>
      </c>
    </row>
    <row r="29" spans="2:4" x14ac:dyDescent="0.25">
      <c r="B29" s="1">
        <v>50</v>
      </c>
      <c r="C29" s="1">
        <v>12</v>
      </c>
    </row>
    <row r="30" spans="2:4" x14ac:dyDescent="0.25">
      <c r="B30" s="1">
        <v>52</v>
      </c>
      <c r="C30" s="1">
        <v>10</v>
      </c>
    </row>
    <row r="31" spans="2:4" x14ac:dyDescent="0.25">
      <c r="B31" s="1">
        <v>54</v>
      </c>
      <c r="C31" s="1">
        <v>8</v>
      </c>
    </row>
    <row r="32" spans="2:4" x14ac:dyDescent="0.25">
      <c r="B32" s="1">
        <v>56</v>
      </c>
      <c r="C32" s="1">
        <v>6</v>
      </c>
    </row>
    <row r="33" spans="2:3" x14ac:dyDescent="0.25">
      <c r="B33" s="1">
        <v>58</v>
      </c>
      <c r="C33" s="1">
        <v>4</v>
      </c>
    </row>
    <row r="34" spans="2:3" x14ac:dyDescent="0.25">
      <c r="B34" s="1">
        <v>60</v>
      </c>
      <c r="C34" s="1">
        <v>2</v>
      </c>
    </row>
    <row r="35" spans="2:3" x14ac:dyDescent="0.25">
      <c r="B35" s="1">
        <v>62</v>
      </c>
      <c r="C35" s="1">
        <v>2</v>
      </c>
    </row>
    <row r="36" spans="2:3" x14ac:dyDescent="0.25">
      <c r="B36" s="1">
        <v>64</v>
      </c>
      <c r="C36" s="1">
        <v>2</v>
      </c>
    </row>
    <row r="37" spans="2:3" x14ac:dyDescent="0.25">
      <c r="B37" s="1">
        <v>66</v>
      </c>
      <c r="C37" s="1">
        <v>2</v>
      </c>
    </row>
    <row r="38" spans="2:3" x14ac:dyDescent="0.25">
      <c r="B38" s="1">
        <v>68</v>
      </c>
      <c r="C38" s="1">
        <v>2</v>
      </c>
    </row>
    <row r="39" spans="2:3" x14ac:dyDescent="0.25">
      <c r="B39" s="1">
        <v>70</v>
      </c>
      <c r="C39" s="1">
        <v>2</v>
      </c>
    </row>
    <row r="40" spans="2:3" x14ac:dyDescent="0.25">
      <c r="B40" s="1">
        <v>72</v>
      </c>
      <c r="C40" s="1">
        <v>-2</v>
      </c>
    </row>
    <row r="41" spans="2:3" x14ac:dyDescent="0.25">
      <c r="B41" s="1">
        <v>74</v>
      </c>
      <c r="C41" s="1">
        <v>-6</v>
      </c>
    </row>
    <row r="42" spans="2:3" x14ac:dyDescent="0.25">
      <c r="B42" s="1">
        <v>76</v>
      </c>
      <c r="C42" s="1">
        <v>-10</v>
      </c>
    </row>
    <row r="43" spans="2:3" x14ac:dyDescent="0.25">
      <c r="B43" s="1">
        <v>78</v>
      </c>
      <c r="C43" s="1">
        <v>-14</v>
      </c>
    </row>
    <row r="44" spans="2:3" x14ac:dyDescent="0.25">
      <c r="B44" s="1">
        <v>80</v>
      </c>
      <c r="C44" s="1">
        <v>-18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2024-11-19T08:23:49Z</dcterms:modified>
</cp:coreProperties>
</file>