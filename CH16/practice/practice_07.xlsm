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BEDF885B-CA22-4848-97EE-45ABCB135F6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D5" i="1"/>
  <c r="B22" i="1" s="1"/>
  <c r="B23" i="1" s="1"/>
  <c r="B11" i="1" l="1"/>
</calcChain>
</file>

<file path=xl/sharedStrings.xml><?xml version="1.0" encoding="utf-8"?>
<sst xmlns="http://schemas.openxmlformats.org/spreadsheetml/2006/main" count="25" uniqueCount="24">
  <si>
    <t>By Put-Call Parity</t>
  </si>
  <si>
    <r>
      <t>C+Xe</t>
    </r>
    <r>
      <rPr>
        <vertAlign val="superscript"/>
        <sz val="10"/>
        <rFont val="Arial"/>
        <family val="2"/>
      </rPr>
      <t>-rT</t>
    </r>
    <r>
      <rPr>
        <sz val="11"/>
        <color theme="1"/>
        <rFont val="等线"/>
        <family val="2"/>
        <charset val="134"/>
        <scheme val="minor"/>
      </rPr>
      <t>=P+S</t>
    </r>
    <r>
      <rPr>
        <vertAlign val="subscript"/>
        <sz val="10"/>
        <rFont val="Arial"/>
        <family val="2"/>
      </rPr>
      <t>0</t>
    </r>
  </si>
  <si>
    <r>
      <t>Xe</t>
    </r>
    <r>
      <rPr>
        <vertAlign val="superscript"/>
        <sz val="10"/>
        <rFont val="Arial"/>
        <family val="2"/>
      </rPr>
      <t>-rT</t>
    </r>
  </si>
  <si>
    <r>
      <t>S</t>
    </r>
    <r>
      <rPr>
        <vertAlign val="subscript"/>
        <sz val="10"/>
        <rFont val="Arial"/>
        <family val="2"/>
      </rPr>
      <t>0</t>
    </r>
  </si>
  <si>
    <t>r</t>
  </si>
  <si>
    <t>T</t>
  </si>
  <si>
    <t>Therefore, we write put, short stock, buy call and buy bond.</t>
  </si>
  <si>
    <t>Arbitrage</t>
  </si>
  <si>
    <t>At Time T</t>
  </si>
  <si>
    <t>Today</t>
  </si>
  <si>
    <r>
      <t>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&lt; S</t>
    </r>
    <r>
      <rPr>
        <vertAlign val="subscript"/>
        <sz val="10"/>
        <rFont val="Arial"/>
        <family val="2"/>
      </rPr>
      <t>0</t>
    </r>
  </si>
  <si>
    <r>
      <t>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&gt; S</t>
    </r>
    <r>
      <rPr>
        <vertAlign val="subscript"/>
        <sz val="10"/>
        <rFont val="Arial"/>
        <family val="2"/>
      </rPr>
      <t>0</t>
    </r>
  </si>
  <si>
    <t>Write Put</t>
  </si>
  <si>
    <r>
      <t>-(80-S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)</t>
    </r>
  </si>
  <si>
    <t>Short Stock</t>
  </si>
  <si>
    <r>
      <t>-S</t>
    </r>
    <r>
      <rPr>
        <vertAlign val="subscript"/>
        <sz val="10"/>
        <rFont val="Arial"/>
        <family val="2"/>
      </rPr>
      <t>T</t>
    </r>
  </si>
  <si>
    <t>Buy Call</t>
  </si>
  <si>
    <r>
      <t>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-80</t>
    </r>
  </si>
  <si>
    <t>Buy Bond</t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</si>
  <si>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</si>
  <si>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</si>
  <si>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+Xe</t>
    </r>
    <r>
      <rPr>
        <vertAlign val="superscript"/>
        <sz val="10"/>
        <rFont val="Arial"/>
        <family val="2"/>
      </rPr>
      <t>-r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</si>
  <si>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+S</t>
    </r>
    <r>
      <rPr>
        <vertAlign val="subscript"/>
        <sz val="10"/>
        <rFont val="Arial"/>
        <family val="2"/>
      </rPr>
      <t>0</t>
    </r>
    <phoneticPr fontId="1" type="noConversion"/>
  </si>
  <si>
    <t>Bond(X)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</si>
</sst>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vertAlign val="subscript"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0" fontId="0" fillId="0" borderId="0" xfId="0" applyAlignment="1">
      <alignment horizontal="centerContinuous"/>
    </xf>
    <xf numFmtId="0" fontId="0" fillId="0" borderId="1" xfId="0" applyBorder="1" applyAlignment="1"/>
    <xf numFmtId="0" fontId="0" fillId="0" borderId="2" xfId="0" applyBorder="1" applyAlignment="1"/>
    <xf numFmtId="0" fontId="0" fillId="0" borderId="0" xfId="0" applyAlignment="1">
      <alignment horizontal="center"/>
    </xf>
    <xf numFmtId="0" fontId="0" fillId="0" borderId="3" xfId="0" quotePrefix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601980</xdr:colOff>
      <xdr:row>2</xdr:row>
      <xdr:rowOff>30480</xdr:rowOff>
    </xdr:from>
    <xdr:to>
      <xdr:col>12</xdr:col>
      <xdr:colOff>323850</xdr:colOff>
      <xdr:row>25</xdr:row>
      <xdr:rowOff>78105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4B0DD3C-954D-39A8-D024-24F836B36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79620" y="419100"/>
          <a:ext cx="3368040" cy="43662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3"/>
  <sheetViews>
    <sheetView tabSelected="1" zoomScale="175" zoomScaleNormal="175" workbookViewId="0">
      <selection activeCell="F19" sqref="F19"/>
    </sheetView>
  </sheetViews>
  <sheetFormatPr defaultRowHeight="13.8" x14ac:dyDescent="0.25"/>
  <cols>
    <col min="1" max="1" width="13.5546875" style="1" customWidth="1"/>
    <col min="2" max="5" width="8.88671875" style="1"/>
  </cols>
  <sheetData>
    <row r="1" spans="1:4" x14ac:dyDescent="0.25">
      <c r="A1" s="1" t="s">
        <v>0</v>
      </c>
    </row>
    <row r="2" spans="1:4" ht="16.8" x14ac:dyDescent="0.35">
      <c r="A2" s="1" t="s">
        <v>1</v>
      </c>
    </row>
    <row r="4" spans="1:4" ht="16.2" x14ac:dyDescent="0.35">
      <c r="A4" s="1" t="s">
        <v>20</v>
      </c>
      <c r="B4" s="1">
        <v>12</v>
      </c>
    </row>
    <row r="5" spans="1:4" ht="15.6" x14ac:dyDescent="0.25">
      <c r="A5" s="1" t="s">
        <v>23</v>
      </c>
      <c r="B5" s="1">
        <v>80</v>
      </c>
      <c r="C5" s="1" t="s">
        <v>2</v>
      </c>
      <c r="D5" s="1">
        <f>B5*EXP(-0.5*0.1)</f>
        <v>76.098353960057125</v>
      </c>
    </row>
    <row r="6" spans="1:4" ht="16.2" x14ac:dyDescent="0.35">
      <c r="A6" s="1" t="s">
        <v>19</v>
      </c>
      <c r="B6" s="1">
        <v>5</v>
      </c>
    </row>
    <row r="7" spans="1:4" ht="15.6" x14ac:dyDescent="0.35">
      <c r="A7" s="1" t="s">
        <v>3</v>
      </c>
      <c r="B7" s="1">
        <v>85</v>
      </c>
    </row>
    <row r="8" spans="1:4" x14ac:dyDescent="0.25">
      <c r="A8" s="1" t="s">
        <v>4</v>
      </c>
      <c r="B8" s="2">
        <v>0.1</v>
      </c>
    </row>
    <row r="9" spans="1:4" x14ac:dyDescent="0.25">
      <c r="A9" s="1" t="s">
        <v>5</v>
      </c>
      <c r="B9" s="1">
        <v>0.5</v>
      </c>
    </row>
    <row r="11" spans="1:4" ht="16.8" x14ac:dyDescent="0.35">
      <c r="A11" s="1" t="s">
        <v>21</v>
      </c>
      <c r="B11" s="1">
        <f>B4+D5</f>
        <v>88.098353960057125</v>
      </c>
    </row>
    <row r="12" spans="1:4" ht="16.2" x14ac:dyDescent="0.35">
      <c r="A12" s="1" t="s">
        <v>22</v>
      </c>
      <c r="B12" s="1">
        <f>B6+B7</f>
        <v>90</v>
      </c>
    </row>
    <row r="14" spans="1:4" x14ac:dyDescent="0.25">
      <c r="A14" s="1" t="s">
        <v>6</v>
      </c>
    </row>
    <row r="16" spans="1:4" x14ac:dyDescent="0.25">
      <c r="A16" s="1" t="s">
        <v>7</v>
      </c>
    </row>
    <row r="17" spans="1:4" x14ac:dyDescent="0.25">
      <c r="C17" s="3" t="s">
        <v>8</v>
      </c>
      <c r="D17" s="3"/>
    </row>
    <row r="18" spans="1:4" ht="15.6" x14ac:dyDescent="0.35">
      <c r="B18" s="1" t="s">
        <v>9</v>
      </c>
      <c r="C18" s="4" t="s">
        <v>10</v>
      </c>
      <c r="D18" s="5" t="s">
        <v>11</v>
      </c>
    </row>
    <row r="19" spans="1:4" ht="15.6" x14ac:dyDescent="0.35">
      <c r="A19" s="1" t="s">
        <v>12</v>
      </c>
      <c r="B19" s="6">
        <v>5</v>
      </c>
      <c r="C19" s="7" t="s">
        <v>13</v>
      </c>
      <c r="D19" s="8">
        <v>0</v>
      </c>
    </row>
    <row r="20" spans="1:4" ht="15.6" x14ac:dyDescent="0.35">
      <c r="A20" s="1" t="s">
        <v>14</v>
      </c>
      <c r="B20" s="6">
        <v>85</v>
      </c>
      <c r="C20" s="7" t="s">
        <v>15</v>
      </c>
      <c r="D20" s="9" t="s">
        <v>15</v>
      </c>
    </row>
    <row r="21" spans="1:4" ht="15.6" x14ac:dyDescent="0.35">
      <c r="A21" s="1" t="s">
        <v>16</v>
      </c>
      <c r="B21" s="6">
        <v>-12</v>
      </c>
      <c r="C21" s="10">
        <v>0</v>
      </c>
      <c r="D21" s="9" t="s">
        <v>17</v>
      </c>
    </row>
    <row r="22" spans="1:4" ht="14.4" thickBot="1" x14ac:dyDescent="0.3">
      <c r="A22" s="1" t="s">
        <v>18</v>
      </c>
      <c r="B22" s="11">
        <f>-D5</f>
        <v>-76.098353960057125</v>
      </c>
      <c r="C22" s="12">
        <v>80</v>
      </c>
      <c r="D22" s="13">
        <v>80</v>
      </c>
    </row>
    <row r="23" spans="1:4" x14ac:dyDescent="0.25">
      <c r="B23" s="6">
        <f>SUM(B19:B22)</f>
        <v>1.9016460399428752</v>
      </c>
      <c r="C23" s="14">
        <v>0</v>
      </c>
      <c r="D23" s="15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2024-11-19T07:29:59Z</dcterms:modified>
</cp:coreProperties>
</file>