
<file path=[Content_Types].xml><?xml version="1.0" encoding="utf-8"?>
<Types xmlns="http://schemas.openxmlformats.org/package/2006/content-types"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16\practice\"/>
    </mc:Choice>
  </mc:AlternateContent>
  <xr:revisionPtr revIDLastSave="0" documentId="13_ncr:1_{64B6C95E-62DB-4908-ACCA-3169712F1BFA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1" l="1"/>
  <c r="E6" i="1"/>
  <c r="E7" i="1"/>
  <c r="E8" i="1"/>
  <c r="E9" i="1"/>
  <c r="E4" i="1"/>
  <c r="E10" i="1" l="1"/>
  <c r="B13" i="1" s="1"/>
</calcChain>
</file>

<file path=xl/sharedStrings.xml><?xml version="1.0" encoding="utf-8"?>
<sst xmlns="http://schemas.openxmlformats.org/spreadsheetml/2006/main" count="11" uniqueCount="10">
  <si>
    <r>
      <t>S</t>
    </r>
    <r>
      <rPr>
        <vertAlign val="subscript"/>
        <sz val="10"/>
        <rFont val="Arial"/>
        <family val="2"/>
      </rPr>
      <t>T</t>
    </r>
  </si>
  <si>
    <t>Exercise price</t>
  </si>
  <si>
    <t>Bought (+) or written (-)</t>
  </si>
  <si>
    <t>Price per
call option</t>
  </si>
  <si>
    <r>
      <t>Profit at S</t>
    </r>
    <r>
      <rPr>
        <vertAlign val="subscript"/>
        <sz val="10"/>
        <rFont val="Arial"/>
        <family val="2"/>
      </rPr>
      <t>T</t>
    </r>
  </si>
  <si>
    <t>Total</t>
  </si>
  <si>
    <t>Data table</t>
  </si>
  <si>
    <t>Profit</t>
  </si>
  <si>
    <t>Part b:  From the graph we see that there is a violation of the convexity condition for X = 50, 60, 70 (note that the graph is completely</t>
  </si>
  <si>
    <r>
      <t>above the x-axis for these three prices).  According to Proposition 5, C</t>
    </r>
    <r>
      <rPr>
        <vertAlign val="subscript"/>
        <sz val="10"/>
        <rFont val="Arial"/>
        <family val="2"/>
      </rPr>
      <t>60</t>
    </r>
    <r>
      <rPr>
        <sz val="11"/>
        <color theme="1"/>
        <rFont val="等线"/>
        <family val="2"/>
        <charset val="134"/>
        <scheme val="minor"/>
      </rPr>
      <t xml:space="preserve"> &lt; (C</t>
    </r>
    <r>
      <rPr>
        <vertAlign val="subscript"/>
        <sz val="10"/>
        <rFont val="Arial"/>
        <family val="2"/>
      </rPr>
      <t>50</t>
    </r>
    <r>
      <rPr>
        <sz val="11"/>
        <color theme="1"/>
        <rFont val="等线"/>
        <family val="2"/>
        <charset val="134"/>
        <scheme val="minor"/>
      </rPr>
      <t>+C</t>
    </r>
    <r>
      <rPr>
        <vertAlign val="subscript"/>
        <sz val="10"/>
        <rFont val="Arial"/>
        <family val="2"/>
      </rPr>
      <t>70</t>
    </r>
    <r>
      <rPr>
        <sz val="11"/>
        <color theme="1"/>
        <rFont val="等线"/>
        <family val="2"/>
        <charset val="134"/>
        <scheme val="minor"/>
      </rPr>
      <t>)/2, but this is not true.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</si>
</sst>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vertAlign val="subscript"/>
      <sz val="10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 applyAlignment="1"/>
    <xf numFmtId="0" fontId="0" fillId="0" borderId="0" xfId="0" applyAlignment="1">
      <alignment wrapText="1"/>
    </xf>
    <xf numFmtId="0" fontId="3" fillId="0" borderId="0" xfId="0" applyFont="1" applyAlignment="1"/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Total Profit Diagram</a:t>
            </a:r>
          </a:p>
        </c:rich>
      </c:tx>
      <c:layout>
        <c:manualLayout>
          <c:xMode val="edge"/>
          <c:yMode val="edge"/>
          <c:x val="0.37757069650693537"/>
          <c:y val="4.081651537114351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897216860880467"/>
          <c:y val="0.19533618070475825"/>
          <c:w val="0.82243122011411662"/>
          <c:h val="0.6588951767056023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Sheet1!$A$14:$A$26</c:f>
              <c:numCache>
                <c:formatCode>General</c:formatCode>
                <c:ptCount val="13"/>
                <c:pt idx="0">
                  <c:v>20</c:v>
                </c:pt>
                <c:pt idx="1">
                  <c:v>25</c:v>
                </c:pt>
                <c:pt idx="2">
                  <c:v>30</c:v>
                </c:pt>
                <c:pt idx="3">
                  <c:v>35</c:v>
                </c:pt>
                <c:pt idx="4">
                  <c:v>40</c:v>
                </c:pt>
                <c:pt idx="5">
                  <c:v>45</c:v>
                </c:pt>
                <c:pt idx="6">
                  <c:v>50</c:v>
                </c:pt>
                <c:pt idx="7">
                  <c:v>55</c:v>
                </c:pt>
                <c:pt idx="8">
                  <c:v>60</c:v>
                </c:pt>
                <c:pt idx="9">
                  <c:v>65</c:v>
                </c:pt>
                <c:pt idx="10">
                  <c:v>70</c:v>
                </c:pt>
                <c:pt idx="11">
                  <c:v>75</c:v>
                </c:pt>
                <c:pt idx="12">
                  <c:v>80</c:v>
                </c:pt>
              </c:numCache>
            </c:numRef>
          </c:xVal>
          <c:yVal>
            <c:numRef>
              <c:f>Sheet1!$B$14:$B$26</c:f>
              <c:numCache>
                <c:formatCode>General</c:formatCode>
                <c:ptCount val="13"/>
                <c:pt idx="0">
                  <c:v>1</c:v>
                </c:pt>
                <c:pt idx="1">
                  <c:v>-4</c:v>
                </c:pt>
                <c:pt idx="2">
                  <c:v>-9</c:v>
                </c:pt>
                <c:pt idx="3">
                  <c:v>-4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6</c:v>
                </c:pt>
                <c:pt idx="8">
                  <c:v>11</c:v>
                </c:pt>
                <c:pt idx="9">
                  <c:v>6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42-4E88-8801-1B8C10FAA8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5548808"/>
        <c:axId val="1"/>
      </c:scatterChart>
      <c:valAx>
        <c:axId val="465548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zh-CN" altLang="en-U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S</a:t>
                </a:r>
                <a:r>
                  <a:rPr lang="zh-CN" altLang="en-US" sz="800" b="1" i="0" u="none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T</a:t>
                </a:r>
              </a:p>
            </c:rich>
          </c:tx>
          <c:layout>
            <c:manualLayout>
              <c:xMode val="edge"/>
              <c:yMode val="edge"/>
              <c:x val="0.52710364561859291"/>
              <c:y val="0.886301476630544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Profit</a:t>
                </a:r>
              </a:p>
            </c:rich>
          </c:tx>
          <c:layout>
            <c:manualLayout>
              <c:xMode val="edge"/>
              <c:yMode val="edge"/>
              <c:x val="3.5514075414018673E-2"/>
              <c:y val="0.4752208575354566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46554880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93053</xdr:colOff>
      <xdr:row>7</xdr:row>
      <xdr:rowOff>93785</xdr:rowOff>
    </xdr:from>
    <xdr:to>
      <xdr:col>14</xdr:col>
      <xdr:colOff>313593</xdr:colOff>
      <xdr:row>26</xdr:row>
      <xdr:rowOff>74735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7E317EF0-CEF5-42D7-81AE-2122B8FFE2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502920</xdr:colOff>
      <xdr:row>3</xdr:row>
      <xdr:rowOff>106680</xdr:rowOff>
    </xdr:from>
    <xdr:to>
      <xdr:col>31</xdr:col>
      <xdr:colOff>400049</xdr:colOff>
      <xdr:row>41</xdr:row>
      <xdr:rowOff>19050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5BE5CEFB-4C07-7009-5318-3BBA5756DB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0751820" y="1021080"/>
          <a:ext cx="9654540" cy="662178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16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16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"/>
      <sheetName val="Exercise 1 中文"/>
      <sheetName val="Exercise 2"/>
      <sheetName val="Exercise 2 中文"/>
      <sheetName val="Exercise 3"/>
      <sheetName val="Exercise 3 中文"/>
      <sheetName val="Exercise 4"/>
      <sheetName val="Exercise 4 中文"/>
      <sheetName val="Exercise 5"/>
      <sheetName val="Exercise 5 中文"/>
      <sheetName val="Exercise 6"/>
      <sheetName val="Exercise 6中文"/>
      <sheetName val="Exercise 7"/>
      <sheetName val="Exercise 7中文"/>
      <sheetName val="Exercise 8"/>
      <sheetName val="Exercise 8 中文"/>
      <sheetName val="Exercise 9"/>
      <sheetName val="Exercise 9 中文"/>
      <sheetName val="Exercise 10"/>
      <sheetName val="Exercise 10 中文"/>
      <sheetName val="Exercise 11"/>
      <sheetName val="Exercise 11 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4">
          <cell r="A14">
            <v>20</v>
          </cell>
          <cell r="B14">
            <v>1</v>
          </cell>
        </row>
        <row r="15">
          <cell r="A15">
            <v>25</v>
          </cell>
          <cell r="B15">
            <v>-4</v>
          </cell>
        </row>
        <row r="16">
          <cell r="A16">
            <v>30</v>
          </cell>
          <cell r="B16">
            <v>-9</v>
          </cell>
        </row>
        <row r="17">
          <cell r="A17">
            <v>35</v>
          </cell>
          <cell r="B17">
            <v>-4</v>
          </cell>
        </row>
        <row r="18">
          <cell r="A18">
            <v>40</v>
          </cell>
          <cell r="B18">
            <v>1</v>
          </cell>
        </row>
        <row r="19">
          <cell r="A19">
            <v>45</v>
          </cell>
          <cell r="B19">
            <v>1</v>
          </cell>
        </row>
        <row r="20">
          <cell r="A20">
            <v>50</v>
          </cell>
          <cell r="B20">
            <v>1</v>
          </cell>
        </row>
        <row r="21">
          <cell r="A21">
            <v>55</v>
          </cell>
          <cell r="B21">
            <v>6</v>
          </cell>
        </row>
        <row r="22">
          <cell r="A22">
            <v>60</v>
          </cell>
          <cell r="B22">
            <v>11</v>
          </cell>
        </row>
        <row r="23">
          <cell r="A23">
            <v>65</v>
          </cell>
          <cell r="B23">
            <v>6</v>
          </cell>
        </row>
        <row r="24">
          <cell r="A24">
            <v>70</v>
          </cell>
          <cell r="B24">
            <v>1</v>
          </cell>
        </row>
        <row r="25">
          <cell r="A25">
            <v>75</v>
          </cell>
          <cell r="B25">
            <v>1</v>
          </cell>
        </row>
        <row r="26">
          <cell r="A26">
            <v>80</v>
          </cell>
          <cell r="B26">
            <v>1</v>
          </cell>
        </row>
      </sheetData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2:N30"/>
  <sheetViews>
    <sheetView tabSelected="1" zoomScale="130" zoomScaleNormal="130" workbookViewId="0">
      <selection activeCell="I31" sqref="I31"/>
    </sheetView>
  </sheetViews>
  <sheetFormatPr defaultRowHeight="13.8" x14ac:dyDescent="0.25"/>
  <cols>
    <col min="1" max="1" width="12.6640625" style="1" bestFit="1" customWidth="1"/>
    <col min="2" max="2" width="25.109375" style="1" customWidth="1"/>
    <col min="3" max="3" width="11" style="1" customWidth="1"/>
    <col min="4" max="4" width="8.88671875" style="1"/>
    <col min="5" max="5" width="9.6640625" style="1" bestFit="1" customWidth="1"/>
    <col min="6" max="14" width="8.88671875" style="1"/>
  </cols>
  <sheetData>
    <row r="2" spans="1:5" ht="15.6" x14ac:dyDescent="0.35">
      <c r="A2" s="1" t="s">
        <v>0</v>
      </c>
      <c r="B2" s="1">
        <v>50</v>
      </c>
    </row>
    <row r="3" spans="1:5" ht="42.6" x14ac:dyDescent="0.35">
      <c r="A3" s="1" t="s">
        <v>1</v>
      </c>
      <c r="B3" s="1" t="s">
        <v>2</v>
      </c>
      <c r="C3" s="2" t="s">
        <v>3</v>
      </c>
      <c r="E3" s="1" t="s">
        <v>4</v>
      </c>
    </row>
    <row r="4" spans="1:5" x14ac:dyDescent="0.25">
      <c r="A4" s="1">
        <v>20</v>
      </c>
      <c r="B4" s="1">
        <v>-1</v>
      </c>
      <c r="C4" s="1">
        <v>45</v>
      </c>
      <c r="E4" s="1">
        <f>B4*MAX($B$2-A4,0)+B4*C4*(-1)</f>
        <v>15</v>
      </c>
    </row>
    <row r="5" spans="1:5" x14ac:dyDescent="0.25">
      <c r="A5" s="1">
        <v>30</v>
      </c>
      <c r="B5" s="1">
        <v>2</v>
      </c>
      <c r="C5" s="1">
        <v>33</v>
      </c>
      <c r="E5" s="1">
        <f t="shared" ref="E5:E9" si="0">B5*MAX($B$2-A5,0)+B5*C5*(-1)</f>
        <v>-26</v>
      </c>
    </row>
    <row r="6" spans="1:5" x14ac:dyDescent="0.25">
      <c r="A6" s="1">
        <v>40</v>
      </c>
      <c r="B6" s="1">
        <v>-1</v>
      </c>
      <c r="C6" s="1">
        <v>22</v>
      </c>
      <c r="E6" s="1">
        <f t="shared" si="0"/>
        <v>12</v>
      </c>
    </row>
    <row r="7" spans="1:5" x14ac:dyDescent="0.25">
      <c r="A7" s="1">
        <v>50</v>
      </c>
      <c r="B7" s="1">
        <v>1</v>
      </c>
      <c r="C7" s="1">
        <v>18</v>
      </c>
      <c r="E7" s="1">
        <f t="shared" si="0"/>
        <v>-18</v>
      </c>
    </row>
    <row r="8" spans="1:5" x14ac:dyDescent="0.25">
      <c r="A8" s="1">
        <v>60</v>
      </c>
      <c r="B8" s="1">
        <v>-2</v>
      </c>
      <c r="C8" s="1">
        <v>17</v>
      </c>
      <c r="E8" s="1">
        <f t="shared" si="0"/>
        <v>34</v>
      </c>
    </row>
    <row r="9" spans="1:5" x14ac:dyDescent="0.25">
      <c r="A9" s="1">
        <v>70</v>
      </c>
      <c r="B9" s="1">
        <v>1</v>
      </c>
      <c r="C9" s="1">
        <v>16</v>
      </c>
      <c r="E9" s="1">
        <f t="shared" si="0"/>
        <v>-16</v>
      </c>
    </row>
    <row r="10" spans="1:5" x14ac:dyDescent="0.25">
      <c r="D10" s="3" t="s">
        <v>5</v>
      </c>
      <c r="E10" s="1">
        <f>SUM(E4:E9)</f>
        <v>1</v>
      </c>
    </row>
    <row r="11" spans="1:5" x14ac:dyDescent="0.25">
      <c r="A11" s="3" t="s">
        <v>6</v>
      </c>
    </row>
    <row r="12" spans="1:5" ht="15.6" x14ac:dyDescent="0.35">
      <c r="A12" s="1" t="s">
        <v>0</v>
      </c>
      <c r="B12" s="1" t="s">
        <v>7</v>
      </c>
    </row>
    <row r="13" spans="1:5" x14ac:dyDescent="0.25">
      <c r="B13" s="1">
        <f>E10</f>
        <v>1</v>
      </c>
    </row>
    <row r="14" spans="1:5" x14ac:dyDescent="0.25">
      <c r="A14" s="1">
        <v>20</v>
      </c>
      <c r="B14" s="1">
        <f t="dataTable" ref="B14:B26" dt2D="0" dtr="0" r1="B2"/>
        <v>1</v>
      </c>
    </row>
    <row r="15" spans="1:5" x14ac:dyDescent="0.25">
      <c r="A15" s="1">
        <v>25</v>
      </c>
      <c r="B15" s="1">
        <v>-4</v>
      </c>
    </row>
    <row r="16" spans="1:5" x14ac:dyDescent="0.25">
      <c r="A16" s="1">
        <v>30</v>
      </c>
      <c r="B16" s="1">
        <v>-9</v>
      </c>
    </row>
    <row r="17" spans="1:2" x14ac:dyDescent="0.25">
      <c r="A17" s="1">
        <v>35</v>
      </c>
      <c r="B17" s="1">
        <v>-4</v>
      </c>
    </row>
    <row r="18" spans="1:2" x14ac:dyDescent="0.25">
      <c r="A18" s="1">
        <v>40</v>
      </c>
      <c r="B18" s="1">
        <v>1</v>
      </c>
    </row>
    <row r="19" spans="1:2" x14ac:dyDescent="0.25">
      <c r="A19" s="1">
        <v>45</v>
      </c>
      <c r="B19" s="1">
        <v>1</v>
      </c>
    </row>
    <row r="20" spans="1:2" x14ac:dyDescent="0.25">
      <c r="A20" s="1">
        <v>50</v>
      </c>
      <c r="B20" s="1">
        <v>1</v>
      </c>
    </row>
    <row r="21" spans="1:2" x14ac:dyDescent="0.25">
      <c r="A21" s="1">
        <v>55</v>
      </c>
      <c r="B21" s="1">
        <v>6</v>
      </c>
    </row>
    <row r="22" spans="1:2" x14ac:dyDescent="0.25">
      <c r="A22" s="1">
        <v>60</v>
      </c>
      <c r="B22" s="1">
        <v>11</v>
      </c>
    </row>
    <row r="23" spans="1:2" x14ac:dyDescent="0.25">
      <c r="A23" s="1">
        <v>65</v>
      </c>
      <c r="B23" s="1">
        <v>6</v>
      </c>
    </row>
    <row r="24" spans="1:2" x14ac:dyDescent="0.25">
      <c r="A24" s="1">
        <v>70</v>
      </c>
      <c r="B24" s="1">
        <v>1</v>
      </c>
    </row>
    <row r="25" spans="1:2" x14ac:dyDescent="0.25">
      <c r="A25" s="1">
        <v>75</v>
      </c>
      <c r="B25" s="1">
        <v>1</v>
      </c>
    </row>
    <row r="26" spans="1:2" x14ac:dyDescent="0.25">
      <c r="A26" s="1">
        <v>80</v>
      </c>
      <c r="B26" s="1">
        <v>1</v>
      </c>
    </row>
    <row r="29" spans="1:2" x14ac:dyDescent="0.25">
      <c r="A29" s="1" t="s">
        <v>8</v>
      </c>
    </row>
    <row r="30" spans="1:2" ht="15.6" x14ac:dyDescent="0.35">
      <c r="A30" s="1" t="s">
        <v>9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2024-11-19T08:58:46Z</dcterms:modified>
</cp:coreProperties>
</file>