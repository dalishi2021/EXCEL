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6\practice\"/>
    </mc:Choice>
  </mc:AlternateContent>
  <xr:revisionPtr revIDLastSave="0" documentId="13_ncr:1_{3986D6EC-D070-4725-9BC4-69983BCC3C0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2" i="1" l="1"/>
  <c r="B31" i="1"/>
  <c r="B18" i="1"/>
  <c r="B17" i="1"/>
  <c r="B15" i="1"/>
  <c r="B19" i="1" s="1"/>
  <c r="B7" i="1"/>
  <c r="C7" i="1"/>
  <c r="B33" i="1" l="1"/>
</calcChain>
</file>

<file path=xl/sharedStrings.xml><?xml version="1.0" encoding="utf-8"?>
<sst xmlns="http://schemas.openxmlformats.org/spreadsheetml/2006/main" count="60" uniqueCount="40">
  <si>
    <t>Formila stock price</t>
  </si>
  <si>
    <t>Option exercise price, X</t>
  </si>
  <si>
    <t>Option exercise time, T</t>
  </si>
  <si>
    <t>&lt;-- years</t>
  </si>
  <si>
    <t>Interest rate, r</t>
  </si>
  <si>
    <t>&lt;-- assumed to be continuously compounded</t>
  </si>
  <si>
    <t>Call price</t>
  </si>
  <si>
    <t>Put price by put-call parity</t>
  </si>
  <si>
    <r>
      <t>Part b</t>
    </r>
    <r>
      <rPr>
        <sz val="10"/>
        <rFont val="Arial"/>
        <family val="2"/>
      </rPr>
      <t>.  If the price of a put is $2, then S + P &lt; C + PV(X)</t>
    </r>
  </si>
  <si>
    <t>This means you should buy S+P and sell C+PV(X).</t>
  </si>
  <si>
    <t>Here are the arbitrage cash flows:</t>
  </si>
  <si>
    <t>Today</t>
  </si>
  <si>
    <t>Cash flow</t>
  </si>
  <si>
    <r>
      <t>Time T, if 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 xml:space="preserve"> &lt; X</t>
    </r>
  </si>
  <si>
    <r>
      <t>Time T, if 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 xml:space="preserve"> &gt; X</t>
    </r>
  </si>
  <si>
    <t>Buy stock</t>
  </si>
  <si>
    <t>Stock</t>
  </si>
  <si>
    <r>
      <t>+S</t>
    </r>
    <r>
      <rPr>
        <vertAlign val="subscript"/>
        <sz val="10"/>
        <rFont val="Arial"/>
        <family val="2"/>
      </rPr>
      <t>T</t>
    </r>
  </si>
  <si>
    <t>Buy put</t>
  </si>
  <si>
    <t>Put payoff</t>
  </si>
  <si>
    <r>
      <t>X-S</t>
    </r>
    <r>
      <rPr>
        <vertAlign val="subscript"/>
        <sz val="10"/>
        <rFont val="Arial"/>
        <family val="2"/>
      </rPr>
      <t>T</t>
    </r>
  </si>
  <si>
    <t xml:space="preserve">Sell call </t>
  </si>
  <si>
    <t>Call payoff</t>
  </si>
  <si>
    <r>
      <t>-(S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 xml:space="preserve"> - X)</t>
    </r>
  </si>
  <si>
    <t>Borrow PV(X)</t>
  </si>
  <si>
    <t>Pay back loan</t>
  </si>
  <si>
    <t>-X</t>
  </si>
  <si>
    <t>Total cash flow</t>
  </si>
  <si>
    <t>Thus this strategy produces positive cash flows today and guaranteed zero cash flows in the future:  Arbitrage!</t>
  </si>
  <si>
    <r>
      <t>Part c</t>
    </r>
    <r>
      <rPr>
        <sz val="10"/>
        <rFont val="Arial"/>
        <family val="2"/>
      </rPr>
      <t>.  If the price of a put is $4, then S + P &gt; C + PV(X)</t>
    </r>
  </si>
  <si>
    <t>This means you should sell S+P and buy C+PV(X).</t>
  </si>
  <si>
    <t>Sell stock</t>
    <phoneticPr fontId="1" type="noConversion"/>
  </si>
  <si>
    <t>Sell put</t>
    <phoneticPr fontId="1" type="noConversion"/>
  </si>
  <si>
    <t xml:space="preserve">Buy call </t>
    <phoneticPr fontId="1" type="noConversion"/>
  </si>
  <si>
    <t>Buy PV(X)</t>
    <phoneticPr fontId="1" type="noConversion"/>
  </si>
  <si>
    <r>
      <t>-S</t>
    </r>
    <r>
      <rPr>
        <vertAlign val="subscript"/>
        <sz val="10"/>
        <rFont val="等线"/>
        <family val="2"/>
        <charset val="134"/>
      </rPr>
      <t>T</t>
    </r>
    <phoneticPr fontId="1" type="noConversion"/>
  </si>
  <si>
    <r>
      <t>-S</t>
    </r>
    <r>
      <rPr>
        <vertAlign val="subscript"/>
        <sz val="10"/>
        <rFont val="Arial"/>
        <family val="2"/>
      </rPr>
      <t>T</t>
    </r>
    <phoneticPr fontId="1" type="noConversion"/>
  </si>
  <si>
    <t>-(X-ST)</t>
    <phoneticPr fontId="1" type="noConversion"/>
  </si>
  <si>
    <t>X</t>
    <phoneticPr fontId="1" type="noConversion"/>
  </si>
  <si>
    <r>
      <t>(S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 xml:space="preserve"> - X)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</si>
</sst>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vertAlign val="subscript"/>
      <sz val="10"/>
      <name val="等线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/>
    <xf numFmtId="10" fontId="0" fillId="0" borderId="0" xfId="0" applyNumberFormat="1" applyAlignment="1"/>
    <xf numFmtId="2" fontId="0" fillId="0" borderId="0" xfId="0" applyNumberFormat="1" applyAlignment="1"/>
    <xf numFmtId="0" fontId="2" fillId="0" borderId="0" xfId="0" applyFont="1" applyAlignment="1"/>
    <xf numFmtId="0" fontId="0" fillId="2" borderId="0" xfId="0" applyFill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312420</xdr:colOff>
      <xdr:row>1</xdr:row>
      <xdr:rowOff>160020</xdr:rowOff>
    </xdr:from>
    <xdr:to>
      <xdr:col>20</xdr:col>
      <xdr:colOff>114300</xdr:colOff>
      <xdr:row>30</xdr:row>
      <xdr:rowOff>168166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C288110D-87D8-572C-5D73-0814F40C25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641080" y="335280"/>
          <a:ext cx="6507480" cy="5257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6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Exercise 5 中文"/>
      <sheetName val="Exercise 6"/>
      <sheetName val="Exercise 6中文"/>
      <sheetName val="Exercise 7"/>
      <sheetName val="Exercise 7中文"/>
      <sheetName val="Exercise 8"/>
      <sheetName val="Exercise 8 中文"/>
      <sheetName val="Exercise 9"/>
      <sheetName val="Exercise 9 中文"/>
      <sheetName val="Exercise 10"/>
      <sheetName val="Exercise 10 中文"/>
      <sheetName val="Exercise 11"/>
      <sheetName val="Exercise 11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F33"/>
  <sheetViews>
    <sheetView tabSelected="1" zoomScale="145" zoomScaleNormal="145" workbookViewId="0">
      <selection activeCell="C24" sqref="C24"/>
    </sheetView>
  </sheetViews>
  <sheetFormatPr defaultRowHeight="13.8" x14ac:dyDescent="0.25"/>
  <cols>
    <col min="1" max="1" width="23.109375" style="1" bestFit="1" customWidth="1"/>
    <col min="2" max="2" width="21.109375" style="1" bestFit="1" customWidth="1"/>
    <col min="3" max="3" width="17.88671875" style="1" customWidth="1"/>
    <col min="4" max="4" width="9.109375" style="1" bestFit="1" customWidth="1"/>
    <col min="5" max="5" width="14.88671875" style="1" bestFit="1" customWidth="1"/>
    <col min="6" max="6" width="8.88671875" style="1"/>
  </cols>
  <sheetData>
    <row r="1" spans="1:6" x14ac:dyDescent="0.25">
      <c r="A1" s="1" t="s">
        <v>0</v>
      </c>
      <c r="B1" s="1">
        <v>38.5</v>
      </c>
    </row>
    <row r="2" spans="1:6" x14ac:dyDescent="0.25">
      <c r="A2" s="1" t="s">
        <v>1</v>
      </c>
      <c r="B2" s="1">
        <v>40</v>
      </c>
    </row>
    <row r="3" spans="1:6" x14ac:dyDescent="0.25">
      <c r="A3" s="1" t="s">
        <v>2</v>
      </c>
      <c r="B3" s="1">
        <v>1</v>
      </c>
      <c r="C3" s="1" t="s">
        <v>3</v>
      </c>
    </row>
    <row r="4" spans="1:6" x14ac:dyDescent="0.25">
      <c r="A4" s="1" t="s">
        <v>4</v>
      </c>
      <c r="B4" s="2">
        <v>4.4999999999999998E-2</v>
      </c>
      <c r="C4" s="1" t="s">
        <v>5</v>
      </c>
    </row>
    <row r="5" spans="1:6" x14ac:dyDescent="0.25">
      <c r="B5" s="2"/>
    </row>
    <row r="6" spans="1:6" x14ac:dyDescent="0.25">
      <c r="A6" s="1" t="s">
        <v>6</v>
      </c>
      <c r="B6" s="3">
        <v>3</v>
      </c>
    </row>
    <row r="7" spans="1:6" x14ac:dyDescent="0.25">
      <c r="A7" s="1" t="s">
        <v>7</v>
      </c>
      <c r="B7" s="3">
        <f>B6+EXP(-B4*B3)*B2-B1</f>
        <v>2.7398992733239993</v>
      </c>
      <c r="C7" s="1" t="str">
        <f ca="1">"&lt;-- P = C + PV(X) - S:  "&amp;[2]!ggetformula(B7)</f>
        <v>&lt;-- P = C + PV(X) - S:  =B6+EXP(-B4*B3)*B2-B1</v>
      </c>
    </row>
    <row r="8" spans="1:6" x14ac:dyDescent="0.25">
      <c r="B8" s="3"/>
    </row>
    <row r="9" spans="1:6" x14ac:dyDescent="0.25">
      <c r="B9" s="3"/>
    </row>
    <row r="10" spans="1:6" x14ac:dyDescent="0.25">
      <c r="A10" s="4" t="s">
        <v>8</v>
      </c>
      <c r="B10" s="3"/>
    </row>
    <row r="11" spans="1:6" x14ac:dyDescent="0.25">
      <c r="A11" s="1" t="s">
        <v>9</v>
      </c>
    </row>
    <row r="12" spans="1:6" x14ac:dyDescent="0.25">
      <c r="A12" s="1" t="s">
        <v>10</v>
      </c>
    </row>
    <row r="14" spans="1:6" ht="15.6" x14ac:dyDescent="0.35">
      <c r="A14" s="1" t="s">
        <v>11</v>
      </c>
      <c r="B14" s="1" t="s">
        <v>12</v>
      </c>
      <c r="C14" s="5" t="s">
        <v>13</v>
      </c>
      <c r="D14" s="5"/>
      <c r="E14" s="5" t="s">
        <v>14</v>
      </c>
      <c r="F14" s="5"/>
    </row>
    <row r="15" spans="1:6" ht="15.6" x14ac:dyDescent="0.35">
      <c r="A15" s="1" t="s">
        <v>15</v>
      </c>
      <c r="B15" s="3">
        <f>-B1</f>
        <v>-38.5</v>
      </c>
      <c r="C15" s="1" t="s">
        <v>16</v>
      </c>
      <c r="D15" s="6" t="s">
        <v>17</v>
      </c>
      <c r="E15" s="1" t="s">
        <v>16</v>
      </c>
      <c r="F15" s="6" t="s">
        <v>17</v>
      </c>
    </row>
    <row r="16" spans="1:6" ht="15.6" x14ac:dyDescent="0.35">
      <c r="A16" s="1" t="s">
        <v>18</v>
      </c>
      <c r="B16" s="3">
        <v>-2</v>
      </c>
      <c r="C16" s="1" t="s">
        <v>19</v>
      </c>
      <c r="D16" s="7" t="s">
        <v>20</v>
      </c>
      <c r="E16" s="1" t="s">
        <v>19</v>
      </c>
      <c r="F16" s="7">
        <v>0</v>
      </c>
    </row>
    <row r="17" spans="1:6" ht="15.6" x14ac:dyDescent="0.35">
      <c r="A17" s="1" t="s">
        <v>21</v>
      </c>
      <c r="B17" s="3">
        <f>B6</f>
        <v>3</v>
      </c>
      <c r="C17" s="1" t="s">
        <v>22</v>
      </c>
      <c r="D17" s="7">
        <v>0</v>
      </c>
      <c r="E17" s="1" t="s">
        <v>22</v>
      </c>
      <c r="F17" s="6" t="s">
        <v>23</v>
      </c>
    </row>
    <row r="18" spans="1:6" x14ac:dyDescent="0.25">
      <c r="A18" s="1" t="s">
        <v>24</v>
      </c>
      <c r="B18" s="3">
        <f>EXP(-B4*B3)*40</f>
        <v>38.239899273323999</v>
      </c>
      <c r="C18" s="1" t="s">
        <v>25</v>
      </c>
      <c r="D18" s="6" t="s">
        <v>26</v>
      </c>
      <c r="E18" s="1" t="s">
        <v>25</v>
      </c>
      <c r="F18" s="6" t="s">
        <v>26</v>
      </c>
    </row>
    <row r="19" spans="1:6" x14ac:dyDescent="0.25">
      <c r="A19" s="1" t="s">
        <v>27</v>
      </c>
      <c r="B19" s="3">
        <f>SUM(B15:B18)</f>
        <v>0.7398992733239993</v>
      </c>
      <c r="D19" s="7">
        <v>0</v>
      </c>
      <c r="F19" s="7">
        <v>0</v>
      </c>
    </row>
    <row r="21" spans="1:6" x14ac:dyDescent="0.25">
      <c r="A21" s="1" t="s">
        <v>28</v>
      </c>
    </row>
    <row r="24" spans="1:6" x14ac:dyDescent="0.25">
      <c r="A24" s="4" t="s">
        <v>29</v>
      </c>
    </row>
    <row r="25" spans="1:6" x14ac:dyDescent="0.25">
      <c r="A25" s="1" t="s">
        <v>30</v>
      </c>
    </row>
    <row r="28" spans="1:6" ht="15.6" x14ac:dyDescent="0.35">
      <c r="A28" s="1" t="s">
        <v>11</v>
      </c>
      <c r="B28" s="1" t="s">
        <v>12</v>
      </c>
      <c r="C28" s="5" t="s">
        <v>13</v>
      </c>
      <c r="D28" s="5"/>
      <c r="E28" s="5" t="s">
        <v>14</v>
      </c>
      <c r="F28" s="5"/>
    </row>
    <row r="29" spans="1:6" ht="15.6" x14ac:dyDescent="0.35">
      <c r="A29" s="1" t="s">
        <v>31</v>
      </c>
      <c r="B29" s="3">
        <v>38.5</v>
      </c>
      <c r="C29" s="1" t="s">
        <v>16</v>
      </c>
      <c r="D29" s="6" t="s">
        <v>35</v>
      </c>
      <c r="E29" s="1" t="s">
        <v>16</v>
      </c>
      <c r="F29" s="6" t="s">
        <v>36</v>
      </c>
    </row>
    <row r="30" spans="1:6" ht="15.6" x14ac:dyDescent="0.35">
      <c r="A30" s="1" t="s">
        <v>32</v>
      </c>
      <c r="B30" s="3">
        <v>4</v>
      </c>
      <c r="C30" s="1" t="s">
        <v>19</v>
      </c>
      <c r="D30" s="6" t="s">
        <v>37</v>
      </c>
      <c r="E30" s="1" t="s">
        <v>19</v>
      </c>
      <c r="F30" s="7">
        <v>0</v>
      </c>
    </row>
    <row r="31" spans="1:6" ht="15.6" x14ac:dyDescent="0.35">
      <c r="A31" s="1" t="s">
        <v>33</v>
      </c>
      <c r="B31" s="3">
        <f>-B17</f>
        <v>-3</v>
      </c>
      <c r="C31" s="1" t="s">
        <v>22</v>
      </c>
      <c r="D31" s="7">
        <v>0</v>
      </c>
      <c r="E31" s="1" t="s">
        <v>22</v>
      </c>
      <c r="F31" s="6" t="s">
        <v>39</v>
      </c>
    </row>
    <row r="32" spans="1:6" x14ac:dyDescent="0.25">
      <c r="A32" s="1" t="s">
        <v>34</v>
      </c>
      <c r="B32" s="3">
        <f>-B18</f>
        <v>-38.239899273323999</v>
      </c>
      <c r="C32" s="1" t="s">
        <v>25</v>
      </c>
      <c r="D32" s="6" t="s">
        <v>38</v>
      </c>
      <c r="E32" s="1" t="s">
        <v>25</v>
      </c>
      <c r="F32" s="6" t="s">
        <v>38</v>
      </c>
    </row>
    <row r="33" spans="1:6" x14ac:dyDescent="0.25">
      <c r="A33" s="1" t="s">
        <v>27</v>
      </c>
      <c r="B33" s="3">
        <f>SUM(B29:B32)</f>
        <v>1.2601007266760007</v>
      </c>
      <c r="D33" s="7">
        <v>0</v>
      </c>
      <c r="F33" s="7">
        <v>0</v>
      </c>
    </row>
  </sheetData>
  <mergeCells count="4">
    <mergeCell ref="C14:D14"/>
    <mergeCell ref="E14:F14"/>
    <mergeCell ref="C28:D28"/>
    <mergeCell ref="E28:F28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2024-11-19T09:06:58Z</dcterms:modified>
</cp:coreProperties>
</file>