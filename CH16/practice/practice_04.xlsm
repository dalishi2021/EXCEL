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56B7F0A5-F2A7-4A01-A328-CE1F9442129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7" i="1" l="1"/>
  <c r="C77" i="1"/>
  <c r="B78" i="1"/>
  <c r="C78" i="1"/>
  <c r="B79" i="1"/>
  <c r="C79" i="1"/>
  <c r="B80" i="1"/>
  <c r="C80" i="1"/>
  <c r="B81" i="1"/>
  <c r="C81" i="1"/>
  <c r="B82" i="1"/>
  <c r="C82" i="1"/>
  <c r="B83" i="1"/>
  <c r="C83" i="1"/>
  <c r="B84" i="1"/>
  <c r="C84" i="1"/>
  <c r="B85" i="1"/>
  <c r="C85" i="1"/>
  <c r="B86" i="1"/>
  <c r="C86" i="1"/>
  <c r="B87" i="1"/>
  <c r="C87" i="1"/>
  <c r="B88" i="1"/>
  <c r="C88" i="1"/>
  <c r="B89" i="1"/>
  <c r="C89" i="1"/>
  <c r="B90" i="1"/>
  <c r="C90" i="1"/>
  <c r="B91" i="1"/>
  <c r="C91" i="1"/>
  <c r="B92" i="1"/>
  <c r="C92" i="1"/>
  <c r="D92" i="1" s="1"/>
  <c r="P26" i="1" s="1"/>
  <c r="B93" i="1"/>
  <c r="C93" i="1"/>
  <c r="B94" i="1"/>
  <c r="C94" i="1"/>
  <c r="B95" i="1"/>
  <c r="C95" i="1"/>
  <c r="D95" i="1" s="1"/>
  <c r="P29" i="1" s="1"/>
  <c r="B96" i="1"/>
  <c r="C96" i="1"/>
  <c r="B97" i="1"/>
  <c r="C97" i="1"/>
  <c r="B98" i="1"/>
  <c r="C98" i="1"/>
  <c r="B99" i="1"/>
  <c r="C99" i="1"/>
  <c r="B100" i="1"/>
  <c r="C100" i="1"/>
  <c r="D100" i="1" s="1"/>
  <c r="P34" i="1" s="1"/>
  <c r="B101" i="1"/>
  <c r="C101" i="1"/>
  <c r="B102" i="1"/>
  <c r="C102" i="1"/>
  <c r="B103" i="1"/>
  <c r="D103" i="1" s="1"/>
  <c r="C103" i="1"/>
  <c r="C76" i="1"/>
  <c r="D76" i="1" s="1"/>
  <c r="P10" i="1" s="1"/>
  <c r="B76" i="1"/>
  <c r="B44" i="1"/>
  <c r="C44" i="1"/>
  <c r="B45" i="1"/>
  <c r="D45" i="1" s="1"/>
  <c r="O12" i="1" s="1"/>
  <c r="C45" i="1"/>
  <c r="B46" i="1"/>
  <c r="C46" i="1"/>
  <c r="B47" i="1"/>
  <c r="C47" i="1"/>
  <c r="B48" i="1"/>
  <c r="C48" i="1"/>
  <c r="B49" i="1"/>
  <c r="C49" i="1"/>
  <c r="B50" i="1"/>
  <c r="C50" i="1"/>
  <c r="B51" i="1"/>
  <c r="C51" i="1"/>
  <c r="D51" i="1" s="1"/>
  <c r="O18" i="1" s="1"/>
  <c r="B52" i="1"/>
  <c r="C52" i="1"/>
  <c r="B53" i="1"/>
  <c r="D53" i="1" s="1"/>
  <c r="O20" i="1" s="1"/>
  <c r="C53" i="1"/>
  <c r="B54" i="1"/>
  <c r="C54" i="1"/>
  <c r="B55" i="1"/>
  <c r="C55" i="1"/>
  <c r="B56" i="1"/>
  <c r="C56" i="1"/>
  <c r="B57" i="1"/>
  <c r="C57" i="1"/>
  <c r="B58" i="1"/>
  <c r="C58" i="1"/>
  <c r="D58" i="1" s="1"/>
  <c r="O25" i="1" s="1"/>
  <c r="B59" i="1"/>
  <c r="C59" i="1"/>
  <c r="D59" i="1" s="1"/>
  <c r="O26" i="1" s="1"/>
  <c r="B60" i="1"/>
  <c r="C60" i="1"/>
  <c r="B61" i="1"/>
  <c r="D61" i="1" s="1"/>
  <c r="O28" i="1" s="1"/>
  <c r="C61" i="1"/>
  <c r="B62" i="1"/>
  <c r="C62" i="1"/>
  <c r="B63" i="1"/>
  <c r="C63" i="1"/>
  <c r="B64" i="1"/>
  <c r="C64" i="1"/>
  <c r="B65" i="1"/>
  <c r="C65" i="1"/>
  <c r="B66" i="1"/>
  <c r="C66" i="1"/>
  <c r="D66" i="1" s="1"/>
  <c r="O33" i="1" s="1"/>
  <c r="B67" i="1"/>
  <c r="C67" i="1"/>
  <c r="D67" i="1" s="1"/>
  <c r="O34" i="1" s="1"/>
  <c r="B68" i="1"/>
  <c r="C68" i="1"/>
  <c r="C43" i="1"/>
  <c r="B43" i="1"/>
  <c r="B11" i="1"/>
  <c r="C11" i="1"/>
  <c r="D11" i="1"/>
  <c r="B12" i="1"/>
  <c r="C12" i="1"/>
  <c r="D12" i="1" s="1"/>
  <c r="N12" i="1" s="1"/>
  <c r="B13" i="1"/>
  <c r="C13" i="1"/>
  <c r="D13" i="1" s="1"/>
  <c r="N13" i="1" s="1"/>
  <c r="B14" i="1"/>
  <c r="C14" i="1"/>
  <c r="D14" i="1"/>
  <c r="B15" i="1"/>
  <c r="C15" i="1"/>
  <c r="D15" i="1" s="1"/>
  <c r="N15" i="1" s="1"/>
  <c r="B16" i="1"/>
  <c r="C16" i="1"/>
  <c r="D16" i="1" s="1"/>
  <c r="N16" i="1" s="1"/>
  <c r="B17" i="1"/>
  <c r="C17" i="1"/>
  <c r="D17" i="1" s="1"/>
  <c r="N17" i="1" s="1"/>
  <c r="B18" i="1"/>
  <c r="C18" i="1"/>
  <c r="D18" i="1" s="1"/>
  <c r="N18" i="1" s="1"/>
  <c r="B19" i="1"/>
  <c r="C19" i="1"/>
  <c r="D19" i="1"/>
  <c r="B20" i="1"/>
  <c r="C20" i="1"/>
  <c r="D20" i="1"/>
  <c r="B21" i="1"/>
  <c r="C21" i="1"/>
  <c r="D21" i="1" s="1"/>
  <c r="N21" i="1" s="1"/>
  <c r="B22" i="1"/>
  <c r="C22" i="1"/>
  <c r="D22" i="1"/>
  <c r="N22" i="1" s="1"/>
  <c r="B23" i="1"/>
  <c r="C23" i="1"/>
  <c r="D23" i="1" s="1"/>
  <c r="N23" i="1" s="1"/>
  <c r="B24" i="1"/>
  <c r="C24" i="1"/>
  <c r="D24" i="1" s="1"/>
  <c r="N24" i="1" s="1"/>
  <c r="B25" i="1"/>
  <c r="C25" i="1"/>
  <c r="D25" i="1"/>
  <c r="N25" i="1" s="1"/>
  <c r="B26" i="1"/>
  <c r="D26" i="1" s="1"/>
  <c r="N26" i="1" s="1"/>
  <c r="C26" i="1"/>
  <c r="B27" i="1"/>
  <c r="C27" i="1"/>
  <c r="D27" i="1"/>
  <c r="B28" i="1"/>
  <c r="D28" i="1" s="1"/>
  <c r="N28" i="1" s="1"/>
  <c r="C28" i="1"/>
  <c r="B29" i="1"/>
  <c r="C29" i="1"/>
  <c r="D29" i="1" s="1"/>
  <c r="B30" i="1"/>
  <c r="C30" i="1"/>
  <c r="D30" i="1"/>
  <c r="N30" i="1" s="1"/>
  <c r="B31" i="1"/>
  <c r="C31" i="1"/>
  <c r="D31" i="1" s="1"/>
  <c r="N31" i="1" s="1"/>
  <c r="B32" i="1"/>
  <c r="D32" i="1" s="1"/>
  <c r="N32" i="1" s="1"/>
  <c r="C32" i="1"/>
  <c r="B33" i="1"/>
  <c r="C33" i="1"/>
  <c r="D33" i="1" s="1"/>
  <c r="N33" i="1" s="1"/>
  <c r="B34" i="1"/>
  <c r="C34" i="1"/>
  <c r="D34" i="1" s="1"/>
  <c r="N34" i="1" s="1"/>
  <c r="B35" i="1"/>
  <c r="C35" i="1"/>
  <c r="D35" i="1"/>
  <c r="B10" i="1"/>
  <c r="D10" i="1" s="1"/>
  <c r="N10" i="1" s="1"/>
  <c r="N27" i="1"/>
  <c r="N19" i="1"/>
  <c r="C10" i="1"/>
  <c r="D102" i="1"/>
  <c r="D101" i="1"/>
  <c r="P35" i="1" s="1"/>
  <c r="D99" i="1"/>
  <c r="P33" i="1" s="1"/>
  <c r="D98" i="1"/>
  <c r="P32" i="1" s="1"/>
  <c r="D97" i="1"/>
  <c r="P31" i="1" s="1"/>
  <c r="D96" i="1"/>
  <c r="P30" i="1" s="1"/>
  <c r="D94" i="1"/>
  <c r="P28" i="1" s="1"/>
  <c r="D93" i="1"/>
  <c r="P27" i="1" s="1"/>
  <c r="D91" i="1"/>
  <c r="P25" i="1" s="1"/>
  <c r="D90" i="1"/>
  <c r="P24" i="1" s="1"/>
  <c r="D89" i="1"/>
  <c r="P23" i="1" s="1"/>
  <c r="D88" i="1"/>
  <c r="P22" i="1" s="1"/>
  <c r="D87" i="1"/>
  <c r="P21" i="1" s="1"/>
  <c r="D86" i="1"/>
  <c r="P20" i="1" s="1"/>
  <c r="D85" i="1"/>
  <c r="P19" i="1" s="1"/>
  <c r="D84" i="1"/>
  <c r="P18" i="1" s="1"/>
  <c r="D83" i="1"/>
  <c r="P17" i="1" s="1"/>
  <c r="D82" i="1"/>
  <c r="P16" i="1" s="1"/>
  <c r="D81" i="1"/>
  <c r="P15" i="1" s="1"/>
  <c r="D80" i="1"/>
  <c r="P14" i="1" s="1"/>
  <c r="D79" i="1"/>
  <c r="P13" i="1" s="1"/>
  <c r="D78" i="1"/>
  <c r="P12" i="1" s="1"/>
  <c r="D77" i="1"/>
  <c r="P11" i="1" s="1"/>
  <c r="D68" i="1"/>
  <c r="O35" i="1" s="1"/>
  <c r="D65" i="1"/>
  <c r="O32" i="1" s="1"/>
  <c r="D64" i="1"/>
  <c r="O31" i="1" s="1"/>
  <c r="D63" i="1"/>
  <c r="O30" i="1" s="1"/>
  <c r="D62" i="1"/>
  <c r="O29" i="1" s="1"/>
  <c r="D60" i="1"/>
  <c r="O27" i="1" s="1"/>
  <c r="D57" i="1"/>
  <c r="O24" i="1" s="1"/>
  <c r="D56" i="1"/>
  <c r="O23" i="1" s="1"/>
  <c r="D55" i="1"/>
  <c r="O22" i="1" s="1"/>
  <c r="D54" i="1"/>
  <c r="O21" i="1" s="1"/>
  <c r="D52" i="1"/>
  <c r="O19" i="1" s="1"/>
  <c r="D50" i="1"/>
  <c r="O17" i="1" s="1"/>
  <c r="D49" i="1"/>
  <c r="O16" i="1" s="1"/>
  <c r="D48" i="1"/>
  <c r="O15" i="1" s="1"/>
  <c r="D47" i="1"/>
  <c r="O14" i="1" s="1"/>
  <c r="D46" i="1"/>
  <c r="O13" i="1" s="1"/>
  <c r="D44" i="1"/>
  <c r="O11" i="1" s="1"/>
  <c r="D43" i="1"/>
  <c r="O10" i="1" s="1"/>
  <c r="N35" i="1"/>
  <c r="N11" i="1"/>
  <c r="N20" i="1" l="1"/>
  <c r="N14" i="1"/>
  <c r="N29" i="1"/>
</calcChain>
</file>

<file path=xl/sharedStrings.xml><?xml version="1.0" encoding="utf-8"?>
<sst xmlns="http://schemas.openxmlformats.org/spreadsheetml/2006/main" count="31" uniqueCount="20">
  <si>
    <t>Put</t>
  </si>
  <si>
    <t>Call</t>
  </si>
  <si>
    <t>4.a.</t>
  </si>
  <si>
    <t>1 put bought and 1 call bought</t>
  </si>
  <si>
    <t>Summary of strategies</t>
  </si>
  <si>
    <r>
      <t>S</t>
    </r>
    <r>
      <rPr>
        <b/>
        <vertAlign val="subscript"/>
        <sz val="10"/>
        <rFont val="Arial"/>
        <family val="2"/>
      </rPr>
      <t>T</t>
    </r>
  </si>
  <si>
    <t>Profit</t>
  </si>
  <si>
    <t>1 Put</t>
  </si>
  <si>
    <t>2 Puts</t>
  </si>
  <si>
    <t>3 Puts</t>
  </si>
  <si>
    <t>4.b.</t>
  </si>
  <si>
    <t>2 puts bought and 1 call bought</t>
  </si>
  <si>
    <t>4.c.</t>
  </si>
  <si>
    <t>3 puts bought and 1 call bought</t>
  </si>
  <si>
    <t>4.d.</t>
  </si>
  <si>
    <t>We get the value by solving:</t>
  </si>
  <si>
    <r>
      <t>Max(0,S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- 60)) -10+Max(0, 50-S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)-6</t>
    </r>
  </si>
  <si>
    <r>
      <t>= Max(0,S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-60))-10+2(Max(0,50-S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)-6))</t>
    </r>
  </si>
  <si>
    <t>=&gt;</t>
  </si>
  <si>
    <r>
      <t>S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 xml:space="preserve"> = 44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</si>
</sst>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\X\ \=\ &quot;60&quot;"/>
    <numFmt numFmtId="177" formatCode="\X\ \=\ &quot;50&quot;"/>
    <numFmt numFmtId="178" formatCode="\P\ \=\ &quot;6&quot;"/>
    <numFmt numFmtId="179" formatCode="\C\ \=\ &quot;10&quot;"/>
    <numFmt numFmtId="180" formatCode="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0" fillId="0" borderId="0" xfId="0" quotePrefix="1" applyAlignment="1"/>
    <xf numFmtId="176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180" fontId="0" fillId="0" borderId="0" xfId="0" applyNumberFormat="1" applyAlignment="1">
      <alignment horizontal="center"/>
    </xf>
  </cellXfs>
  <cellStyles count="1">
    <cellStyle name="常规" xfId="0" builtinId="0"/>
  </cellStyles>
  <dxfs count="2">
    <dxf>
      <font>
        <b/>
        <i val="0"/>
        <color theme="5" tint="0.59996337778862885"/>
      </font>
    </dxf>
    <dxf>
      <font>
        <b/>
        <i val="0"/>
        <color theme="1"/>
      </font>
      <fill>
        <patternFill>
          <bgColor rgb="FFFFC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1 put + 1 call bought</a:t>
            </a:r>
          </a:p>
        </c:rich>
      </c:tx>
      <c:layout>
        <c:manualLayout>
          <c:xMode val="edge"/>
          <c:yMode val="edge"/>
          <c:x val="0.3436024920900036"/>
          <c:y val="4.40679242565999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616149525400215"/>
          <c:y val="0.26440754553959994"/>
          <c:w val="0.67061727766531731"/>
          <c:h val="0.50508620878718447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Sheet1!$B$9</c:f>
              <c:strCache>
                <c:ptCount val="1"/>
                <c:pt idx="0">
                  <c:v>Call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4'!$A$10:$A$35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4'!$B$10:$B$35</c:f>
              <c:numCache>
                <c:formatCode>General</c:formatCode>
                <c:ptCount val="26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-8</c:v>
                </c:pt>
                <c:pt idx="12">
                  <c:v>-6</c:v>
                </c:pt>
                <c:pt idx="13">
                  <c:v>-4</c:v>
                </c:pt>
                <c:pt idx="14">
                  <c:v>-2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6</c:v>
                </c:pt>
                <c:pt idx="19">
                  <c:v>8</c:v>
                </c:pt>
                <c:pt idx="20">
                  <c:v>10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18</c:v>
                </c:pt>
                <c:pt idx="2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3-44A7-A994-AD9122E2FCD6}"/>
            </c:ext>
          </c:extLst>
        </c:ser>
        <c:ser>
          <c:idx val="1"/>
          <c:order val="1"/>
          <c:tx>
            <c:strRef>
              <c:f>Sheet1!$C$9</c:f>
              <c:strCache>
                <c:ptCount val="1"/>
                <c:pt idx="0">
                  <c:v>Put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'[1]Exercise 4'!$A$10:$A$35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4'!$C$10:$C$35</c:f>
              <c:numCache>
                <c:formatCode>General</c:formatCode>
                <c:ptCount val="26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-2</c:v>
                </c:pt>
                <c:pt idx="4">
                  <c:v>-4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-6</c:v>
                </c:pt>
                <c:pt idx="12">
                  <c:v>-6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33-44A7-A994-AD9122E2FCD6}"/>
            </c:ext>
          </c:extLst>
        </c:ser>
        <c:ser>
          <c:idx val="2"/>
          <c:order val="2"/>
          <c:tx>
            <c:strRef>
              <c:f>Sheet1!$D$9</c:f>
              <c:strCache>
                <c:ptCount val="1"/>
                <c:pt idx="0">
                  <c:v>Profit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'[1]Exercise 4'!$A$10:$A$35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4'!$D$10:$D$35</c:f>
              <c:numCache>
                <c:formatCode>General</c:formatCode>
                <c:ptCount val="26"/>
                <c:pt idx="0">
                  <c:v>-6</c:v>
                </c:pt>
                <c:pt idx="1">
                  <c:v>-8</c:v>
                </c:pt>
                <c:pt idx="2">
                  <c:v>-10</c:v>
                </c:pt>
                <c:pt idx="3">
                  <c:v>-12</c:v>
                </c:pt>
                <c:pt idx="4">
                  <c:v>-14</c:v>
                </c:pt>
                <c:pt idx="5">
                  <c:v>-16</c:v>
                </c:pt>
                <c:pt idx="6">
                  <c:v>-16</c:v>
                </c:pt>
                <c:pt idx="7">
                  <c:v>-16</c:v>
                </c:pt>
                <c:pt idx="8">
                  <c:v>-16</c:v>
                </c:pt>
                <c:pt idx="9">
                  <c:v>-16</c:v>
                </c:pt>
                <c:pt idx="10">
                  <c:v>-16</c:v>
                </c:pt>
                <c:pt idx="11">
                  <c:v>-14</c:v>
                </c:pt>
                <c:pt idx="12">
                  <c:v>-12</c:v>
                </c:pt>
                <c:pt idx="13">
                  <c:v>-10</c:v>
                </c:pt>
                <c:pt idx="14">
                  <c:v>-8</c:v>
                </c:pt>
                <c:pt idx="15">
                  <c:v>-6</c:v>
                </c:pt>
                <c:pt idx="16">
                  <c:v>-4</c:v>
                </c:pt>
                <c:pt idx="17">
                  <c:v>-2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  <c:pt idx="24">
                  <c:v>12</c:v>
                </c:pt>
                <c:pt idx="25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33-44A7-A994-AD9122E2F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369880"/>
        <c:axId val="1"/>
      </c:scatterChart>
      <c:valAx>
        <c:axId val="885369880"/>
        <c:scaling>
          <c:orientation val="minMax"/>
          <c:max val="8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38388692219710746"/>
              <c:y val="0.806781997928522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8.7677877291931938E-2"/>
              <c:y val="0.457628444203153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53698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2 Puts bought + 1 Call bought</a:t>
            </a:r>
          </a:p>
        </c:rich>
      </c:tx>
      <c:layout>
        <c:manualLayout>
          <c:xMode val="edge"/>
          <c:yMode val="edge"/>
          <c:x val="0.28275877938598881"/>
          <c:y val="4.31655244880834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49437157325993"/>
          <c:y val="0.25899314692850051"/>
          <c:w val="0.68505785574816802"/>
          <c:h val="0.48920927753161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Sheet1!$B$42</c:f>
              <c:strCache>
                <c:ptCount val="1"/>
                <c:pt idx="0">
                  <c:v>Call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'[1]Exercise 4'!$A$43:$A$68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4'!$B$43:$B$68</c:f>
              <c:numCache>
                <c:formatCode>General</c:formatCode>
                <c:ptCount val="26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-8</c:v>
                </c:pt>
                <c:pt idx="12">
                  <c:v>-6</c:v>
                </c:pt>
                <c:pt idx="13">
                  <c:v>-4</c:v>
                </c:pt>
                <c:pt idx="14">
                  <c:v>-2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6</c:v>
                </c:pt>
                <c:pt idx="19">
                  <c:v>8</c:v>
                </c:pt>
                <c:pt idx="20">
                  <c:v>10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18</c:v>
                </c:pt>
                <c:pt idx="25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2-441F-A71D-B7DFEBFD3C08}"/>
            </c:ext>
          </c:extLst>
        </c:ser>
        <c:ser>
          <c:idx val="1"/>
          <c:order val="1"/>
          <c:tx>
            <c:strRef>
              <c:f>Sheet1!$C$42</c:f>
              <c:strCache>
                <c:ptCount val="1"/>
                <c:pt idx="0">
                  <c:v>Put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'[1]Exercise 4'!$A$43:$A$68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4'!$C$43:$C$68</c:f>
              <c:numCache>
                <c:formatCode>General</c:formatCode>
                <c:ptCount val="26"/>
                <c:pt idx="0">
                  <c:v>8</c:v>
                </c:pt>
                <c:pt idx="1">
                  <c:v>4</c:v>
                </c:pt>
                <c:pt idx="2">
                  <c:v>0</c:v>
                </c:pt>
                <c:pt idx="3">
                  <c:v>-4</c:v>
                </c:pt>
                <c:pt idx="4">
                  <c:v>-8</c:v>
                </c:pt>
                <c:pt idx="5">
                  <c:v>-12</c:v>
                </c:pt>
                <c:pt idx="6">
                  <c:v>-12</c:v>
                </c:pt>
                <c:pt idx="7">
                  <c:v>-12</c:v>
                </c:pt>
                <c:pt idx="8">
                  <c:v>-12</c:v>
                </c:pt>
                <c:pt idx="9">
                  <c:v>-12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  <c:pt idx="14">
                  <c:v>-12</c:v>
                </c:pt>
                <c:pt idx="15">
                  <c:v>-12</c:v>
                </c:pt>
                <c:pt idx="16">
                  <c:v>-12</c:v>
                </c:pt>
                <c:pt idx="17">
                  <c:v>-12</c:v>
                </c:pt>
                <c:pt idx="18">
                  <c:v>-12</c:v>
                </c:pt>
                <c:pt idx="19">
                  <c:v>-12</c:v>
                </c:pt>
                <c:pt idx="20">
                  <c:v>-12</c:v>
                </c:pt>
                <c:pt idx="21">
                  <c:v>-12</c:v>
                </c:pt>
                <c:pt idx="22">
                  <c:v>-12</c:v>
                </c:pt>
                <c:pt idx="23">
                  <c:v>-12</c:v>
                </c:pt>
                <c:pt idx="24">
                  <c:v>-12</c:v>
                </c:pt>
                <c:pt idx="25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72-441F-A71D-B7DFEBFD3C08}"/>
            </c:ext>
          </c:extLst>
        </c:ser>
        <c:ser>
          <c:idx val="2"/>
          <c:order val="2"/>
          <c:tx>
            <c:strRef>
              <c:f>Sheet1!$D$42</c:f>
              <c:strCache>
                <c:ptCount val="1"/>
                <c:pt idx="0">
                  <c:v>Profit</c:v>
                </c:pt>
              </c:strCache>
            </c:strRef>
          </c:tx>
          <c:spPr>
            <a:ln w="19050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'[1]Exercise 4'!$A$43:$A$68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'[1]Exercise 4'!$D$43:$D$68</c:f>
              <c:numCache>
                <c:formatCode>General</c:formatCode>
                <c:ptCount val="26"/>
                <c:pt idx="0">
                  <c:v>-2</c:v>
                </c:pt>
                <c:pt idx="1">
                  <c:v>-6</c:v>
                </c:pt>
                <c:pt idx="2">
                  <c:v>-10</c:v>
                </c:pt>
                <c:pt idx="3">
                  <c:v>-14</c:v>
                </c:pt>
                <c:pt idx="4">
                  <c:v>-18</c:v>
                </c:pt>
                <c:pt idx="5">
                  <c:v>-22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-22</c:v>
                </c:pt>
                <c:pt idx="11">
                  <c:v>-20</c:v>
                </c:pt>
                <c:pt idx="12">
                  <c:v>-18</c:v>
                </c:pt>
                <c:pt idx="13">
                  <c:v>-16</c:v>
                </c:pt>
                <c:pt idx="14">
                  <c:v>-14</c:v>
                </c:pt>
                <c:pt idx="15">
                  <c:v>-12</c:v>
                </c:pt>
                <c:pt idx="16">
                  <c:v>-10</c:v>
                </c:pt>
                <c:pt idx="17">
                  <c:v>-8</c:v>
                </c:pt>
                <c:pt idx="18">
                  <c:v>-6</c:v>
                </c:pt>
                <c:pt idx="19">
                  <c:v>-4</c:v>
                </c:pt>
                <c:pt idx="20">
                  <c:v>-2</c:v>
                </c:pt>
                <c:pt idx="21">
                  <c:v>0</c:v>
                </c:pt>
                <c:pt idx="22">
                  <c:v>2</c:v>
                </c:pt>
                <c:pt idx="23">
                  <c:v>4</c:v>
                </c:pt>
                <c:pt idx="24">
                  <c:v>6</c:v>
                </c:pt>
                <c:pt idx="2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72-441F-A71D-B7DFEBFD3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368080"/>
        <c:axId val="1"/>
      </c:scatterChart>
      <c:valAx>
        <c:axId val="885368080"/>
        <c:scaling>
          <c:orientation val="minMax"/>
          <c:max val="80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Stock price at time T, 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40229907636217921"/>
              <c:y val="0.78777082190752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9.6551778326923007E-2"/>
              <c:y val="0.4424466260028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8536808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Profit for 3 Puts + 1 Call</a:t>
            </a:r>
          </a:p>
        </c:rich>
      </c:tx>
      <c:layout>
        <c:manualLayout>
          <c:xMode val="edge"/>
          <c:yMode val="edge"/>
          <c:x val="0.29866686111123769"/>
          <c:y val="4.513904194824879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533349305565955"/>
          <c:y val="0.26041754970143532"/>
          <c:w val="0.64266708506971681"/>
          <c:h val="0.6180576512914065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Sheet1!$B$75</c:f>
              <c:strCache>
                <c:ptCount val="1"/>
                <c:pt idx="0">
                  <c:v>Call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Sheet1!$A$76:$A$103</c:f>
              <c:numCache>
                <c:formatCode>General</c:formatCode>
                <c:ptCount val="28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  <c:pt idx="26">
                  <c:v>92</c:v>
                </c:pt>
                <c:pt idx="27">
                  <c:v>94</c:v>
                </c:pt>
              </c:numCache>
            </c:numRef>
          </c:xVal>
          <c:yVal>
            <c:numRef>
              <c:f>Sheet1!$B$76:$B$103</c:f>
              <c:numCache>
                <c:formatCode>0_ </c:formatCode>
                <c:ptCount val="28"/>
                <c:pt idx="0">
                  <c:v>-10</c:v>
                </c:pt>
                <c:pt idx="1">
                  <c:v>-10</c:v>
                </c:pt>
                <c:pt idx="2">
                  <c:v>-10</c:v>
                </c:pt>
                <c:pt idx="3">
                  <c:v>-10</c:v>
                </c:pt>
                <c:pt idx="4">
                  <c:v>-10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-10</c:v>
                </c:pt>
                <c:pt idx="11">
                  <c:v>-8</c:v>
                </c:pt>
                <c:pt idx="12">
                  <c:v>-6</c:v>
                </c:pt>
                <c:pt idx="13">
                  <c:v>-4</c:v>
                </c:pt>
                <c:pt idx="14">
                  <c:v>-2</c:v>
                </c:pt>
                <c:pt idx="15">
                  <c:v>0</c:v>
                </c:pt>
                <c:pt idx="16">
                  <c:v>2</c:v>
                </c:pt>
                <c:pt idx="17">
                  <c:v>4</c:v>
                </c:pt>
                <c:pt idx="18">
                  <c:v>6</c:v>
                </c:pt>
                <c:pt idx="19">
                  <c:v>8</c:v>
                </c:pt>
                <c:pt idx="20">
                  <c:v>10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18</c:v>
                </c:pt>
                <c:pt idx="25">
                  <c:v>20</c:v>
                </c:pt>
                <c:pt idx="26">
                  <c:v>22</c:v>
                </c:pt>
                <c:pt idx="27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A-4DA3-ADBC-C7B0E3BC5928}"/>
            </c:ext>
          </c:extLst>
        </c:ser>
        <c:ser>
          <c:idx val="1"/>
          <c:order val="1"/>
          <c:tx>
            <c:strRef>
              <c:f>Sheet1!$C$75</c:f>
              <c:strCache>
                <c:ptCount val="1"/>
                <c:pt idx="0">
                  <c:v>Put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Sheet1!$A$76:$A$103</c:f>
              <c:numCache>
                <c:formatCode>General</c:formatCode>
                <c:ptCount val="28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  <c:pt idx="26">
                  <c:v>92</c:v>
                </c:pt>
                <c:pt idx="27">
                  <c:v>94</c:v>
                </c:pt>
              </c:numCache>
            </c:numRef>
          </c:xVal>
          <c:yVal>
            <c:numRef>
              <c:f>Sheet1!$C$76:$C$103</c:f>
              <c:numCache>
                <c:formatCode>0_ </c:formatCode>
                <c:ptCount val="28"/>
                <c:pt idx="0">
                  <c:v>12</c:v>
                </c:pt>
                <c:pt idx="1">
                  <c:v>6</c:v>
                </c:pt>
                <c:pt idx="2">
                  <c:v>0</c:v>
                </c:pt>
                <c:pt idx="3">
                  <c:v>-6</c:v>
                </c:pt>
                <c:pt idx="4">
                  <c:v>-12</c:v>
                </c:pt>
                <c:pt idx="5">
                  <c:v>-18</c:v>
                </c:pt>
                <c:pt idx="6">
                  <c:v>-18</c:v>
                </c:pt>
                <c:pt idx="7">
                  <c:v>-18</c:v>
                </c:pt>
                <c:pt idx="8">
                  <c:v>-18</c:v>
                </c:pt>
                <c:pt idx="9">
                  <c:v>-18</c:v>
                </c:pt>
                <c:pt idx="10">
                  <c:v>-18</c:v>
                </c:pt>
                <c:pt idx="11">
                  <c:v>-18</c:v>
                </c:pt>
                <c:pt idx="12">
                  <c:v>-18</c:v>
                </c:pt>
                <c:pt idx="13">
                  <c:v>-18</c:v>
                </c:pt>
                <c:pt idx="14">
                  <c:v>-18</c:v>
                </c:pt>
                <c:pt idx="15">
                  <c:v>-18</c:v>
                </c:pt>
                <c:pt idx="16">
                  <c:v>-18</c:v>
                </c:pt>
                <c:pt idx="17">
                  <c:v>-18</c:v>
                </c:pt>
                <c:pt idx="18">
                  <c:v>-18</c:v>
                </c:pt>
                <c:pt idx="19">
                  <c:v>-18</c:v>
                </c:pt>
                <c:pt idx="20">
                  <c:v>-18</c:v>
                </c:pt>
                <c:pt idx="21">
                  <c:v>-18</c:v>
                </c:pt>
                <c:pt idx="22">
                  <c:v>-18</c:v>
                </c:pt>
                <c:pt idx="23">
                  <c:v>-18</c:v>
                </c:pt>
                <c:pt idx="24">
                  <c:v>-18</c:v>
                </c:pt>
                <c:pt idx="25">
                  <c:v>-18</c:v>
                </c:pt>
                <c:pt idx="26">
                  <c:v>-18</c:v>
                </c:pt>
                <c:pt idx="27">
                  <c:v>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5A-4DA3-ADBC-C7B0E3BC5928}"/>
            </c:ext>
          </c:extLst>
        </c:ser>
        <c:ser>
          <c:idx val="2"/>
          <c:order val="2"/>
          <c:tx>
            <c:strRef>
              <c:f>Sheet1!$D$75</c:f>
              <c:strCache>
                <c:ptCount val="1"/>
                <c:pt idx="0">
                  <c:v>Profit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Sheet1!$A$76:$A$103</c:f>
              <c:numCache>
                <c:formatCode>General</c:formatCode>
                <c:ptCount val="28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  <c:pt idx="26">
                  <c:v>92</c:v>
                </c:pt>
                <c:pt idx="27">
                  <c:v>94</c:v>
                </c:pt>
              </c:numCache>
            </c:numRef>
          </c:xVal>
          <c:yVal>
            <c:numRef>
              <c:f>Sheet1!$D$76:$D$103</c:f>
              <c:numCache>
                <c:formatCode>General</c:formatCode>
                <c:ptCount val="28"/>
                <c:pt idx="0">
                  <c:v>2</c:v>
                </c:pt>
                <c:pt idx="1">
                  <c:v>-4</c:v>
                </c:pt>
                <c:pt idx="2">
                  <c:v>-10</c:v>
                </c:pt>
                <c:pt idx="3">
                  <c:v>-16</c:v>
                </c:pt>
                <c:pt idx="4">
                  <c:v>-22</c:v>
                </c:pt>
                <c:pt idx="5">
                  <c:v>-28</c:v>
                </c:pt>
                <c:pt idx="6">
                  <c:v>-28</c:v>
                </c:pt>
                <c:pt idx="7">
                  <c:v>-28</c:v>
                </c:pt>
                <c:pt idx="8">
                  <c:v>-28</c:v>
                </c:pt>
                <c:pt idx="9">
                  <c:v>-28</c:v>
                </c:pt>
                <c:pt idx="10">
                  <c:v>-28</c:v>
                </c:pt>
                <c:pt idx="11">
                  <c:v>-26</c:v>
                </c:pt>
                <c:pt idx="12">
                  <c:v>-24</c:v>
                </c:pt>
                <c:pt idx="13">
                  <c:v>-22</c:v>
                </c:pt>
                <c:pt idx="14">
                  <c:v>-20</c:v>
                </c:pt>
                <c:pt idx="15">
                  <c:v>-18</c:v>
                </c:pt>
                <c:pt idx="16">
                  <c:v>-16</c:v>
                </c:pt>
                <c:pt idx="17">
                  <c:v>-14</c:v>
                </c:pt>
                <c:pt idx="18">
                  <c:v>-12</c:v>
                </c:pt>
                <c:pt idx="19">
                  <c:v>-10</c:v>
                </c:pt>
                <c:pt idx="20">
                  <c:v>-8</c:v>
                </c:pt>
                <c:pt idx="21">
                  <c:v>-6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2</c:v>
                </c:pt>
                <c:pt idx="26">
                  <c:v>4</c:v>
                </c:pt>
                <c:pt idx="27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5A-4DA3-ADBC-C7B0E3BC5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037360"/>
        <c:axId val="1"/>
      </c:scatterChart>
      <c:valAx>
        <c:axId val="825037360"/>
        <c:scaling>
          <c:orientation val="minMax"/>
          <c:max val="80"/>
          <c:min val="3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0.11200007291671413"/>
              <c:y val="0.51041839741481332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825037360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 sz="1200"/>
              <a:t>All 3 strategies--note common crossing point</a:t>
            </a:r>
          </a:p>
        </c:rich>
      </c:tx>
      <c:layout>
        <c:manualLayout>
          <c:xMode val="edge"/>
          <c:yMode val="edge"/>
          <c:x val="0.21444712987107106"/>
          <c:y val="5.164342926308163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41093971347347"/>
          <c:y val="0.24882743190393883"/>
          <c:w val="0.66817210991407416"/>
          <c:h val="0.535213721453755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Sheet1!$N$9</c:f>
              <c:strCache>
                <c:ptCount val="1"/>
                <c:pt idx="0">
                  <c:v>1 Put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Sheet1!$M$10:$M$35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Sheet1!$N$10:$N$35</c:f>
              <c:numCache>
                <c:formatCode>General</c:formatCode>
                <c:ptCount val="26"/>
                <c:pt idx="0">
                  <c:v>-6</c:v>
                </c:pt>
                <c:pt idx="1">
                  <c:v>-8</c:v>
                </c:pt>
                <c:pt idx="2">
                  <c:v>-10</c:v>
                </c:pt>
                <c:pt idx="3">
                  <c:v>-12</c:v>
                </c:pt>
                <c:pt idx="4">
                  <c:v>-14</c:v>
                </c:pt>
                <c:pt idx="5">
                  <c:v>-16</c:v>
                </c:pt>
                <c:pt idx="6">
                  <c:v>-16</c:v>
                </c:pt>
                <c:pt idx="7">
                  <c:v>-16</c:v>
                </c:pt>
                <c:pt idx="8">
                  <c:v>-16</c:v>
                </c:pt>
                <c:pt idx="9">
                  <c:v>-16</c:v>
                </c:pt>
                <c:pt idx="10">
                  <c:v>-16</c:v>
                </c:pt>
                <c:pt idx="11">
                  <c:v>-14</c:v>
                </c:pt>
                <c:pt idx="12">
                  <c:v>-12</c:v>
                </c:pt>
                <c:pt idx="13">
                  <c:v>-10</c:v>
                </c:pt>
                <c:pt idx="14">
                  <c:v>-8</c:v>
                </c:pt>
                <c:pt idx="15">
                  <c:v>-6</c:v>
                </c:pt>
                <c:pt idx="16">
                  <c:v>-4</c:v>
                </c:pt>
                <c:pt idx="17">
                  <c:v>-2</c:v>
                </c:pt>
                <c:pt idx="18">
                  <c:v>0</c:v>
                </c:pt>
                <c:pt idx="19">
                  <c:v>2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10</c:v>
                </c:pt>
                <c:pt idx="24">
                  <c:v>12</c:v>
                </c:pt>
                <c:pt idx="25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C5-4946-8ADA-D7704A18CF83}"/>
            </c:ext>
          </c:extLst>
        </c:ser>
        <c:ser>
          <c:idx val="1"/>
          <c:order val="1"/>
          <c:tx>
            <c:strRef>
              <c:f>Sheet1!$O$9</c:f>
              <c:strCache>
                <c:ptCount val="1"/>
                <c:pt idx="0">
                  <c:v>2 Puts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Sheet1!$M$10:$M$35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Sheet1!$O$10:$O$35</c:f>
              <c:numCache>
                <c:formatCode>General</c:formatCode>
                <c:ptCount val="26"/>
                <c:pt idx="0">
                  <c:v>-2</c:v>
                </c:pt>
                <c:pt idx="1">
                  <c:v>-6</c:v>
                </c:pt>
                <c:pt idx="2">
                  <c:v>-10</c:v>
                </c:pt>
                <c:pt idx="3">
                  <c:v>-14</c:v>
                </c:pt>
                <c:pt idx="4">
                  <c:v>-18</c:v>
                </c:pt>
                <c:pt idx="5">
                  <c:v>-22</c:v>
                </c:pt>
                <c:pt idx="6">
                  <c:v>-22</c:v>
                </c:pt>
                <c:pt idx="7">
                  <c:v>-22</c:v>
                </c:pt>
                <c:pt idx="8">
                  <c:v>-22</c:v>
                </c:pt>
                <c:pt idx="9">
                  <c:v>-22</c:v>
                </c:pt>
                <c:pt idx="10">
                  <c:v>-22</c:v>
                </c:pt>
                <c:pt idx="11">
                  <c:v>-20</c:v>
                </c:pt>
                <c:pt idx="12">
                  <c:v>-18</c:v>
                </c:pt>
                <c:pt idx="13">
                  <c:v>-16</c:v>
                </c:pt>
                <c:pt idx="14">
                  <c:v>-14</c:v>
                </c:pt>
                <c:pt idx="15">
                  <c:v>-12</c:v>
                </c:pt>
                <c:pt idx="16">
                  <c:v>-10</c:v>
                </c:pt>
                <c:pt idx="17">
                  <c:v>-8</c:v>
                </c:pt>
                <c:pt idx="18">
                  <c:v>-6</c:v>
                </c:pt>
                <c:pt idx="19">
                  <c:v>-4</c:v>
                </c:pt>
                <c:pt idx="20">
                  <c:v>-2</c:v>
                </c:pt>
                <c:pt idx="21">
                  <c:v>0</c:v>
                </c:pt>
                <c:pt idx="22">
                  <c:v>2</c:v>
                </c:pt>
                <c:pt idx="23">
                  <c:v>4</c:v>
                </c:pt>
                <c:pt idx="24">
                  <c:v>6</c:v>
                </c:pt>
                <c:pt idx="25">
                  <c:v>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C5-4946-8ADA-D7704A18CF83}"/>
            </c:ext>
          </c:extLst>
        </c:ser>
        <c:ser>
          <c:idx val="2"/>
          <c:order val="2"/>
          <c:tx>
            <c:strRef>
              <c:f>Sheet1!$P$9</c:f>
              <c:strCache>
                <c:ptCount val="1"/>
                <c:pt idx="0">
                  <c:v>3 Puts</c:v>
                </c:pt>
              </c:strCache>
            </c:strRef>
          </c:tx>
          <c:spPr>
            <a:ln w="19050">
              <a:solidFill>
                <a:srgbClr val="00B05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Sheet1!$M$10:$M$35</c:f>
              <c:numCache>
                <c:formatCode>General</c:formatCode>
                <c:ptCount val="26"/>
                <c:pt idx="0">
                  <c:v>40</c:v>
                </c:pt>
                <c:pt idx="1">
                  <c:v>42</c:v>
                </c:pt>
                <c:pt idx="2">
                  <c:v>44</c:v>
                </c:pt>
                <c:pt idx="3">
                  <c:v>46</c:v>
                </c:pt>
                <c:pt idx="4">
                  <c:v>48</c:v>
                </c:pt>
                <c:pt idx="5">
                  <c:v>50</c:v>
                </c:pt>
                <c:pt idx="6">
                  <c:v>52</c:v>
                </c:pt>
                <c:pt idx="7">
                  <c:v>54</c:v>
                </c:pt>
                <c:pt idx="8">
                  <c:v>56</c:v>
                </c:pt>
                <c:pt idx="9">
                  <c:v>58</c:v>
                </c:pt>
                <c:pt idx="10">
                  <c:v>60</c:v>
                </c:pt>
                <c:pt idx="11">
                  <c:v>62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70</c:v>
                </c:pt>
                <c:pt idx="16">
                  <c:v>72</c:v>
                </c:pt>
                <c:pt idx="17">
                  <c:v>74</c:v>
                </c:pt>
                <c:pt idx="18">
                  <c:v>76</c:v>
                </c:pt>
                <c:pt idx="19">
                  <c:v>78</c:v>
                </c:pt>
                <c:pt idx="20">
                  <c:v>80</c:v>
                </c:pt>
                <c:pt idx="21">
                  <c:v>82</c:v>
                </c:pt>
                <c:pt idx="22">
                  <c:v>84</c:v>
                </c:pt>
                <c:pt idx="23">
                  <c:v>86</c:v>
                </c:pt>
                <c:pt idx="24">
                  <c:v>88</c:v>
                </c:pt>
                <c:pt idx="25">
                  <c:v>90</c:v>
                </c:pt>
              </c:numCache>
            </c:numRef>
          </c:xVal>
          <c:yVal>
            <c:numRef>
              <c:f>Sheet1!$P$10:$P$35</c:f>
              <c:numCache>
                <c:formatCode>General</c:formatCode>
                <c:ptCount val="26"/>
                <c:pt idx="0">
                  <c:v>2</c:v>
                </c:pt>
                <c:pt idx="1">
                  <c:v>-4</c:v>
                </c:pt>
                <c:pt idx="2">
                  <c:v>-10</c:v>
                </c:pt>
                <c:pt idx="3">
                  <c:v>-16</c:v>
                </c:pt>
                <c:pt idx="4">
                  <c:v>-22</c:v>
                </c:pt>
                <c:pt idx="5">
                  <c:v>-28</c:v>
                </c:pt>
                <c:pt idx="6">
                  <c:v>-28</c:v>
                </c:pt>
                <c:pt idx="7">
                  <c:v>-28</c:v>
                </c:pt>
                <c:pt idx="8">
                  <c:v>-28</c:v>
                </c:pt>
                <c:pt idx="9">
                  <c:v>-28</c:v>
                </c:pt>
                <c:pt idx="10">
                  <c:v>-28</c:v>
                </c:pt>
                <c:pt idx="11">
                  <c:v>-26</c:v>
                </c:pt>
                <c:pt idx="12">
                  <c:v>-24</c:v>
                </c:pt>
                <c:pt idx="13">
                  <c:v>-22</c:v>
                </c:pt>
                <c:pt idx="14">
                  <c:v>-20</c:v>
                </c:pt>
                <c:pt idx="15">
                  <c:v>-18</c:v>
                </c:pt>
                <c:pt idx="16">
                  <c:v>-16</c:v>
                </c:pt>
                <c:pt idx="17">
                  <c:v>-14</c:v>
                </c:pt>
                <c:pt idx="18">
                  <c:v>-12</c:v>
                </c:pt>
                <c:pt idx="19">
                  <c:v>-10</c:v>
                </c:pt>
                <c:pt idx="20">
                  <c:v>-8</c:v>
                </c:pt>
                <c:pt idx="21">
                  <c:v>-6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C5-4946-8ADA-D7704A18C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61488"/>
        <c:axId val="1"/>
      </c:scatterChart>
      <c:valAx>
        <c:axId val="350661488"/>
        <c:scaling>
          <c:orientation val="minMax"/>
          <c:min val="4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44469562720632633"/>
              <c:y val="0.816905153797836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4.2889425974214211E-2"/>
              <c:y val="0.436621720133326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350661488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2023121387283238"/>
          <c:y val="0.79169246429747608"/>
          <c:w val="0.47789705477566752"/>
          <c:h val="0.177889284751953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23</xdr:row>
      <xdr:rowOff>167640</xdr:rowOff>
    </xdr:from>
    <xdr:to>
      <xdr:col>12</xdr:col>
      <xdr:colOff>278130</xdr:colOff>
      <xdr:row>42</xdr:row>
      <xdr:rowOff>17145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61BDA99-A02F-4F94-850A-EAB82581C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238125</xdr:colOff>
      <xdr:row>44</xdr:row>
      <xdr:rowOff>28574</xdr:rowOff>
    </xdr:from>
    <xdr:to>
      <xdr:col>12</xdr:col>
      <xdr:colOff>304800</xdr:colOff>
      <xdr:row>63</xdr:row>
      <xdr:rowOff>38099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DC0AD1F-8853-4394-8993-A9A0BC769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209550</xdr:colOff>
      <xdr:row>79</xdr:row>
      <xdr:rowOff>38099</xdr:rowOff>
    </xdr:from>
    <xdr:to>
      <xdr:col>12</xdr:col>
      <xdr:colOff>419100</xdr:colOff>
      <xdr:row>101</xdr:row>
      <xdr:rowOff>85724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FF25C4A-6472-41CF-AC26-790F502E58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47625</xdr:colOff>
      <xdr:row>7</xdr:row>
      <xdr:rowOff>28576</xdr:rowOff>
    </xdr:from>
    <xdr:to>
      <xdr:col>12</xdr:col>
      <xdr:colOff>255270</xdr:colOff>
      <xdr:row>23</xdr:row>
      <xdr:rowOff>38101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246C074A-DCE5-414C-A665-7F07AA4509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190500</xdr:colOff>
      <xdr:row>3</xdr:row>
      <xdr:rowOff>66675</xdr:rowOff>
    </xdr:from>
    <xdr:to>
      <xdr:col>37</xdr:col>
      <xdr:colOff>320040</xdr:colOff>
      <xdr:row>139</xdr:row>
      <xdr:rowOff>55245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1772378E-FE9A-6DFF-BDC8-7071AF691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10668000" y="581025"/>
          <a:ext cx="12315825" cy="23460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0.51776</cdr:x>
      <cdr:y>0.34772</cdr:y>
    </cdr:from>
    <cdr:to>
      <cdr:x>1</cdr:x>
      <cdr:y>0.51659</cdr:y>
    </cdr:to>
    <cdr:sp macro="" textlink="">
      <cdr:nvSpPr>
        <cdr:cNvPr id="2050" name="Text 2">
          <a:extLst xmlns:a="http://schemas.openxmlformats.org/drawingml/2006/main">
            <a:ext uri="{FF2B5EF4-FFF2-40B4-BE49-F238E27FC236}">
              <a16:creationId xmlns:a16="http://schemas.microsoft.com/office/drawing/2014/main" id="{237C830F-8B85-C6E4-2DBE-F6182ABEF658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49670" y="1092311"/>
          <a:ext cx="2374755" cy="53047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 call bought</a:t>
          </a:r>
        </a:p>
      </cdr:txBody>
    </cdr:sp>
  </cdr:relSizeAnchor>
  <cdr:relSizeAnchor xmlns:cdr="http://schemas.openxmlformats.org/drawingml/2006/chartDrawing">
    <cdr:from>
      <cdr:x>0.25634</cdr:x>
      <cdr:y>0.41426</cdr:y>
    </cdr:from>
    <cdr:to>
      <cdr:x>0.72215</cdr:x>
      <cdr:y>0.57312</cdr:y>
    </cdr:to>
    <cdr:sp macro="" textlink="">
      <cdr:nvSpPr>
        <cdr:cNvPr id="2051" name="Text 3">
          <a:extLst xmlns:a="http://schemas.openxmlformats.org/drawingml/2006/main">
            <a:ext uri="{FF2B5EF4-FFF2-40B4-BE49-F238E27FC236}">
              <a16:creationId xmlns:a16="http://schemas.microsoft.com/office/drawing/2014/main" id="{04140E4F-734C-4523-B8E5-0E312001E85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712" y="931824"/>
          <a:ext cx="1501412" cy="35831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 put bought</a:t>
          </a:r>
        </a:p>
      </cdr:txBody>
    </cdr:sp>
  </cdr:relSizeAnchor>
  <cdr:relSizeAnchor xmlns:cdr="http://schemas.openxmlformats.org/drawingml/2006/chartDrawing">
    <cdr:from>
      <cdr:x>0.22107</cdr:x>
      <cdr:y>0.74825</cdr:y>
    </cdr:from>
    <cdr:to>
      <cdr:x>0.70331</cdr:x>
      <cdr:y>0.91712</cdr:y>
    </cdr:to>
    <cdr:sp macro="" textlink="">
      <cdr:nvSpPr>
        <cdr:cNvPr id="2" name="Text 2">
          <a:extLst xmlns:a="http://schemas.openxmlformats.org/drawingml/2006/main">
            <a:ext uri="{FF2B5EF4-FFF2-40B4-BE49-F238E27FC236}">
              <a16:creationId xmlns:a16="http://schemas.microsoft.com/office/drawing/2014/main" id="{6196540F-151C-1D64-617A-5842D2A15321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89045" y="2346233"/>
          <a:ext cx="2375673" cy="5295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 call bought </a:t>
          </a: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+ 1 put bought</a:t>
          </a:r>
          <a:endParaRPr lang="zh-CN" altLang="en-US" sz="800" b="0" i="0" u="none" strike="noStrike" baseline="0">
            <a:solidFill>
              <a:srgbClr val="000000"/>
            </a:solidFill>
            <a:latin typeface="Arial"/>
            <a:cs typeface="Arial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0.55042</cdr:x>
      <cdr:y>0.37249</cdr:y>
    </cdr:from>
    <cdr:to>
      <cdr:x>1</cdr:x>
      <cdr:y>0.54084</cdr:y>
    </cdr:to>
    <cdr:sp macro="" textlink="">
      <cdr:nvSpPr>
        <cdr:cNvPr id="3075" name="Text 3">
          <a:extLst xmlns:a="http://schemas.openxmlformats.org/drawingml/2006/main">
            <a:ext uri="{FF2B5EF4-FFF2-40B4-BE49-F238E27FC236}">
              <a16:creationId xmlns:a16="http://schemas.microsoft.com/office/drawing/2014/main" id="{C6505FDE-350E-9CAF-BBE4-8C65AF83771A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3535" y="789359"/>
          <a:ext cx="1493665" cy="35792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 call bought</a:t>
          </a:r>
        </a:p>
      </cdr:txBody>
    </cdr:sp>
  </cdr:relSizeAnchor>
  <cdr:relSizeAnchor xmlns:cdr="http://schemas.openxmlformats.org/drawingml/2006/chartDrawing">
    <cdr:from>
      <cdr:x>0.23065</cdr:x>
      <cdr:y>0.34293</cdr:y>
    </cdr:from>
    <cdr:to>
      <cdr:x>0.68023</cdr:x>
      <cdr:y>0.51128</cdr:y>
    </cdr:to>
    <cdr:sp macro="" textlink="">
      <cdr:nvSpPr>
        <cdr:cNvPr id="2" name="Text 3">
          <a:extLst xmlns:a="http://schemas.openxmlformats.org/drawingml/2006/main">
            <a:ext uri="{FF2B5EF4-FFF2-40B4-BE49-F238E27FC236}">
              <a16:creationId xmlns:a16="http://schemas.microsoft.com/office/drawing/2014/main" id="{D7569203-AF37-670C-C9A7-002E3C527E3C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955675" y="908050"/>
          <a:ext cx="1862779" cy="4457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wrap="square" lIns="27432" tIns="22860" rIns="0" bIns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n-US" altLang="zh-CN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put</a:t>
          </a: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bought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0.403</cdr:x>
      <cdr:y>0.41912</cdr:y>
    </cdr:from>
    <cdr:to>
      <cdr:x>0.92699</cdr:x>
      <cdr:y>0.58183</cdr:y>
    </cdr:to>
    <cdr:sp macro="" textlink="">
      <cdr:nvSpPr>
        <cdr:cNvPr id="4097" name="Text 1">
          <a:extLst xmlns:a="http://schemas.openxmlformats.org/drawingml/2006/main">
            <a:ext uri="{FF2B5EF4-FFF2-40B4-BE49-F238E27FC236}">
              <a16:creationId xmlns:a16="http://schemas.microsoft.com/office/drawing/2014/main" id="{BFB42220-EC7B-F2D3-41ED-CEB749CA60E6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52107" y="920433"/>
          <a:ext cx="1501281" cy="35833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3 puts bought</a:t>
          </a:r>
        </a:p>
      </cdr:txBody>
    </cdr:sp>
  </cdr:relSizeAnchor>
  <cdr:relSizeAnchor xmlns:cdr="http://schemas.openxmlformats.org/drawingml/2006/chartDrawing">
    <cdr:from>
      <cdr:x>0</cdr:x>
      <cdr:y>0.81637</cdr:y>
    </cdr:from>
    <cdr:to>
      <cdr:x>1</cdr:x>
      <cdr:y>0.97909</cdr:y>
    </cdr:to>
    <cdr:sp macro="" textlink="">
      <cdr:nvSpPr>
        <cdr:cNvPr id="4098" name="Text 2">
          <a:extLst xmlns:a="http://schemas.openxmlformats.org/drawingml/2006/main">
            <a:ext uri="{FF2B5EF4-FFF2-40B4-BE49-F238E27FC236}">
              <a16:creationId xmlns:a16="http://schemas.microsoft.com/office/drawing/2014/main" id="{3398DBB0-6B3D-BFF8-C677-8B370C7C2F7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3119701"/>
          <a:ext cx="5090160" cy="6218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3 puts bought + 1 call bought</a:t>
          </a:r>
        </a:p>
      </cdr:txBody>
    </cdr:sp>
  </cdr:relSizeAnchor>
  <cdr:relSizeAnchor xmlns:cdr="http://schemas.openxmlformats.org/drawingml/2006/chartDrawing">
    <cdr:from>
      <cdr:x>0.36698</cdr:x>
      <cdr:y>0.31352</cdr:y>
    </cdr:from>
    <cdr:to>
      <cdr:x>1</cdr:x>
      <cdr:y>0.47623</cdr:y>
    </cdr:to>
    <cdr:sp macro="" textlink="">
      <cdr:nvSpPr>
        <cdr:cNvPr id="4099" name="Text 3">
          <a:extLst xmlns:a="http://schemas.openxmlformats.org/drawingml/2006/main">
            <a:ext uri="{FF2B5EF4-FFF2-40B4-BE49-F238E27FC236}">
              <a16:creationId xmlns:a16="http://schemas.microsoft.com/office/drawing/2014/main" id="{96B99A4F-E6EF-0826-8620-66574C967A74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67987" y="1198102"/>
          <a:ext cx="3222173" cy="6217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0" bIns="0" anchor="t" upright="1"/>
        <a:lstStyle xmlns:a="http://schemas.openxmlformats.org/drawingml/2006/main"/>
        <a:p xmlns:a="http://schemas.openxmlformats.org/drawingml/2006/main">
          <a:pPr algn="r" rtl="0">
            <a:defRPr sz="1000"/>
          </a:pPr>
          <a:r>
            <a:rPr lang="zh-CN" alt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 call bought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N9" t="str">
            <v>1 Put</v>
          </cell>
          <cell r="O9" t="str">
            <v>2 Puts</v>
          </cell>
          <cell r="P9" t="str">
            <v>3 Puts</v>
          </cell>
        </row>
        <row r="10">
          <cell r="A10">
            <v>40</v>
          </cell>
          <cell r="B10">
            <v>-10</v>
          </cell>
          <cell r="C10">
            <v>4</v>
          </cell>
          <cell r="D10">
            <v>-6</v>
          </cell>
          <cell r="M10">
            <v>40</v>
          </cell>
          <cell r="N10">
            <v>-6</v>
          </cell>
          <cell r="O10">
            <v>-2</v>
          </cell>
          <cell r="P10">
            <v>2</v>
          </cell>
        </row>
        <row r="11">
          <cell r="A11">
            <v>42</v>
          </cell>
          <cell r="B11">
            <v>-10</v>
          </cell>
          <cell r="C11">
            <v>2</v>
          </cell>
          <cell r="D11">
            <v>-8</v>
          </cell>
          <cell r="M11">
            <v>42</v>
          </cell>
          <cell r="N11">
            <v>-8</v>
          </cell>
          <cell r="O11">
            <v>-6</v>
          </cell>
          <cell r="P11">
            <v>-4</v>
          </cell>
        </row>
        <row r="12">
          <cell r="A12">
            <v>44</v>
          </cell>
          <cell r="B12">
            <v>-10</v>
          </cell>
          <cell r="C12">
            <v>0</v>
          </cell>
          <cell r="D12">
            <v>-10</v>
          </cell>
          <cell r="M12">
            <v>44</v>
          </cell>
          <cell r="N12">
            <v>-10</v>
          </cell>
          <cell r="O12">
            <v>-10</v>
          </cell>
          <cell r="P12">
            <v>-10</v>
          </cell>
        </row>
        <row r="13">
          <cell r="A13">
            <v>46</v>
          </cell>
          <cell r="B13">
            <v>-10</v>
          </cell>
          <cell r="C13">
            <v>-2</v>
          </cell>
          <cell r="D13">
            <v>-12</v>
          </cell>
          <cell r="M13">
            <v>46</v>
          </cell>
          <cell r="N13">
            <v>-12</v>
          </cell>
          <cell r="O13">
            <v>-14</v>
          </cell>
          <cell r="P13">
            <v>-16</v>
          </cell>
        </row>
        <row r="14">
          <cell r="A14">
            <v>48</v>
          </cell>
          <cell r="B14">
            <v>-10</v>
          </cell>
          <cell r="C14">
            <v>-4</v>
          </cell>
          <cell r="D14">
            <v>-14</v>
          </cell>
          <cell r="M14">
            <v>48</v>
          </cell>
          <cell r="N14">
            <v>-14</v>
          </cell>
          <cell r="O14">
            <v>-18</v>
          </cell>
          <cell r="P14">
            <v>-22</v>
          </cell>
        </row>
        <row r="15">
          <cell r="A15">
            <v>50</v>
          </cell>
          <cell r="B15">
            <v>-10</v>
          </cell>
          <cell r="C15">
            <v>-6</v>
          </cell>
          <cell r="D15">
            <v>-16</v>
          </cell>
          <cell r="M15">
            <v>50</v>
          </cell>
          <cell r="N15">
            <v>-16</v>
          </cell>
          <cell r="O15">
            <v>-22</v>
          </cell>
          <cell r="P15">
            <v>-28</v>
          </cell>
        </row>
        <row r="16">
          <cell r="A16">
            <v>52</v>
          </cell>
          <cell r="B16">
            <v>-10</v>
          </cell>
          <cell r="C16">
            <v>-6</v>
          </cell>
          <cell r="D16">
            <v>-16</v>
          </cell>
          <cell r="M16">
            <v>52</v>
          </cell>
          <cell r="N16">
            <v>-16</v>
          </cell>
          <cell r="O16">
            <v>-22</v>
          </cell>
          <cell r="P16">
            <v>-28</v>
          </cell>
        </row>
        <row r="17">
          <cell r="A17">
            <v>54</v>
          </cell>
          <cell r="B17">
            <v>-10</v>
          </cell>
          <cell r="C17">
            <v>-6</v>
          </cell>
          <cell r="D17">
            <v>-16</v>
          </cell>
          <cell r="M17">
            <v>54</v>
          </cell>
          <cell r="N17">
            <v>-16</v>
          </cell>
          <cell r="O17">
            <v>-22</v>
          </cell>
          <cell r="P17">
            <v>-28</v>
          </cell>
        </row>
        <row r="18">
          <cell r="A18">
            <v>56</v>
          </cell>
          <cell r="B18">
            <v>-10</v>
          </cell>
          <cell r="C18">
            <v>-6</v>
          </cell>
          <cell r="D18">
            <v>-16</v>
          </cell>
          <cell r="M18">
            <v>56</v>
          </cell>
          <cell r="N18">
            <v>-16</v>
          </cell>
          <cell r="O18">
            <v>-22</v>
          </cell>
          <cell r="P18">
            <v>-28</v>
          </cell>
        </row>
        <row r="19">
          <cell r="A19">
            <v>58</v>
          </cell>
          <cell r="B19">
            <v>-10</v>
          </cell>
          <cell r="C19">
            <v>-6</v>
          </cell>
          <cell r="D19">
            <v>-16</v>
          </cell>
          <cell r="M19">
            <v>58</v>
          </cell>
          <cell r="N19">
            <v>-16</v>
          </cell>
          <cell r="O19">
            <v>-22</v>
          </cell>
          <cell r="P19">
            <v>-28</v>
          </cell>
        </row>
        <row r="20">
          <cell r="A20">
            <v>60</v>
          </cell>
          <cell r="B20">
            <v>-10</v>
          </cell>
          <cell r="C20">
            <v>-6</v>
          </cell>
          <cell r="D20">
            <v>-16</v>
          </cell>
          <cell r="M20">
            <v>60</v>
          </cell>
          <cell r="N20">
            <v>-16</v>
          </cell>
          <cell r="O20">
            <v>-22</v>
          </cell>
          <cell r="P20">
            <v>-28</v>
          </cell>
        </row>
        <row r="21">
          <cell r="A21">
            <v>62</v>
          </cell>
          <cell r="B21">
            <v>-8</v>
          </cell>
          <cell r="C21">
            <v>-6</v>
          </cell>
          <cell r="D21">
            <v>-14</v>
          </cell>
          <cell r="M21">
            <v>62</v>
          </cell>
          <cell r="N21">
            <v>-14</v>
          </cell>
          <cell r="O21">
            <v>-20</v>
          </cell>
          <cell r="P21">
            <v>-26</v>
          </cell>
        </row>
        <row r="22">
          <cell r="A22">
            <v>64</v>
          </cell>
          <cell r="B22">
            <v>-6</v>
          </cell>
          <cell r="C22">
            <v>-6</v>
          </cell>
          <cell r="D22">
            <v>-12</v>
          </cell>
          <cell r="M22">
            <v>64</v>
          </cell>
          <cell r="N22">
            <v>-12</v>
          </cell>
          <cell r="O22">
            <v>-18</v>
          </cell>
          <cell r="P22">
            <v>-24</v>
          </cell>
        </row>
        <row r="23">
          <cell r="A23">
            <v>66</v>
          </cell>
          <cell r="B23">
            <v>-4</v>
          </cell>
          <cell r="C23">
            <v>-6</v>
          </cell>
          <cell r="D23">
            <v>-10</v>
          </cell>
          <cell r="M23">
            <v>66</v>
          </cell>
          <cell r="N23">
            <v>-10</v>
          </cell>
          <cell r="O23">
            <v>-16</v>
          </cell>
          <cell r="P23">
            <v>-22</v>
          </cell>
        </row>
        <row r="24">
          <cell r="A24">
            <v>68</v>
          </cell>
          <cell r="B24">
            <v>-2</v>
          </cell>
          <cell r="C24">
            <v>-6</v>
          </cell>
          <cell r="D24">
            <v>-8</v>
          </cell>
          <cell r="M24">
            <v>68</v>
          </cell>
          <cell r="N24">
            <v>-8</v>
          </cell>
          <cell r="O24">
            <v>-14</v>
          </cell>
          <cell r="P24">
            <v>-20</v>
          </cell>
        </row>
        <row r="25">
          <cell r="A25">
            <v>70</v>
          </cell>
          <cell r="B25">
            <v>0</v>
          </cell>
          <cell r="C25">
            <v>-6</v>
          </cell>
          <cell r="D25">
            <v>-6</v>
          </cell>
          <cell r="M25">
            <v>70</v>
          </cell>
          <cell r="N25">
            <v>-6</v>
          </cell>
          <cell r="O25">
            <v>-12</v>
          </cell>
          <cell r="P25">
            <v>-18</v>
          </cell>
        </row>
        <row r="26">
          <cell r="A26">
            <v>72</v>
          </cell>
          <cell r="B26">
            <v>2</v>
          </cell>
          <cell r="C26">
            <v>-6</v>
          </cell>
          <cell r="D26">
            <v>-4</v>
          </cell>
          <cell r="M26">
            <v>72</v>
          </cell>
          <cell r="N26">
            <v>-4</v>
          </cell>
          <cell r="O26">
            <v>-10</v>
          </cell>
          <cell r="P26">
            <v>-16</v>
          </cell>
        </row>
        <row r="27">
          <cell r="A27">
            <v>74</v>
          </cell>
          <cell r="B27">
            <v>4</v>
          </cell>
          <cell r="C27">
            <v>-6</v>
          </cell>
          <cell r="D27">
            <v>-2</v>
          </cell>
          <cell r="M27">
            <v>74</v>
          </cell>
          <cell r="N27">
            <v>-2</v>
          </cell>
          <cell r="O27">
            <v>-8</v>
          </cell>
          <cell r="P27">
            <v>-14</v>
          </cell>
        </row>
        <row r="28">
          <cell r="A28">
            <v>76</v>
          </cell>
          <cell r="B28">
            <v>6</v>
          </cell>
          <cell r="C28">
            <v>-6</v>
          </cell>
          <cell r="D28">
            <v>0</v>
          </cell>
          <cell r="M28">
            <v>76</v>
          </cell>
          <cell r="N28">
            <v>0</v>
          </cell>
          <cell r="O28">
            <v>-6</v>
          </cell>
          <cell r="P28">
            <v>-12</v>
          </cell>
        </row>
        <row r="29">
          <cell r="A29">
            <v>78</v>
          </cell>
          <cell r="B29">
            <v>8</v>
          </cell>
          <cell r="C29">
            <v>-6</v>
          </cell>
          <cell r="D29">
            <v>2</v>
          </cell>
          <cell r="M29">
            <v>78</v>
          </cell>
          <cell r="N29">
            <v>2</v>
          </cell>
          <cell r="O29">
            <v>-4</v>
          </cell>
          <cell r="P29">
            <v>-10</v>
          </cell>
        </row>
        <row r="30">
          <cell r="A30">
            <v>80</v>
          </cell>
          <cell r="B30">
            <v>10</v>
          </cell>
          <cell r="C30">
            <v>-6</v>
          </cell>
          <cell r="D30">
            <v>4</v>
          </cell>
          <cell r="M30">
            <v>80</v>
          </cell>
          <cell r="N30">
            <v>4</v>
          </cell>
          <cell r="O30">
            <v>-2</v>
          </cell>
          <cell r="P30">
            <v>-8</v>
          </cell>
        </row>
        <row r="31">
          <cell r="A31">
            <v>82</v>
          </cell>
          <cell r="B31">
            <v>12</v>
          </cell>
          <cell r="C31">
            <v>-6</v>
          </cell>
          <cell r="D31">
            <v>6</v>
          </cell>
          <cell r="M31">
            <v>82</v>
          </cell>
          <cell r="N31">
            <v>6</v>
          </cell>
          <cell r="O31">
            <v>0</v>
          </cell>
          <cell r="P31">
            <v>-6</v>
          </cell>
        </row>
        <row r="32">
          <cell r="A32">
            <v>84</v>
          </cell>
          <cell r="B32">
            <v>14</v>
          </cell>
          <cell r="C32">
            <v>-6</v>
          </cell>
          <cell r="D32">
            <v>8</v>
          </cell>
          <cell r="M32">
            <v>84</v>
          </cell>
          <cell r="N32">
            <v>8</v>
          </cell>
          <cell r="O32">
            <v>2</v>
          </cell>
          <cell r="P32">
            <v>-4</v>
          </cell>
        </row>
        <row r="33">
          <cell r="A33">
            <v>86</v>
          </cell>
          <cell r="B33">
            <v>16</v>
          </cell>
          <cell r="C33">
            <v>-6</v>
          </cell>
          <cell r="D33">
            <v>10</v>
          </cell>
          <cell r="M33">
            <v>86</v>
          </cell>
          <cell r="N33">
            <v>10</v>
          </cell>
          <cell r="O33">
            <v>4</v>
          </cell>
          <cell r="P33">
            <v>-2</v>
          </cell>
        </row>
        <row r="34">
          <cell r="A34">
            <v>88</v>
          </cell>
          <cell r="B34">
            <v>18</v>
          </cell>
          <cell r="C34">
            <v>-6</v>
          </cell>
          <cell r="D34">
            <v>12</v>
          </cell>
          <cell r="M34">
            <v>88</v>
          </cell>
          <cell r="N34">
            <v>12</v>
          </cell>
          <cell r="O34">
            <v>6</v>
          </cell>
          <cell r="P34">
            <v>0</v>
          </cell>
        </row>
        <row r="35">
          <cell r="A35">
            <v>90</v>
          </cell>
          <cell r="B35">
            <v>20</v>
          </cell>
          <cell r="C35">
            <v>-6</v>
          </cell>
          <cell r="D35">
            <v>14</v>
          </cell>
          <cell r="M35">
            <v>90</v>
          </cell>
          <cell r="N35">
            <v>14</v>
          </cell>
          <cell r="O35">
            <v>8</v>
          </cell>
          <cell r="P35">
            <v>2</v>
          </cell>
        </row>
        <row r="43">
          <cell r="A43">
            <v>40</v>
          </cell>
          <cell r="B43">
            <v>-10</v>
          </cell>
          <cell r="C43">
            <v>8</v>
          </cell>
          <cell r="D43">
            <v>-2</v>
          </cell>
        </row>
        <row r="44">
          <cell r="A44">
            <v>42</v>
          </cell>
          <cell r="B44">
            <v>-10</v>
          </cell>
          <cell r="C44">
            <v>4</v>
          </cell>
          <cell r="D44">
            <v>-6</v>
          </cell>
        </row>
        <row r="45">
          <cell r="A45">
            <v>44</v>
          </cell>
          <cell r="B45">
            <v>-10</v>
          </cell>
          <cell r="C45">
            <v>0</v>
          </cell>
          <cell r="D45">
            <v>-10</v>
          </cell>
        </row>
        <row r="46">
          <cell r="A46">
            <v>46</v>
          </cell>
          <cell r="B46">
            <v>-10</v>
          </cell>
          <cell r="C46">
            <v>-4</v>
          </cell>
          <cell r="D46">
            <v>-14</v>
          </cell>
        </row>
        <row r="47">
          <cell r="A47">
            <v>48</v>
          </cell>
          <cell r="B47">
            <v>-10</v>
          </cell>
          <cell r="C47">
            <v>-8</v>
          </cell>
          <cell r="D47">
            <v>-18</v>
          </cell>
        </row>
        <row r="48">
          <cell r="A48">
            <v>50</v>
          </cell>
          <cell r="B48">
            <v>-10</v>
          </cell>
          <cell r="C48">
            <v>-12</v>
          </cell>
          <cell r="D48">
            <v>-22</v>
          </cell>
        </row>
        <row r="49">
          <cell r="A49">
            <v>52</v>
          </cell>
          <cell r="B49">
            <v>-10</v>
          </cell>
          <cell r="C49">
            <v>-12</v>
          </cell>
          <cell r="D49">
            <v>-22</v>
          </cell>
        </row>
        <row r="50">
          <cell r="A50">
            <v>54</v>
          </cell>
          <cell r="B50">
            <v>-10</v>
          </cell>
          <cell r="C50">
            <v>-12</v>
          </cell>
          <cell r="D50">
            <v>-22</v>
          </cell>
        </row>
        <row r="51">
          <cell r="A51">
            <v>56</v>
          </cell>
          <cell r="B51">
            <v>-10</v>
          </cell>
          <cell r="C51">
            <v>-12</v>
          </cell>
          <cell r="D51">
            <v>-22</v>
          </cell>
        </row>
        <row r="52">
          <cell r="A52">
            <v>58</v>
          </cell>
          <cell r="B52">
            <v>-10</v>
          </cell>
          <cell r="C52">
            <v>-12</v>
          </cell>
          <cell r="D52">
            <v>-22</v>
          </cell>
        </row>
        <row r="53">
          <cell r="A53">
            <v>60</v>
          </cell>
          <cell r="B53">
            <v>-10</v>
          </cell>
          <cell r="C53">
            <v>-12</v>
          </cell>
          <cell r="D53">
            <v>-22</v>
          </cell>
        </row>
        <row r="54">
          <cell r="A54">
            <v>62</v>
          </cell>
          <cell r="B54">
            <v>-8</v>
          </cell>
          <cell r="C54">
            <v>-12</v>
          </cell>
          <cell r="D54">
            <v>-20</v>
          </cell>
        </row>
        <row r="55">
          <cell r="A55">
            <v>64</v>
          </cell>
          <cell r="B55">
            <v>-6</v>
          </cell>
          <cell r="C55">
            <v>-12</v>
          </cell>
          <cell r="D55">
            <v>-18</v>
          </cell>
        </row>
        <row r="56">
          <cell r="A56">
            <v>66</v>
          </cell>
          <cell r="B56">
            <v>-4</v>
          </cell>
          <cell r="C56">
            <v>-12</v>
          </cell>
          <cell r="D56">
            <v>-16</v>
          </cell>
        </row>
        <row r="57">
          <cell r="A57">
            <v>68</v>
          </cell>
          <cell r="B57">
            <v>-2</v>
          </cell>
          <cell r="C57">
            <v>-12</v>
          </cell>
          <cell r="D57">
            <v>-14</v>
          </cell>
        </row>
        <row r="58">
          <cell r="A58">
            <v>70</v>
          </cell>
          <cell r="B58">
            <v>0</v>
          </cell>
          <cell r="C58">
            <v>-12</v>
          </cell>
          <cell r="D58">
            <v>-12</v>
          </cell>
        </row>
        <row r="59">
          <cell r="A59">
            <v>72</v>
          </cell>
          <cell r="B59">
            <v>2</v>
          </cell>
          <cell r="C59">
            <v>-12</v>
          </cell>
          <cell r="D59">
            <v>-10</v>
          </cell>
        </row>
        <row r="60">
          <cell r="A60">
            <v>74</v>
          </cell>
          <cell r="B60">
            <v>4</v>
          </cell>
          <cell r="C60">
            <v>-12</v>
          </cell>
          <cell r="D60">
            <v>-8</v>
          </cell>
        </row>
        <row r="61">
          <cell r="A61">
            <v>76</v>
          </cell>
          <cell r="B61">
            <v>6</v>
          </cell>
          <cell r="C61">
            <v>-12</v>
          </cell>
          <cell r="D61">
            <v>-6</v>
          </cell>
        </row>
        <row r="62">
          <cell r="A62">
            <v>78</v>
          </cell>
          <cell r="B62">
            <v>8</v>
          </cell>
          <cell r="C62">
            <v>-12</v>
          </cell>
          <cell r="D62">
            <v>-4</v>
          </cell>
        </row>
        <row r="63">
          <cell r="A63">
            <v>80</v>
          </cell>
          <cell r="B63">
            <v>10</v>
          </cell>
          <cell r="C63">
            <v>-12</v>
          </cell>
          <cell r="D63">
            <v>-2</v>
          </cell>
        </row>
        <row r="64">
          <cell r="A64">
            <v>82</v>
          </cell>
          <cell r="B64">
            <v>12</v>
          </cell>
          <cell r="C64">
            <v>-12</v>
          </cell>
          <cell r="D64">
            <v>0</v>
          </cell>
        </row>
        <row r="65">
          <cell r="A65">
            <v>84</v>
          </cell>
          <cell r="B65">
            <v>14</v>
          </cell>
          <cell r="C65">
            <v>-12</v>
          </cell>
          <cell r="D65">
            <v>2</v>
          </cell>
        </row>
        <row r="66">
          <cell r="A66">
            <v>86</v>
          </cell>
          <cell r="B66">
            <v>16</v>
          </cell>
          <cell r="C66">
            <v>-12</v>
          </cell>
          <cell r="D66">
            <v>4</v>
          </cell>
        </row>
        <row r="67">
          <cell r="A67">
            <v>88</v>
          </cell>
          <cell r="B67">
            <v>18</v>
          </cell>
          <cell r="C67">
            <v>-12</v>
          </cell>
          <cell r="D67">
            <v>6</v>
          </cell>
        </row>
        <row r="68">
          <cell r="A68">
            <v>90</v>
          </cell>
          <cell r="B68">
            <v>20</v>
          </cell>
          <cell r="C68">
            <v>-12</v>
          </cell>
          <cell r="D68">
            <v>8</v>
          </cell>
        </row>
        <row r="76">
          <cell r="A76">
            <v>40</v>
          </cell>
          <cell r="B76">
            <v>-10</v>
          </cell>
          <cell r="C76">
            <v>12</v>
          </cell>
          <cell r="D76">
            <v>2</v>
          </cell>
        </row>
        <row r="77">
          <cell r="A77">
            <v>42</v>
          </cell>
          <cell r="B77">
            <v>-10</v>
          </cell>
          <cell r="C77">
            <v>6</v>
          </cell>
          <cell r="D77">
            <v>-4</v>
          </cell>
        </row>
        <row r="78">
          <cell r="A78">
            <v>44</v>
          </cell>
          <cell r="B78">
            <v>-10</v>
          </cell>
          <cell r="C78">
            <v>0</v>
          </cell>
          <cell r="D78">
            <v>-10</v>
          </cell>
        </row>
        <row r="79">
          <cell r="A79">
            <v>46</v>
          </cell>
          <cell r="B79">
            <v>-10</v>
          </cell>
          <cell r="C79">
            <v>-6</v>
          </cell>
          <cell r="D79">
            <v>-16</v>
          </cell>
        </row>
        <row r="80">
          <cell r="A80">
            <v>48</v>
          </cell>
          <cell r="B80">
            <v>-10</v>
          </cell>
          <cell r="C80">
            <v>-12</v>
          </cell>
          <cell r="D80">
            <v>-22</v>
          </cell>
        </row>
        <row r="81">
          <cell r="A81">
            <v>50</v>
          </cell>
          <cell r="B81">
            <v>-10</v>
          </cell>
          <cell r="C81">
            <v>-18</v>
          </cell>
          <cell r="D81">
            <v>-28</v>
          </cell>
        </row>
        <row r="82">
          <cell r="A82">
            <v>52</v>
          </cell>
          <cell r="B82">
            <v>-10</v>
          </cell>
          <cell r="C82">
            <v>-18</v>
          </cell>
          <cell r="D82">
            <v>-28</v>
          </cell>
        </row>
        <row r="83">
          <cell r="A83">
            <v>54</v>
          </cell>
          <cell r="B83">
            <v>-10</v>
          </cell>
          <cell r="C83">
            <v>-18</v>
          </cell>
          <cell r="D83">
            <v>-28</v>
          </cell>
        </row>
        <row r="84">
          <cell r="A84">
            <v>56</v>
          </cell>
          <cell r="B84">
            <v>-10</v>
          </cell>
          <cell r="C84">
            <v>-18</v>
          </cell>
          <cell r="D84">
            <v>-28</v>
          </cell>
        </row>
        <row r="85">
          <cell r="A85">
            <v>58</v>
          </cell>
          <cell r="B85">
            <v>-10</v>
          </cell>
          <cell r="C85">
            <v>-18</v>
          </cell>
          <cell r="D85">
            <v>-28</v>
          </cell>
        </row>
        <row r="86">
          <cell r="A86">
            <v>60</v>
          </cell>
          <cell r="B86">
            <v>-10</v>
          </cell>
          <cell r="C86">
            <v>-18</v>
          </cell>
          <cell r="D86">
            <v>-28</v>
          </cell>
        </row>
        <row r="87">
          <cell r="A87">
            <v>62</v>
          </cell>
          <cell r="B87">
            <v>-8</v>
          </cell>
          <cell r="C87">
            <v>-18</v>
          </cell>
          <cell r="D87">
            <v>-26</v>
          </cell>
        </row>
        <row r="88">
          <cell r="A88">
            <v>64</v>
          </cell>
          <cell r="B88">
            <v>-6</v>
          </cell>
          <cell r="C88">
            <v>-18</v>
          </cell>
          <cell r="D88">
            <v>-24</v>
          </cell>
        </row>
        <row r="89">
          <cell r="A89">
            <v>66</v>
          </cell>
          <cell r="B89">
            <v>-4</v>
          </cell>
          <cell r="C89">
            <v>-18</v>
          </cell>
          <cell r="D89">
            <v>-22</v>
          </cell>
        </row>
        <row r="90">
          <cell r="A90">
            <v>68</v>
          </cell>
          <cell r="B90">
            <v>-2</v>
          </cell>
          <cell r="C90">
            <v>-18</v>
          </cell>
          <cell r="D90">
            <v>-20</v>
          </cell>
        </row>
        <row r="91">
          <cell r="A91">
            <v>70</v>
          </cell>
          <cell r="B91">
            <v>0</v>
          </cell>
          <cell r="C91">
            <v>-18</v>
          </cell>
          <cell r="D91">
            <v>-18</v>
          </cell>
        </row>
        <row r="92">
          <cell r="A92">
            <v>72</v>
          </cell>
          <cell r="B92">
            <v>2</v>
          </cell>
          <cell r="C92">
            <v>-18</v>
          </cell>
          <cell r="D92">
            <v>-16</v>
          </cell>
        </row>
        <row r="93">
          <cell r="A93">
            <v>74</v>
          </cell>
          <cell r="B93">
            <v>4</v>
          </cell>
          <cell r="C93">
            <v>-18</v>
          </cell>
          <cell r="D93">
            <v>-14</v>
          </cell>
        </row>
        <row r="94">
          <cell r="A94">
            <v>76</v>
          </cell>
          <cell r="B94">
            <v>6</v>
          </cell>
          <cell r="C94">
            <v>-18</v>
          </cell>
          <cell r="D94">
            <v>-12</v>
          </cell>
        </row>
        <row r="95">
          <cell r="A95">
            <v>78</v>
          </cell>
          <cell r="B95">
            <v>8</v>
          </cell>
          <cell r="C95">
            <v>-18</v>
          </cell>
          <cell r="D95">
            <v>-10</v>
          </cell>
        </row>
        <row r="96">
          <cell r="A96">
            <v>80</v>
          </cell>
          <cell r="B96">
            <v>10</v>
          </cell>
          <cell r="C96">
            <v>-18</v>
          </cell>
          <cell r="D96">
            <v>-8</v>
          </cell>
        </row>
        <row r="97">
          <cell r="A97">
            <v>82</v>
          </cell>
          <cell r="B97">
            <v>12</v>
          </cell>
          <cell r="C97">
            <v>-18</v>
          </cell>
          <cell r="D97">
            <v>-6</v>
          </cell>
        </row>
        <row r="98">
          <cell r="A98">
            <v>84</v>
          </cell>
          <cell r="B98">
            <v>14</v>
          </cell>
          <cell r="C98">
            <v>-18</v>
          </cell>
          <cell r="D98">
            <v>-4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P113"/>
  <sheetViews>
    <sheetView tabSelected="1" topLeftCell="A3" workbookViewId="0">
      <selection activeCell="P38" sqref="P38"/>
    </sheetView>
  </sheetViews>
  <sheetFormatPr defaultRowHeight="13.8" x14ac:dyDescent="0.25"/>
  <cols>
    <col min="1" max="3" width="9.44140625" style="1" customWidth="1"/>
    <col min="4" max="16" width="8.88671875" style="1"/>
  </cols>
  <sheetData>
    <row r="1" spans="1:16" x14ac:dyDescent="0.25">
      <c r="A1" s="1" t="s">
        <v>0</v>
      </c>
      <c r="B1" s="6">
        <v>50</v>
      </c>
      <c r="C1" s="7">
        <v>6</v>
      </c>
    </row>
    <row r="2" spans="1:16" x14ac:dyDescent="0.25">
      <c r="A2" s="1" t="s">
        <v>1</v>
      </c>
      <c r="B2" s="5">
        <v>60</v>
      </c>
      <c r="C2" s="8">
        <v>10</v>
      </c>
    </row>
    <row r="6" spans="1:16" x14ac:dyDescent="0.25">
      <c r="A6" s="2" t="s">
        <v>2</v>
      </c>
    </row>
    <row r="7" spans="1:16" x14ac:dyDescent="0.25">
      <c r="A7" s="1" t="s">
        <v>3</v>
      </c>
      <c r="M7" s="2" t="s">
        <v>4</v>
      </c>
    </row>
    <row r="9" spans="1:16" ht="15.6" x14ac:dyDescent="0.35">
      <c r="A9" s="3" t="s">
        <v>5</v>
      </c>
      <c r="B9" s="3" t="s">
        <v>1</v>
      </c>
      <c r="C9" s="3" t="s">
        <v>0</v>
      </c>
      <c r="D9" s="3" t="s">
        <v>6</v>
      </c>
      <c r="M9" s="3" t="s">
        <v>5</v>
      </c>
      <c r="N9" s="3" t="s">
        <v>7</v>
      </c>
      <c r="O9" s="2" t="s">
        <v>8</v>
      </c>
      <c r="P9" s="2" t="s">
        <v>9</v>
      </c>
    </row>
    <row r="10" spans="1:16" x14ac:dyDescent="0.25">
      <c r="A10" s="1">
        <v>40</v>
      </c>
      <c r="B10" s="9">
        <f>MAX(A10-$B$2,0)-$C$2</f>
        <v>-10</v>
      </c>
      <c r="C10" s="9">
        <f>MAX($B$1-A10,0)-$C$1</f>
        <v>4</v>
      </c>
      <c r="D10" s="1">
        <f>C10+B10</f>
        <v>-6</v>
      </c>
      <c r="M10" s="1">
        <v>40</v>
      </c>
      <c r="N10" s="1">
        <f>D10</f>
        <v>-6</v>
      </c>
      <c r="O10" s="1">
        <f>D43</f>
        <v>-2</v>
      </c>
      <c r="P10" s="1">
        <f>D76</f>
        <v>2</v>
      </c>
    </row>
    <row r="11" spans="1:16" x14ac:dyDescent="0.25">
      <c r="A11" s="1">
        <v>42</v>
      </c>
      <c r="B11" s="9">
        <f t="shared" ref="B11:B35" si="0">MAX(A11-$B$2,0)-$C$2</f>
        <v>-10</v>
      </c>
      <c r="C11" s="9">
        <f t="shared" ref="C11:C35" si="1">MAX($B$1-A11,0)-$C$1</f>
        <v>2</v>
      </c>
      <c r="D11" s="1">
        <f t="shared" ref="D11:D35" si="2">C11+B11</f>
        <v>-8</v>
      </c>
      <c r="M11" s="1">
        <v>42</v>
      </c>
      <c r="N11" s="1">
        <f t="shared" ref="N11:N35" si="3">D11</f>
        <v>-8</v>
      </c>
      <c r="O11" s="1">
        <f t="shared" ref="O11:O35" si="4">D44</f>
        <v>-6</v>
      </c>
      <c r="P11" s="1">
        <f t="shared" ref="P11:P35" si="5">D77</f>
        <v>-4</v>
      </c>
    </row>
    <row r="12" spans="1:16" x14ac:dyDescent="0.25">
      <c r="A12" s="1">
        <v>44</v>
      </c>
      <c r="B12" s="9">
        <f t="shared" si="0"/>
        <v>-10</v>
      </c>
      <c r="C12" s="9">
        <f t="shared" si="1"/>
        <v>0</v>
      </c>
      <c r="D12" s="1">
        <f t="shared" si="2"/>
        <v>-10</v>
      </c>
      <c r="M12" s="1">
        <v>44</v>
      </c>
      <c r="N12" s="1">
        <f t="shared" si="3"/>
        <v>-10</v>
      </c>
      <c r="O12" s="1">
        <f t="shared" si="4"/>
        <v>-10</v>
      </c>
      <c r="P12" s="1">
        <f t="shared" si="5"/>
        <v>-10</v>
      </c>
    </row>
    <row r="13" spans="1:16" x14ac:dyDescent="0.25">
      <c r="A13" s="1">
        <v>46</v>
      </c>
      <c r="B13" s="9">
        <f t="shared" si="0"/>
        <v>-10</v>
      </c>
      <c r="C13" s="9">
        <f t="shared" si="1"/>
        <v>-2</v>
      </c>
      <c r="D13" s="1">
        <f t="shared" si="2"/>
        <v>-12</v>
      </c>
      <c r="M13" s="1">
        <v>46</v>
      </c>
      <c r="N13" s="1">
        <f t="shared" si="3"/>
        <v>-12</v>
      </c>
      <c r="O13" s="1">
        <f t="shared" si="4"/>
        <v>-14</v>
      </c>
      <c r="P13" s="1">
        <f t="shared" si="5"/>
        <v>-16</v>
      </c>
    </row>
    <row r="14" spans="1:16" x14ac:dyDescent="0.25">
      <c r="A14" s="1">
        <v>48</v>
      </c>
      <c r="B14" s="9">
        <f t="shared" si="0"/>
        <v>-10</v>
      </c>
      <c r="C14" s="9">
        <f t="shared" si="1"/>
        <v>-4</v>
      </c>
      <c r="D14" s="1">
        <f t="shared" si="2"/>
        <v>-14</v>
      </c>
      <c r="M14" s="1">
        <v>48</v>
      </c>
      <c r="N14" s="1">
        <f t="shared" si="3"/>
        <v>-14</v>
      </c>
      <c r="O14" s="1">
        <f t="shared" si="4"/>
        <v>-18</v>
      </c>
      <c r="P14" s="1">
        <f t="shared" si="5"/>
        <v>-22</v>
      </c>
    </row>
    <row r="15" spans="1:16" x14ac:dyDescent="0.25">
      <c r="A15" s="1">
        <v>50</v>
      </c>
      <c r="B15" s="9">
        <f t="shared" si="0"/>
        <v>-10</v>
      </c>
      <c r="C15" s="9">
        <f t="shared" si="1"/>
        <v>-6</v>
      </c>
      <c r="D15" s="1">
        <f t="shared" si="2"/>
        <v>-16</v>
      </c>
      <c r="M15" s="1">
        <v>50</v>
      </c>
      <c r="N15" s="1">
        <f t="shared" si="3"/>
        <v>-16</v>
      </c>
      <c r="O15" s="1">
        <f t="shared" si="4"/>
        <v>-22</v>
      </c>
      <c r="P15" s="1">
        <f t="shared" si="5"/>
        <v>-28</v>
      </c>
    </row>
    <row r="16" spans="1:16" x14ac:dyDescent="0.25">
      <c r="A16" s="1">
        <v>52</v>
      </c>
      <c r="B16" s="9">
        <f t="shared" si="0"/>
        <v>-10</v>
      </c>
      <c r="C16" s="9">
        <f t="shared" si="1"/>
        <v>-6</v>
      </c>
      <c r="D16" s="1">
        <f t="shared" si="2"/>
        <v>-16</v>
      </c>
      <c r="M16" s="1">
        <v>52</v>
      </c>
      <c r="N16" s="1">
        <f t="shared" si="3"/>
        <v>-16</v>
      </c>
      <c r="O16" s="1">
        <f t="shared" si="4"/>
        <v>-22</v>
      </c>
      <c r="P16" s="1">
        <f t="shared" si="5"/>
        <v>-28</v>
      </c>
    </row>
    <row r="17" spans="1:16" x14ac:dyDescent="0.25">
      <c r="A17" s="1">
        <v>54</v>
      </c>
      <c r="B17" s="9">
        <f t="shared" si="0"/>
        <v>-10</v>
      </c>
      <c r="C17" s="9">
        <f t="shared" si="1"/>
        <v>-6</v>
      </c>
      <c r="D17" s="1">
        <f t="shared" si="2"/>
        <v>-16</v>
      </c>
      <c r="M17" s="1">
        <v>54</v>
      </c>
      <c r="N17" s="1">
        <f t="shared" si="3"/>
        <v>-16</v>
      </c>
      <c r="O17" s="1">
        <f t="shared" si="4"/>
        <v>-22</v>
      </c>
      <c r="P17" s="1">
        <f t="shared" si="5"/>
        <v>-28</v>
      </c>
    </row>
    <row r="18" spans="1:16" x14ac:dyDescent="0.25">
      <c r="A18" s="1">
        <v>56</v>
      </c>
      <c r="B18" s="9">
        <f t="shared" si="0"/>
        <v>-10</v>
      </c>
      <c r="C18" s="9">
        <f t="shared" si="1"/>
        <v>-6</v>
      </c>
      <c r="D18" s="1">
        <f t="shared" si="2"/>
        <v>-16</v>
      </c>
      <c r="M18" s="1">
        <v>56</v>
      </c>
      <c r="N18" s="1">
        <f t="shared" si="3"/>
        <v>-16</v>
      </c>
      <c r="O18" s="1">
        <f t="shared" si="4"/>
        <v>-22</v>
      </c>
      <c r="P18" s="1">
        <f t="shared" si="5"/>
        <v>-28</v>
      </c>
    </row>
    <row r="19" spans="1:16" x14ac:dyDescent="0.25">
      <c r="A19" s="1">
        <v>58</v>
      </c>
      <c r="B19" s="9">
        <f t="shared" si="0"/>
        <v>-10</v>
      </c>
      <c r="C19" s="9">
        <f t="shared" si="1"/>
        <v>-6</v>
      </c>
      <c r="D19" s="1">
        <f t="shared" si="2"/>
        <v>-16</v>
      </c>
      <c r="M19" s="1">
        <v>58</v>
      </c>
      <c r="N19" s="1">
        <f t="shared" si="3"/>
        <v>-16</v>
      </c>
      <c r="O19" s="1">
        <f t="shared" si="4"/>
        <v>-22</v>
      </c>
      <c r="P19" s="1">
        <f t="shared" si="5"/>
        <v>-28</v>
      </c>
    </row>
    <row r="20" spans="1:16" x14ac:dyDescent="0.25">
      <c r="A20" s="1">
        <v>60</v>
      </c>
      <c r="B20" s="9">
        <f t="shared" si="0"/>
        <v>-10</v>
      </c>
      <c r="C20" s="9">
        <f t="shared" si="1"/>
        <v>-6</v>
      </c>
      <c r="D20" s="1">
        <f t="shared" si="2"/>
        <v>-16</v>
      </c>
      <c r="M20" s="1">
        <v>60</v>
      </c>
      <c r="N20" s="1">
        <f t="shared" si="3"/>
        <v>-16</v>
      </c>
      <c r="O20" s="1">
        <f t="shared" si="4"/>
        <v>-22</v>
      </c>
      <c r="P20" s="1">
        <f t="shared" si="5"/>
        <v>-28</v>
      </c>
    </row>
    <row r="21" spans="1:16" x14ac:dyDescent="0.25">
      <c r="A21" s="1">
        <v>62</v>
      </c>
      <c r="B21" s="9">
        <f t="shared" si="0"/>
        <v>-8</v>
      </c>
      <c r="C21" s="9">
        <f t="shared" si="1"/>
        <v>-6</v>
      </c>
      <c r="D21" s="1">
        <f t="shared" si="2"/>
        <v>-14</v>
      </c>
      <c r="M21" s="1">
        <v>62</v>
      </c>
      <c r="N21" s="1">
        <f t="shared" si="3"/>
        <v>-14</v>
      </c>
      <c r="O21" s="1">
        <f t="shared" si="4"/>
        <v>-20</v>
      </c>
      <c r="P21" s="1">
        <f t="shared" si="5"/>
        <v>-26</v>
      </c>
    </row>
    <row r="22" spans="1:16" x14ac:dyDescent="0.25">
      <c r="A22" s="1">
        <v>64</v>
      </c>
      <c r="B22" s="9">
        <f t="shared" si="0"/>
        <v>-6</v>
      </c>
      <c r="C22" s="9">
        <f t="shared" si="1"/>
        <v>-6</v>
      </c>
      <c r="D22" s="1">
        <f t="shared" si="2"/>
        <v>-12</v>
      </c>
      <c r="M22" s="1">
        <v>64</v>
      </c>
      <c r="N22" s="1">
        <f t="shared" si="3"/>
        <v>-12</v>
      </c>
      <c r="O22" s="1">
        <f t="shared" si="4"/>
        <v>-18</v>
      </c>
      <c r="P22" s="1">
        <f t="shared" si="5"/>
        <v>-24</v>
      </c>
    </row>
    <row r="23" spans="1:16" x14ac:dyDescent="0.25">
      <c r="A23" s="1">
        <v>66</v>
      </c>
      <c r="B23" s="9">
        <f t="shared" si="0"/>
        <v>-4</v>
      </c>
      <c r="C23" s="9">
        <f t="shared" si="1"/>
        <v>-6</v>
      </c>
      <c r="D23" s="1">
        <f t="shared" si="2"/>
        <v>-10</v>
      </c>
      <c r="M23" s="1">
        <v>66</v>
      </c>
      <c r="N23" s="1">
        <f t="shared" si="3"/>
        <v>-10</v>
      </c>
      <c r="O23" s="1">
        <f t="shared" si="4"/>
        <v>-16</v>
      </c>
      <c r="P23" s="1">
        <f t="shared" si="5"/>
        <v>-22</v>
      </c>
    </row>
    <row r="24" spans="1:16" x14ac:dyDescent="0.25">
      <c r="A24" s="1">
        <v>68</v>
      </c>
      <c r="B24" s="9">
        <f t="shared" si="0"/>
        <v>-2</v>
      </c>
      <c r="C24" s="9">
        <f t="shared" si="1"/>
        <v>-6</v>
      </c>
      <c r="D24" s="1">
        <f t="shared" si="2"/>
        <v>-8</v>
      </c>
      <c r="M24" s="1">
        <v>68</v>
      </c>
      <c r="N24" s="1">
        <f t="shared" si="3"/>
        <v>-8</v>
      </c>
      <c r="O24" s="1">
        <f t="shared" si="4"/>
        <v>-14</v>
      </c>
      <c r="P24" s="1">
        <f t="shared" si="5"/>
        <v>-20</v>
      </c>
    </row>
    <row r="25" spans="1:16" x14ac:dyDescent="0.25">
      <c r="A25" s="1">
        <v>70</v>
      </c>
      <c r="B25" s="9">
        <f t="shared" si="0"/>
        <v>0</v>
      </c>
      <c r="C25" s="9">
        <f t="shared" si="1"/>
        <v>-6</v>
      </c>
      <c r="D25" s="1">
        <f t="shared" si="2"/>
        <v>-6</v>
      </c>
      <c r="M25" s="1">
        <v>70</v>
      </c>
      <c r="N25" s="1">
        <f t="shared" si="3"/>
        <v>-6</v>
      </c>
      <c r="O25" s="1">
        <f t="shared" si="4"/>
        <v>-12</v>
      </c>
      <c r="P25" s="1">
        <f t="shared" si="5"/>
        <v>-18</v>
      </c>
    </row>
    <row r="26" spans="1:16" x14ac:dyDescent="0.25">
      <c r="A26" s="1">
        <v>72</v>
      </c>
      <c r="B26" s="9">
        <f t="shared" si="0"/>
        <v>2</v>
      </c>
      <c r="C26" s="9">
        <f t="shared" si="1"/>
        <v>-6</v>
      </c>
      <c r="D26" s="1">
        <f t="shared" si="2"/>
        <v>-4</v>
      </c>
      <c r="M26" s="1">
        <v>72</v>
      </c>
      <c r="N26" s="1">
        <f t="shared" si="3"/>
        <v>-4</v>
      </c>
      <c r="O26" s="1">
        <f t="shared" si="4"/>
        <v>-10</v>
      </c>
      <c r="P26" s="1">
        <f t="shared" si="5"/>
        <v>-16</v>
      </c>
    </row>
    <row r="27" spans="1:16" x14ac:dyDescent="0.25">
      <c r="A27" s="1">
        <v>74</v>
      </c>
      <c r="B27" s="9">
        <f t="shared" si="0"/>
        <v>4</v>
      </c>
      <c r="C27" s="9">
        <f t="shared" si="1"/>
        <v>-6</v>
      </c>
      <c r="D27" s="1">
        <f t="shared" si="2"/>
        <v>-2</v>
      </c>
      <c r="M27" s="1">
        <v>74</v>
      </c>
      <c r="N27" s="1">
        <f t="shared" si="3"/>
        <v>-2</v>
      </c>
      <c r="O27" s="1">
        <f t="shared" si="4"/>
        <v>-8</v>
      </c>
      <c r="P27" s="1">
        <f t="shared" si="5"/>
        <v>-14</v>
      </c>
    </row>
    <row r="28" spans="1:16" x14ac:dyDescent="0.25">
      <c r="A28" s="1">
        <v>76</v>
      </c>
      <c r="B28" s="9">
        <f t="shared" si="0"/>
        <v>6</v>
      </c>
      <c r="C28" s="9">
        <f t="shared" si="1"/>
        <v>-6</v>
      </c>
      <c r="D28" s="1">
        <f t="shared" si="2"/>
        <v>0</v>
      </c>
      <c r="M28" s="1">
        <v>76</v>
      </c>
      <c r="N28" s="1">
        <f t="shared" si="3"/>
        <v>0</v>
      </c>
      <c r="O28" s="1">
        <f t="shared" si="4"/>
        <v>-6</v>
      </c>
      <c r="P28" s="1">
        <f t="shared" si="5"/>
        <v>-12</v>
      </c>
    </row>
    <row r="29" spans="1:16" x14ac:dyDescent="0.25">
      <c r="A29" s="1">
        <v>78</v>
      </c>
      <c r="B29" s="9">
        <f t="shared" si="0"/>
        <v>8</v>
      </c>
      <c r="C29" s="9">
        <f t="shared" si="1"/>
        <v>-6</v>
      </c>
      <c r="D29" s="1">
        <f t="shared" si="2"/>
        <v>2</v>
      </c>
      <c r="M29" s="1">
        <v>78</v>
      </c>
      <c r="N29" s="1">
        <f t="shared" si="3"/>
        <v>2</v>
      </c>
      <c r="O29" s="1">
        <f t="shared" si="4"/>
        <v>-4</v>
      </c>
      <c r="P29" s="1">
        <f t="shared" si="5"/>
        <v>-10</v>
      </c>
    </row>
    <row r="30" spans="1:16" x14ac:dyDescent="0.25">
      <c r="A30" s="1">
        <v>80</v>
      </c>
      <c r="B30" s="9">
        <f t="shared" si="0"/>
        <v>10</v>
      </c>
      <c r="C30" s="9">
        <f t="shared" si="1"/>
        <v>-6</v>
      </c>
      <c r="D30" s="1">
        <f t="shared" si="2"/>
        <v>4</v>
      </c>
      <c r="M30" s="1">
        <v>80</v>
      </c>
      <c r="N30" s="1">
        <f t="shared" si="3"/>
        <v>4</v>
      </c>
      <c r="O30" s="1">
        <f t="shared" si="4"/>
        <v>-2</v>
      </c>
      <c r="P30" s="1">
        <f t="shared" si="5"/>
        <v>-8</v>
      </c>
    </row>
    <row r="31" spans="1:16" x14ac:dyDescent="0.25">
      <c r="A31" s="1">
        <v>82</v>
      </c>
      <c r="B31" s="9">
        <f t="shared" si="0"/>
        <v>12</v>
      </c>
      <c r="C31" s="9">
        <f t="shared" si="1"/>
        <v>-6</v>
      </c>
      <c r="D31" s="1">
        <f t="shared" si="2"/>
        <v>6</v>
      </c>
      <c r="M31" s="1">
        <v>82</v>
      </c>
      <c r="N31" s="1">
        <f t="shared" si="3"/>
        <v>6</v>
      </c>
      <c r="O31" s="1">
        <f t="shared" si="4"/>
        <v>0</v>
      </c>
      <c r="P31" s="1">
        <f t="shared" si="5"/>
        <v>-6</v>
      </c>
    </row>
    <row r="32" spans="1:16" x14ac:dyDescent="0.25">
      <c r="A32" s="1">
        <v>84</v>
      </c>
      <c r="B32" s="9">
        <f t="shared" si="0"/>
        <v>14</v>
      </c>
      <c r="C32" s="9">
        <f t="shared" si="1"/>
        <v>-6</v>
      </c>
      <c r="D32" s="1">
        <f t="shared" si="2"/>
        <v>8</v>
      </c>
      <c r="M32" s="1">
        <v>84</v>
      </c>
      <c r="N32" s="1">
        <f t="shared" si="3"/>
        <v>8</v>
      </c>
      <c r="O32" s="1">
        <f t="shared" si="4"/>
        <v>2</v>
      </c>
      <c r="P32" s="1">
        <f t="shared" si="5"/>
        <v>-4</v>
      </c>
    </row>
    <row r="33" spans="1:16" x14ac:dyDescent="0.25">
      <c r="A33" s="1">
        <v>86</v>
      </c>
      <c r="B33" s="9">
        <f t="shared" si="0"/>
        <v>16</v>
      </c>
      <c r="C33" s="9">
        <f t="shared" si="1"/>
        <v>-6</v>
      </c>
      <c r="D33" s="1">
        <f t="shared" si="2"/>
        <v>10</v>
      </c>
      <c r="M33" s="1">
        <v>86</v>
      </c>
      <c r="N33" s="1">
        <f t="shared" si="3"/>
        <v>10</v>
      </c>
      <c r="O33" s="1">
        <f t="shared" si="4"/>
        <v>4</v>
      </c>
      <c r="P33" s="1">
        <f t="shared" si="5"/>
        <v>-2</v>
      </c>
    </row>
    <row r="34" spans="1:16" x14ac:dyDescent="0.25">
      <c r="A34" s="1">
        <v>88</v>
      </c>
      <c r="B34" s="9">
        <f t="shared" si="0"/>
        <v>18</v>
      </c>
      <c r="C34" s="9">
        <f t="shared" si="1"/>
        <v>-6</v>
      </c>
      <c r="D34" s="1">
        <f t="shared" si="2"/>
        <v>12</v>
      </c>
      <c r="M34" s="1">
        <v>88</v>
      </c>
      <c r="N34" s="1">
        <f t="shared" si="3"/>
        <v>12</v>
      </c>
      <c r="O34" s="1">
        <f t="shared" si="4"/>
        <v>6</v>
      </c>
      <c r="P34" s="1">
        <f t="shared" si="5"/>
        <v>0</v>
      </c>
    </row>
    <row r="35" spans="1:16" x14ac:dyDescent="0.25">
      <c r="A35" s="1">
        <v>90</v>
      </c>
      <c r="B35" s="9">
        <f t="shared" si="0"/>
        <v>20</v>
      </c>
      <c r="C35" s="9">
        <f t="shared" si="1"/>
        <v>-6</v>
      </c>
      <c r="D35" s="1">
        <f t="shared" si="2"/>
        <v>14</v>
      </c>
      <c r="M35" s="1">
        <v>90</v>
      </c>
      <c r="N35" s="1">
        <f t="shared" si="3"/>
        <v>14</v>
      </c>
      <c r="O35" s="1">
        <f t="shared" si="4"/>
        <v>8</v>
      </c>
      <c r="P35" s="1">
        <f t="shared" si="5"/>
        <v>2</v>
      </c>
    </row>
    <row r="39" spans="1:16" x14ac:dyDescent="0.25">
      <c r="A39" s="2" t="s">
        <v>10</v>
      </c>
    </row>
    <row r="40" spans="1:16" x14ac:dyDescent="0.25">
      <c r="A40" s="1" t="s">
        <v>11</v>
      </c>
    </row>
    <row r="42" spans="1:16" ht="15.6" x14ac:dyDescent="0.35">
      <c r="A42" s="3" t="s">
        <v>5</v>
      </c>
      <c r="B42" s="3" t="s">
        <v>1</v>
      </c>
      <c r="C42" s="3" t="s">
        <v>0</v>
      </c>
      <c r="D42" s="3" t="s">
        <v>6</v>
      </c>
    </row>
    <row r="43" spans="1:16" x14ac:dyDescent="0.25">
      <c r="A43" s="1">
        <v>40</v>
      </c>
      <c r="B43" s="9">
        <f>MAX(A43-$B$2,0)-$C$2</f>
        <v>-10</v>
      </c>
      <c r="C43" s="9">
        <f>2*(MAX($B$1-A43,0)-$C$1)</f>
        <v>8</v>
      </c>
      <c r="D43" s="1">
        <f>C43+B43</f>
        <v>-2</v>
      </c>
    </row>
    <row r="44" spans="1:16" x14ac:dyDescent="0.25">
      <c r="A44" s="1">
        <v>42</v>
      </c>
      <c r="B44" s="9">
        <f t="shared" ref="B44:B68" si="6">MAX(A44-$B$2,0)-$C$2</f>
        <v>-10</v>
      </c>
      <c r="C44" s="9">
        <f t="shared" ref="C44:C68" si="7">2*(MAX($B$1-A44,0)-$C$1)</f>
        <v>4</v>
      </c>
      <c r="D44" s="1">
        <f t="shared" ref="D44:D68" si="8">C44+B44</f>
        <v>-6</v>
      </c>
    </row>
    <row r="45" spans="1:16" x14ac:dyDescent="0.25">
      <c r="A45" s="1">
        <v>44</v>
      </c>
      <c r="B45" s="9">
        <f t="shared" si="6"/>
        <v>-10</v>
      </c>
      <c r="C45" s="9">
        <f t="shared" si="7"/>
        <v>0</v>
      </c>
      <c r="D45" s="1">
        <f t="shared" si="8"/>
        <v>-10</v>
      </c>
    </row>
    <row r="46" spans="1:16" x14ac:dyDescent="0.25">
      <c r="A46" s="1">
        <v>46</v>
      </c>
      <c r="B46" s="9">
        <f t="shared" si="6"/>
        <v>-10</v>
      </c>
      <c r="C46" s="9">
        <f t="shared" si="7"/>
        <v>-4</v>
      </c>
      <c r="D46" s="1">
        <f t="shared" si="8"/>
        <v>-14</v>
      </c>
    </row>
    <row r="47" spans="1:16" x14ac:dyDescent="0.25">
      <c r="A47" s="1">
        <v>48</v>
      </c>
      <c r="B47" s="9">
        <f t="shared" si="6"/>
        <v>-10</v>
      </c>
      <c r="C47" s="9">
        <f t="shared" si="7"/>
        <v>-8</v>
      </c>
      <c r="D47" s="1">
        <f t="shared" si="8"/>
        <v>-18</v>
      </c>
    </row>
    <row r="48" spans="1:16" x14ac:dyDescent="0.25">
      <c r="A48" s="1">
        <v>50</v>
      </c>
      <c r="B48" s="9">
        <f t="shared" si="6"/>
        <v>-10</v>
      </c>
      <c r="C48" s="9">
        <f t="shared" si="7"/>
        <v>-12</v>
      </c>
      <c r="D48" s="1">
        <f t="shared" si="8"/>
        <v>-22</v>
      </c>
    </row>
    <row r="49" spans="1:4" x14ac:dyDescent="0.25">
      <c r="A49" s="1">
        <v>52</v>
      </c>
      <c r="B49" s="9">
        <f t="shared" si="6"/>
        <v>-10</v>
      </c>
      <c r="C49" s="9">
        <f t="shared" si="7"/>
        <v>-12</v>
      </c>
      <c r="D49" s="1">
        <f t="shared" si="8"/>
        <v>-22</v>
      </c>
    </row>
    <row r="50" spans="1:4" x14ac:dyDescent="0.25">
      <c r="A50" s="1">
        <v>54</v>
      </c>
      <c r="B50" s="9">
        <f t="shared" si="6"/>
        <v>-10</v>
      </c>
      <c r="C50" s="9">
        <f t="shared" si="7"/>
        <v>-12</v>
      </c>
      <c r="D50" s="1">
        <f t="shared" si="8"/>
        <v>-22</v>
      </c>
    </row>
    <row r="51" spans="1:4" x14ac:dyDescent="0.25">
      <c r="A51" s="1">
        <v>56</v>
      </c>
      <c r="B51" s="9">
        <f t="shared" si="6"/>
        <v>-10</v>
      </c>
      <c r="C51" s="9">
        <f t="shared" si="7"/>
        <v>-12</v>
      </c>
      <c r="D51" s="1">
        <f t="shared" si="8"/>
        <v>-22</v>
      </c>
    </row>
    <row r="52" spans="1:4" x14ac:dyDescent="0.25">
      <c r="A52" s="1">
        <v>58</v>
      </c>
      <c r="B52" s="9">
        <f t="shared" si="6"/>
        <v>-10</v>
      </c>
      <c r="C52" s="9">
        <f t="shared" si="7"/>
        <v>-12</v>
      </c>
      <c r="D52" s="1">
        <f t="shared" si="8"/>
        <v>-22</v>
      </c>
    </row>
    <row r="53" spans="1:4" x14ac:dyDescent="0.25">
      <c r="A53" s="1">
        <v>60</v>
      </c>
      <c r="B53" s="9">
        <f t="shared" si="6"/>
        <v>-10</v>
      </c>
      <c r="C53" s="9">
        <f t="shared" si="7"/>
        <v>-12</v>
      </c>
      <c r="D53" s="1">
        <f t="shared" si="8"/>
        <v>-22</v>
      </c>
    </row>
    <row r="54" spans="1:4" x14ac:dyDescent="0.25">
      <c r="A54" s="1">
        <v>62</v>
      </c>
      <c r="B54" s="9">
        <f t="shared" si="6"/>
        <v>-8</v>
      </c>
      <c r="C54" s="9">
        <f t="shared" si="7"/>
        <v>-12</v>
      </c>
      <c r="D54" s="1">
        <f t="shared" si="8"/>
        <v>-20</v>
      </c>
    </row>
    <row r="55" spans="1:4" x14ac:dyDescent="0.25">
      <c r="A55" s="1">
        <v>64</v>
      </c>
      <c r="B55" s="9">
        <f t="shared" si="6"/>
        <v>-6</v>
      </c>
      <c r="C55" s="9">
        <f t="shared" si="7"/>
        <v>-12</v>
      </c>
      <c r="D55" s="1">
        <f t="shared" si="8"/>
        <v>-18</v>
      </c>
    </row>
    <row r="56" spans="1:4" x14ac:dyDescent="0.25">
      <c r="A56" s="1">
        <v>66</v>
      </c>
      <c r="B56" s="9">
        <f t="shared" si="6"/>
        <v>-4</v>
      </c>
      <c r="C56" s="9">
        <f t="shared" si="7"/>
        <v>-12</v>
      </c>
      <c r="D56" s="1">
        <f t="shared" si="8"/>
        <v>-16</v>
      </c>
    </row>
    <row r="57" spans="1:4" x14ac:dyDescent="0.25">
      <c r="A57" s="1">
        <v>68</v>
      </c>
      <c r="B57" s="9">
        <f t="shared" si="6"/>
        <v>-2</v>
      </c>
      <c r="C57" s="9">
        <f t="shared" si="7"/>
        <v>-12</v>
      </c>
      <c r="D57" s="1">
        <f t="shared" si="8"/>
        <v>-14</v>
      </c>
    </row>
    <row r="58" spans="1:4" x14ac:dyDescent="0.25">
      <c r="A58" s="1">
        <v>70</v>
      </c>
      <c r="B58" s="9">
        <f t="shared" si="6"/>
        <v>0</v>
      </c>
      <c r="C58" s="9">
        <f t="shared" si="7"/>
        <v>-12</v>
      </c>
      <c r="D58" s="1">
        <f t="shared" si="8"/>
        <v>-12</v>
      </c>
    </row>
    <row r="59" spans="1:4" x14ac:dyDescent="0.25">
      <c r="A59" s="1">
        <v>72</v>
      </c>
      <c r="B59" s="9">
        <f t="shared" si="6"/>
        <v>2</v>
      </c>
      <c r="C59" s="9">
        <f t="shared" si="7"/>
        <v>-12</v>
      </c>
      <c r="D59" s="1">
        <f t="shared" si="8"/>
        <v>-10</v>
      </c>
    </row>
    <row r="60" spans="1:4" x14ac:dyDescent="0.25">
      <c r="A60" s="1">
        <v>74</v>
      </c>
      <c r="B60" s="9">
        <f t="shared" si="6"/>
        <v>4</v>
      </c>
      <c r="C60" s="9">
        <f t="shared" si="7"/>
        <v>-12</v>
      </c>
      <c r="D60" s="1">
        <f t="shared" si="8"/>
        <v>-8</v>
      </c>
    </row>
    <row r="61" spans="1:4" x14ac:dyDescent="0.25">
      <c r="A61" s="1">
        <v>76</v>
      </c>
      <c r="B61" s="9">
        <f t="shared" si="6"/>
        <v>6</v>
      </c>
      <c r="C61" s="9">
        <f t="shared" si="7"/>
        <v>-12</v>
      </c>
      <c r="D61" s="1">
        <f t="shared" si="8"/>
        <v>-6</v>
      </c>
    </row>
    <row r="62" spans="1:4" x14ac:dyDescent="0.25">
      <c r="A62" s="1">
        <v>78</v>
      </c>
      <c r="B62" s="9">
        <f t="shared" si="6"/>
        <v>8</v>
      </c>
      <c r="C62" s="9">
        <f t="shared" si="7"/>
        <v>-12</v>
      </c>
      <c r="D62" s="1">
        <f t="shared" si="8"/>
        <v>-4</v>
      </c>
    </row>
    <row r="63" spans="1:4" x14ac:dyDescent="0.25">
      <c r="A63" s="1">
        <v>80</v>
      </c>
      <c r="B63" s="9">
        <f t="shared" si="6"/>
        <v>10</v>
      </c>
      <c r="C63" s="9">
        <f t="shared" si="7"/>
        <v>-12</v>
      </c>
      <c r="D63" s="1">
        <f t="shared" si="8"/>
        <v>-2</v>
      </c>
    </row>
    <row r="64" spans="1:4" x14ac:dyDescent="0.25">
      <c r="A64" s="1">
        <v>82</v>
      </c>
      <c r="B64" s="9">
        <f t="shared" si="6"/>
        <v>12</v>
      </c>
      <c r="C64" s="9">
        <f t="shared" si="7"/>
        <v>-12</v>
      </c>
      <c r="D64" s="1">
        <f t="shared" si="8"/>
        <v>0</v>
      </c>
    </row>
    <row r="65" spans="1:4" x14ac:dyDescent="0.25">
      <c r="A65" s="1">
        <v>84</v>
      </c>
      <c r="B65" s="9">
        <f t="shared" si="6"/>
        <v>14</v>
      </c>
      <c r="C65" s="9">
        <f t="shared" si="7"/>
        <v>-12</v>
      </c>
      <c r="D65" s="1">
        <f t="shared" si="8"/>
        <v>2</v>
      </c>
    </row>
    <row r="66" spans="1:4" x14ac:dyDescent="0.25">
      <c r="A66" s="1">
        <v>86</v>
      </c>
      <c r="B66" s="9">
        <f t="shared" si="6"/>
        <v>16</v>
      </c>
      <c r="C66" s="9">
        <f t="shared" si="7"/>
        <v>-12</v>
      </c>
      <c r="D66" s="1">
        <f t="shared" si="8"/>
        <v>4</v>
      </c>
    </row>
    <row r="67" spans="1:4" x14ac:dyDescent="0.25">
      <c r="A67" s="1">
        <v>88</v>
      </c>
      <c r="B67" s="9">
        <f t="shared" si="6"/>
        <v>18</v>
      </c>
      <c r="C67" s="9">
        <f t="shared" si="7"/>
        <v>-12</v>
      </c>
      <c r="D67" s="1">
        <f t="shared" si="8"/>
        <v>6</v>
      </c>
    </row>
    <row r="68" spans="1:4" x14ac:dyDescent="0.25">
      <c r="A68" s="1">
        <v>90</v>
      </c>
      <c r="B68" s="9">
        <f t="shared" si="6"/>
        <v>20</v>
      </c>
      <c r="C68" s="9">
        <f t="shared" si="7"/>
        <v>-12</v>
      </c>
      <c r="D68" s="1">
        <f t="shared" si="8"/>
        <v>8</v>
      </c>
    </row>
    <row r="72" spans="1:4" x14ac:dyDescent="0.25">
      <c r="A72" s="2" t="s">
        <v>12</v>
      </c>
    </row>
    <row r="73" spans="1:4" x14ac:dyDescent="0.25">
      <c r="A73" s="1" t="s">
        <v>13</v>
      </c>
    </row>
    <row r="75" spans="1:4" ht="15.6" x14ac:dyDescent="0.35">
      <c r="A75" s="3" t="s">
        <v>5</v>
      </c>
      <c r="B75" s="3" t="s">
        <v>1</v>
      </c>
      <c r="C75" s="3" t="s">
        <v>0</v>
      </c>
      <c r="D75" s="3" t="s">
        <v>6</v>
      </c>
    </row>
    <row r="76" spans="1:4" x14ac:dyDescent="0.25">
      <c r="A76" s="1">
        <v>40</v>
      </c>
      <c r="B76" s="9">
        <f t="shared" ref="B76:B103" si="9">MAX(A76-$B$2,0)-$C$2</f>
        <v>-10</v>
      </c>
      <c r="C76" s="9">
        <f>3*(MAX($B$1-A76,0)-$C$1)</f>
        <v>12</v>
      </c>
      <c r="D76" s="1">
        <f t="shared" ref="D76:D98" si="10">C76+B76</f>
        <v>2</v>
      </c>
    </row>
    <row r="77" spans="1:4" x14ac:dyDescent="0.25">
      <c r="A77" s="1">
        <v>42</v>
      </c>
      <c r="B77" s="9">
        <f t="shared" si="9"/>
        <v>-10</v>
      </c>
      <c r="C77" s="9">
        <f t="shared" ref="C77:C103" si="11">3*(MAX($B$1-A77,0)-$C$1)</f>
        <v>6</v>
      </c>
      <c r="D77" s="1">
        <f t="shared" si="10"/>
        <v>-4</v>
      </c>
    </row>
    <row r="78" spans="1:4" x14ac:dyDescent="0.25">
      <c r="A78" s="1">
        <v>44</v>
      </c>
      <c r="B78" s="9">
        <f t="shared" si="9"/>
        <v>-10</v>
      </c>
      <c r="C78" s="9">
        <f t="shared" si="11"/>
        <v>0</v>
      </c>
      <c r="D78" s="1">
        <f t="shared" si="10"/>
        <v>-10</v>
      </c>
    </row>
    <row r="79" spans="1:4" x14ac:dyDescent="0.25">
      <c r="A79" s="1">
        <v>46</v>
      </c>
      <c r="B79" s="9">
        <f t="shared" si="9"/>
        <v>-10</v>
      </c>
      <c r="C79" s="9">
        <f t="shared" si="11"/>
        <v>-6</v>
      </c>
      <c r="D79" s="1">
        <f t="shared" si="10"/>
        <v>-16</v>
      </c>
    </row>
    <row r="80" spans="1:4" x14ac:dyDescent="0.25">
      <c r="A80" s="1">
        <v>48</v>
      </c>
      <c r="B80" s="9">
        <f t="shared" si="9"/>
        <v>-10</v>
      </c>
      <c r="C80" s="9">
        <f t="shared" si="11"/>
        <v>-12</v>
      </c>
      <c r="D80" s="1">
        <f t="shared" si="10"/>
        <v>-22</v>
      </c>
    </row>
    <row r="81" spans="1:4" x14ac:dyDescent="0.25">
      <c r="A81" s="1">
        <v>50</v>
      </c>
      <c r="B81" s="9">
        <f t="shared" si="9"/>
        <v>-10</v>
      </c>
      <c r="C81" s="9">
        <f t="shared" si="11"/>
        <v>-18</v>
      </c>
      <c r="D81" s="1">
        <f t="shared" si="10"/>
        <v>-28</v>
      </c>
    </row>
    <row r="82" spans="1:4" x14ac:dyDescent="0.25">
      <c r="A82" s="1">
        <v>52</v>
      </c>
      <c r="B82" s="9">
        <f t="shared" si="9"/>
        <v>-10</v>
      </c>
      <c r="C82" s="9">
        <f t="shared" si="11"/>
        <v>-18</v>
      </c>
      <c r="D82" s="1">
        <f t="shared" si="10"/>
        <v>-28</v>
      </c>
    </row>
    <row r="83" spans="1:4" x14ac:dyDescent="0.25">
      <c r="A83" s="1">
        <v>54</v>
      </c>
      <c r="B83" s="9">
        <f t="shared" si="9"/>
        <v>-10</v>
      </c>
      <c r="C83" s="9">
        <f t="shared" si="11"/>
        <v>-18</v>
      </c>
      <c r="D83" s="1">
        <f t="shared" si="10"/>
        <v>-28</v>
      </c>
    </row>
    <row r="84" spans="1:4" x14ac:dyDescent="0.25">
      <c r="A84" s="1">
        <v>56</v>
      </c>
      <c r="B84" s="9">
        <f t="shared" si="9"/>
        <v>-10</v>
      </c>
      <c r="C84" s="9">
        <f t="shared" si="11"/>
        <v>-18</v>
      </c>
      <c r="D84" s="1">
        <f t="shared" si="10"/>
        <v>-28</v>
      </c>
    </row>
    <row r="85" spans="1:4" x14ac:dyDescent="0.25">
      <c r="A85" s="1">
        <v>58</v>
      </c>
      <c r="B85" s="9">
        <f t="shared" si="9"/>
        <v>-10</v>
      </c>
      <c r="C85" s="9">
        <f t="shared" si="11"/>
        <v>-18</v>
      </c>
      <c r="D85" s="1">
        <f t="shared" si="10"/>
        <v>-28</v>
      </c>
    </row>
    <row r="86" spans="1:4" x14ac:dyDescent="0.25">
      <c r="A86" s="1">
        <v>60</v>
      </c>
      <c r="B86" s="9">
        <f t="shared" si="9"/>
        <v>-10</v>
      </c>
      <c r="C86" s="9">
        <f t="shared" si="11"/>
        <v>-18</v>
      </c>
      <c r="D86" s="1">
        <f t="shared" si="10"/>
        <v>-28</v>
      </c>
    </row>
    <row r="87" spans="1:4" x14ac:dyDescent="0.25">
      <c r="A87" s="1">
        <v>62</v>
      </c>
      <c r="B87" s="9">
        <f t="shared" si="9"/>
        <v>-8</v>
      </c>
      <c r="C87" s="9">
        <f t="shared" si="11"/>
        <v>-18</v>
      </c>
      <c r="D87" s="1">
        <f t="shared" si="10"/>
        <v>-26</v>
      </c>
    </row>
    <row r="88" spans="1:4" x14ac:dyDescent="0.25">
      <c r="A88" s="1">
        <v>64</v>
      </c>
      <c r="B88" s="9">
        <f t="shared" si="9"/>
        <v>-6</v>
      </c>
      <c r="C88" s="9">
        <f t="shared" si="11"/>
        <v>-18</v>
      </c>
      <c r="D88" s="1">
        <f t="shared" si="10"/>
        <v>-24</v>
      </c>
    </row>
    <row r="89" spans="1:4" x14ac:dyDescent="0.25">
      <c r="A89" s="1">
        <v>66</v>
      </c>
      <c r="B89" s="9">
        <f t="shared" si="9"/>
        <v>-4</v>
      </c>
      <c r="C89" s="9">
        <f t="shared" si="11"/>
        <v>-18</v>
      </c>
      <c r="D89" s="1">
        <f t="shared" si="10"/>
        <v>-22</v>
      </c>
    </row>
    <row r="90" spans="1:4" x14ac:dyDescent="0.25">
      <c r="A90" s="1">
        <v>68</v>
      </c>
      <c r="B90" s="9">
        <f t="shared" si="9"/>
        <v>-2</v>
      </c>
      <c r="C90" s="9">
        <f t="shared" si="11"/>
        <v>-18</v>
      </c>
      <c r="D90" s="1">
        <f t="shared" si="10"/>
        <v>-20</v>
      </c>
    </row>
    <row r="91" spans="1:4" x14ac:dyDescent="0.25">
      <c r="A91" s="1">
        <v>70</v>
      </c>
      <c r="B91" s="9">
        <f t="shared" si="9"/>
        <v>0</v>
      </c>
      <c r="C91" s="9">
        <f t="shared" si="11"/>
        <v>-18</v>
      </c>
      <c r="D91" s="1">
        <f t="shared" si="10"/>
        <v>-18</v>
      </c>
    </row>
    <row r="92" spans="1:4" x14ac:dyDescent="0.25">
      <c r="A92" s="1">
        <v>72</v>
      </c>
      <c r="B92" s="9">
        <f t="shared" si="9"/>
        <v>2</v>
      </c>
      <c r="C92" s="9">
        <f t="shared" si="11"/>
        <v>-18</v>
      </c>
      <c r="D92" s="1">
        <f t="shared" si="10"/>
        <v>-16</v>
      </c>
    </row>
    <row r="93" spans="1:4" x14ac:dyDescent="0.25">
      <c r="A93" s="1">
        <v>74</v>
      </c>
      <c r="B93" s="9">
        <f t="shared" si="9"/>
        <v>4</v>
      </c>
      <c r="C93" s="9">
        <f t="shared" si="11"/>
        <v>-18</v>
      </c>
      <c r="D93" s="1">
        <f t="shared" si="10"/>
        <v>-14</v>
      </c>
    </row>
    <row r="94" spans="1:4" x14ac:dyDescent="0.25">
      <c r="A94" s="1">
        <v>76</v>
      </c>
      <c r="B94" s="9">
        <f t="shared" si="9"/>
        <v>6</v>
      </c>
      <c r="C94" s="9">
        <f t="shared" si="11"/>
        <v>-18</v>
      </c>
      <c r="D94" s="1">
        <f t="shared" si="10"/>
        <v>-12</v>
      </c>
    </row>
    <row r="95" spans="1:4" x14ac:dyDescent="0.25">
      <c r="A95" s="1">
        <v>78</v>
      </c>
      <c r="B95" s="9">
        <f t="shared" si="9"/>
        <v>8</v>
      </c>
      <c r="C95" s="9">
        <f t="shared" si="11"/>
        <v>-18</v>
      </c>
      <c r="D95" s="1">
        <f t="shared" si="10"/>
        <v>-10</v>
      </c>
    </row>
    <row r="96" spans="1:4" x14ac:dyDescent="0.25">
      <c r="A96" s="1">
        <v>80</v>
      </c>
      <c r="B96" s="9">
        <f t="shared" si="9"/>
        <v>10</v>
      </c>
      <c r="C96" s="9">
        <f t="shared" si="11"/>
        <v>-18</v>
      </c>
      <c r="D96" s="1">
        <f t="shared" si="10"/>
        <v>-8</v>
      </c>
    </row>
    <row r="97" spans="1:5" x14ac:dyDescent="0.25">
      <c r="A97" s="1">
        <v>82</v>
      </c>
      <c r="B97" s="9">
        <f t="shared" si="9"/>
        <v>12</v>
      </c>
      <c r="C97" s="9">
        <f t="shared" si="11"/>
        <v>-18</v>
      </c>
      <c r="D97" s="1">
        <f t="shared" si="10"/>
        <v>-6</v>
      </c>
    </row>
    <row r="98" spans="1:5" x14ac:dyDescent="0.25">
      <c r="A98" s="1">
        <v>84</v>
      </c>
      <c r="B98" s="9">
        <f t="shared" si="9"/>
        <v>14</v>
      </c>
      <c r="C98" s="9">
        <f t="shared" si="11"/>
        <v>-18</v>
      </c>
      <c r="D98" s="1">
        <f t="shared" si="10"/>
        <v>-4</v>
      </c>
    </row>
    <row r="99" spans="1:5" x14ac:dyDescent="0.25">
      <c r="A99" s="1">
        <v>86</v>
      </c>
      <c r="B99" s="9">
        <f t="shared" si="9"/>
        <v>16</v>
      </c>
      <c r="C99" s="9">
        <f t="shared" si="11"/>
        <v>-18</v>
      </c>
      <c r="D99" s="1">
        <f>C99+B99</f>
        <v>-2</v>
      </c>
    </row>
    <row r="100" spans="1:5" x14ac:dyDescent="0.25">
      <c r="A100" s="1">
        <v>88</v>
      </c>
      <c r="B100" s="9">
        <f t="shared" si="9"/>
        <v>18</v>
      </c>
      <c r="C100" s="9">
        <f t="shared" si="11"/>
        <v>-18</v>
      </c>
      <c r="D100" s="1">
        <f>C100+B100</f>
        <v>0</v>
      </c>
    </row>
    <row r="101" spans="1:5" x14ac:dyDescent="0.25">
      <c r="A101" s="1">
        <v>90</v>
      </c>
      <c r="B101" s="9">
        <f t="shared" si="9"/>
        <v>20</v>
      </c>
      <c r="C101" s="9">
        <f t="shared" si="11"/>
        <v>-18</v>
      </c>
      <c r="D101" s="1">
        <f>C101+B101</f>
        <v>2</v>
      </c>
    </row>
    <row r="102" spans="1:5" x14ac:dyDescent="0.25">
      <c r="A102" s="1">
        <v>92</v>
      </c>
      <c r="B102" s="9">
        <f t="shared" si="9"/>
        <v>22</v>
      </c>
      <c r="C102" s="9">
        <f t="shared" si="11"/>
        <v>-18</v>
      </c>
      <c r="D102" s="1">
        <f>C102+B102</f>
        <v>4</v>
      </c>
    </row>
    <row r="103" spans="1:5" x14ac:dyDescent="0.25">
      <c r="A103" s="1">
        <v>94</v>
      </c>
      <c r="B103" s="9">
        <f t="shared" si="9"/>
        <v>24</v>
      </c>
      <c r="C103" s="9">
        <f t="shared" si="11"/>
        <v>-18</v>
      </c>
      <c r="D103" s="1">
        <f>C103+B103</f>
        <v>6</v>
      </c>
    </row>
    <row r="108" spans="1:5" x14ac:dyDescent="0.25">
      <c r="A108" s="2" t="s">
        <v>14</v>
      </c>
    </row>
    <row r="109" spans="1:5" x14ac:dyDescent="0.25">
      <c r="A109" s="1" t="s">
        <v>15</v>
      </c>
    </row>
    <row r="111" spans="1:5" ht="15.6" x14ac:dyDescent="0.35">
      <c r="A111" s="1" t="s">
        <v>16</v>
      </c>
      <c r="E111" s="4" t="s">
        <v>17</v>
      </c>
    </row>
    <row r="113" spans="3:4" ht="15.6" x14ac:dyDescent="0.35">
      <c r="C113" s="4" t="s">
        <v>18</v>
      </c>
      <c r="D113" s="1" t="s">
        <v>19</v>
      </c>
    </row>
  </sheetData>
  <phoneticPr fontId="1" type="noConversion"/>
  <conditionalFormatting sqref="M10:M35">
    <cfRule type="expression" dxfId="1" priority="1">
      <formula>($N10*$O10*$P10=0)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2024-11-19T06:53:53Z</dcterms:modified>
</cp:coreProperties>
</file>