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1F64832A-863B-4159-B84B-3C765AC178E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8" i="1"/>
  <c r="B9" i="1" s="1"/>
  <c r="B7" i="1"/>
  <c r="C14" i="1"/>
  <c r="C9" i="1"/>
  <c r="C8" i="1"/>
</calcChain>
</file>

<file path=xl/sharedStrings.xml><?xml version="1.0" encoding="utf-8"?>
<sst xmlns="http://schemas.openxmlformats.org/spreadsheetml/2006/main" count="10" uniqueCount="10">
  <si>
    <t>S</t>
  </si>
  <si>
    <t>X</t>
  </si>
  <si>
    <t>Call price</t>
  </si>
  <si>
    <t>Arbitrage:  Buy the option, exercise immediately</t>
  </si>
  <si>
    <t>Cost</t>
  </si>
  <si>
    <t>Exercise profit</t>
  </si>
  <si>
    <t>Total</t>
  </si>
  <si>
    <t>Minimum option price (following Proposition 1):</t>
  </si>
  <si>
    <t>Interest rate</t>
  </si>
  <si>
    <t>Minimum call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</si>
</sst>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390525</xdr:colOff>
      <xdr:row>0</xdr:row>
      <xdr:rowOff>114300</xdr:rowOff>
    </xdr:from>
    <xdr:to>
      <xdr:col>12</xdr:col>
      <xdr:colOff>438150</xdr:colOff>
      <xdr:row>18</xdr:row>
      <xdr:rowOff>57150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0F25060-C386-8C6E-7785-B2C8222CF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05425" y="114300"/>
          <a:ext cx="4314825" cy="3028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14"/>
  <sheetViews>
    <sheetView tabSelected="1" zoomScale="145" zoomScaleNormal="145" workbookViewId="0">
      <selection activeCell="C25" sqref="C25"/>
    </sheetView>
  </sheetViews>
  <sheetFormatPr defaultRowHeight="13.8" x14ac:dyDescent="0.25"/>
  <cols>
    <col min="1" max="1" width="33.109375" style="1" customWidth="1"/>
    <col min="2" max="2" width="12.6640625" style="1" bestFit="1" customWidth="1"/>
    <col min="3" max="3" width="24.88671875" style="1" bestFit="1" customWidth="1"/>
    <col min="4" max="4" width="8.88671875" style="1"/>
  </cols>
  <sheetData>
    <row r="1" spans="1:3" x14ac:dyDescent="0.25">
      <c r="A1" s="1" t="s">
        <v>0</v>
      </c>
      <c r="B1" s="1">
        <v>50</v>
      </c>
    </row>
    <row r="2" spans="1:3" x14ac:dyDescent="0.25">
      <c r="A2" s="1" t="s">
        <v>1</v>
      </c>
      <c r="B2" s="1">
        <v>45</v>
      </c>
    </row>
    <row r="3" spans="1:3" x14ac:dyDescent="0.25">
      <c r="A3" s="1" t="s">
        <v>2</v>
      </c>
      <c r="B3" s="1">
        <v>2</v>
      </c>
    </row>
    <row r="5" spans="1:3" x14ac:dyDescent="0.25">
      <c r="A5" s="1" t="s">
        <v>3</v>
      </c>
    </row>
    <row r="7" spans="1:3" x14ac:dyDescent="0.25">
      <c r="A7" s="1" t="s">
        <v>4</v>
      </c>
      <c r="B7" s="1">
        <f>-B3</f>
        <v>-2</v>
      </c>
    </row>
    <row r="8" spans="1:3" x14ac:dyDescent="0.25">
      <c r="A8" s="1" t="s">
        <v>5</v>
      </c>
      <c r="B8" s="1">
        <f>MAX(B1-B2,0)</f>
        <v>5</v>
      </c>
      <c r="C8" s="1" t="str">
        <f ca="1">[2]!getformula(B8)</f>
        <v>&lt;--  =MAX(B1-B2,0)</v>
      </c>
    </row>
    <row r="9" spans="1:3" x14ac:dyDescent="0.25">
      <c r="A9" s="1" t="s">
        <v>6</v>
      </c>
      <c r="B9" s="1">
        <f>SUM(B7:B8)</f>
        <v>3</v>
      </c>
      <c r="C9" s="1" t="str">
        <f ca="1">[2]!getformula(B9)</f>
        <v>&lt;--  =SUM(B7:B8)</v>
      </c>
    </row>
    <row r="12" spans="1:3" x14ac:dyDescent="0.25">
      <c r="A12" s="1" t="s">
        <v>7</v>
      </c>
    </row>
    <row r="13" spans="1:3" x14ac:dyDescent="0.25">
      <c r="A13" s="1" t="s">
        <v>8</v>
      </c>
      <c r="B13" s="2">
        <v>0.1</v>
      </c>
    </row>
    <row r="14" spans="1:3" x14ac:dyDescent="0.25">
      <c r="A14" s="1" t="s">
        <v>9</v>
      </c>
      <c r="B14" s="3">
        <f>B1-EXP(-B13*1)*B2</f>
        <v>9.2823161883818202</v>
      </c>
      <c r="C14" s="1" t="str">
        <f ca="1">[2]!getformula(B14)</f>
        <v>&lt;--  =B1-EXP(-B13*1)*B2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2024-11-19T03:00:18Z</dcterms:modified>
</cp:coreProperties>
</file>