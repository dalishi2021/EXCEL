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12\"/>
    </mc:Choice>
  </mc:AlternateContent>
  <xr:revisionPtr revIDLastSave="0" documentId="13_ncr:1_{4836BAAF-B52B-4DD0-8292-CD905C9512B4}" xr6:coauthVersionLast="47" xr6:coauthVersionMax="47" xr10:uidLastSave="{00000000-0000-0000-0000-000000000000}"/>
  <bookViews>
    <workbookView xWindow="-38520" yWindow="-120" windowWidth="38640" windowHeight="21120" xr2:uid="{EA6F33A8-FE0E-48B1-8C74-8B2321C6BA8B}"/>
  </bookViews>
  <sheets>
    <sheet name="Sheet1" sheetId="1" r:id="rId1"/>
  </sheets>
  <externalReferences>
    <externalReference r:id="rId2"/>
    <externalReference r:id="rId3"/>
  </externalReferences>
  <definedNames>
    <definedName name="_xlnm.Print_Area" localSheetId="0">Sheet1!$A$1:$N$95</definedName>
  </definedName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55" i="1" l="1"/>
  <c r="C55" i="1"/>
  <c r="A56" i="1"/>
  <c r="C56" i="1"/>
  <c r="A57" i="1"/>
  <c r="C57" i="1"/>
  <c r="A58" i="1"/>
  <c r="C58" i="1"/>
  <c r="A59" i="1"/>
  <c r="C59" i="1"/>
  <c r="A60" i="1"/>
  <c r="C60" i="1"/>
  <c r="A61" i="1"/>
  <c r="C61" i="1"/>
  <c r="A62" i="1"/>
  <c r="C62" i="1"/>
  <c r="A63" i="1"/>
  <c r="C63" i="1"/>
  <c r="A64" i="1"/>
  <c r="C64" i="1"/>
  <c r="A65" i="1"/>
  <c r="C65" i="1"/>
  <c r="A66" i="1"/>
  <c r="C66" i="1"/>
  <c r="A67" i="1"/>
  <c r="C67" i="1"/>
  <c r="A68" i="1"/>
  <c r="C68" i="1"/>
  <c r="A69" i="1"/>
  <c r="C69" i="1"/>
  <c r="A70" i="1"/>
  <c r="C70" i="1"/>
  <c r="A71" i="1"/>
  <c r="C71" i="1"/>
  <c r="A72" i="1"/>
  <c r="C72" i="1"/>
  <c r="A73" i="1"/>
  <c r="C73" i="1"/>
  <c r="A74" i="1"/>
  <c r="C74" i="1"/>
  <c r="A75" i="1"/>
  <c r="C75" i="1"/>
  <c r="A76" i="1"/>
  <c r="C76" i="1"/>
  <c r="A77" i="1"/>
  <c r="C77" i="1"/>
  <c r="A78" i="1"/>
  <c r="C78" i="1"/>
  <c r="A79" i="1"/>
  <c r="C79" i="1"/>
  <c r="A80" i="1"/>
  <c r="C80" i="1"/>
  <c r="A81" i="1"/>
  <c r="C81" i="1"/>
  <c r="A82" i="1"/>
  <c r="C82" i="1"/>
  <c r="A83" i="1"/>
  <c r="C83" i="1"/>
  <c r="A84" i="1"/>
  <c r="C84" i="1"/>
  <c r="A85" i="1"/>
  <c r="C85" i="1"/>
  <c r="A86" i="1"/>
  <c r="C86" i="1"/>
  <c r="A87" i="1"/>
  <c r="C87" i="1"/>
  <c r="A88" i="1"/>
  <c r="C88" i="1"/>
  <c r="A89" i="1"/>
  <c r="C89" i="1"/>
  <c r="A90" i="1"/>
  <c r="C90" i="1"/>
  <c r="A91" i="1"/>
  <c r="C91" i="1"/>
  <c r="A92" i="1"/>
  <c r="C92" i="1"/>
  <c r="A93" i="1"/>
  <c r="C93" i="1"/>
  <c r="A94" i="1"/>
  <c r="C94" i="1"/>
  <c r="A95" i="1"/>
  <c r="C95" i="1"/>
  <c r="C54" i="1" l="1"/>
  <c r="C53" i="1"/>
  <c r="A47" i="1"/>
  <c r="A50" i="1"/>
  <c r="A48" i="1"/>
  <c r="A51" i="1"/>
  <c r="C48" i="1"/>
  <c r="A49" i="1"/>
  <c r="C49" i="1"/>
  <c r="C50" i="1"/>
  <c r="C51" i="1"/>
  <c r="A52" i="1"/>
  <c r="C52" i="1"/>
  <c r="A53" i="1"/>
  <c r="A54" i="1"/>
  <c r="C47" i="1"/>
  <c r="A7" i="1"/>
  <c r="B7" i="1"/>
  <c r="A8" i="1"/>
  <c r="B8" i="1"/>
  <c r="A9" i="1"/>
  <c r="B9" i="1"/>
  <c r="A10" i="1"/>
  <c r="B10" i="1"/>
  <c r="A11" i="1"/>
  <c r="B11" i="1"/>
  <c r="A12" i="1"/>
  <c r="B12" i="1"/>
  <c r="A13" i="1"/>
  <c r="B13" i="1"/>
  <c r="A14" i="1"/>
  <c r="B14" i="1"/>
  <c r="A15" i="1"/>
  <c r="B15" i="1"/>
  <c r="A16" i="1"/>
  <c r="B16" i="1"/>
  <c r="A17" i="1"/>
  <c r="B17" i="1"/>
  <c r="A18" i="1"/>
  <c r="B18" i="1"/>
  <c r="A19" i="1"/>
  <c r="B19" i="1"/>
  <c r="A20" i="1"/>
  <c r="B20" i="1"/>
  <c r="A21" i="1"/>
  <c r="B21" i="1"/>
  <c r="A22" i="1"/>
  <c r="B22" i="1"/>
  <c r="A23" i="1"/>
  <c r="B23" i="1"/>
  <c r="A24" i="1"/>
  <c r="B24" i="1"/>
  <c r="A25" i="1"/>
  <c r="B25" i="1"/>
  <c r="A26" i="1"/>
  <c r="B26" i="1"/>
  <c r="A27" i="1"/>
  <c r="B27" i="1"/>
  <c r="A28" i="1"/>
  <c r="B28" i="1"/>
  <c r="A29" i="1"/>
  <c r="B29" i="1"/>
  <c r="A30" i="1"/>
  <c r="B30" i="1"/>
  <c r="A31" i="1"/>
  <c r="B31" i="1"/>
  <c r="A32" i="1"/>
  <c r="B32" i="1"/>
  <c r="A33" i="1"/>
  <c r="B33" i="1"/>
  <c r="A34" i="1"/>
  <c r="B34" i="1"/>
  <c r="A35" i="1"/>
  <c r="B35" i="1"/>
  <c r="A36" i="1"/>
  <c r="B36" i="1"/>
  <c r="A37" i="1"/>
  <c r="B37" i="1"/>
  <c r="A38" i="1"/>
  <c r="B38" i="1"/>
  <c r="A39" i="1"/>
  <c r="B39" i="1"/>
  <c r="A40" i="1"/>
  <c r="B40" i="1"/>
  <c r="A41" i="1"/>
  <c r="B41" i="1"/>
  <c r="A42" i="1"/>
  <c r="B42" i="1"/>
  <c r="A43" i="1"/>
  <c r="B43" i="1"/>
  <c r="A44" i="1"/>
  <c r="B44" i="1"/>
  <c r="A45" i="1"/>
  <c r="B45" i="1"/>
  <c r="A46" i="1"/>
  <c r="B46" i="1"/>
</calcChain>
</file>

<file path=xl/sharedStrings.xml><?xml version="1.0" encoding="utf-8"?>
<sst xmlns="http://schemas.openxmlformats.org/spreadsheetml/2006/main" count="6" uniqueCount="6">
  <si>
    <t>Note:  To get the two data series (with and without short sales) to chart on the same</t>
  </si>
  <si>
    <r>
      <t xml:space="preserve">set of axes, we copy </t>
    </r>
    <r>
      <rPr>
        <b/>
        <sz val="10"/>
        <rFont val="Arial"/>
        <family val="2"/>
      </rPr>
      <t>all</t>
    </r>
    <r>
      <rPr>
        <sz val="10"/>
        <rFont val="Arial"/>
        <family val="2"/>
      </rPr>
      <t xml:space="preserve"> the sigmas in one column and then copy the means in</t>
    </r>
  </si>
  <si>
    <t>two adjacent columns.  The graph is produced with an XY graph format.</t>
  </si>
  <si>
    <t>Sigma</t>
  </si>
  <si>
    <t>No short sales</t>
  </si>
  <si>
    <t>Short sales allowed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</si>
</sst>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b/>
      <sz val="10"/>
      <name val="Arial"/>
      <family val="2"/>
    </font>
    <font>
      <sz val="10"/>
      <name val="Arial"/>
      <family val="2"/>
    </font>
    <font>
      <sz val="11"/>
      <color theme="1"/>
      <name val="等线"/>
      <family val="2"/>
      <charset val="134"/>
      <scheme val="minor"/>
    </font>
    <font>
      <sz val="11"/>
      <color rgb="FFFF0000"/>
      <name val="等线"/>
      <family val="2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9" fontId="4" fillId="0" borderId="0" applyFont="0" applyFill="0" applyBorder="0" applyAlignment="0" applyProtection="0">
      <alignment vertical="center"/>
    </xf>
  </cellStyleXfs>
  <cellXfs count="6">
    <xf numFmtId="0" fontId="0" fillId="0" borderId="0" xfId="0">
      <alignment vertical="center"/>
    </xf>
    <xf numFmtId="0" fontId="0" fillId="0" borderId="0" xfId="0" applyAlignment="1"/>
    <xf numFmtId="0" fontId="0" fillId="0" borderId="0" xfId="0" applyAlignment="1">
      <alignment vertical="center" wrapText="1"/>
    </xf>
    <xf numFmtId="10" fontId="0" fillId="0" borderId="0" xfId="0" applyNumberFormat="1" applyAlignment="1"/>
    <xf numFmtId="10" fontId="0" fillId="0" borderId="0" xfId="1" applyNumberFormat="1" applyFont="1" applyAlignment="1"/>
    <xf numFmtId="10" fontId="5" fillId="0" borderId="0" xfId="0" applyNumberFormat="1" applyFont="1" applyAlignment="1"/>
  </cellXfs>
  <cellStyles count="2">
    <cellStyle name="百分比" xfId="1" builtinId="5"/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2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5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altLang="zh-CN"/>
              <a:t>Comparing Two Efficient Frontiers
For low sigmas the two frontiers coincide
For higher signas, no restrictions on short sales 
gives higher returns</a:t>
            </a:r>
          </a:p>
        </c:rich>
      </c:tx>
      <c:layout>
        <c:manualLayout>
          <c:xMode val="edge"/>
          <c:yMode val="edge"/>
          <c:x val="0.27462721592061268"/>
          <c:y val="3.4562211981566823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3880614717726619"/>
          <c:y val="7.83410138248848E-2"/>
          <c:w val="0.77015023595128329"/>
          <c:h val="0.73271889400921664"/>
        </c:manualLayout>
      </c:layout>
      <c:scatterChart>
        <c:scatterStyle val="lineMarker"/>
        <c:varyColors val="0"/>
        <c:ser>
          <c:idx val="0"/>
          <c:order val="0"/>
          <c:tx>
            <c:v>No short sales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Sheet1!$A$7:$A$46</c:f>
              <c:numCache>
                <c:formatCode>0.00%</c:formatCode>
                <c:ptCount val="40"/>
                <c:pt idx="0">
                  <c:v>0.2024372022932846</c:v>
                </c:pt>
                <c:pt idx="1">
                  <c:v>0.20245488788172961</c:v>
                </c:pt>
                <c:pt idx="2">
                  <c:v>0.20247513483219473</c:v>
                </c:pt>
                <c:pt idx="3">
                  <c:v>0.20249842399053264</c:v>
                </c:pt>
                <c:pt idx="4">
                  <c:v>0.20253296102536125</c:v>
                </c:pt>
                <c:pt idx="5">
                  <c:v>0.2025666196924821</c:v>
                </c:pt>
                <c:pt idx="6">
                  <c:v>0.20260592281897083</c:v>
                </c:pt>
                <c:pt idx="7">
                  <c:v>0.20265220635513576</c:v>
                </c:pt>
                <c:pt idx="8">
                  <c:v>0.20270722588449183</c:v>
                </c:pt>
                <c:pt idx="9">
                  <c:v>0.20277332544824228</c:v>
                </c:pt>
                <c:pt idx="10">
                  <c:v>0.20285369154410254</c:v>
                </c:pt>
                <c:pt idx="11">
                  <c:v>0.20295274248444009</c:v>
                </c:pt>
                <c:pt idx="12">
                  <c:v>0.20307674945411014</c:v>
                </c:pt>
                <c:pt idx="13">
                  <c:v>0.20323484950669252</c:v>
                </c:pt>
                <c:pt idx="14">
                  <c:v>0.20344077577172454</c:v>
                </c:pt>
                <c:pt idx="15">
                  <c:v>0.20371593013022496</c:v>
                </c:pt>
                <c:pt idx="16">
                  <c:v>0.20409515463796524</c:v>
                </c:pt>
                <c:pt idx="17">
                  <c:v>0.20463828011492041</c:v>
                </c:pt>
                <c:pt idx="18">
                  <c:v>0.20545506085185911</c:v>
                </c:pt>
                <c:pt idx="19">
                  <c:v>0.20676484134069911</c:v>
                </c:pt>
                <c:pt idx="20">
                  <c:v>0.20905874632031232</c:v>
                </c:pt>
                <c:pt idx="21">
                  <c:v>0.21362784032914386</c:v>
                </c:pt>
                <c:pt idx="22">
                  <c:v>0.23271758167169612</c:v>
                </c:pt>
                <c:pt idx="23">
                  <c:v>0.31907380840123478</c:v>
                </c:pt>
                <c:pt idx="24">
                  <c:v>0.45249695872361717</c:v>
                </c:pt>
                <c:pt idx="25">
                  <c:v>0.60756554617198244</c:v>
                </c:pt>
                <c:pt idx="26">
                  <c:v>0.74296650910555695</c:v>
                </c:pt>
                <c:pt idx="27">
                  <c:v>0.948683417568847</c:v>
                </c:pt>
                <c:pt idx="28">
                  <c:v>0.948683417568847</c:v>
                </c:pt>
                <c:pt idx="29">
                  <c:v>0.948683417568847</c:v>
                </c:pt>
                <c:pt idx="30">
                  <c:v>0.948683417568847</c:v>
                </c:pt>
                <c:pt idx="31">
                  <c:v>0.948683417568847</c:v>
                </c:pt>
                <c:pt idx="32">
                  <c:v>0.948683417568847</c:v>
                </c:pt>
                <c:pt idx="33">
                  <c:v>0.948683417568847</c:v>
                </c:pt>
                <c:pt idx="34">
                  <c:v>0.948683417568847</c:v>
                </c:pt>
                <c:pt idx="35">
                  <c:v>0.948683417568847</c:v>
                </c:pt>
                <c:pt idx="36">
                  <c:v>0.948683417568847</c:v>
                </c:pt>
                <c:pt idx="37">
                  <c:v>0.948683417568847</c:v>
                </c:pt>
                <c:pt idx="38">
                  <c:v>0.948683417568847</c:v>
                </c:pt>
                <c:pt idx="39">
                  <c:v>0.948683417568847</c:v>
                </c:pt>
              </c:numCache>
            </c:numRef>
          </c:xVal>
          <c:yVal>
            <c:numRef>
              <c:f>Sheet1!$B$7:$B$46</c:f>
              <c:numCache>
                <c:formatCode>0.00%</c:formatCode>
                <c:ptCount val="40"/>
                <c:pt idx="0">
                  <c:v>8.7016243075599159E-2</c:v>
                </c:pt>
                <c:pt idx="1">
                  <c:v>8.7026679772696597E-2</c:v>
                </c:pt>
                <c:pt idx="2">
                  <c:v>8.7038128213624749E-2</c:v>
                </c:pt>
                <c:pt idx="3">
                  <c:v>8.7050721891421393E-2</c:v>
                </c:pt>
                <c:pt idx="4">
                  <c:v>8.7068807802025389E-2</c:v>
                </c:pt>
                <c:pt idx="5">
                  <c:v>8.7085344542971885E-2</c:v>
                </c:pt>
                <c:pt idx="6">
                  <c:v>8.7103683678527596E-2</c:v>
                </c:pt>
                <c:pt idx="7">
                  <c:v>8.7124136883509257E-2</c:v>
                </c:pt>
                <c:pt idx="8">
                  <c:v>8.7147092022763717E-2</c:v>
                </c:pt>
                <c:pt idx="9">
                  <c:v>8.7173038033685951E-2</c:v>
                </c:pt>
                <c:pt idx="10">
                  <c:v>8.7202600340970188E-2</c:v>
                </c:pt>
                <c:pt idx="11">
                  <c:v>8.7236591440268491E-2</c:v>
                </c:pt>
                <c:pt idx="12">
                  <c:v>8.7276087389289908E-2</c:v>
                </c:pt>
                <c:pt idx="13">
                  <c:v>8.7322543066957387E-2</c:v>
                </c:pt>
                <c:pt idx="14">
                  <c:v>8.7377976105288732E-2</c:v>
                </c:pt>
                <c:pt idx="15">
                  <c:v>8.7445266802528038E-2</c:v>
                </c:pt>
                <c:pt idx="16">
                  <c:v>8.7528675299525294E-2</c:v>
                </c:pt>
                <c:pt idx="17">
                  <c:v>8.7634781976739615E-2</c:v>
                </c:pt>
                <c:pt idx="18">
                  <c:v>8.7774307815770225E-2</c:v>
                </c:pt>
                <c:pt idx="19">
                  <c:v>8.7965994761564081E-2</c:v>
                </c:pt>
                <c:pt idx="20">
                  <c:v>8.8245813223479908E-2</c:v>
                </c:pt>
                <c:pt idx="21">
                  <c:v>8.8692709725103874E-2</c:v>
                </c:pt>
                <c:pt idx="22">
                  <c:v>9.0085001239956566E-2</c:v>
                </c:pt>
                <c:pt idx="23">
                  <c:v>9.4594952610760563E-2</c:v>
                </c:pt>
                <c:pt idx="24">
                  <c:v>0.10008617632800572</c:v>
                </c:pt>
                <c:pt idx="25">
                  <c:v>0.1044444576376112</c:v>
                </c:pt>
                <c:pt idx="26">
                  <c:v>0.10700000407360366</c:v>
                </c:pt>
                <c:pt idx="27">
                  <c:v>0.11000001385817236</c:v>
                </c:pt>
                <c:pt idx="28">
                  <c:v>0.11000001385817236</c:v>
                </c:pt>
                <c:pt idx="29">
                  <c:v>0.11000001385817236</c:v>
                </c:pt>
                <c:pt idx="30">
                  <c:v>0.11000001385817236</c:v>
                </c:pt>
                <c:pt idx="31">
                  <c:v>0.11000001385817236</c:v>
                </c:pt>
                <c:pt idx="32">
                  <c:v>0.11000001385817236</c:v>
                </c:pt>
                <c:pt idx="33">
                  <c:v>0.11000001385817236</c:v>
                </c:pt>
                <c:pt idx="34">
                  <c:v>0.11000001385817236</c:v>
                </c:pt>
                <c:pt idx="35">
                  <c:v>0.11000001385817236</c:v>
                </c:pt>
                <c:pt idx="36">
                  <c:v>0.11000001385817236</c:v>
                </c:pt>
                <c:pt idx="37">
                  <c:v>0.11000001385817236</c:v>
                </c:pt>
                <c:pt idx="38">
                  <c:v>0.11000001385817236</c:v>
                </c:pt>
                <c:pt idx="39">
                  <c:v>0.11000001385817236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075-4F10-810F-69D14FFE1C1C}"/>
            </c:ext>
          </c:extLst>
        </c:ser>
        <c:ser>
          <c:idx val="1"/>
          <c:order val="1"/>
          <c:tx>
            <c:v>Short sales allowed</c:v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Sheet1!$A$47:$A$95</c:f>
              <c:numCache>
                <c:formatCode>0.00%</c:formatCode>
                <c:ptCount val="49"/>
                <c:pt idx="0">
                  <c:v>0.28166041436735967</c:v>
                </c:pt>
                <c:pt idx="1">
                  <c:v>0.26530877284659998</c:v>
                </c:pt>
                <c:pt idx="2">
                  <c:v>0.25000931476138372</c:v>
                </c:pt>
                <c:pt idx="3">
                  <c:v>0.23596679125643139</c:v>
                </c:pt>
                <c:pt idx="4">
                  <c:v>0.22341833468757158</c:v>
                </c:pt>
                <c:pt idx="5">
                  <c:v>0.21262863063000473</c:v>
                </c:pt>
                <c:pt idx="6">
                  <c:v>0.2038771037731458</c:v>
                </c:pt>
                <c:pt idx="7">
                  <c:v>0.19743497388399286</c:v>
                </c:pt>
                <c:pt idx="8">
                  <c:v>0.19353299711556068</c:v>
                </c:pt>
                <c:pt idx="9">
                  <c:v>0.1923258423166323</c:v>
                </c:pt>
                <c:pt idx="10">
                  <c:v>0.19386385651633056</c:v>
                </c:pt>
                <c:pt idx="11">
                  <c:v>0.19808310552462194</c:v>
                </c:pt>
                <c:pt idx="12">
                  <c:v>0.20481795603775668</c:v>
                </c:pt>
                <c:pt idx="13">
                  <c:v>0.21383084465764554</c:v>
                </c:pt>
                <c:pt idx="14">
                  <c:v>0.22484799694200452</c:v>
                </c:pt>
                <c:pt idx="15">
                  <c:v>0.23759076143859842</c:v>
                </c:pt>
                <c:pt idx="16">
                  <c:v>0.25179728891198599</c:v>
                </c:pt>
                <c:pt idx="17">
                  <c:v>0.26723423447640665</c:v>
                </c:pt>
                <c:pt idx="18">
                  <c:v>0.28370081783327283</c:v>
                </c:pt>
                <c:pt idx="19">
                  <c:v>0.30102811927236367</c:v>
                </c:pt>
                <c:pt idx="20">
                  <c:v>0.31907594665903094</c:v>
                </c:pt>
                <c:pt idx="21">
                  <c:v>0.33772880758142165</c:v>
                </c:pt>
                <c:pt idx="22">
                  <c:v>0.35689184887678921</c:v>
                </c:pt>
                <c:pt idx="23">
                  <c:v>0.37648717469434295</c:v>
                </c:pt>
                <c:pt idx="24">
                  <c:v>0.39645069077285799</c:v>
                </c:pt>
                <c:pt idx="25">
                  <c:v>0.41672948576928859</c:v>
                </c:pt>
                <c:pt idx="26">
                  <c:v>0.43727969881427947</c:v>
                </c:pt>
                <c:pt idx="27">
                  <c:v>0.45806480138839512</c:v>
                </c:pt>
                <c:pt idx="28">
                  <c:v>0.47905422045649987</c:v>
                </c:pt>
                <c:pt idx="29">
                  <c:v>0.50022223720431636</c:v>
                </c:pt>
                <c:pt idx="30">
                  <c:v>0.52154710586917252</c:v>
                </c:pt>
                <c:pt idx="31">
                  <c:v>0.54301034730255371</c:v>
                </c:pt>
                <c:pt idx="32">
                  <c:v>0.5645961809161324</c:v>
                </c:pt>
                <c:pt idx="33">
                  <c:v>0.58629106621441529</c:v>
                </c:pt>
                <c:pt idx="34">
                  <c:v>0.60808333123914993</c:v>
                </c:pt>
                <c:pt idx="35">
                  <c:v>0.62996287011956431</c:v>
                </c:pt>
                <c:pt idx="36">
                  <c:v>0.6519208957519067</c:v>
                </c:pt>
                <c:pt idx="37">
                  <c:v>0.67394973662504654</c:v>
                </c:pt>
                <c:pt idx="38">
                  <c:v>0.6960426691419731</c:v>
                </c:pt>
                <c:pt idx="39">
                  <c:v>0.71819377860428946</c:v>
                </c:pt>
                <c:pt idx="40">
                  <c:v>0.74039784344353932</c:v>
                </c:pt>
                <c:pt idx="41">
                  <c:v>0.76265023838984802</c:v>
                </c:pt>
                <c:pt idx="42">
                  <c:v>0.78494685313507195</c:v>
                </c:pt>
                <c:pt idx="43">
                  <c:v>0.80728402372865271</c:v>
                </c:pt>
                <c:pt idx="44">
                  <c:v>0.82965847448134189</c:v>
                </c:pt>
                <c:pt idx="45">
                  <c:v>0.85206726857696113</c:v>
                </c:pt>
                <c:pt idx="46">
                  <c:v>0.87450776593007484</c:v>
                </c:pt>
                <c:pt idx="47">
                  <c:v>0.8969775870968737</c:v>
                </c:pt>
                <c:pt idx="48">
                  <c:v>0.91947458226237044</c:v>
                </c:pt>
              </c:numCache>
            </c:numRef>
          </c:xVal>
          <c:yVal>
            <c:numRef>
              <c:f>Sheet1!$C$47:$C$95</c:f>
              <c:numCache>
                <c:formatCode>0.00%</c:formatCode>
                <c:ptCount val="49"/>
                <c:pt idx="0">
                  <c:v>7.7791646474833345E-2</c:v>
                </c:pt>
                <c:pt idx="1">
                  <c:v>7.863181621720737E-2</c:v>
                </c:pt>
                <c:pt idx="2">
                  <c:v>7.9471985959581423E-2</c:v>
                </c:pt>
                <c:pt idx="3">
                  <c:v>8.0312155701955434E-2</c:v>
                </c:pt>
                <c:pt idx="4">
                  <c:v>8.1152325444329487E-2</c:v>
                </c:pt>
                <c:pt idx="5">
                  <c:v>8.1992495186703512E-2</c:v>
                </c:pt>
                <c:pt idx="6">
                  <c:v>8.2832664929077537E-2</c:v>
                </c:pt>
                <c:pt idx="7">
                  <c:v>8.367283467145159E-2</c:v>
                </c:pt>
                <c:pt idx="8">
                  <c:v>8.4513004413825615E-2</c:v>
                </c:pt>
                <c:pt idx="9">
                  <c:v>8.5353174156199668E-2</c:v>
                </c:pt>
                <c:pt idx="10">
                  <c:v>8.6193343898573693E-2</c:v>
                </c:pt>
                <c:pt idx="11">
                  <c:v>8.7033513640947732E-2</c:v>
                </c:pt>
                <c:pt idx="12">
                  <c:v>8.7873683383321771E-2</c:v>
                </c:pt>
                <c:pt idx="13">
                  <c:v>8.8713853125695796E-2</c:v>
                </c:pt>
                <c:pt idx="14">
                  <c:v>8.9554022868069835E-2</c:v>
                </c:pt>
                <c:pt idx="15">
                  <c:v>9.0394192610443874E-2</c:v>
                </c:pt>
                <c:pt idx="16">
                  <c:v>9.1234362352817899E-2</c:v>
                </c:pt>
                <c:pt idx="17">
                  <c:v>9.2074532095191938E-2</c:v>
                </c:pt>
                <c:pt idx="18">
                  <c:v>9.2914701837565977E-2</c:v>
                </c:pt>
                <c:pt idx="19">
                  <c:v>9.3754871579940002E-2</c:v>
                </c:pt>
                <c:pt idx="20">
                  <c:v>9.4595041322314041E-2</c:v>
                </c:pt>
                <c:pt idx="21">
                  <c:v>9.543521106468808E-2</c:v>
                </c:pt>
                <c:pt idx="22">
                  <c:v>9.6275380807062105E-2</c:v>
                </c:pt>
                <c:pt idx="23">
                  <c:v>9.7115550549436144E-2</c:v>
                </c:pt>
                <c:pt idx="24">
                  <c:v>9.7955720291810183E-2</c:v>
                </c:pt>
                <c:pt idx="25">
                  <c:v>9.8795890034184208E-2</c:v>
                </c:pt>
                <c:pt idx="26">
                  <c:v>9.9636059776558261E-2</c:v>
                </c:pt>
                <c:pt idx="27">
                  <c:v>0.10047622951893227</c:v>
                </c:pt>
                <c:pt idx="28">
                  <c:v>0.10131639926130633</c:v>
                </c:pt>
                <c:pt idx="29">
                  <c:v>0.10215656900368036</c:v>
                </c:pt>
                <c:pt idx="30">
                  <c:v>0.10299673874605439</c:v>
                </c:pt>
                <c:pt idx="31">
                  <c:v>0.10383690848842841</c:v>
                </c:pt>
                <c:pt idx="32">
                  <c:v>0.10467707823080247</c:v>
                </c:pt>
                <c:pt idx="33">
                  <c:v>0.10551724797317649</c:v>
                </c:pt>
                <c:pt idx="34">
                  <c:v>0.10635741771555052</c:v>
                </c:pt>
                <c:pt idx="35">
                  <c:v>0.10719758745792457</c:v>
                </c:pt>
                <c:pt idx="36">
                  <c:v>0.1080377572002986</c:v>
                </c:pt>
                <c:pt idx="37">
                  <c:v>0.10887792694267262</c:v>
                </c:pt>
                <c:pt idx="38">
                  <c:v>0.10971809668504667</c:v>
                </c:pt>
                <c:pt idx="39">
                  <c:v>0.1105582664274207</c:v>
                </c:pt>
                <c:pt idx="40">
                  <c:v>0.11139843616979472</c:v>
                </c:pt>
                <c:pt idx="41">
                  <c:v>0.11223860591216875</c:v>
                </c:pt>
                <c:pt idx="42">
                  <c:v>0.11307877565454283</c:v>
                </c:pt>
                <c:pt idx="43">
                  <c:v>0.11391894539691683</c:v>
                </c:pt>
                <c:pt idx="44">
                  <c:v>0.11475911513929085</c:v>
                </c:pt>
                <c:pt idx="45">
                  <c:v>0.11559928488166493</c:v>
                </c:pt>
                <c:pt idx="46">
                  <c:v>0.11643945462403896</c:v>
                </c:pt>
                <c:pt idx="47">
                  <c:v>0.11727962436641298</c:v>
                </c:pt>
                <c:pt idx="48">
                  <c:v>0.11811979410878704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075-4F10-810F-69D14FFE1C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45588840"/>
        <c:axId val="1"/>
      </c:scatterChart>
      <c:valAx>
        <c:axId val="945588840"/>
        <c:scaling>
          <c:orientation val="minMax"/>
          <c:max val="1"/>
          <c:min val="0.18"/>
        </c:scaling>
        <c:delete val="0"/>
        <c:axPos val="b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altLang="zh-CN"/>
                  <a:t>Sigma(%)</a:t>
                </a:r>
              </a:p>
            </c:rich>
          </c:tx>
          <c:layout>
            <c:manualLayout>
              <c:xMode val="edge"/>
              <c:yMode val="edge"/>
              <c:x val="0.48358270629499184"/>
              <c:y val="0.90322580645161299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1"/>
        <c:crosses val="autoZero"/>
        <c:crossBetween val="midCat"/>
        <c:majorUnit val="0.1"/>
      </c:valAx>
      <c:valAx>
        <c:axId val="1"/>
        <c:scaling>
          <c:orientation val="minMax"/>
          <c:max val="0.13"/>
          <c:min val="0.06"/>
        </c:scaling>
        <c:delete val="0"/>
        <c:axPos val="l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altLang="zh-CN"/>
                  <a:t>Mean Return (%)</a:t>
                </a:r>
              </a:p>
            </c:rich>
          </c:tx>
          <c:layout>
            <c:manualLayout>
              <c:xMode val="edge"/>
              <c:yMode val="edge"/>
              <c:x val="3.5820941207036432E-2"/>
              <c:y val="0.33640552995391709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945588840"/>
        <c:crosses val="autoZero"/>
        <c:crossBetween val="midCat"/>
        <c:majorUnit val="0.01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60597092208569969"/>
          <c:y val="0.60599078341013823"/>
          <c:w val="0.23582119627965653"/>
          <c:h val="9.9078341013824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zh-CN"/>
    </a:p>
  </c:txPr>
  <c:printSettings>
    <c:headerFooter alignWithMargins="0"/>
    <c:pageMargins b="1" l="0.75" r="0.75" t="1" header="0.5" footer="0.5"/>
    <c:pageSetup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5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altLang="zh-CN"/>
              <a:t>Efficient Frontier</a:t>
            </a:r>
          </a:p>
        </c:rich>
      </c:tx>
      <c:layout>
        <c:manualLayout>
          <c:xMode val="edge"/>
          <c:yMode val="edge"/>
          <c:x val="0.4200302785741955"/>
          <c:y val="3.7313557471775699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300449616937901"/>
          <c:y val="0.17412993486828662"/>
          <c:w val="0.81016516365556579"/>
          <c:h val="0.64179318851454192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Sheet1!$A$7:$A$46</c:f>
              <c:numCache>
                <c:formatCode>0.00%</c:formatCode>
                <c:ptCount val="40"/>
                <c:pt idx="0">
                  <c:v>0.2024372022932846</c:v>
                </c:pt>
                <c:pt idx="1">
                  <c:v>0.20245488788172961</c:v>
                </c:pt>
                <c:pt idx="2">
                  <c:v>0.20247513483219473</c:v>
                </c:pt>
                <c:pt idx="3">
                  <c:v>0.20249842399053264</c:v>
                </c:pt>
                <c:pt idx="4">
                  <c:v>0.20253296102536125</c:v>
                </c:pt>
                <c:pt idx="5">
                  <c:v>0.2025666196924821</c:v>
                </c:pt>
                <c:pt idx="6">
                  <c:v>0.20260592281897083</c:v>
                </c:pt>
                <c:pt idx="7">
                  <c:v>0.20265220635513576</c:v>
                </c:pt>
                <c:pt idx="8">
                  <c:v>0.20270722588449183</c:v>
                </c:pt>
                <c:pt idx="9">
                  <c:v>0.20277332544824228</c:v>
                </c:pt>
                <c:pt idx="10">
                  <c:v>0.20285369154410254</c:v>
                </c:pt>
                <c:pt idx="11">
                  <c:v>0.20295274248444009</c:v>
                </c:pt>
                <c:pt idx="12">
                  <c:v>0.20307674945411014</c:v>
                </c:pt>
                <c:pt idx="13">
                  <c:v>0.20323484950669252</c:v>
                </c:pt>
                <c:pt idx="14">
                  <c:v>0.20344077577172454</c:v>
                </c:pt>
                <c:pt idx="15">
                  <c:v>0.20371593013022496</c:v>
                </c:pt>
                <c:pt idx="16">
                  <c:v>0.20409515463796524</c:v>
                </c:pt>
                <c:pt idx="17">
                  <c:v>0.20463828011492041</c:v>
                </c:pt>
                <c:pt idx="18">
                  <c:v>0.20545506085185911</c:v>
                </c:pt>
                <c:pt idx="19">
                  <c:v>0.20676484134069911</c:v>
                </c:pt>
                <c:pt idx="20">
                  <c:v>0.20905874632031232</c:v>
                </c:pt>
                <c:pt idx="21">
                  <c:v>0.21362784032914386</c:v>
                </c:pt>
                <c:pt idx="22">
                  <c:v>0.23271758167169612</c:v>
                </c:pt>
                <c:pt idx="23">
                  <c:v>0.31907380840123478</c:v>
                </c:pt>
                <c:pt idx="24">
                  <c:v>0.45249695872361717</c:v>
                </c:pt>
                <c:pt idx="25">
                  <c:v>0.60756554617198244</c:v>
                </c:pt>
                <c:pt idx="26">
                  <c:v>0.74296650910555695</c:v>
                </c:pt>
                <c:pt idx="27">
                  <c:v>0.948683417568847</c:v>
                </c:pt>
                <c:pt idx="28">
                  <c:v>0.948683417568847</c:v>
                </c:pt>
                <c:pt idx="29">
                  <c:v>0.948683417568847</c:v>
                </c:pt>
                <c:pt idx="30">
                  <c:v>0.948683417568847</c:v>
                </c:pt>
                <c:pt idx="31">
                  <c:v>0.948683417568847</c:v>
                </c:pt>
                <c:pt idx="32">
                  <c:v>0.948683417568847</c:v>
                </c:pt>
                <c:pt idx="33">
                  <c:v>0.948683417568847</c:v>
                </c:pt>
                <c:pt idx="34">
                  <c:v>0.948683417568847</c:v>
                </c:pt>
                <c:pt idx="35">
                  <c:v>0.948683417568847</c:v>
                </c:pt>
                <c:pt idx="36">
                  <c:v>0.948683417568847</c:v>
                </c:pt>
                <c:pt idx="37">
                  <c:v>0.948683417568847</c:v>
                </c:pt>
                <c:pt idx="38">
                  <c:v>0.948683417568847</c:v>
                </c:pt>
                <c:pt idx="39">
                  <c:v>0.948683417568847</c:v>
                </c:pt>
              </c:numCache>
            </c:numRef>
          </c:xVal>
          <c:yVal>
            <c:numRef>
              <c:f>Sheet1!$B$7:$B$46</c:f>
              <c:numCache>
                <c:formatCode>0.00%</c:formatCode>
                <c:ptCount val="40"/>
                <c:pt idx="0">
                  <c:v>8.7016243075599159E-2</c:v>
                </c:pt>
                <c:pt idx="1">
                  <c:v>8.7026679772696597E-2</c:v>
                </c:pt>
                <c:pt idx="2">
                  <c:v>8.7038128213624749E-2</c:v>
                </c:pt>
                <c:pt idx="3">
                  <c:v>8.7050721891421393E-2</c:v>
                </c:pt>
                <c:pt idx="4">
                  <c:v>8.7068807802025389E-2</c:v>
                </c:pt>
                <c:pt idx="5">
                  <c:v>8.7085344542971885E-2</c:v>
                </c:pt>
                <c:pt idx="6">
                  <c:v>8.7103683678527596E-2</c:v>
                </c:pt>
                <c:pt idx="7">
                  <c:v>8.7124136883509257E-2</c:v>
                </c:pt>
                <c:pt idx="8">
                  <c:v>8.7147092022763717E-2</c:v>
                </c:pt>
                <c:pt idx="9">
                  <c:v>8.7173038033685951E-2</c:v>
                </c:pt>
                <c:pt idx="10">
                  <c:v>8.7202600340970188E-2</c:v>
                </c:pt>
                <c:pt idx="11">
                  <c:v>8.7236591440268491E-2</c:v>
                </c:pt>
                <c:pt idx="12">
                  <c:v>8.7276087389289908E-2</c:v>
                </c:pt>
                <c:pt idx="13">
                  <c:v>8.7322543066957387E-2</c:v>
                </c:pt>
                <c:pt idx="14">
                  <c:v>8.7377976105288732E-2</c:v>
                </c:pt>
                <c:pt idx="15">
                  <c:v>8.7445266802528038E-2</c:v>
                </c:pt>
                <c:pt idx="16">
                  <c:v>8.7528675299525294E-2</c:v>
                </c:pt>
                <c:pt idx="17">
                  <c:v>8.7634781976739615E-2</c:v>
                </c:pt>
                <c:pt idx="18">
                  <c:v>8.7774307815770225E-2</c:v>
                </c:pt>
                <c:pt idx="19">
                  <c:v>8.7965994761564081E-2</c:v>
                </c:pt>
                <c:pt idx="20">
                  <c:v>8.8245813223479908E-2</c:v>
                </c:pt>
                <c:pt idx="21">
                  <c:v>8.8692709725103874E-2</c:v>
                </c:pt>
                <c:pt idx="22">
                  <c:v>9.0085001239956566E-2</c:v>
                </c:pt>
                <c:pt idx="23">
                  <c:v>9.4594952610760563E-2</c:v>
                </c:pt>
                <c:pt idx="24">
                  <c:v>0.10008617632800572</c:v>
                </c:pt>
                <c:pt idx="25">
                  <c:v>0.1044444576376112</c:v>
                </c:pt>
                <c:pt idx="26">
                  <c:v>0.10700000407360366</c:v>
                </c:pt>
                <c:pt idx="27">
                  <c:v>0.11000001385817236</c:v>
                </c:pt>
                <c:pt idx="28">
                  <c:v>0.11000001385817236</c:v>
                </c:pt>
                <c:pt idx="29">
                  <c:v>0.11000001385817236</c:v>
                </c:pt>
                <c:pt idx="30">
                  <c:v>0.11000001385817236</c:v>
                </c:pt>
                <c:pt idx="31">
                  <c:v>0.11000001385817236</c:v>
                </c:pt>
                <c:pt idx="32">
                  <c:v>0.11000001385817236</c:v>
                </c:pt>
                <c:pt idx="33">
                  <c:v>0.11000001385817236</c:v>
                </c:pt>
                <c:pt idx="34">
                  <c:v>0.11000001385817236</c:v>
                </c:pt>
                <c:pt idx="35">
                  <c:v>0.11000001385817236</c:v>
                </c:pt>
                <c:pt idx="36">
                  <c:v>0.11000001385817236</c:v>
                </c:pt>
                <c:pt idx="37">
                  <c:v>0.11000001385817236</c:v>
                </c:pt>
                <c:pt idx="38">
                  <c:v>0.11000001385817236</c:v>
                </c:pt>
                <c:pt idx="39">
                  <c:v>0.11000001385817236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9AA-4F96-8AB9-5547BC4F74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45588120"/>
        <c:axId val="1"/>
      </c:scatterChart>
      <c:valAx>
        <c:axId val="945588120"/>
        <c:scaling>
          <c:orientation val="minMax"/>
          <c:max val="1"/>
          <c:min val="0.18"/>
        </c:scaling>
        <c:delete val="0"/>
        <c:axPos val="b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altLang="zh-CN"/>
                  <a:t>Sigma (%)</a:t>
                </a:r>
              </a:p>
            </c:rich>
          </c:tx>
          <c:layout>
            <c:manualLayout>
              <c:xMode val="edge"/>
              <c:yMode val="edge"/>
              <c:x val="0.49177922295697624"/>
              <c:y val="0.90547566131509039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1"/>
        <c:crosses val="autoZero"/>
        <c:crossBetween val="midCat"/>
        <c:majorUnit val="0.1"/>
      </c:valAx>
      <c:valAx>
        <c:axId val="1"/>
        <c:scaling>
          <c:orientation val="minMax"/>
          <c:max val="0.11"/>
          <c:min val="0.08"/>
        </c:scaling>
        <c:delete val="0"/>
        <c:axPos val="l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altLang="zh-CN"/>
                  <a:t>Mean(%)</a:t>
                </a:r>
              </a:p>
            </c:rich>
          </c:tx>
          <c:layout>
            <c:manualLayout>
              <c:xMode val="edge"/>
              <c:yMode val="edge"/>
              <c:x val="2.8400623818184045E-2"/>
              <c:y val="0.43283726667259809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945588120"/>
        <c:crosses val="autoZero"/>
        <c:crossBetween val="midCat"/>
        <c:majorUnit val="0.01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zh-CN"/>
    </a:p>
  </c:txPr>
  <c:printSettings>
    <c:headerFooter alignWithMargins="0"/>
    <c:pageMargins b="1" l="0.75" r="0.75" t="1" header="0.5" footer="0.5"/>
    <c:pageSetup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160020</xdr:colOff>
      <xdr:row>27</xdr:row>
      <xdr:rowOff>0</xdr:rowOff>
    </xdr:from>
    <xdr:to>
      <xdr:col>13</xdr:col>
      <xdr:colOff>449580</xdr:colOff>
      <xdr:row>51</xdr:row>
      <xdr:rowOff>15240</xdr:rowOff>
    </xdr:to>
    <xdr:graphicFrame macro="">
      <xdr:nvGraphicFramePr>
        <xdr:cNvPr id="2" name="图表 5">
          <a:extLst>
            <a:ext uri="{FF2B5EF4-FFF2-40B4-BE49-F238E27FC236}">
              <a16:creationId xmlns:a16="http://schemas.microsoft.com/office/drawing/2014/main" id="{6445AE20-F403-4314-B811-21366CFB019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121920</xdr:colOff>
      <xdr:row>5</xdr:row>
      <xdr:rowOff>114300</xdr:rowOff>
    </xdr:from>
    <xdr:to>
      <xdr:col>13</xdr:col>
      <xdr:colOff>396240</xdr:colOff>
      <xdr:row>26</xdr:row>
      <xdr:rowOff>7620</xdr:rowOff>
    </xdr:to>
    <xdr:graphicFrame macro="">
      <xdr:nvGraphicFramePr>
        <xdr:cNvPr id="3" name="图表 6">
          <a:extLst>
            <a:ext uri="{FF2B5EF4-FFF2-40B4-BE49-F238E27FC236}">
              <a16:creationId xmlns:a16="http://schemas.microsoft.com/office/drawing/2014/main" id="{DEB4BAA5-3C0C-4EBD-A6A3-06DADAA7414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15</xdr:col>
      <xdr:colOff>266700</xdr:colOff>
      <xdr:row>0</xdr:row>
      <xdr:rowOff>133350</xdr:rowOff>
    </xdr:from>
    <xdr:to>
      <xdr:col>29</xdr:col>
      <xdr:colOff>400050</xdr:colOff>
      <xdr:row>98</xdr:row>
      <xdr:rowOff>95250</xdr:rowOff>
    </xdr:to>
    <xdr:pic>
      <xdr:nvPicPr>
        <xdr:cNvPr id="4" name="图片 3">
          <a:extLst>
            <a:ext uri="{FF2B5EF4-FFF2-40B4-BE49-F238E27FC236}">
              <a16:creationId xmlns:a16="http://schemas.microsoft.com/office/drawing/2014/main" id="{9CCFDE47-F834-C4CD-C6A4-38BBD445509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9525000" y="133350"/>
          <a:ext cx="8658225" cy="171069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lizhengdong\&#20132;&#26131;&#26694;&#26550;\5_&#24037;&#20855;&#31665;\_&#20070;&#24211;\&#32534;&#31243;\Excel\CH12\charpter_09.xlsm" TargetMode="External"/><Relationship Id="rId1" Type="http://schemas.openxmlformats.org/officeDocument/2006/relationships/externalLinkPath" Target="charpter_09.xlsm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lizhengdong\&#20132;&#26131;&#26694;&#26550;\5_&#24037;&#20855;&#31665;\_&#20070;&#24211;\&#32534;&#31243;\Excel\CH12\charpter_08.xlsm" TargetMode="External"/><Relationship Id="rId1" Type="http://schemas.openxmlformats.org/officeDocument/2006/relationships/externalLinkPath" Target="charpter_08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sheetDataSet>
      <sheetData sheetId="0">
        <row r="3">
          <cell r="K3">
            <v>0.2024372022932846</v>
          </cell>
          <cell r="L3">
            <v>8.7016243075599159E-2</v>
          </cell>
        </row>
        <row r="4">
          <cell r="K4">
            <v>0.20245488788172961</v>
          </cell>
          <cell r="L4">
            <v>8.7026679772696597E-2</v>
          </cell>
        </row>
        <row r="5">
          <cell r="K5">
            <v>0.20247513483219473</v>
          </cell>
          <cell r="L5">
            <v>8.7038128213624749E-2</v>
          </cell>
        </row>
        <row r="6">
          <cell r="K6">
            <v>0.20249842399053264</v>
          </cell>
          <cell r="L6">
            <v>8.7050721891421393E-2</v>
          </cell>
        </row>
        <row r="7">
          <cell r="K7">
            <v>0.20253296102536125</v>
          </cell>
          <cell r="L7">
            <v>8.7068807802025389E-2</v>
          </cell>
        </row>
        <row r="8">
          <cell r="K8">
            <v>0.2025666196924821</v>
          </cell>
          <cell r="L8">
            <v>8.7085344542971885E-2</v>
          </cell>
        </row>
        <row r="9">
          <cell r="K9">
            <v>0.20260592281897083</v>
          </cell>
          <cell r="L9">
            <v>8.7103683678527596E-2</v>
          </cell>
        </row>
        <row r="10">
          <cell r="K10">
            <v>0.20265220635513576</v>
          </cell>
          <cell r="L10">
            <v>8.7124136883509257E-2</v>
          </cell>
        </row>
        <row r="11">
          <cell r="K11">
            <v>0.20270722588449183</v>
          </cell>
          <cell r="L11">
            <v>8.7147092022763717E-2</v>
          </cell>
        </row>
        <row r="12">
          <cell r="K12">
            <v>0.20277332544824228</v>
          </cell>
          <cell r="L12">
            <v>8.7173038033685951E-2</v>
          </cell>
        </row>
        <row r="13">
          <cell r="K13">
            <v>0.20285369154410254</v>
          </cell>
          <cell r="L13">
            <v>8.7202600340970188E-2</v>
          </cell>
        </row>
        <row r="14">
          <cell r="K14">
            <v>0.20295274248444009</v>
          </cell>
          <cell r="L14">
            <v>8.7236591440268491E-2</v>
          </cell>
        </row>
        <row r="15">
          <cell r="K15">
            <v>0.20307674945411014</v>
          </cell>
          <cell r="L15">
            <v>8.7276087389289908E-2</v>
          </cell>
        </row>
        <row r="16">
          <cell r="K16">
            <v>0.20323484950669252</v>
          </cell>
          <cell r="L16">
            <v>8.7322543066957387E-2</v>
          </cell>
        </row>
        <row r="17">
          <cell r="K17">
            <v>0.20344077577172454</v>
          </cell>
          <cell r="L17">
            <v>8.7377976105288732E-2</v>
          </cell>
        </row>
        <row r="18">
          <cell r="K18">
            <v>0.20371593013022496</v>
          </cell>
          <cell r="L18">
            <v>8.7445266802528038E-2</v>
          </cell>
        </row>
        <row r="19">
          <cell r="K19">
            <v>0.20409515463796524</v>
          </cell>
          <cell r="L19">
            <v>8.7528675299525294E-2</v>
          </cell>
        </row>
        <row r="20">
          <cell r="K20">
            <v>0.20463828011492041</v>
          </cell>
          <cell r="L20">
            <v>8.7634781976739615E-2</v>
          </cell>
        </row>
        <row r="21">
          <cell r="K21">
            <v>0.20545506085185911</v>
          </cell>
          <cell r="L21">
            <v>8.7774307815770225E-2</v>
          </cell>
        </row>
        <row r="22">
          <cell r="K22">
            <v>0.20676484134069911</v>
          </cell>
          <cell r="L22">
            <v>8.7965994761564081E-2</v>
          </cell>
        </row>
        <row r="23">
          <cell r="K23">
            <v>0.20905874632031232</v>
          </cell>
          <cell r="L23">
            <v>8.8245813223479908E-2</v>
          </cell>
        </row>
        <row r="24">
          <cell r="K24">
            <v>0.21362784032914386</v>
          </cell>
          <cell r="L24">
            <v>8.8692709725103874E-2</v>
          </cell>
        </row>
        <row r="25">
          <cell r="K25">
            <v>0.23271758167169612</v>
          </cell>
          <cell r="L25">
            <v>9.0085001239956566E-2</v>
          </cell>
        </row>
        <row r="26">
          <cell r="K26">
            <v>0.31907380840123478</v>
          </cell>
          <cell r="L26">
            <v>9.4594952610760563E-2</v>
          </cell>
        </row>
        <row r="27">
          <cell r="K27">
            <v>0.45249695872361717</v>
          </cell>
          <cell r="L27">
            <v>0.10008617632800572</v>
          </cell>
        </row>
        <row r="28">
          <cell r="K28">
            <v>0.60756554617198244</v>
          </cell>
          <cell r="L28">
            <v>0.1044444576376112</v>
          </cell>
        </row>
        <row r="29">
          <cell r="K29">
            <v>0.74296650910555695</v>
          </cell>
          <cell r="L29">
            <v>0.10700000407360366</v>
          </cell>
        </row>
        <row r="30">
          <cell r="K30">
            <v>0.948683417568847</v>
          </cell>
          <cell r="L30">
            <v>0.11000001385817236</v>
          </cell>
        </row>
        <row r="31">
          <cell r="K31">
            <v>0.948683417568847</v>
          </cell>
          <cell r="L31">
            <v>0.11000001385817236</v>
          </cell>
        </row>
        <row r="32">
          <cell r="K32">
            <v>0.948683417568847</v>
          </cell>
          <cell r="L32">
            <v>0.11000001385817236</v>
          </cell>
        </row>
        <row r="33">
          <cell r="K33">
            <v>0.948683417568847</v>
          </cell>
          <cell r="L33">
            <v>0.11000001385817236</v>
          </cell>
        </row>
        <row r="34">
          <cell r="K34">
            <v>0.948683417568847</v>
          </cell>
          <cell r="L34">
            <v>0.11000001385817236</v>
          </cell>
        </row>
        <row r="35">
          <cell r="K35">
            <v>0.948683417568847</v>
          </cell>
          <cell r="L35">
            <v>0.11000001385817236</v>
          </cell>
        </row>
        <row r="36">
          <cell r="K36">
            <v>0.948683417568847</v>
          </cell>
          <cell r="L36">
            <v>0.11000001385817236</v>
          </cell>
        </row>
        <row r="37">
          <cell r="K37">
            <v>0.948683417568847</v>
          </cell>
          <cell r="L37">
            <v>0.11000001385817236</v>
          </cell>
        </row>
        <row r="38">
          <cell r="K38">
            <v>0.948683417568847</v>
          </cell>
          <cell r="L38">
            <v>0.11000001385817236</v>
          </cell>
        </row>
        <row r="39">
          <cell r="K39">
            <v>0.948683417568847</v>
          </cell>
          <cell r="L39">
            <v>0.11000001385817236</v>
          </cell>
        </row>
        <row r="40">
          <cell r="K40">
            <v>0.948683417568847</v>
          </cell>
          <cell r="L40">
            <v>0.11000001385817236</v>
          </cell>
        </row>
        <row r="41">
          <cell r="K41">
            <v>0.948683417568847</v>
          </cell>
          <cell r="L41">
            <v>0.11000001385817236</v>
          </cell>
        </row>
        <row r="42">
          <cell r="K42">
            <v>0.948683417568847</v>
          </cell>
          <cell r="L42">
            <v>0.11000001385817236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sheetDataSet>
      <sheetData sheetId="0">
        <row r="24">
          <cell r="B24">
            <v>0.28166041436735967</v>
          </cell>
          <cell r="C24">
            <v>7.7791646474833345E-2</v>
          </cell>
        </row>
        <row r="25">
          <cell r="B25">
            <v>0.26530877284659998</v>
          </cell>
          <cell r="C25">
            <v>7.863181621720737E-2</v>
          </cell>
        </row>
        <row r="26">
          <cell r="B26">
            <v>0.25000931476138372</v>
          </cell>
          <cell r="C26">
            <v>7.9471985959581423E-2</v>
          </cell>
        </row>
        <row r="27">
          <cell r="B27">
            <v>0.23596679125643139</v>
          </cell>
          <cell r="C27">
            <v>8.0312155701955434E-2</v>
          </cell>
        </row>
        <row r="28">
          <cell r="B28">
            <v>0.22341833468757158</v>
          </cell>
          <cell r="C28">
            <v>8.1152325444329487E-2</v>
          </cell>
        </row>
        <row r="29">
          <cell r="B29">
            <v>0.21262863063000473</v>
          </cell>
          <cell r="C29">
            <v>8.1992495186703512E-2</v>
          </cell>
        </row>
        <row r="30">
          <cell r="B30">
            <v>0.2038771037731458</v>
          </cell>
          <cell r="C30">
            <v>8.2832664929077537E-2</v>
          </cell>
        </row>
        <row r="31">
          <cell r="B31">
            <v>0.19743497388399286</v>
          </cell>
          <cell r="C31">
            <v>8.367283467145159E-2</v>
          </cell>
        </row>
        <row r="32">
          <cell r="B32">
            <v>0.19353299711556068</v>
          </cell>
          <cell r="C32">
            <v>8.4513004413825615E-2</v>
          </cell>
        </row>
        <row r="33">
          <cell r="B33">
            <v>0.1923258423166323</v>
          </cell>
          <cell r="C33">
            <v>8.5353174156199668E-2</v>
          </cell>
        </row>
        <row r="34">
          <cell r="B34">
            <v>0.19386385651633056</v>
          </cell>
          <cell r="C34">
            <v>8.6193343898573693E-2</v>
          </cell>
        </row>
        <row r="35">
          <cell r="B35">
            <v>0.19808310552462194</v>
          </cell>
          <cell r="C35">
            <v>8.7033513640947732E-2</v>
          </cell>
        </row>
        <row r="36">
          <cell r="B36">
            <v>0.20481795603775668</v>
          </cell>
          <cell r="C36">
            <v>8.7873683383321771E-2</v>
          </cell>
        </row>
        <row r="37">
          <cell r="B37">
            <v>0.21383084465764554</v>
          </cell>
          <cell r="C37">
            <v>8.8713853125695796E-2</v>
          </cell>
        </row>
        <row r="38">
          <cell r="B38">
            <v>0.22484799694200452</v>
          </cell>
          <cell r="C38">
            <v>8.9554022868069835E-2</v>
          </cell>
        </row>
        <row r="39">
          <cell r="B39">
            <v>0.23759076143859842</v>
          </cell>
          <cell r="C39">
            <v>9.0394192610443874E-2</v>
          </cell>
        </row>
        <row r="40">
          <cell r="B40">
            <v>0.25179728891198599</v>
          </cell>
          <cell r="C40">
            <v>9.1234362352817899E-2</v>
          </cell>
        </row>
        <row r="41">
          <cell r="B41">
            <v>0.26723423447640665</v>
          </cell>
          <cell r="C41">
            <v>9.2074532095191938E-2</v>
          </cell>
        </row>
        <row r="42">
          <cell r="B42">
            <v>0.28370081783327283</v>
          </cell>
          <cell r="C42">
            <v>9.2914701837565977E-2</v>
          </cell>
        </row>
        <row r="43">
          <cell r="B43">
            <v>0.30102811927236367</v>
          </cell>
          <cell r="C43">
            <v>9.3754871579940002E-2</v>
          </cell>
        </row>
        <row r="44">
          <cell r="B44">
            <v>0.31907594665903094</v>
          </cell>
          <cell r="C44">
            <v>9.4595041322314041E-2</v>
          </cell>
        </row>
        <row r="45">
          <cell r="B45">
            <v>0.33772880758142165</v>
          </cell>
          <cell r="C45">
            <v>9.543521106468808E-2</v>
          </cell>
        </row>
        <row r="46">
          <cell r="B46">
            <v>0.35689184887678921</v>
          </cell>
          <cell r="C46">
            <v>9.6275380807062105E-2</v>
          </cell>
        </row>
        <row r="47">
          <cell r="B47">
            <v>0.37648717469434295</v>
          </cell>
          <cell r="C47">
            <v>9.7115550549436144E-2</v>
          </cell>
        </row>
        <row r="48">
          <cell r="B48">
            <v>0.39645069077285799</v>
          </cell>
          <cell r="C48">
            <v>9.7955720291810183E-2</v>
          </cell>
        </row>
        <row r="49">
          <cell r="B49">
            <v>0.41672948576928859</v>
          </cell>
          <cell r="C49">
            <v>9.8795890034184208E-2</v>
          </cell>
        </row>
        <row r="50">
          <cell r="B50">
            <v>0.43727969881427947</v>
          </cell>
          <cell r="C50">
            <v>9.9636059776558261E-2</v>
          </cell>
        </row>
        <row r="51">
          <cell r="B51">
            <v>0.45806480138839512</v>
          </cell>
          <cell r="C51">
            <v>0.10047622951893227</v>
          </cell>
        </row>
        <row r="52">
          <cell r="B52">
            <v>0.47905422045649987</v>
          </cell>
          <cell r="C52">
            <v>0.10131639926130633</v>
          </cell>
        </row>
        <row r="53">
          <cell r="B53">
            <v>0.50022223720431636</v>
          </cell>
          <cell r="C53">
            <v>0.10215656900368036</v>
          </cell>
        </row>
        <row r="54">
          <cell r="B54">
            <v>0.52154710586917252</v>
          </cell>
          <cell r="C54">
            <v>0.10299673874605439</v>
          </cell>
        </row>
        <row r="55">
          <cell r="B55">
            <v>0.54301034730255371</v>
          </cell>
          <cell r="C55">
            <v>0.10383690848842841</v>
          </cell>
        </row>
        <row r="56">
          <cell r="B56">
            <v>0.5645961809161324</v>
          </cell>
          <cell r="C56">
            <v>0.10467707823080247</v>
          </cell>
        </row>
        <row r="57">
          <cell r="B57">
            <v>0.58629106621441529</v>
          </cell>
          <cell r="C57">
            <v>0.10551724797317649</v>
          </cell>
        </row>
        <row r="58">
          <cell r="B58">
            <v>0.60808333123914993</v>
          </cell>
          <cell r="C58">
            <v>0.10635741771555052</v>
          </cell>
        </row>
        <row r="59">
          <cell r="B59">
            <v>0.62996287011956431</v>
          </cell>
          <cell r="C59">
            <v>0.10719758745792457</v>
          </cell>
        </row>
        <row r="60">
          <cell r="B60">
            <v>0.6519208957519067</v>
          </cell>
          <cell r="C60">
            <v>0.1080377572002986</v>
          </cell>
        </row>
        <row r="61">
          <cell r="B61">
            <v>0.67394973662504654</v>
          </cell>
          <cell r="C61">
            <v>0.10887792694267262</v>
          </cell>
        </row>
        <row r="62">
          <cell r="B62">
            <v>0.6960426691419731</v>
          </cell>
          <cell r="C62">
            <v>0.10971809668504667</v>
          </cell>
        </row>
        <row r="63">
          <cell r="B63">
            <v>0.71819377860428946</v>
          </cell>
          <cell r="C63">
            <v>0.1105582664274207</v>
          </cell>
        </row>
        <row r="64">
          <cell r="B64">
            <v>0.74039784344353932</v>
          </cell>
          <cell r="C64">
            <v>0.11139843616979472</v>
          </cell>
        </row>
        <row r="65">
          <cell r="B65">
            <v>0.76265023838984802</v>
          </cell>
          <cell r="C65">
            <v>0.11223860591216875</v>
          </cell>
        </row>
        <row r="66">
          <cell r="B66">
            <v>0.78494685313507195</v>
          </cell>
          <cell r="C66">
            <v>0.11307877565454283</v>
          </cell>
        </row>
        <row r="67">
          <cell r="B67">
            <v>0.80728402372865271</v>
          </cell>
          <cell r="C67">
            <v>0.11391894539691683</v>
          </cell>
        </row>
        <row r="68">
          <cell r="B68">
            <v>0.82965847448134189</v>
          </cell>
          <cell r="C68">
            <v>0.11475911513929085</v>
          </cell>
        </row>
        <row r="69">
          <cell r="B69">
            <v>0.85206726857696113</v>
          </cell>
          <cell r="C69">
            <v>0.11559928488166493</v>
          </cell>
        </row>
        <row r="70">
          <cell r="B70">
            <v>0.87450776593007484</v>
          </cell>
          <cell r="C70">
            <v>0.11643945462403896</v>
          </cell>
        </row>
        <row r="71">
          <cell r="B71">
            <v>0.8969775870968737</v>
          </cell>
          <cell r="C71">
            <v>0.11727962436641298</v>
          </cell>
        </row>
        <row r="72">
          <cell r="B72">
            <v>0.91947458226237044</v>
          </cell>
          <cell r="C72">
            <v>0.11811979410878704</v>
          </cell>
        </row>
      </sheetData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sheetPr codeName="Sheet1">
    <pageSetUpPr fitToPage="1"/>
  </sheetPr>
  <dimension ref="A1:N103"/>
  <sheetViews>
    <sheetView tabSelected="1" view="pageBreakPreview" topLeftCell="A23" zoomScale="60" zoomScaleNormal="100" workbookViewId="0">
      <selection activeCell="AM66" sqref="AM66"/>
    </sheetView>
  </sheetViews>
  <sheetFormatPr defaultRowHeight="13.8" x14ac:dyDescent="0.25"/>
  <cols>
    <col min="1" max="1" width="8.88671875" style="1"/>
    <col min="2" max="2" width="10.5546875" style="1" customWidth="1"/>
    <col min="3" max="14" width="8.88671875" style="1"/>
  </cols>
  <sheetData>
    <row r="1" spans="1:3" x14ac:dyDescent="0.25">
      <c r="A1" s="1" t="s">
        <v>0</v>
      </c>
    </row>
    <row r="2" spans="1:3" x14ac:dyDescent="0.25">
      <c r="A2" s="1" t="s">
        <v>1</v>
      </c>
    </row>
    <row r="3" spans="1:3" x14ac:dyDescent="0.25">
      <c r="A3" s="1" t="s">
        <v>2</v>
      </c>
    </row>
    <row r="6" spans="1:3" ht="41.4" x14ac:dyDescent="0.25">
      <c r="A6" s="2" t="s">
        <v>3</v>
      </c>
      <c r="B6" s="2" t="s">
        <v>4</v>
      </c>
      <c r="C6" s="2" t="s">
        <v>5</v>
      </c>
    </row>
    <row r="7" spans="1:3" x14ac:dyDescent="0.25">
      <c r="A7" s="4">
        <f>[1]Sheet1!K3</f>
        <v>0.2024372022932846</v>
      </c>
      <c r="B7" s="3">
        <f>[1]Sheet1!L3</f>
        <v>8.7016243075599159E-2</v>
      </c>
    </row>
    <row r="8" spans="1:3" x14ac:dyDescent="0.25">
      <c r="A8" s="4">
        <f>[1]Sheet1!K4</f>
        <v>0.20245488788172961</v>
      </c>
      <c r="B8" s="3">
        <f>[1]Sheet1!L4</f>
        <v>8.7026679772696597E-2</v>
      </c>
    </row>
    <row r="9" spans="1:3" x14ac:dyDescent="0.25">
      <c r="A9" s="4">
        <f>[1]Sheet1!K5</f>
        <v>0.20247513483219473</v>
      </c>
      <c r="B9" s="3">
        <f>[1]Sheet1!L5</f>
        <v>8.7038128213624749E-2</v>
      </c>
    </row>
    <row r="10" spans="1:3" x14ac:dyDescent="0.25">
      <c r="A10" s="4">
        <f>[1]Sheet1!K6</f>
        <v>0.20249842399053264</v>
      </c>
      <c r="B10" s="3">
        <f>[1]Sheet1!L6</f>
        <v>8.7050721891421393E-2</v>
      </c>
    </row>
    <row r="11" spans="1:3" x14ac:dyDescent="0.25">
      <c r="A11" s="4">
        <f>[1]Sheet1!K7</f>
        <v>0.20253296102536125</v>
      </c>
      <c r="B11" s="3">
        <f>[1]Sheet1!L7</f>
        <v>8.7068807802025389E-2</v>
      </c>
    </row>
    <row r="12" spans="1:3" x14ac:dyDescent="0.25">
      <c r="A12" s="4">
        <f>[1]Sheet1!K8</f>
        <v>0.2025666196924821</v>
      </c>
      <c r="B12" s="3">
        <f>[1]Sheet1!L8</f>
        <v>8.7085344542971885E-2</v>
      </c>
    </row>
    <row r="13" spans="1:3" x14ac:dyDescent="0.25">
      <c r="A13" s="4">
        <f>[1]Sheet1!K9</f>
        <v>0.20260592281897083</v>
      </c>
      <c r="B13" s="3">
        <f>[1]Sheet1!L9</f>
        <v>8.7103683678527596E-2</v>
      </c>
    </row>
    <row r="14" spans="1:3" x14ac:dyDescent="0.25">
      <c r="A14" s="4">
        <f>[1]Sheet1!K10</f>
        <v>0.20265220635513576</v>
      </c>
      <c r="B14" s="3">
        <f>[1]Sheet1!L10</f>
        <v>8.7124136883509257E-2</v>
      </c>
    </row>
    <row r="15" spans="1:3" x14ac:dyDescent="0.25">
      <c r="A15" s="4">
        <f>[1]Sheet1!K11</f>
        <v>0.20270722588449183</v>
      </c>
      <c r="B15" s="3">
        <f>[1]Sheet1!L11</f>
        <v>8.7147092022763717E-2</v>
      </c>
    </row>
    <row r="16" spans="1:3" x14ac:dyDescent="0.25">
      <c r="A16" s="4">
        <f>[1]Sheet1!K12</f>
        <v>0.20277332544824228</v>
      </c>
      <c r="B16" s="3">
        <f>[1]Sheet1!L12</f>
        <v>8.7173038033685951E-2</v>
      </c>
    </row>
    <row r="17" spans="1:2" x14ac:dyDescent="0.25">
      <c r="A17" s="4">
        <f>[1]Sheet1!K13</f>
        <v>0.20285369154410254</v>
      </c>
      <c r="B17" s="3">
        <f>[1]Sheet1!L13</f>
        <v>8.7202600340970188E-2</v>
      </c>
    </row>
    <row r="18" spans="1:2" x14ac:dyDescent="0.25">
      <c r="A18" s="4">
        <f>[1]Sheet1!K14</f>
        <v>0.20295274248444009</v>
      </c>
      <c r="B18" s="3">
        <f>[1]Sheet1!L14</f>
        <v>8.7236591440268491E-2</v>
      </c>
    </row>
    <row r="19" spans="1:2" x14ac:dyDescent="0.25">
      <c r="A19" s="4">
        <f>[1]Sheet1!K15</f>
        <v>0.20307674945411014</v>
      </c>
      <c r="B19" s="3">
        <f>[1]Sheet1!L15</f>
        <v>8.7276087389289908E-2</v>
      </c>
    </row>
    <row r="20" spans="1:2" x14ac:dyDescent="0.25">
      <c r="A20" s="4">
        <f>[1]Sheet1!K16</f>
        <v>0.20323484950669252</v>
      </c>
      <c r="B20" s="3">
        <f>[1]Sheet1!L16</f>
        <v>8.7322543066957387E-2</v>
      </c>
    </row>
    <row r="21" spans="1:2" x14ac:dyDescent="0.25">
      <c r="A21" s="4">
        <f>[1]Sheet1!K17</f>
        <v>0.20344077577172454</v>
      </c>
      <c r="B21" s="3">
        <f>[1]Sheet1!L17</f>
        <v>8.7377976105288732E-2</v>
      </c>
    </row>
    <row r="22" spans="1:2" x14ac:dyDescent="0.25">
      <c r="A22" s="4">
        <f>[1]Sheet1!K18</f>
        <v>0.20371593013022496</v>
      </c>
      <c r="B22" s="3">
        <f>[1]Sheet1!L18</f>
        <v>8.7445266802528038E-2</v>
      </c>
    </row>
    <row r="23" spans="1:2" x14ac:dyDescent="0.25">
      <c r="A23" s="4">
        <f>[1]Sheet1!K19</f>
        <v>0.20409515463796524</v>
      </c>
      <c r="B23" s="3">
        <f>[1]Sheet1!L19</f>
        <v>8.7528675299525294E-2</v>
      </c>
    </row>
    <row r="24" spans="1:2" x14ac:dyDescent="0.25">
      <c r="A24" s="4">
        <f>[1]Sheet1!K20</f>
        <v>0.20463828011492041</v>
      </c>
      <c r="B24" s="3">
        <f>[1]Sheet1!L20</f>
        <v>8.7634781976739615E-2</v>
      </c>
    </row>
    <row r="25" spans="1:2" x14ac:dyDescent="0.25">
      <c r="A25" s="4">
        <f>[1]Sheet1!K21</f>
        <v>0.20545506085185911</v>
      </c>
      <c r="B25" s="3">
        <f>[1]Sheet1!L21</f>
        <v>8.7774307815770225E-2</v>
      </c>
    </row>
    <row r="26" spans="1:2" x14ac:dyDescent="0.25">
      <c r="A26" s="4">
        <f>[1]Sheet1!K22</f>
        <v>0.20676484134069911</v>
      </c>
      <c r="B26" s="3">
        <f>[1]Sheet1!L22</f>
        <v>8.7965994761564081E-2</v>
      </c>
    </row>
    <row r="27" spans="1:2" x14ac:dyDescent="0.25">
      <c r="A27" s="4">
        <f>[1]Sheet1!K23</f>
        <v>0.20905874632031232</v>
      </c>
      <c r="B27" s="3">
        <f>[1]Sheet1!L23</f>
        <v>8.8245813223479908E-2</v>
      </c>
    </row>
    <row r="28" spans="1:2" x14ac:dyDescent="0.25">
      <c r="A28" s="4">
        <f>[1]Sheet1!K24</f>
        <v>0.21362784032914386</v>
      </c>
      <c r="B28" s="3">
        <f>[1]Sheet1!L24</f>
        <v>8.8692709725103874E-2</v>
      </c>
    </row>
    <row r="29" spans="1:2" x14ac:dyDescent="0.25">
      <c r="A29" s="4">
        <f>[1]Sheet1!K25</f>
        <v>0.23271758167169612</v>
      </c>
      <c r="B29" s="3">
        <f>[1]Sheet1!L25</f>
        <v>9.0085001239956566E-2</v>
      </c>
    </row>
    <row r="30" spans="1:2" x14ac:dyDescent="0.25">
      <c r="A30" s="4">
        <f>[1]Sheet1!K26</f>
        <v>0.31907380840123478</v>
      </c>
      <c r="B30" s="3">
        <f>[1]Sheet1!L26</f>
        <v>9.4594952610760563E-2</v>
      </c>
    </row>
    <row r="31" spans="1:2" x14ac:dyDescent="0.25">
      <c r="A31" s="4">
        <f>[1]Sheet1!K27</f>
        <v>0.45249695872361717</v>
      </c>
      <c r="B31" s="3">
        <f>[1]Sheet1!L27</f>
        <v>0.10008617632800572</v>
      </c>
    </row>
    <row r="32" spans="1:2" x14ac:dyDescent="0.25">
      <c r="A32" s="4">
        <f>[1]Sheet1!K28</f>
        <v>0.60756554617198244</v>
      </c>
      <c r="B32" s="3">
        <f>[1]Sheet1!L28</f>
        <v>0.1044444576376112</v>
      </c>
    </row>
    <row r="33" spans="1:3" x14ac:dyDescent="0.25">
      <c r="A33" s="4">
        <f>[1]Sheet1!K29</f>
        <v>0.74296650910555695</v>
      </c>
      <c r="B33" s="3">
        <f>[1]Sheet1!L29</f>
        <v>0.10700000407360366</v>
      </c>
    </row>
    <row r="34" spans="1:3" x14ac:dyDescent="0.25">
      <c r="A34" s="4">
        <f>[1]Sheet1!K30</f>
        <v>0.948683417568847</v>
      </c>
      <c r="B34" s="3">
        <f>[1]Sheet1!L30</f>
        <v>0.11000001385817236</v>
      </c>
    </row>
    <row r="35" spans="1:3" x14ac:dyDescent="0.25">
      <c r="A35" s="4">
        <f>[1]Sheet1!K31</f>
        <v>0.948683417568847</v>
      </c>
      <c r="B35" s="3">
        <f>[1]Sheet1!L31</f>
        <v>0.11000001385817236</v>
      </c>
    </row>
    <row r="36" spans="1:3" x14ac:dyDescent="0.25">
      <c r="A36" s="4">
        <f>[1]Sheet1!K32</f>
        <v>0.948683417568847</v>
      </c>
      <c r="B36" s="3">
        <f>[1]Sheet1!L32</f>
        <v>0.11000001385817236</v>
      </c>
    </row>
    <row r="37" spans="1:3" x14ac:dyDescent="0.25">
      <c r="A37" s="4">
        <f>[1]Sheet1!K33</f>
        <v>0.948683417568847</v>
      </c>
      <c r="B37" s="3">
        <f>[1]Sheet1!L33</f>
        <v>0.11000001385817236</v>
      </c>
    </row>
    <row r="38" spans="1:3" x14ac:dyDescent="0.25">
      <c r="A38" s="4">
        <f>[1]Sheet1!K34</f>
        <v>0.948683417568847</v>
      </c>
      <c r="B38" s="3">
        <f>[1]Sheet1!L34</f>
        <v>0.11000001385817236</v>
      </c>
    </row>
    <row r="39" spans="1:3" x14ac:dyDescent="0.25">
      <c r="A39" s="4">
        <f>[1]Sheet1!K35</f>
        <v>0.948683417568847</v>
      </c>
      <c r="B39" s="3">
        <f>[1]Sheet1!L35</f>
        <v>0.11000001385817236</v>
      </c>
    </row>
    <row r="40" spans="1:3" x14ac:dyDescent="0.25">
      <c r="A40" s="4">
        <f>[1]Sheet1!K36</f>
        <v>0.948683417568847</v>
      </c>
      <c r="B40" s="3">
        <f>[1]Sheet1!L36</f>
        <v>0.11000001385817236</v>
      </c>
    </row>
    <row r="41" spans="1:3" x14ac:dyDescent="0.25">
      <c r="A41" s="4">
        <f>[1]Sheet1!K37</f>
        <v>0.948683417568847</v>
      </c>
      <c r="B41" s="3">
        <f>[1]Sheet1!L37</f>
        <v>0.11000001385817236</v>
      </c>
    </row>
    <row r="42" spans="1:3" x14ac:dyDescent="0.25">
      <c r="A42" s="4">
        <f>[1]Sheet1!K38</f>
        <v>0.948683417568847</v>
      </c>
      <c r="B42" s="3">
        <f>[1]Sheet1!L38</f>
        <v>0.11000001385817236</v>
      </c>
    </row>
    <row r="43" spans="1:3" x14ac:dyDescent="0.25">
      <c r="A43" s="4">
        <f>[1]Sheet1!K39</f>
        <v>0.948683417568847</v>
      </c>
      <c r="B43" s="3">
        <f>[1]Sheet1!L39</f>
        <v>0.11000001385817236</v>
      </c>
    </row>
    <row r="44" spans="1:3" x14ac:dyDescent="0.25">
      <c r="A44" s="4">
        <f>[1]Sheet1!K40</f>
        <v>0.948683417568847</v>
      </c>
      <c r="B44" s="3">
        <f>[1]Sheet1!L40</f>
        <v>0.11000001385817236</v>
      </c>
    </row>
    <row r="45" spans="1:3" x14ac:dyDescent="0.25">
      <c r="A45" s="4">
        <f>[1]Sheet1!K41</f>
        <v>0.948683417568847</v>
      </c>
      <c r="B45" s="3">
        <f>[1]Sheet1!L41</f>
        <v>0.11000001385817236</v>
      </c>
    </row>
    <row r="46" spans="1:3" x14ac:dyDescent="0.25">
      <c r="A46" s="4">
        <f>[1]Sheet1!K42</f>
        <v>0.948683417568847</v>
      </c>
      <c r="B46" s="3">
        <f>[1]Sheet1!L42</f>
        <v>0.11000001385817236</v>
      </c>
    </row>
    <row r="47" spans="1:3" x14ac:dyDescent="0.25">
      <c r="A47" s="4">
        <f>[2]Sheet1!B24</f>
        <v>0.28166041436735967</v>
      </c>
      <c r="C47" s="5">
        <f>[2]Sheet1!C24</f>
        <v>7.7791646474833345E-2</v>
      </c>
    </row>
    <row r="48" spans="1:3" x14ac:dyDescent="0.25">
      <c r="A48" s="4">
        <f>[2]Sheet1!B25</f>
        <v>0.26530877284659998</v>
      </c>
      <c r="C48" s="5">
        <f>[2]Sheet1!C25</f>
        <v>7.863181621720737E-2</v>
      </c>
    </row>
    <row r="49" spans="1:3" x14ac:dyDescent="0.25">
      <c r="A49" s="4">
        <f>[2]Sheet1!B26</f>
        <v>0.25000931476138372</v>
      </c>
      <c r="C49" s="5">
        <f>[2]Sheet1!C26</f>
        <v>7.9471985959581423E-2</v>
      </c>
    </row>
    <row r="50" spans="1:3" x14ac:dyDescent="0.25">
      <c r="A50" s="4">
        <f>[2]Sheet1!B27</f>
        <v>0.23596679125643139</v>
      </c>
      <c r="C50" s="5">
        <f>[2]Sheet1!C27</f>
        <v>8.0312155701955434E-2</v>
      </c>
    </row>
    <row r="51" spans="1:3" x14ac:dyDescent="0.25">
      <c r="A51" s="4">
        <f>[2]Sheet1!B28</f>
        <v>0.22341833468757158</v>
      </c>
      <c r="C51" s="5">
        <f>[2]Sheet1!C28</f>
        <v>8.1152325444329487E-2</v>
      </c>
    </row>
    <row r="52" spans="1:3" x14ac:dyDescent="0.25">
      <c r="A52" s="4">
        <f>[2]Sheet1!B29</f>
        <v>0.21262863063000473</v>
      </c>
      <c r="C52" s="5">
        <f>[2]Sheet1!C29</f>
        <v>8.1992495186703512E-2</v>
      </c>
    </row>
    <row r="53" spans="1:3" x14ac:dyDescent="0.25">
      <c r="A53" s="4">
        <f>[2]Sheet1!B30</f>
        <v>0.2038771037731458</v>
      </c>
      <c r="C53" s="5">
        <f>[2]Sheet1!C30</f>
        <v>8.2832664929077537E-2</v>
      </c>
    </row>
    <row r="54" spans="1:3" x14ac:dyDescent="0.25">
      <c r="A54" s="4">
        <f>[2]Sheet1!B31</f>
        <v>0.19743497388399286</v>
      </c>
      <c r="C54" s="5">
        <f>[2]Sheet1!C31</f>
        <v>8.367283467145159E-2</v>
      </c>
    </row>
    <row r="55" spans="1:3" x14ac:dyDescent="0.25">
      <c r="A55" s="4">
        <f>[2]Sheet1!B32</f>
        <v>0.19353299711556068</v>
      </c>
      <c r="C55" s="5">
        <f>[2]Sheet1!C32</f>
        <v>8.4513004413825615E-2</v>
      </c>
    </row>
    <row r="56" spans="1:3" x14ac:dyDescent="0.25">
      <c r="A56" s="4">
        <f>[2]Sheet1!B33</f>
        <v>0.1923258423166323</v>
      </c>
      <c r="C56" s="5">
        <f>[2]Sheet1!C33</f>
        <v>8.5353174156199668E-2</v>
      </c>
    </row>
    <row r="57" spans="1:3" x14ac:dyDescent="0.25">
      <c r="A57" s="4">
        <f>[2]Sheet1!B34</f>
        <v>0.19386385651633056</v>
      </c>
      <c r="C57" s="5">
        <f>[2]Sheet1!C34</f>
        <v>8.6193343898573693E-2</v>
      </c>
    </row>
    <row r="58" spans="1:3" x14ac:dyDescent="0.25">
      <c r="A58" s="4">
        <f>[2]Sheet1!B35</f>
        <v>0.19808310552462194</v>
      </c>
      <c r="C58" s="5">
        <f>[2]Sheet1!C35</f>
        <v>8.7033513640947732E-2</v>
      </c>
    </row>
    <row r="59" spans="1:3" x14ac:dyDescent="0.25">
      <c r="A59" s="4">
        <f>[2]Sheet1!B36</f>
        <v>0.20481795603775668</v>
      </c>
      <c r="C59" s="5">
        <f>[2]Sheet1!C36</f>
        <v>8.7873683383321771E-2</v>
      </c>
    </row>
    <row r="60" spans="1:3" x14ac:dyDescent="0.25">
      <c r="A60" s="4">
        <f>[2]Sheet1!B37</f>
        <v>0.21383084465764554</v>
      </c>
      <c r="C60" s="5">
        <f>[2]Sheet1!C37</f>
        <v>8.8713853125695796E-2</v>
      </c>
    </row>
    <row r="61" spans="1:3" x14ac:dyDescent="0.25">
      <c r="A61" s="4">
        <f>[2]Sheet1!B38</f>
        <v>0.22484799694200452</v>
      </c>
      <c r="C61" s="5">
        <f>[2]Sheet1!C38</f>
        <v>8.9554022868069835E-2</v>
      </c>
    </row>
    <row r="62" spans="1:3" x14ac:dyDescent="0.25">
      <c r="A62" s="4">
        <f>[2]Sheet1!B39</f>
        <v>0.23759076143859842</v>
      </c>
      <c r="C62" s="5">
        <f>[2]Sheet1!C39</f>
        <v>9.0394192610443874E-2</v>
      </c>
    </row>
    <row r="63" spans="1:3" x14ac:dyDescent="0.25">
      <c r="A63" s="4">
        <f>[2]Sheet1!B40</f>
        <v>0.25179728891198599</v>
      </c>
      <c r="C63" s="5">
        <f>[2]Sheet1!C40</f>
        <v>9.1234362352817899E-2</v>
      </c>
    </row>
    <row r="64" spans="1:3" x14ac:dyDescent="0.25">
      <c r="A64" s="4">
        <f>[2]Sheet1!B41</f>
        <v>0.26723423447640665</v>
      </c>
      <c r="C64" s="5">
        <f>[2]Sheet1!C41</f>
        <v>9.2074532095191938E-2</v>
      </c>
    </row>
    <row r="65" spans="1:3" x14ac:dyDescent="0.25">
      <c r="A65" s="4">
        <f>[2]Sheet1!B42</f>
        <v>0.28370081783327283</v>
      </c>
      <c r="C65" s="5">
        <f>[2]Sheet1!C42</f>
        <v>9.2914701837565977E-2</v>
      </c>
    </row>
    <row r="66" spans="1:3" x14ac:dyDescent="0.25">
      <c r="A66" s="4">
        <f>[2]Sheet1!B43</f>
        <v>0.30102811927236367</v>
      </c>
      <c r="C66" s="5">
        <f>[2]Sheet1!C43</f>
        <v>9.3754871579940002E-2</v>
      </c>
    </row>
    <row r="67" spans="1:3" x14ac:dyDescent="0.25">
      <c r="A67" s="4">
        <f>[2]Sheet1!B44</f>
        <v>0.31907594665903094</v>
      </c>
      <c r="C67" s="5">
        <f>[2]Sheet1!C44</f>
        <v>9.4595041322314041E-2</v>
      </c>
    </row>
    <row r="68" spans="1:3" x14ac:dyDescent="0.25">
      <c r="A68" s="4">
        <f>[2]Sheet1!B45</f>
        <v>0.33772880758142165</v>
      </c>
      <c r="C68" s="5">
        <f>[2]Sheet1!C45</f>
        <v>9.543521106468808E-2</v>
      </c>
    </row>
    <row r="69" spans="1:3" x14ac:dyDescent="0.25">
      <c r="A69" s="4">
        <f>[2]Sheet1!B46</f>
        <v>0.35689184887678921</v>
      </c>
      <c r="C69" s="5">
        <f>[2]Sheet1!C46</f>
        <v>9.6275380807062105E-2</v>
      </c>
    </row>
    <row r="70" spans="1:3" x14ac:dyDescent="0.25">
      <c r="A70" s="4">
        <f>[2]Sheet1!B47</f>
        <v>0.37648717469434295</v>
      </c>
      <c r="C70" s="5">
        <f>[2]Sheet1!C47</f>
        <v>9.7115550549436144E-2</v>
      </c>
    </row>
    <row r="71" spans="1:3" x14ac:dyDescent="0.25">
      <c r="A71" s="4">
        <f>[2]Sheet1!B48</f>
        <v>0.39645069077285799</v>
      </c>
      <c r="C71" s="5">
        <f>[2]Sheet1!C48</f>
        <v>9.7955720291810183E-2</v>
      </c>
    </row>
    <row r="72" spans="1:3" x14ac:dyDescent="0.25">
      <c r="A72" s="4">
        <f>[2]Sheet1!B49</f>
        <v>0.41672948576928859</v>
      </c>
      <c r="C72" s="5">
        <f>[2]Sheet1!C49</f>
        <v>9.8795890034184208E-2</v>
      </c>
    </row>
    <row r="73" spans="1:3" x14ac:dyDescent="0.25">
      <c r="A73" s="4">
        <f>[2]Sheet1!B50</f>
        <v>0.43727969881427947</v>
      </c>
      <c r="C73" s="5">
        <f>[2]Sheet1!C50</f>
        <v>9.9636059776558261E-2</v>
      </c>
    </row>
    <row r="74" spans="1:3" x14ac:dyDescent="0.25">
      <c r="A74" s="4">
        <f>[2]Sheet1!B51</f>
        <v>0.45806480138839512</v>
      </c>
      <c r="C74" s="5">
        <f>[2]Sheet1!C51</f>
        <v>0.10047622951893227</v>
      </c>
    </row>
    <row r="75" spans="1:3" x14ac:dyDescent="0.25">
      <c r="A75" s="4">
        <f>[2]Sheet1!B52</f>
        <v>0.47905422045649987</v>
      </c>
      <c r="C75" s="5">
        <f>[2]Sheet1!C52</f>
        <v>0.10131639926130633</v>
      </c>
    </row>
    <row r="76" spans="1:3" x14ac:dyDescent="0.25">
      <c r="A76" s="4">
        <f>[2]Sheet1!B53</f>
        <v>0.50022223720431636</v>
      </c>
      <c r="C76" s="5">
        <f>[2]Sheet1!C53</f>
        <v>0.10215656900368036</v>
      </c>
    </row>
    <row r="77" spans="1:3" x14ac:dyDescent="0.25">
      <c r="A77" s="4">
        <f>[2]Sheet1!B54</f>
        <v>0.52154710586917252</v>
      </c>
      <c r="C77" s="5">
        <f>[2]Sheet1!C54</f>
        <v>0.10299673874605439</v>
      </c>
    </row>
    <row r="78" spans="1:3" x14ac:dyDescent="0.25">
      <c r="A78" s="4">
        <f>[2]Sheet1!B55</f>
        <v>0.54301034730255371</v>
      </c>
      <c r="C78" s="5">
        <f>[2]Sheet1!C55</f>
        <v>0.10383690848842841</v>
      </c>
    </row>
    <row r="79" spans="1:3" x14ac:dyDescent="0.25">
      <c r="A79" s="4">
        <f>[2]Sheet1!B56</f>
        <v>0.5645961809161324</v>
      </c>
      <c r="C79" s="5">
        <f>[2]Sheet1!C56</f>
        <v>0.10467707823080247</v>
      </c>
    </row>
    <row r="80" spans="1:3" x14ac:dyDescent="0.25">
      <c r="A80" s="4">
        <f>[2]Sheet1!B57</f>
        <v>0.58629106621441529</v>
      </c>
      <c r="C80" s="5">
        <f>[2]Sheet1!C57</f>
        <v>0.10551724797317649</v>
      </c>
    </row>
    <row r="81" spans="1:3" x14ac:dyDescent="0.25">
      <c r="A81" s="4">
        <f>[2]Sheet1!B58</f>
        <v>0.60808333123914993</v>
      </c>
      <c r="C81" s="5">
        <f>[2]Sheet1!C58</f>
        <v>0.10635741771555052</v>
      </c>
    </row>
    <row r="82" spans="1:3" x14ac:dyDescent="0.25">
      <c r="A82" s="4">
        <f>[2]Sheet1!B59</f>
        <v>0.62996287011956431</v>
      </c>
      <c r="C82" s="5">
        <f>[2]Sheet1!C59</f>
        <v>0.10719758745792457</v>
      </c>
    </row>
    <row r="83" spans="1:3" x14ac:dyDescent="0.25">
      <c r="A83" s="4">
        <f>[2]Sheet1!B60</f>
        <v>0.6519208957519067</v>
      </c>
      <c r="C83" s="5">
        <f>[2]Sheet1!C60</f>
        <v>0.1080377572002986</v>
      </c>
    </row>
    <row r="84" spans="1:3" x14ac:dyDescent="0.25">
      <c r="A84" s="4">
        <f>[2]Sheet1!B61</f>
        <v>0.67394973662504654</v>
      </c>
      <c r="C84" s="5">
        <f>[2]Sheet1!C61</f>
        <v>0.10887792694267262</v>
      </c>
    </row>
    <row r="85" spans="1:3" x14ac:dyDescent="0.25">
      <c r="A85" s="4">
        <f>[2]Sheet1!B62</f>
        <v>0.6960426691419731</v>
      </c>
      <c r="C85" s="5">
        <f>[2]Sheet1!C62</f>
        <v>0.10971809668504667</v>
      </c>
    </row>
    <row r="86" spans="1:3" x14ac:dyDescent="0.25">
      <c r="A86" s="4">
        <f>[2]Sheet1!B63</f>
        <v>0.71819377860428946</v>
      </c>
      <c r="C86" s="5">
        <f>[2]Sheet1!C63</f>
        <v>0.1105582664274207</v>
      </c>
    </row>
    <row r="87" spans="1:3" x14ac:dyDescent="0.25">
      <c r="A87" s="4">
        <f>[2]Sheet1!B64</f>
        <v>0.74039784344353932</v>
      </c>
      <c r="C87" s="5">
        <f>[2]Sheet1!C64</f>
        <v>0.11139843616979472</v>
      </c>
    </row>
    <row r="88" spans="1:3" x14ac:dyDescent="0.25">
      <c r="A88" s="4">
        <f>[2]Sheet1!B65</f>
        <v>0.76265023838984802</v>
      </c>
      <c r="C88" s="5">
        <f>[2]Sheet1!C65</f>
        <v>0.11223860591216875</v>
      </c>
    </row>
    <row r="89" spans="1:3" x14ac:dyDescent="0.25">
      <c r="A89" s="4">
        <f>[2]Sheet1!B66</f>
        <v>0.78494685313507195</v>
      </c>
      <c r="C89" s="5">
        <f>[2]Sheet1!C66</f>
        <v>0.11307877565454283</v>
      </c>
    </row>
    <row r="90" spans="1:3" x14ac:dyDescent="0.25">
      <c r="A90" s="4">
        <f>[2]Sheet1!B67</f>
        <v>0.80728402372865271</v>
      </c>
      <c r="C90" s="5">
        <f>[2]Sheet1!C67</f>
        <v>0.11391894539691683</v>
      </c>
    </row>
    <row r="91" spans="1:3" x14ac:dyDescent="0.25">
      <c r="A91" s="4">
        <f>[2]Sheet1!B68</f>
        <v>0.82965847448134189</v>
      </c>
      <c r="C91" s="5">
        <f>[2]Sheet1!C68</f>
        <v>0.11475911513929085</v>
      </c>
    </row>
    <row r="92" spans="1:3" x14ac:dyDescent="0.25">
      <c r="A92" s="4">
        <f>[2]Sheet1!B69</f>
        <v>0.85206726857696113</v>
      </c>
      <c r="C92" s="5">
        <f>[2]Sheet1!C69</f>
        <v>0.11559928488166493</v>
      </c>
    </row>
    <row r="93" spans="1:3" x14ac:dyDescent="0.25">
      <c r="A93" s="4">
        <f>[2]Sheet1!B70</f>
        <v>0.87450776593007484</v>
      </c>
      <c r="C93" s="5">
        <f>[2]Sheet1!C70</f>
        <v>0.11643945462403896</v>
      </c>
    </row>
    <row r="94" spans="1:3" x14ac:dyDescent="0.25">
      <c r="A94" s="4">
        <f>[2]Sheet1!B71</f>
        <v>0.8969775870968737</v>
      </c>
      <c r="C94" s="5">
        <f>[2]Sheet1!C71</f>
        <v>0.11727962436641298</v>
      </c>
    </row>
    <row r="95" spans="1:3" x14ac:dyDescent="0.25">
      <c r="A95" s="4">
        <f>[2]Sheet1!B72</f>
        <v>0.91947458226237044</v>
      </c>
      <c r="C95" s="5">
        <f>[2]Sheet1!C72</f>
        <v>0.11811979410878704</v>
      </c>
    </row>
    <row r="96" spans="1:3" x14ac:dyDescent="0.25">
      <c r="A96" s="4"/>
      <c r="C96" s="3"/>
    </row>
    <row r="97" spans="1:3" x14ac:dyDescent="0.25">
      <c r="A97" s="4"/>
      <c r="C97" s="3"/>
    </row>
    <row r="98" spans="1:3" x14ac:dyDescent="0.25">
      <c r="A98" s="4"/>
      <c r="C98" s="3"/>
    </row>
    <row r="99" spans="1:3" x14ac:dyDescent="0.25">
      <c r="A99" s="4"/>
      <c r="C99" s="3"/>
    </row>
    <row r="100" spans="1:3" x14ac:dyDescent="0.25">
      <c r="A100" s="3"/>
    </row>
    <row r="101" spans="1:3" x14ac:dyDescent="0.25">
      <c r="A101" s="3"/>
    </row>
    <row r="102" spans="1:3" x14ac:dyDescent="0.25">
      <c r="A102" s="3"/>
    </row>
    <row r="103" spans="1:3" x14ac:dyDescent="0.25">
      <c r="A103" s="3"/>
    </row>
  </sheetData>
  <phoneticPr fontId="1" type="noConversion"/>
  <printOptions horizontalCentered="1"/>
  <pageMargins left="0.70866141732283472" right="0.70866141732283472" top="0.74803149606299213" bottom="0.74803149606299213" header="0.31496062992125984" footer="0.31496062992125984"/>
  <pageSetup paperSize="9" scale="60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</vt:i4>
      </vt:variant>
      <vt:variant>
        <vt:lpstr>命名范围</vt:lpstr>
      </vt:variant>
      <vt:variant>
        <vt:i4>1</vt:i4>
      </vt:variant>
    </vt:vector>
  </HeadingPairs>
  <TitlesOfParts>
    <vt:vector size="2" baseType="lpstr">
      <vt:lpstr>Sheet1</vt:lpstr>
      <vt:lpstr>Sheet1!Print_Area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cp:lastPrinted>2024-11-05T08:59:56Z</cp:lastPrinted>
  <dcterms:created xsi:type="dcterms:W3CDTF">2024-10-05T13:27:14Z</dcterms:created>
  <dcterms:modified xsi:type="dcterms:W3CDTF">2024-11-05T09:00:48Z</dcterms:modified>
</cp:coreProperties>
</file>