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practice\"/>
    </mc:Choice>
  </mc:AlternateContent>
  <xr:revisionPtr revIDLastSave="0" documentId="13_ncr:1_{C5B1D223-7CC5-4598-95CD-75E470E3ADC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constant">Sheet1!$B$11</definedName>
    <definedName name="Iterations">Sheet1!$B$13</definedName>
    <definedName name="jump">Sheet1!$B$14</definedName>
    <definedName name="portfolio">Sheet1!$B$17:$B$22</definedName>
    <definedName name="portfolio_mean">Sheet1!$B$25</definedName>
    <definedName name="portfolio_sigma">Sheet1!$B$26</definedName>
    <definedName name="_xlnm.Print_Area" localSheetId="0">Sheet1!$A$1:$U$86</definedName>
    <definedName name="Results">Sheet1!$L$4:$T$30</definedName>
    <definedName name="solver_adj" localSheetId="0" hidden="1">Sheet1!$B$17:$B$22</definedName>
    <definedName name="solver_eng" localSheetId="0" hidden="1">1</definedName>
    <definedName name="solver_lhs1" localSheetId="0" hidden="1">Sheet1!$B$23</definedName>
    <definedName name="solver_lhs2" localSheetId="0" hidden="1">Sheet1!$B$23</definedName>
    <definedName name="solver_neg" localSheetId="0" hidden="1">1</definedName>
    <definedName name="solver_num" localSheetId="0" hidden="1">1</definedName>
    <definedName name="solver_opt" localSheetId="0" hidden="1">Sheet1!$B$27</definedName>
    <definedName name="solver_rel1" localSheetId="0" hidden="1">2</definedName>
    <definedName name="solver_rel2" localSheetId="0" hidden="1">2</definedName>
    <definedName name="solver_rhs1" localSheetId="0" hidden="1">1</definedName>
    <definedName name="solver_rhs2" localSheetId="0" hidden="1">1</definedName>
    <definedName name="solver_typ" localSheetId="0" hidden="1">1</definedName>
    <definedName name="solver_val" localSheetId="0" hidden="1">0</definedName>
    <definedName name="solver_ver" localSheetId="0" hidden="1">3</definedName>
    <definedName name="start">Sheet1!$B$12</definedName>
  </definedNames>
  <calcPr calcId="191029" calcMode="manual" iterate="1" iterateCount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2" i="1" l="1"/>
  <c r="D73" i="1"/>
  <c r="D74" i="1"/>
  <c r="D75" i="1"/>
  <c r="D76" i="1"/>
  <c r="D77" i="1"/>
  <c r="D78" i="1"/>
  <c r="D79" i="1"/>
  <c r="D80" i="1"/>
  <c r="D81" i="1"/>
  <c r="D82" i="1"/>
  <c r="B72" i="1"/>
  <c r="B73" i="1"/>
  <c r="B74" i="1"/>
  <c r="B75" i="1"/>
  <c r="B76" i="1"/>
  <c r="B77" i="1"/>
  <c r="B78" i="1"/>
  <c r="B79" i="1"/>
  <c r="B80" i="1"/>
  <c r="B81" i="1"/>
  <c r="B82" i="1"/>
  <c r="B48" i="1" l="1"/>
  <c r="C34" i="1" a="1"/>
  <c r="C39" i="1" s="1"/>
  <c r="B34" i="1" a="1"/>
  <c r="B36" i="1" s="1"/>
  <c r="B26" i="1" a="1"/>
  <c r="B26" i="1" s="1"/>
  <c r="B25" i="1" a="1"/>
  <c r="B25" i="1" s="1"/>
  <c r="B23" i="1"/>
  <c r="D6" i="1"/>
  <c r="C5" i="1"/>
  <c r="B4" i="1"/>
  <c r="C50" i="1"/>
  <c r="C44" i="1"/>
  <c r="D43" i="1"/>
  <c r="D42" i="1"/>
  <c r="D34" i="1"/>
  <c r="C27" i="1"/>
  <c r="C26" i="1"/>
  <c r="C25" i="1"/>
  <c r="C51" i="1"/>
  <c r="B27" i="1" l="1"/>
  <c r="C34" i="1"/>
  <c r="C35" i="1"/>
  <c r="C36" i="1"/>
  <c r="C38" i="1"/>
  <c r="C37" i="1"/>
  <c r="B37" i="1"/>
  <c r="B35" i="1"/>
  <c r="B38" i="1"/>
  <c r="B39" i="1"/>
  <c r="B34" i="1"/>
  <c r="B43" i="1" l="1" a="1"/>
  <c r="B43" i="1" s="1"/>
  <c r="B40" i="1"/>
  <c r="B42" i="1" a="1"/>
  <c r="B42" i="1" s="1"/>
  <c r="B50" i="1" s="1"/>
  <c r="C55" i="1" s="1"/>
  <c r="B44" i="1" a="1"/>
  <c r="B44" i="1" s="1"/>
  <c r="C43" i="1" a="1"/>
  <c r="C43" i="1" s="1"/>
  <c r="C42" i="1" a="1"/>
  <c r="C42" i="1" s="1"/>
  <c r="C40" i="1"/>
  <c r="B51" i="1" l="1"/>
  <c r="B55" i="1" s="1"/>
</calcChain>
</file>

<file path=xl/sharedStrings.xml><?xml version="1.0" encoding="utf-8"?>
<sst xmlns="http://schemas.openxmlformats.org/spreadsheetml/2006/main" count="64" uniqueCount="35">
  <si>
    <t>OPTIMIZING WITH SHORT SALE CONSTRAINTS</t>
  </si>
  <si>
    <t>Results</t>
  </si>
  <si>
    <t>A</t>
  </si>
  <si>
    <t>B</t>
  </si>
  <si>
    <t>C</t>
  </si>
  <si>
    <t>D</t>
  </si>
  <si>
    <t>E</t>
  </si>
  <si>
    <t>F</t>
  </si>
  <si>
    <t>Mean returns</t>
  </si>
  <si>
    <t>Constant</t>
  </si>
  <si>
    <t>Porfolio sigma</t>
  </si>
  <si>
    <t>Porfolio mean</t>
  </si>
  <si>
    <t>Start</t>
  </si>
  <si>
    <t>Press [Ctrl] + a to run macro</t>
  </si>
  <si>
    <t>Jump</t>
  </si>
  <si>
    <t>Portfolio weights</t>
  </si>
  <si>
    <t>Sum</t>
  </si>
  <si>
    <t>Portfolio mean</t>
  </si>
  <si>
    <t>Portfolio sigma</t>
  </si>
  <si>
    <t>Theta</t>
  </si>
  <si>
    <t>Two efficient portfolios with shortsales</t>
  </si>
  <si>
    <t>Expected</t>
  </si>
  <si>
    <t>Sigma</t>
  </si>
  <si>
    <t>Covariance</t>
  </si>
  <si>
    <t>One portfolio</t>
  </si>
  <si>
    <t>Proportion of first</t>
  </si>
  <si>
    <t>Proportion of second</t>
  </si>
  <si>
    <t>Expected return</t>
  </si>
  <si>
    <t>Data table</t>
  </si>
  <si>
    <t>Mean</t>
  </si>
  <si>
    <t>No shorts</t>
  </si>
  <si>
    <t>Proportion</t>
  </si>
  <si>
    <t>Data for short sale</t>
  </si>
  <si>
    <t>restrictions</t>
  </si>
  <si>
    <t>Iterations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</si>
</sst>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76" fontId="0" fillId="0" borderId="0" xfId="0" applyNumberFormat="1" applyAlignment="1"/>
    <xf numFmtId="10" fontId="0" fillId="0" borderId="0" xfId="0" applyNumberFormat="1" applyAlignment="1"/>
    <xf numFmtId="0" fontId="4" fillId="0" borderId="0" xfId="0" applyFont="1" applyAlignment="1"/>
    <xf numFmtId="10" fontId="0" fillId="0" borderId="0" xfId="1" applyNumberFormat="1" applyFont="1" applyAlignment="1"/>
    <xf numFmtId="0" fontId="5" fillId="0" borderId="0" xfId="0" applyFont="1" applyAlignment="1"/>
    <xf numFmtId="9" fontId="0" fillId="0" borderId="0" xfId="0" applyNumberFormat="1" applyAlignment="1"/>
    <xf numFmtId="0" fontId="3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</cellXfs>
  <cellStyles count="2">
    <cellStyle name="百分比" xfId="1" builtinId="5"/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243714057421999E-2"/>
          <c:y val="7.0217979938480043E-2"/>
          <c:w val="0.8789245686890641"/>
          <c:h val="0.8135600434251482"/>
        </c:manualLayout>
      </c:layout>
      <c:scatterChart>
        <c:scatterStyle val="lineMarker"/>
        <c:varyColors val="0"/>
        <c:ser>
          <c:idx val="0"/>
          <c:order val="0"/>
          <c:tx>
            <c:v>with shortsales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Sheet1!$B$55:$B$82</c:f>
              <c:numCache>
                <c:formatCode>0.00%</c:formatCode>
                <c:ptCount val="28"/>
                <c:pt idx="0">
                  <c:v>0.14496479599149378</c:v>
                </c:pt>
                <c:pt idx="1">
                  <c:v>0.31976832351087359</c:v>
                </c:pt>
                <c:pt idx="2">
                  <c:v>0.28735667132546699</c:v>
                </c:pt>
                <c:pt idx="3">
                  <c:v>0.20804951377929123</c:v>
                </c:pt>
                <c:pt idx="4">
                  <c:v>0.1926780835701743</c:v>
                </c:pt>
                <c:pt idx="5">
                  <c:v>0.17757004041318283</c:v>
                </c:pt>
                <c:pt idx="6">
                  <c:v>0.1627987293439124</c:v>
                </c:pt>
                <c:pt idx="7">
                  <c:v>0.14846469263509834</c:v>
                </c:pt>
                <c:pt idx="8">
                  <c:v>0.14150334332870332</c:v>
                </c:pt>
                <c:pt idx="9">
                  <c:v>0.12172319953272662</c:v>
                </c:pt>
                <c:pt idx="10">
                  <c:v>0.10978602354804523</c:v>
                </c:pt>
                <c:pt idx="11">
                  <c:v>9.9274550052310187E-2</c:v>
                </c:pt>
                <c:pt idx="12">
                  <c:v>9.0685904468522927E-2</c:v>
                </c:pt>
                <c:pt idx="13">
                  <c:v>8.4607694153949295E-2</c:v>
                </c:pt>
                <c:pt idx="14">
                  <c:v>8.1602832122488894E-2</c:v>
                </c:pt>
                <c:pt idx="15">
                  <c:v>8.2009841911582268E-2</c:v>
                </c:pt>
                <c:pt idx="16">
                  <c:v>8.5780171309592618E-2</c:v>
                </c:pt>
                <c:pt idx="17" formatCode="0.0000">
                  <c:v>8.3066458552763109E-2</c:v>
                </c:pt>
                <c:pt idx="18" formatCode="0.0000">
                  <c:v>8.3867453668561909E-2</c:v>
                </c:pt>
                <c:pt idx="19" formatCode="0.0000">
                  <c:v>8.5386652742268393E-2</c:v>
                </c:pt>
                <c:pt idx="20" formatCode="0.0000">
                  <c:v>8.8814115939439983E-2</c:v>
                </c:pt>
                <c:pt idx="21" formatCode="0.0000">
                  <c:v>9.9274314440885664E-2</c:v>
                </c:pt>
                <c:pt idx="22" formatCode="0.0000">
                  <c:v>0.162798247738695</c:v>
                </c:pt>
                <c:pt idx="23" formatCode="0.0000">
                  <c:v>0.21752691010456962</c:v>
                </c:pt>
                <c:pt idx="24" formatCode="0.0000">
                  <c:v>0.275680976012321</c:v>
                </c:pt>
                <c:pt idx="25" formatCode="0.0000">
                  <c:v>0.35355339104246614</c:v>
                </c:pt>
                <c:pt idx="26" formatCode="0.0000">
                  <c:v>0.5477225575051663</c:v>
                </c:pt>
                <c:pt idx="27" formatCode="0.0000">
                  <c:v>0.5477225575051663</c:v>
                </c:pt>
              </c:numCache>
            </c:numRef>
          </c:xVal>
          <c:yVal>
            <c:numRef>
              <c:f>Sheet1!$C$55:$C$82</c:f>
              <c:numCache>
                <c:formatCode>0.00%</c:formatCode>
                <c:ptCount val="28"/>
                <c:pt idx="0">
                  <c:v>3.4061069794050353E-2</c:v>
                </c:pt>
                <c:pt idx="1">
                  <c:v>6.134296338672772E-2</c:v>
                </c:pt>
                <c:pt idx="2">
                  <c:v>5.6492848970251738E-2</c:v>
                </c:pt>
                <c:pt idx="3">
                  <c:v>4.4367562929061799E-2</c:v>
                </c:pt>
                <c:pt idx="4">
                  <c:v>4.1942505720823808E-2</c:v>
                </c:pt>
                <c:pt idx="5">
                  <c:v>3.9517448512585825E-2</c:v>
                </c:pt>
                <c:pt idx="6">
                  <c:v>3.7092391304347834E-2</c:v>
                </c:pt>
                <c:pt idx="7">
                  <c:v>3.466733409610985E-2</c:v>
                </c:pt>
                <c:pt idx="8">
                  <c:v>3.3454805491990848E-2</c:v>
                </c:pt>
                <c:pt idx="9">
                  <c:v>2.9817219679633869E-2</c:v>
                </c:pt>
                <c:pt idx="10">
                  <c:v>2.7392162471395882E-2</c:v>
                </c:pt>
                <c:pt idx="11">
                  <c:v>2.4967105263157895E-2</c:v>
                </c:pt>
                <c:pt idx="12">
                  <c:v>2.2542048054919907E-2</c:v>
                </c:pt>
                <c:pt idx="13">
                  <c:v>2.011699084668192E-2</c:v>
                </c:pt>
                <c:pt idx="14">
                  <c:v>1.769193363844393E-2</c:v>
                </c:pt>
                <c:pt idx="15">
                  <c:v>1.5266876430205942E-2</c:v>
                </c:pt>
                <c:pt idx="16">
                  <c:v>1.2841819221967955E-2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C-4A21-AF3B-F2973C47330B}"/>
            </c:ext>
          </c:extLst>
        </c:ser>
        <c:ser>
          <c:idx val="1"/>
          <c:order val="1"/>
          <c:tx>
            <c:v>sale constraints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Sheet1!$B$55:$B$82</c:f>
              <c:numCache>
                <c:formatCode>0.00%</c:formatCode>
                <c:ptCount val="28"/>
                <c:pt idx="0">
                  <c:v>0.14496479599149378</c:v>
                </c:pt>
                <c:pt idx="1">
                  <c:v>0.31976832351087359</c:v>
                </c:pt>
                <c:pt idx="2">
                  <c:v>0.28735667132546699</c:v>
                </c:pt>
                <c:pt idx="3">
                  <c:v>0.20804951377929123</c:v>
                </c:pt>
                <c:pt idx="4">
                  <c:v>0.1926780835701743</c:v>
                </c:pt>
                <c:pt idx="5">
                  <c:v>0.17757004041318283</c:v>
                </c:pt>
                <c:pt idx="6">
                  <c:v>0.1627987293439124</c:v>
                </c:pt>
                <c:pt idx="7">
                  <c:v>0.14846469263509834</c:v>
                </c:pt>
                <c:pt idx="8">
                  <c:v>0.14150334332870332</c:v>
                </c:pt>
                <c:pt idx="9">
                  <c:v>0.12172319953272662</c:v>
                </c:pt>
                <c:pt idx="10">
                  <c:v>0.10978602354804523</c:v>
                </c:pt>
                <c:pt idx="11">
                  <c:v>9.9274550052310187E-2</c:v>
                </c:pt>
                <c:pt idx="12">
                  <c:v>9.0685904468522927E-2</c:v>
                </c:pt>
                <c:pt idx="13">
                  <c:v>8.4607694153949295E-2</c:v>
                </c:pt>
                <c:pt idx="14">
                  <c:v>8.1602832122488894E-2</c:v>
                </c:pt>
                <c:pt idx="15">
                  <c:v>8.2009841911582268E-2</c:v>
                </c:pt>
                <c:pt idx="16">
                  <c:v>8.5780171309592618E-2</c:v>
                </c:pt>
                <c:pt idx="17" formatCode="0.0000">
                  <c:v>8.3066458552763109E-2</c:v>
                </c:pt>
                <c:pt idx="18" formatCode="0.0000">
                  <c:v>8.3867453668561909E-2</c:v>
                </c:pt>
                <c:pt idx="19" formatCode="0.0000">
                  <c:v>8.5386652742268393E-2</c:v>
                </c:pt>
                <c:pt idx="20" formatCode="0.0000">
                  <c:v>8.8814115939439983E-2</c:v>
                </c:pt>
                <c:pt idx="21" formatCode="0.0000">
                  <c:v>9.9274314440885664E-2</c:v>
                </c:pt>
                <c:pt idx="22" formatCode="0.0000">
                  <c:v>0.162798247738695</c:v>
                </c:pt>
                <c:pt idx="23" formatCode="0.0000">
                  <c:v>0.21752691010456962</c:v>
                </c:pt>
                <c:pt idx="24" formatCode="0.0000">
                  <c:v>0.275680976012321</c:v>
                </c:pt>
                <c:pt idx="25" formatCode="0.0000">
                  <c:v>0.35355339104246614</c:v>
                </c:pt>
                <c:pt idx="26" formatCode="0.0000">
                  <c:v>0.5477225575051663</c:v>
                </c:pt>
                <c:pt idx="27" formatCode="0.0000">
                  <c:v>0.5477225575051663</c:v>
                </c:pt>
              </c:numCache>
            </c:numRef>
          </c:xVal>
          <c:yVal>
            <c:numRef>
              <c:f>Sheet1!$D$55:$D$82</c:f>
              <c:numCache>
                <c:formatCode>General</c:formatCode>
                <c:ptCount val="28"/>
                <c:pt idx="17" formatCode="0.0000">
                  <c:v>1.9187078113833609E-2</c:v>
                </c:pt>
                <c:pt idx="18" formatCode="0.0000">
                  <c:v>1.9705176912602432E-2</c:v>
                </c:pt>
                <c:pt idx="19" formatCode="0.0000">
                  <c:v>2.0504945739962841E-2</c:v>
                </c:pt>
                <c:pt idx="20" formatCode="0.0000">
                  <c:v>2.1902418358965729E-2</c:v>
                </c:pt>
                <c:pt idx="21" formatCode="0.0000">
                  <c:v>2.4967046007780755E-2</c:v>
                </c:pt>
                <c:pt idx="22" formatCode="0.0000">
                  <c:v>3.7092311156368886E-2</c:v>
                </c:pt>
                <c:pt idx="23" formatCode="0.0000">
                  <c:v>4.4184757995804E-2</c:v>
                </c:pt>
                <c:pt idx="24" formatCode="0.0000">
                  <c:v>4.9000000066888136E-2</c:v>
                </c:pt>
                <c:pt idx="25" formatCode="0.0000">
                  <c:v>5.2500000015881371E-2</c:v>
                </c:pt>
                <c:pt idx="26" formatCode="0.0000">
                  <c:v>5.5000000000000028E-2</c:v>
                </c:pt>
                <c:pt idx="27" formatCode="0.0000">
                  <c:v>5.5000000000000028E-2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DC-4A21-AF3B-F2973C473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905528"/>
        <c:axId val="1"/>
      </c:scatterChart>
      <c:valAx>
        <c:axId val="738905528"/>
        <c:scaling>
          <c:orientation val="minMax"/>
        </c:scaling>
        <c:delete val="0"/>
        <c:axPos val="b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389055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581417793627811"/>
          <c:y val="0.45207221978608608"/>
          <c:w val="0.27222767557642741"/>
          <c:h val="0.21853488652901437"/>
        </c:manualLayout>
      </c:layout>
      <c:overlay val="0"/>
      <c:txPr>
        <a:bodyPr/>
        <a:lstStyle/>
        <a:p>
          <a:pPr>
            <a:defRPr sz="1400" b="1"/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56</xdr:row>
      <xdr:rowOff>91440</xdr:rowOff>
    </xdr:from>
    <xdr:to>
      <xdr:col>15</xdr:col>
      <xdr:colOff>312420</xdr:colOff>
      <xdr:row>79</xdr:row>
      <xdr:rowOff>83820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65D4FCD-BE8B-4DCC-ACFC-A37DD664E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228600</xdr:colOff>
      <xdr:row>1</xdr:row>
      <xdr:rowOff>9525</xdr:rowOff>
    </xdr:from>
    <xdr:to>
      <xdr:col>43</xdr:col>
      <xdr:colOff>342900</xdr:colOff>
      <xdr:row>85</xdr:row>
      <xdr:rowOff>76200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D4C15E6B-0B2A-BA27-CCB9-17F74AAB9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3744575" y="523875"/>
          <a:ext cx="13525500" cy="14678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14</xdr:row>
          <xdr:rowOff>45720</xdr:rowOff>
        </xdr:from>
        <xdr:to>
          <xdr:col>10</xdr:col>
          <xdr:colOff>182880</xdr:colOff>
          <xdr:row>17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VBA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387350</xdr:colOff>
      <xdr:row>35</xdr:row>
      <xdr:rowOff>110491</xdr:rowOff>
    </xdr:from>
    <xdr:to>
      <xdr:col>20</xdr:col>
      <xdr:colOff>257175</xdr:colOff>
      <xdr:row>55</xdr:row>
      <xdr:rowOff>54734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CE3E28BE-8C7C-4FCB-3B68-28A338B1E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97725" y="6663691"/>
          <a:ext cx="5965825" cy="3373243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9</xdr:col>
      <xdr:colOff>561975</xdr:colOff>
      <xdr:row>18</xdr:row>
      <xdr:rowOff>161925</xdr:rowOff>
    </xdr:from>
    <xdr:to>
      <xdr:col>14</xdr:col>
      <xdr:colOff>257175</xdr:colOff>
      <xdr:row>33</xdr:row>
      <xdr:rowOff>28575</xdr:rowOff>
    </xdr:to>
    <xdr:cxnSp macro="">
      <xdr:nvCxnSpPr>
        <xdr:cNvPr id="6" name="直接箭头连接符 5">
          <a:extLst>
            <a:ext uri="{FF2B5EF4-FFF2-40B4-BE49-F238E27FC236}">
              <a16:creationId xmlns:a16="http://schemas.microsoft.com/office/drawing/2014/main" id="{BB9B6384-B8F1-3745-EC65-29A2EBC5BC61}"/>
            </a:ext>
          </a:extLst>
        </xdr:cNvPr>
        <xdr:cNvCxnSpPr/>
      </xdr:nvCxnSpPr>
      <xdr:spPr>
        <a:xfrm>
          <a:off x="6762750" y="3771900"/>
          <a:ext cx="2743200" cy="2466975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U86"/>
  <sheetViews>
    <sheetView tabSelected="1" view="pageBreakPreview" topLeftCell="A18" zoomScaleNormal="100" zoomScaleSheetLayoutView="100" workbookViewId="0">
      <selection activeCell="R26" sqref="R26"/>
    </sheetView>
  </sheetViews>
  <sheetFormatPr defaultRowHeight="13.8" x14ac:dyDescent="0.25"/>
  <cols>
    <col min="1" max="1" width="19.33203125" style="1" customWidth="1"/>
    <col min="2" max="21" width="8.88671875" style="1"/>
  </cols>
  <sheetData>
    <row r="1" spans="1:21" ht="40.799999999999997" customHeight="1" x14ac:dyDescent="0.3">
      <c r="A1" s="10" t="s">
        <v>0</v>
      </c>
      <c r="B1" s="10"/>
      <c r="C1" s="10"/>
      <c r="D1" s="10"/>
      <c r="E1" s="10"/>
      <c r="F1" s="10"/>
      <c r="G1" s="10"/>
      <c r="H1" s="10"/>
      <c r="I1" s="10"/>
    </row>
    <row r="2" spans="1:21" x14ac:dyDescent="0.25">
      <c r="L2" s="2" t="s">
        <v>1</v>
      </c>
    </row>
    <row r="3" spans="1:21" ht="27.6" x14ac:dyDescent="0.25"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/>
      <c r="I3" s="2" t="s">
        <v>8</v>
      </c>
      <c r="L3" s="1" t="s">
        <v>9</v>
      </c>
      <c r="M3" s="2" t="s">
        <v>10</v>
      </c>
      <c r="N3" s="2" t="s">
        <v>11</v>
      </c>
      <c r="O3" s="2" t="s">
        <v>2</v>
      </c>
      <c r="P3" s="2" t="s">
        <v>3</v>
      </c>
      <c r="Q3" s="2" t="s">
        <v>4</v>
      </c>
      <c r="R3" s="2" t="s">
        <v>5</v>
      </c>
      <c r="S3" s="2" t="s">
        <v>6</v>
      </c>
      <c r="T3" s="2" t="s">
        <v>7</v>
      </c>
    </row>
    <row r="4" spans="1:21" x14ac:dyDescent="0.25">
      <c r="A4" s="3" t="s">
        <v>2</v>
      </c>
      <c r="B4" s="4">
        <f>0.1^2</f>
        <v>1.0000000000000002E-2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I4" s="4">
        <v>0.01</v>
      </c>
      <c r="L4" s="1">
        <v>-0.04</v>
      </c>
      <c r="M4" s="4">
        <v>8.3066458552763109E-2</v>
      </c>
      <c r="N4" s="4">
        <v>1.9187078113833609E-2</v>
      </c>
      <c r="O4" s="4">
        <v>0.58290461847038599</v>
      </c>
      <c r="P4" s="4">
        <v>0.17487061768140652</v>
      </c>
      <c r="Q4" s="4">
        <v>9.0671763128123001E-2</v>
      </c>
      <c r="R4" s="4">
        <v>6.2176535894588429E-2</v>
      </c>
      <c r="S4" s="4">
        <v>5.2460063905578044E-2</v>
      </c>
      <c r="T4" s="4">
        <v>3.6916400919918026E-2</v>
      </c>
      <c r="U4" s="4"/>
    </row>
    <row r="5" spans="1:21" x14ac:dyDescent="0.25">
      <c r="A5" s="3" t="s">
        <v>3</v>
      </c>
      <c r="B5" s="4">
        <v>0</v>
      </c>
      <c r="C5" s="4">
        <f>0.2^2</f>
        <v>4.0000000000000008E-2</v>
      </c>
      <c r="D5" s="4">
        <v>0</v>
      </c>
      <c r="E5" s="4">
        <v>0</v>
      </c>
      <c r="F5" s="4">
        <v>0</v>
      </c>
      <c r="G5" s="4">
        <v>0</v>
      </c>
      <c r="I5" s="4">
        <v>0.02</v>
      </c>
      <c r="L5" s="1">
        <v>-3.0000000000000002E-2</v>
      </c>
      <c r="M5" s="4">
        <v>8.3867453668561909E-2</v>
      </c>
      <c r="N5" s="4">
        <v>1.9705176912602432E-2</v>
      </c>
      <c r="O5" s="4">
        <v>0.56603755639450393</v>
      </c>
      <c r="P5" s="4">
        <v>0.17688734670454584</v>
      </c>
      <c r="Q5" s="4">
        <v>9.4339682835039657E-2</v>
      </c>
      <c r="R5" s="4">
        <v>6.6037694326933918E-2</v>
      </c>
      <c r="S5" s="4">
        <v>5.6603685841160378E-2</v>
      </c>
      <c r="T5" s="4">
        <v>4.0094033897816531E-2</v>
      </c>
      <c r="U5" s="4"/>
    </row>
    <row r="6" spans="1:21" x14ac:dyDescent="0.25">
      <c r="A6" s="3" t="s">
        <v>4</v>
      </c>
      <c r="B6" s="4">
        <v>0</v>
      </c>
      <c r="C6" s="4">
        <v>0</v>
      </c>
      <c r="D6" s="4">
        <f>0.3^2</f>
        <v>0.09</v>
      </c>
      <c r="E6" s="4">
        <v>0</v>
      </c>
      <c r="F6" s="4">
        <v>0</v>
      </c>
      <c r="G6" s="4">
        <v>0</v>
      </c>
      <c r="I6" s="4">
        <v>0.03</v>
      </c>
      <c r="L6" s="1">
        <v>-2.0000000000000004E-2</v>
      </c>
      <c r="M6" s="4">
        <v>8.5386652742268393E-2</v>
      </c>
      <c r="N6" s="4">
        <v>2.0504945739962841E-2</v>
      </c>
      <c r="O6" s="4">
        <v>0.54000172785329104</v>
      </c>
      <c r="P6" s="4">
        <v>0.17999985120222614</v>
      </c>
      <c r="Q6" s="4">
        <v>9.9999604989470303E-2</v>
      </c>
      <c r="R6" s="4">
        <v>7.1999576475726107E-2</v>
      </c>
      <c r="S6" s="4">
        <v>6.2999588537704224E-2</v>
      </c>
      <c r="T6" s="4">
        <v>4.4999650941582633E-2</v>
      </c>
      <c r="U6" s="4"/>
    </row>
    <row r="7" spans="1:21" x14ac:dyDescent="0.25">
      <c r="A7" s="3" t="s">
        <v>5</v>
      </c>
      <c r="B7" s="4">
        <v>0</v>
      </c>
      <c r="C7" s="4">
        <v>0</v>
      </c>
      <c r="D7" s="4">
        <v>0</v>
      </c>
      <c r="E7" s="4">
        <v>0.15</v>
      </c>
      <c r="F7" s="4">
        <v>0</v>
      </c>
      <c r="G7" s="4">
        <v>0</v>
      </c>
      <c r="I7" s="4">
        <v>0.04</v>
      </c>
      <c r="L7" s="1">
        <v>-1.0000000000000002E-2</v>
      </c>
      <c r="M7" s="4">
        <v>8.8814115939439983E-2</v>
      </c>
      <c r="N7" s="4">
        <v>2.1902418358965729E-2</v>
      </c>
      <c r="O7" s="4">
        <v>0.49450697271249733</v>
      </c>
      <c r="P7" s="4">
        <v>0.18543958674601579</v>
      </c>
      <c r="Q7" s="4">
        <v>0.1098898728262101</v>
      </c>
      <c r="R7" s="4">
        <v>8.2417229153385729E-2</v>
      </c>
      <c r="S7" s="4">
        <v>7.4175414981065446E-2</v>
      </c>
      <c r="T7" s="4">
        <v>5.357092358082604E-2</v>
      </c>
      <c r="U7" s="4"/>
    </row>
    <row r="8" spans="1:21" x14ac:dyDescent="0.25">
      <c r="A8" s="3" t="s">
        <v>6</v>
      </c>
      <c r="B8" s="4">
        <v>0</v>
      </c>
      <c r="C8" s="4">
        <v>0</v>
      </c>
      <c r="D8" s="4">
        <v>0</v>
      </c>
      <c r="E8" s="4">
        <v>0</v>
      </c>
      <c r="F8" s="4">
        <v>0.2</v>
      </c>
      <c r="G8" s="4">
        <v>0</v>
      </c>
      <c r="I8" s="4">
        <v>0.05</v>
      </c>
      <c r="L8" s="1">
        <v>0</v>
      </c>
      <c r="M8" s="4">
        <v>9.9274314440885664E-2</v>
      </c>
      <c r="N8" s="4">
        <v>2.4967046007780755E-2</v>
      </c>
      <c r="O8" s="4">
        <v>0.39473882573381364</v>
      </c>
      <c r="P8" s="4">
        <v>0.19736832949559618</v>
      </c>
      <c r="Q8" s="4">
        <v>0.131578235573307</v>
      </c>
      <c r="R8" s="4">
        <v>0.10526268070088048</v>
      </c>
      <c r="S8" s="4">
        <v>9.8683840401181847E-2</v>
      </c>
      <c r="T8" s="4">
        <v>7.2368088095221328E-2</v>
      </c>
      <c r="U8" s="4"/>
    </row>
    <row r="9" spans="1:21" x14ac:dyDescent="0.25">
      <c r="A9" s="3" t="s">
        <v>7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0.3</v>
      </c>
      <c r="I9" s="4">
        <v>5.5E-2</v>
      </c>
      <c r="L9" s="1">
        <v>9.999999999999995E-3</v>
      </c>
      <c r="M9" s="4">
        <v>0.162798247738695</v>
      </c>
      <c r="N9" s="4">
        <v>3.7092311156368886E-2</v>
      </c>
      <c r="O9" s="4">
        <v>0</v>
      </c>
      <c r="P9" s="4">
        <v>0.24456772301466562</v>
      </c>
      <c r="Q9" s="4">
        <v>0.21739028951077632</v>
      </c>
      <c r="R9" s="4">
        <v>0.19565382019670799</v>
      </c>
      <c r="S9" s="4">
        <v>0.19565079947956365</v>
      </c>
      <c r="T9" s="4">
        <v>0.14673736779828692</v>
      </c>
      <c r="U9" s="4"/>
    </row>
    <row r="10" spans="1:21" x14ac:dyDescent="0.25">
      <c r="L10" s="1">
        <v>2.0000000000000004E-2</v>
      </c>
      <c r="M10" s="4">
        <v>0.21752691010456962</v>
      </c>
      <c r="N10" s="4">
        <v>4.4184757995804E-2</v>
      </c>
      <c r="O10" s="4">
        <v>0</v>
      </c>
      <c r="P10" s="4">
        <v>0</v>
      </c>
      <c r="Q10" s="4">
        <v>0.21739149298613161</v>
      </c>
      <c r="R10" s="4">
        <v>0.26087129906674189</v>
      </c>
      <c r="S10" s="4">
        <v>0.29347703870832303</v>
      </c>
      <c r="T10" s="4">
        <v>0.22826016923880407</v>
      </c>
      <c r="U10" s="4"/>
    </row>
    <row r="11" spans="1:21" x14ac:dyDescent="0.25">
      <c r="A11" s="1" t="s">
        <v>9</v>
      </c>
      <c r="B11" s="5">
        <v>9.9999999999999992E-2</v>
      </c>
      <c r="L11" s="1">
        <v>0.03</v>
      </c>
      <c r="M11" s="4">
        <v>0.275680976012321</v>
      </c>
      <c r="N11" s="4">
        <v>4.9000000066888136E-2</v>
      </c>
      <c r="O11" s="4">
        <v>0</v>
      </c>
      <c r="P11" s="4">
        <v>0</v>
      </c>
      <c r="Q11" s="4">
        <v>0</v>
      </c>
      <c r="R11" s="4">
        <v>0.26666664401054657</v>
      </c>
      <c r="S11" s="4">
        <v>0.40000005459073928</v>
      </c>
      <c r="T11" s="4">
        <v>0.33333330139871464</v>
      </c>
      <c r="U11" s="4"/>
    </row>
    <row r="12" spans="1:21" x14ac:dyDescent="0.25">
      <c r="A12" s="1" t="s">
        <v>12</v>
      </c>
      <c r="B12" s="5">
        <v>-0.05</v>
      </c>
      <c r="L12" s="1">
        <v>3.9999999999999994E-2</v>
      </c>
      <c r="M12" s="4">
        <v>0.35355339104246614</v>
      </c>
      <c r="N12" s="4">
        <v>5.2500000015881371E-2</v>
      </c>
      <c r="O12" s="4">
        <v>0</v>
      </c>
      <c r="P12" s="4">
        <v>0</v>
      </c>
      <c r="Q12" s="4">
        <v>0</v>
      </c>
      <c r="R12" s="4">
        <v>0</v>
      </c>
      <c r="S12" s="4">
        <v>0.49999999682373175</v>
      </c>
      <c r="T12" s="4">
        <v>0.5000000031762688</v>
      </c>
      <c r="U12" s="4"/>
    </row>
    <row r="13" spans="1:21" x14ac:dyDescent="0.25">
      <c r="A13" s="1" t="s">
        <v>34</v>
      </c>
      <c r="B13" s="1">
        <v>15</v>
      </c>
      <c r="D13" s="11" t="s">
        <v>13</v>
      </c>
      <c r="E13" s="11"/>
      <c r="F13" s="11"/>
      <c r="L13" s="1">
        <v>0.05</v>
      </c>
      <c r="M13" s="4">
        <v>0.5477225575051663</v>
      </c>
      <c r="N13" s="4">
        <v>5.5000000000000028E-2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1.0000000000000004</v>
      </c>
      <c r="U13" s="4"/>
    </row>
    <row r="14" spans="1:21" x14ac:dyDescent="0.25">
      <c r="A14" s="1" t="s">
        <v>14</v>
      </c>
      <c r="B14" s="1">
        <v>0.01</v>
      </c>
      <c r="L14" s="1">
        <v>0.06</v>
      </c>
      <c r="M14" s="4">
        <v>0.5477225575051663</v>
      </c>
      <c r="N14" s="4">
        <v>5.5000000000000028E-2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1.0000000000000004</v>
      </c>
      <c r="U14" s="4"/>
    </row>
    <row r="15" spans="1:21" x14ac:dyDescent="0.25">
      <c r="L15" s="1">
        <v>6.9999999999999993E-2</v>
      </c>
      <c r="M15" s="4">
        <v>0.5477225575051663</v>
      </c>
      <c r="N15" s="4">
        <v>5.5000000000000028E-2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1.0000000000000004</v>
      </c>
      <c r="U15" s="4"/>
    </row>
    <row r="16" spans="1:21" x14ac:dyDescent="0.25">
      <c r="A16" s="6" t="s">
        <v>15</v>
      </c>
      <c r="B16" s="1">
        <v>0</v>
      </c>
      <c r="L16" s="1">
        <v>0.08</v>
      </c>
      <c r="M16" s="4">
        <v>0.5477225575051663</v>
      </c>
      <c r="N16" s="4">
        <v>5.5000000000000028E-2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1.0000000000000004</v>
      </c>
      <c r="U16" s="4"/>
    </row>
    <row r="17" spans="1:21" x14ac:dyDescent="0.25">
      <c r="A17" s="1" t="s">
        <v>2</v>
      </c>
      <c r="B17" s="4">
        <v>0</v>
      </c>
      <c r="L17" s="1">
        <v>9.0000000000000011E-2</v>
      </c>
      <c r="M17" s="4">
        <v>0.5477225575051663</v>
      </c>
      <c r="N17" s="4">
        <v>5.5000000000000028E-2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1.0000000000000004</v>
      </c>
      <c r="U17" s="4"/>
    </row>
    <row r="18" spans="1:21" x14ac:dyDescent="0.25">
      <c r="A18" s="1" t="s">
        <v>3</v>
      </c>
      <c r="B18" s="4">
        <v>0</v>
      </c>
      <c r="L18" s="1">
        <v>9.9999999999999992E-2</v>
      </c>
      <c r="M18" s="4">
        <v>0.5477225575051663</v>
      </c>
      <c r="N18" s="4">
        <v>5.5000000000000028E-2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1.0000000000000004</v>
      </c>
      <c r="U18" s="4"/>
    </row>
    <row r="19" spans="1:21" x14ac:dyDescent="0.25">
      <c r="A19" s="1" t="s">
        <v>4</v>
      </c>
      <c r="B19" s="4">
        <v>0</v>
      </c>
      <c r="M19" s="4"/>
      <c r="N19" s="4"/>
      <c r="O19" s="4"/>
      <c r="P19" s="4"/>
      <c r="Q19" s="4"/>
      <c r="R19" s="4"/>
      <c r="S19" s="4"/>
      <c r="T19" s="4"/>
      <c r="U19" s="4"/>
    </row>
    <row r="20" spans="1:21" x14ac:dyDescent="0.25">
      <c r="A20" s="1" t="s">
        <v>5</v>
      </c>
      <c r="B20" s="4">
        <v>0</v>
      </c>
      <c r="M20" s="4"/>
      <c r="N20" s="4"/>
      <c r="O20" s="4"/>
      <c r="P20" s="4"/>
      <c r="Q20" s="4"/>
      <c r="R20" s="4"/>
      <c r="S20" s="4"/>
      <c r="T20" s="4"/>
      <c r="U20" s="4"/>
    </row>
    <row r="21" spans="1:21" x14ac:dyDescent="0.25">
      <c r="A21" s="1" t="s">
        <v>6</v>
      </c>
      <c r="B21" s="4">
        <v>0</v>
      </c>
      <c r="M21" s="4"/>
      <c r="N21" s="4"/>
      <c r="O21" s="4"/>
      <c r="P21" s="4"/>
      <c r="Q21" s="4"/>
      <c r="R21" s="4"/>
      <c r="S21" s="4"/>
      <c r="T21" s="4"/>
      <c r="U21" s="4"/>
    </row>
    <row r="22" spans="1:21" x14ac:dyDescent="0.25">
      <c r="A22" s="1" t="s">
        <v>7</v>
      </c>
      <c r="B22" s="4">
        <v>1.0000000000000004</v>
      </c>
      <c r="M22" s="4"/>
      <c r="N22" s="4"/>
      <c r="O22" s="4"/>
      <c r="P22" s="4"/>
      <c r="Q22" s="4"/>
      <c r="R22" s="4"/>
      <c r="S22" s="4"/>
      <c r="T22" s="4"/>
      <c r="U22" s="4"/>
    </row>
    <row r="23" spans="1:21" x14ac:dyDescent="0.25">
      <c r="A23" s="1" t="s">
        <v>16</v>
      </c>
      <c r="B23" s="1">
        <f>SUM(B17:B22)</f>
        <v>1.0000000000000004</v>
      </c>
      <c r="M23" s="4"/>
      <c r="N23" s="4"/>
      <c r="O23" s="4"/>
      <c r="P23" s="4"/>
      <c r="Q23" s="4"/>
      <c r="R23" s="4"/>
      <c r="S23" s="4"/>
      <c r="T23" s="4"/>
      <c r="U23" s="4"/>
    </row>
    <row r="24" spans="1:21" x14ac:dyDescent="0.25">
      <c r="M24" s="4"/>
      <c r="N24" s="4"/>
      <c r="O24" s="4"/>
      <c r="P24" s="4"/>
      <c r="Q24" s="4"/>
      <c r="R24" s="4"/>
      <c r="S24" s="4"/>
      <c r="T24" s="4"/>
      <c r="U24" s="4"/>
    </row>
    <row r="25" spans="1:21" x14ac:dyDescent="0.25">
      <c r="A25" s="1" t="s">
        <v>17</v>
      </c>
      <c r="B25" s="7">
        <f t="array" ref="B25">MMULT(TRANSPOSE(B17:B22),I4:I9)</f>
        <v>5.5000000000000028E-2</v>
      </c>
      <c r="C25" s="1" t="str">
        <f ca="1">[1]!getformula(B25)</f>
        <v>&lt;--  {=MMULT(TRANSPOSE(B17:B22),I4:I9)}</v>
      </c>
      <c r="M25" s="4"/>
      <c r="N25" s="4"/>
      <c r="O25" s="4"/>
      <c r="P25" s="4"/>
      <c r="Q25" s="4"/>
      <c r="R25" s="4"/>
      <c r="S25" s="4"/>
      <c r="T25" s="4"/>
      <c r="U25" s="4"/>
    </row>
    <row r="26" spans="1:21" x14ac:dyDescent="0.25">
      <c r="A26" s="1" t="s">
        <v>18</v>
      </c>
      <c r="B26" s="7">
        <f t="array" ref="B26">SQRT(MMULT(MMULT(TRANSPOSE(B17:B22),B4:G9),B17:B22))</f>
        <v>0.5477225575051663</v>
      </c>
      <c r="C26" s="1" t="str">
        <f ca="1">[1]!getformula(B26)</f>
        <v>&lt;--  {=SQRT(MMULT(MMULT(TRANSPOSE(B17:B22),B4:G9),B17:B22))}</v>
      </c>
      <c r="M26" s="4"/>
      <c r="N26" s="4"/>
      <c r="O26" s="4"/>
      <c r="P26" s="4"/>
      <c r="Q26" s="4"/>
      <c r="R26" s="4"/>
      <c r="S26" s="4"/>
      <c r="T26" s="4"/>
      <c r="U26" s="4"/>
    </row>
    <row r="27" spans="1:21" x14ac:dyDescent="0.25">
      <c r="A27" s="1" t="s">
        <v>19</v>
      </c>
      <c r="B27" s="7">
        <f>(B25-B11)/B26</f>
        <v>-8.2158383625774822E-2</v>
      </c>
      <c r="C27" s="1" t="str">
        <f ca="1">[1]!getformula(B27)</f>
        <v>&lt;--  =(B25-B11)/B26</v>
      </c>
      <c r="M27" s="4"/>
      <c r="N27" s="4"/>
      <c r="O27" s="4"/>
      <c r="P27" s="4"/>
      <c r="Q27" s="4"/>
      <c r="R27" s="4"/>
      <c r="S27" s="4"/>
      <c r="T27" s="4"/>
      <c r="U27" s="4"/>
    </row>
    <row r="28" spans="1:21" x14ac:dyDescent="0.25">
      <c r="M28" s="4"/>
      <c r="N28" s="4"/>
      <c r="O28" s="4"/>
      <c r="P28" s="4"/>
      <c r="Q28" s="4"/>
      <c r="R28" s="4"/>
      <c r="S28" s="4"/>
      <c r="T28" s="4"/>
      <c r="U28" s="4"/>
    </row>
    <row r="29" spans="1:21" x14ac:dyDescent="0.25">
      <c r="M29" s="4"/>
      <c r="N29" s="4"/>
      <c r="O29" s="4"/>
      <c r="P29" s="4"/>
      <c r="Q29" s="4"/>
      <c r="R29" s="4"/>
      <c r="S29" s="4"/>
      <c r="T29" s="4"/>
      <c r="U29" s="4"/>
    </row>
    <row r="30" spans="1:21" x14ac:dyDescent="0.25">
      <c r="M30" s="4"/>
      <c r="N30" s="4"/>
      <c r="O30" s="4"/>
      <c r="P30" s="4"/>
      <c r="Q30" s="4"/>
      <c r="R30" s="4"/>
      <c r="S30" s="4"/>
      <c r="T30" s="4"/>
      <c r="U30" s="4"/>
    </row>
    <row r="31" spans="1:21" ht="15.6" x14ac:dyDescent="0.3">
      <c r="A31" s="8" t="s">
        <v>20</v>
      </c>
      <c r="M31" s="4"/>
      <c r="N31" s="4"/>
      <c r="O31" s="4"/>
      <c r="P31" s="4"/>
      <c r="Q31" s="4"/>
      <c r="R31" s="4"/>
      <c r="S31" s="4"/>
      <c r="T31" s="4"/>
      <c r="U31" s="4"/>
    </row>
    <row r="32" spans="1:21" x14ac:dyDescent="0.25">
      <c r="A32" s="1" t="s">
        <v>9</v>
      </c>
      <c r="B32" s="9">
        <v>0</v>
      </c>
      <c r="C32" s="9">
        <v>0.01</v>
      </c>
      <c r="M32" s="4"/>
      <c r="N32" s="4"/>
      <c r="O32" s="4"/>
      <c r="P32" s="4"/>
      <c r="Q32" s="4"/>
      <c r="R32" s="4"/>
      <c r="S32" s="4"/>
      <c r="T32" s="4"/>
      <c r="U32" s="4"/>
    </row>
    <row r="33" spans="1:21" x14ac:dyDescent="0.25">
      <c r="B33" s="9"/>
      <c r="C33" s="9"/>
      <c r="M33" s="4"/>
      <c r="N33" s="4"/>
      <c r="O33" s="4"/>
      <c r="P33" s="4"/>
      <c r="Q33" s="4"/>
      <c r="R33" s="4"/>
      <c r="S33" s="4"/>
      <c r="T33" s="4"/>
      <c r="U33" s="4"/>
    </row>
    <row r="34" spans="1:21" x14ac:dyDescent="0.25">
      <c r="A34" s="1" t="s">
        <v>2</v>
      </c>
      <c r="B34" s="4">
        <f t="array" ref="B34:B39">MMULT(MINVERSE($B$4:$G$9),$I$4:$I$9-B32)/SUM(MMULT(MINVERSE($B$4:$G$9),$I$4:$I$9-B32))</f>
        <v>0.39473684210526311</v>
      </c>
      <c r="C34" s="4">
        <f t="array" ref="C34:C39">MMULT(MINVERSE($B$4:$G$9),$I$4:$I$9-C32)/SUM(MMULT(MINVERSE($B$4:$G$9),$I$4:$I$9-C32))</f>
        <v>0</v>
      </c>
      <c r="D34" s="1" t="str">
        <f ca="1">[1]!getformula(C34)</f>
        <v>&lt;--  {=MMULT(MINVERSE($B$4:$G$9),$I$4:$I$9-C32)/SUM(MMULT(MINVERSE($B$4:$G$9),$I$4:$I$9-C32))}</v>
      </c>
    </row>
    <row r="35" spans="1:21" x14ac:dyDescent="0.25">
      <c r="A35" s="1" t="s">
        <v>3</v>
      </c>
      <c r="B35" s="4">
        <v>0.19736842105263155</v>
      </c>
      <c r="C35" s="4">
        <v>0.24456521739130435</v>
      </c>
    </row>
    <row r="36" spans="1:21" x14ac:dyDescent="0.25">
      <c r="A36" s="1" t="s">
        <v>4</v>
      </c>
      <c r="B36" s="4">
        <v>0.13157894736842105</v>
      </c>
      <c r="C36" s="4">
        <v>0.21739130434782605</v>
      </c>
    </row>
    <row r="37" spans="1:21" x14ac:dyDescent="0.25">
      <c r="A37" s="1" t="s">
        <v>5</v>
      </c>
      <c r="B37" s="4">
        <v>0.10526315789473685</v>
      </c>
      <c r="C37" s="4">
        <v>0.19565217391304351</v>
      </c>
    </row>
    <row r="38" spans="1:21" x14ac:dyDescent="0.25">
      <c r="A38" s="1" t="s">
        <v>6</v>
      </c>
      <c r="B38" s="4">
        <v>9.8684210526315791E-2</v>
      </c>
      <c r="C38" s="4">
        <v>0.19565217391304351</v>
      </c>
    </row>
    <row r="39" spans="1:21" x14ac:dyDescent="0.25">
      <c r="A39" s="1" t="s">
        <v>7</v>
      </c>
      <c r="B39" s="4">
        <v>7.2368421052631582E-2</v>
      </c>
      <c r="C39" s="4">
        <v>0.14673913043478262</v>
      </c>
    </row>
    <row r="40" spans="1:21" x14ac:dyDescent="0.25">
      <c r="A40" s="1" t="s">
        <v>16</v>
      </c>
      <c r="B40" s="1">
        <f>SUM(B34:B39)</f>
        <v>1</v>
      </c>
      <c r="C40" s="1">
        <f>SUM(C34:C39)</f>
        <v>0.99999999999999989</v>
      </c>
    </row>
    <row r="42" spans="1:21" x14ac:dyDescent="0.25">
      <c r="A42" s="1" t="s">
        <v>21</v>
      </c>
      <c r="B42" s="4">
        <f t="array" ref="B42">MMULT(TRANSPOSE(B34:B39),$I$4:$I$9)</f>
        <v>2.4967105263157895E-2</v>
      </c>
      <c r="C42" s="4">
        <f t="array" ref="C42">MMULT(TRANSPOSE(C34:C39),$I$4:$I$9)</f>
        <v>3.7092391304347834E-2</v>
      </c>
      <c r="D42" s="1" t="str">
        <f ca="1">[1]!getformula(C42)</f>
        <v>&lt;--  {=MMULT(TRANSPOSE(C34:C39),$I$4:$I$9)}</v>
      </c>
    </row>
    <row r="43" spans="1:21" x14ac:dyDescent="0.25">
      <c r="A43" s="1" t="s">
        <v>22</v>
      </c>
      <c r="B43" s="4">
        <f t="array" ref="B43">SQRT(MMULT(MMULT(TRANSPOSE(B34:B39),$B$4:$G$9),B34:B39))</f>
        <v>9.9274550052310187E-2</v>
      </c>
      <c r="C43" s="4">
        <f t="array" ref="C43">SQRT(MMULT(MMULT(TRANSPOSE(C34:C39),$B$4:$G$9),C34:C39))</f>
        <v>0.1627987293439124</v>
      </c>
      <c r="D43" s="1" t="str">
        <f ca="1">[1]!getformula(C43)</f>
        <v>&lt;--  {=SQRT(MMULT(MMULT(TRANSPOSE(C34:C39),$B$4:$G$9),C34:C39))}</v>
      </c>
    </row>
    <row r="44" spans="1:21" x14ac:dyDescent="0.25">
      <c r="A44" s="1" t="s">
        <v>23</v>
      </c>
      <c r="B44" s="4">
        <f t="array" ref="B44">MMULT(MMULT(TRANSPOSE(B34:B39),$B$4:$G$9),C34:C39)</f>
        <v>1.4641733409610986E-2</v>
      </c>
      <c r="C44" s="1" t="str">
        <f ca="1">[1]!getformula(B44)</f>
        <v>&lt;--  {=MMULT(MMULT(TRANSPOSE(B34:B39),$B$4:$G$9),C34:C39)}</v>
      </c>
    </row>
    <row r="46" spans="1:21" x14ac:dyDescent="0.25">
      <c r="A46" s="6" t="s">
        <v>24</v>
      </c>
    </row>
    <row r="47" spans="1:21" x14ac:dyDescent="0.25">
      <c r="A47" s="1" t="s">
        <v>25</v>
      </c>
      <c r="B47" s="1">
        <v>0.25</v>
      </c>
    </row>
    <row r="48" spans="1:21" x14ac:dyDescent="0.25">
      <c r="A48" s="1" t="s">
        <v>26</v>
      </c>
      <c r="B48" s="1">
        <f>1-B47</f>
        <v>0.75</v>
      </c>
    </row>
    <row r="50" spans="1:4" x14ac:dyDescent="0.25">
      <c r="A50" s="1" t="s">
        <v>27</v>
      </c>
      <c r="B50" s="7">
        <f>B47*B42+B48*C42</f>
        <v>3.4061069794050353E-2</v>
      </c>
      <c r="C50" s="1" t="str">
        <f ca="1">[1]!getformula(B50)</f>
        <v>&lt;--  =B47*B42+B48*C42</v>
      </c>
    </row>
    <row r="51" spans="1:4" x14ac:dyDescent="0.25">
      <c r="A51" s="1" t="s">
        <v>22</v>
      </c>
      <c r="B51" s="7">
        <f>SQRT(B47^2*B43^2+B48^2*C43^2+2*B47*B48*B44)</f>
        <v>0.14496479599149378</v>
      </c>
      <c r="C51" s="1" t="str">
        <f ca="1">[1]!getformula(B51)</f>
        <v>&lt;--  =SQRT(B47^2*B43^2+B48^2*C43^2+2*B47*B48*B44)</v>
      </c>
    </row>
    <row r="53" spans="1:4" x14ac:dyDescent="0.25">
      <c r="A53" s="6" t="s">
        <v>28</v>
      </c>
    </row>
    <row r="54" spans="1:4" x14ac:dyDescent="0.25">
      <c r="A54" s="6"/>
      <c r="B54" s="1" t="s">
        <v>22</v>
      </c>
      <c r="C54" s="1" t="s">
        <v>29</v>
      </c>
      <c r="D54" s="1" t="s">
        <v>30</v>
      </c>
    </row>
    <row r="55" spans="1:4" x14ac:dyDescent="0.25">
      <c r="A55" s="1" t="s">
        <v>31</v>
      </c>
      <c r="B55" s="5">
        <f>B51</f>
        <v>0.14496479599149378</v>
      </c>
      <c r="C55" s="5">
        <f>B50</f>
        <v>3.4061069794050353E-2</v>
      </c>
    </row>
    <row r="56" spans="1:4" x14ac:dyDescent="0.25">
      <c r="A56" s="1">
        <v>-2</v>
      </c>
      <c r="B56" s="7">
        <f t="dataTable" ref="B56:C71" dt2D="0" dtr="0" r1="B47"/>
        <v>0.31976832351087359</v>
      </c>
      <c r="C56" s="7">
        <v>6.134296338672772E-2</v>
      </c>
    </row>
    <row r="57" spans="1:4" x14ac:dyDescent="0.25">
      <c r="A57" s="1">
        <v>-1.6</v>
      </c>
      <c r="B57" s="7">
        <v>0.28735667132546699</v>
      </c>
      <c r="C57" s="7">
        <v>5.6492848970251738E-2</v>
      </c>
    </row>
    <row r="58" spans="1:4" x14ac:dyDescent="0.25">
      <c r="A58" s="1">
        <v>-0.6</v>
      </c>
      <c r="B58" s="7">
        <v>0.20804951377929123</v>
      </c>
      <c r="C58" s="7">
        <v>4.4367562929061799E-2</v>
      </c>
    </row>
    <row r="59" spans="1:4" x14ac:dyDescent="0.25">
      <c r="A59" s="1">
        <v>-0.4</v>
      </c>
      <c r="B59" s="7">
        <v>0.1926780835701743</v>
      </c>
      <c r="C59" s="7">
        <v>4.1942505720823808E-2</v>
      </c>
    </row>
    <row r="60" spans="1:4" x14ac:dyDescent="0.25">
      <c r="A60" s="1">
        <v>-0.2</v>
      </c>
      <c r="B60" s="7">
        <v>0.17757004041318283</v>
      </c>
      <c r="C60" s="7">
        <v>3.9517448512585825E-2</v>
      </c>
    </row>
    <row r="61" spans="1:4" x14ac:dyDescent="0.25">
      <c r="A61" s="1">
        <v>0</v>
      </c>
      <c r="B61" s="7">
        <v>0.1627987293439124</v>
      </c>
      <c r="C61" s="7">
        <v>3.7092391304347834E-2</v>
      </c>
    </row>
    <row r="62" spans="1:4" x14ac:dyDescent="0.25">
      <c r="A62" s="1">
        <v>0.2</v>
      </c>
      <c r="B62" s="7">
        <v>0.14846469263509834</v>
      </c>
      <c r="C62" s="7">
        <v>3.466733409610985E-2</v>
      </c>
    </row>
    <row r="63" spans="1:4" x14ac:dyDescent="0.25">
      <c r="A63" s="1">
        <v>0.3</v>
      </c>
      <c r="B63" s="7">
        <v>0.14150334332870332</v>
      </c>
      <c r="C63" s="7">
        <v>3.3454805491990848E-2</v>
      </c>
    </row>
    <row r="64" spans="1:4" x14ac:dyDescent="0.25">
      <c r="A64" s="1">
        <v>0.6</v>
      </c>
      <c r="B64" s="7">
        <v>0.12172319953272662</v>
      </c>
      <c r="C64" s="7">
        <v>2.9817219679633869E-2</v>
      </c>
    </row>
    <row r="65" spans="1:4" x14ac:dyDescent="0.25">
      <c r="A65" s="1">
        <v>0.8</v>
      </c>
      <c r="B65" s="7">
        <v>0.10978602354804523</v>
      </c>
      <c r="C65" s="7">
        <v>2.7392162471395882E-2</v>
      </c>
    </row>
    <row r="66" spans="1:4" x14ac:dyDescent="0.25">
      <c r="A66" s="1">
        <v>1</v>
      </c>
      <c r="B66" s="7">
        <v>9.9274550052310187E-2</v>
      </c>
      <c r="C66" s="7">
        <v>2.4967105263157895E-2</v>
      </c>
    </row>
    <row r="67" spans="1:4" x14ac:dyDescent="0.25">
      <c r="A67" s="1">
        <v>1.2</v>
      </c>
      <c r="B67" s="7">
        <v>9.0685904468522927E-2</v>
      </c>
      <c r="C67" s="7">
        <v>2.2542048054919907E-2</v>
      </c>
    </row>
    <row r="68" spans="1:4" x14ac:dyDescent="0.25">
      <c r="A68" s="1">
        <v>1.4</v>
      </c>
      <c r="B68" s="7">
        <v>8.4607694153949295E-2</v>
      </c>
      <c r="C68" s="7">
        <v>2.011699084668192E-2</v>
      </c>
    </row>
    <row r="69" spans="1:4" x14ac:dyDescent="0.25">
      <c r="A69" s="1">
        <v>1.6</v>
      </c>
      <c r="B69" s="7">
        <v>8.1602832122488894E-2</v>
      </c>
      <c r="C69" s="7">
        <v>1.769193363844393E-2</v>
      </c>
    </row>
    <row r="70" spans="1:4" x14ac:dyDescent="0.25">
      <c r="A70" s="1">
        <v>1.8</v>
      </c>
      <c r="B70" s="7">
        <v>8.2009841911582268E-2</v>
      </c>
      <c r="C70" s="7">
        <v>1.5266876430205942E-2</v>
      </c>
    </row>
    <row r="71" spans="1:4" x14ac:dyDescent="0.25">
      <c r="A71" s="1">
        <v>2</v>
      </c>
      <c r="B71" s="7">
        <v>8.5780171309592618E-2</v>
      </c>
      <c r="C71" s="7">
        <v>1.2841819221967955E-2</v>
      </c>
    </row>
    <row r="72" spans="1:4" x14ac:dyDescent="0.25">
      <c r="A72" s="1" t="s">
        <v>32</v>
      </c>
      <c r="B72" s="4">
        <f t="shared" ref="B72:B82" si="0">M4</f>
        <v>8.3066458552763109E-2</v>
      </c>
      <c r="D72" s="4">
        <f t="shared" ref="D72:D82" si="1">N4</f>
        <v>1.9187078113833609E-2</v>
      </c>
    </row>
    <row r="73" spans="1:4" x14ac:dyDescent="0.25">
      <c r="A73" s="1" t="s">
        <v>33</v>
      </c>
      <c r="B73" s="4">
        <f t="shared" si="0"/>
        <v>8.3867453668561909E-2</v>
      </c>
      <c r="D73" s="4">
        <f t="shared" si="1"/>
        <v>1.9705176912602432E-2</v>
      </c>
    </row>
    <row r="74" spans="1:4" x14ac:dyDescent="0.25">
      <c r="B74" s="4">
        <f t="shared" si="0"/>
        <v>8.5386652742268393E-2</v>
      </c>
      <c r="D74" s="4">
        <f t="shared" si="1"/>
        <v>2.0504945739962841E-2</v>
      </c>
    </row>
    <row r="75" spans="1:4" x14ac:dyDescent="0.25">
      <c r="B75" s="4">
        <f t="shared" si="0"/>
        <v>8.8814115939439983E-2</v>
      </c>
      <c r="D75" s="4">
        <f t="shared" si="1"/>
        <v>2.1902418358965729E-2</v>
      </c>
    </row>
    <row r="76" spans="1:4" x14ac:dyDescent="0.25">
      <c r="B76" s="4">
        <f t="shared" si="0"/>
        <v>9.9274314440885664E-2</v>
      </c>
      <c r="D76" s="4">
        <f t="shared" si="1"/>
        <v>2.4967046007780755E-2</v>
      </c>
    </row>
    <row r="77" spans="1:4" x14ac:dyDescent="0.25">
      <c r="B77" s="4">
        <f t="shared" si="0"/>
        <v>0.162798247738695</v>
      </c>
      <c r="D77" s="4">
        <f t="shared" si="1"/>
        <v>3.7092311156368886E-2</v>
      </c>
    </row>
    <row r="78" spans="1:4" x14ac:dyDescent="0.25">
      <c r="B78" s="4">
        <f t="shared" si="0"/>
        <v>0.21752691010456962</v>
      </c>
      <c r="D78" s="4">
        <f t="shared" si="1"/>
        <v>4.4184757995804E-2</v>
      </c>
    </row>
    <row r="79" spans="1:4" x14ac:dyDescent="0.25">
      <c r="B79" s="4">
        <f t="shared" si="0"/>
        <v>0.275680976012321</v>
      </c>
      <c r="D79" s="4">
        <f t="shared" si="1"/>
        <v>4.9000000066888136E-2</v>
      </c>
    </row>
    <row r="80" spans="1:4" x14ac:dyDescent="0.25">
      <c r="B80" s="4">
        <f t="shared" si="0"/>
        <v>0.35355339104246614</v>
      </c>
      <c r="D80" s="4">
        <f t="shared" si="1"/>
        <v>5.2500000015881371E-2</v>
      </c>
    </row>
    <row r="81" spans="2:4" x14ac:dyDescent="0.25">
      <c r="B81" s="4">
        <f t="shared" si="0"/>
        <v>0.5477225575051663</v>
      </c>
      <c r="D81" s="4">
        <f t="shared" si="1"/>
        <v>5.5000000000000028E-2</v>
      </c>
    </row>
    <row r="82" spans="2:4" x14ac:dyDescent="0.25">
      <c r="B82" s="4">
        <f t="shared" si="0"/>
        <v>0.5477225575051663</v>
      </c>
      <c r="D82" s="4">
        <f t="shared" si="1"/>
        <v>5.5000000000000028E-2</v>
      </c>
    </row>
    <row r="83" spans="2:4" x14ac:dyDescent="0.25">
      <c r="B83" s="4"/>
      <c r="C83" s="4"/>
    </row>
    <row r="84" spans="2:4" x14ac:dyDescent="0.25">
      <c r="B84" s="4"/>
      <c r="C84" s="4"/>
    </row>
    <row r="85" spans="2:4" x14ac:dyDescent="0.25">
      <c r="B85" s="4"/>
      <c r="C85" s="4"/>
    </row>
    <row r="86" spans="2:4" x14ac:dyDescent="0.25">
      <c r="B86" s="4"/>
      <c r="C86" s="4"/>
    </row>
  </sheetData>
  <mergeCells count="2">
    <mergeCell ref="A1:I1"/>
    <mergeCell ref="D13:F13"/>
  </mergeCells>
  <phoneticPr fontId="1" type="noConversion"/>
  <conditionalFormatting sqref="B4:G9">
    <cfRule type="cellIs" dxfId="0" priority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it">
                <anchor moveWithCells="1" sizeWithCells="1">
                  <from>
                    <xdr:col>7</xdr:col>
                    <xdr:colOff>289560</xdr:colOff>
                    <xdr:row>14</xdr:row>
                    <xdr:rowOff>45720</xdr:rowOff>
                  </from>
                  <to>
                    <xdr:col>10</xdr:col>
                    <xdr:colOff>182880</xdr:colOff>
                    <xdr:row>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9</vt:i4>
      </vt:variant>
    </vt:vector>
  </HeadingPairs>
  <TitlesOfParts>
    <vt:vector size="10" baseType="lpstr">
      <vt:lpstr>Sheet1</vt:lpstr>
      <vt:lpstr>constant</vt:lpstr>
      <vt:lpstr>Iterations</vt:lpstr>
      <vt:lpstr>jump</vt:lpstr>
      <vt:lpstr>portfolio</vt:lpstr>
      <vt:lpstr>portfolio_mean</vt:lpstr>
      <vt:lpstr>portfolio_sigma</vt:lpstr>
      <vt:lpstr>Sheet1!Print_Area</vt:lpstr>
      <vt:lpstr>Results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2024-11-05T09:42:30Z</cp:lastPrinted>
  <dcterms:created xsi:type="dcterms:W3CDTF">2024-10-05T13:27:14Z</dcterms:created>
  <dcterms:modified xsi:type="dcterms:W3CDTF">2024-11-05T09:42:35Z</dcterms:modified>
</cp:coreProperties>
</file>