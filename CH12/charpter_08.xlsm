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8918855E-BCF1-4660-A939-68BB9ABD8CF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 a="1"/>
  <c r="C14" i="1" s="1"/>
  <c r="B11" i="1" a="1"/>
  <c r="B14" i="1" s="1"/>
  <c r="D17" i="1"/>
  <c r="C19" i="1"/>
  <c r="D18" i="1"/>
  <c r="D11" i="1"/>
  <c r="B11" i="1" l="1"/>
  <c r="B12" i="1"/>
  <c r="B13" i="1"/>
  <c r="C12" i="1"/>
  <c r="C13" i="1"/>
  <c r="C11" i="1"/>
  <c r="C18" i="1" l="1" a="1"/>
  <c r="C18" i="1" s="1"/>
  <c r="C15" i="1"/>
  <c r="C17" i="1" a="1"/>
  <c r="C17" i="1" s="1"/>
  <c r="B15" i="1"/>
  <c r="B19" i="1" a="1"/>
  <c r="B19" i="1" s="1"/>
  <c r="B18" i="1" a="1"/>
  <c r="B18" i="1" s="1"/>
  <c r="B17" i="1" a="1"/>
  <c r="B17" i="1" s="1"/>
  <c r="C72" i="1" l="1"/>
  <c r="C64" i="1"/>
  <c r="C56" i="1"/>
  <c r="C48" i="1"/>
  <c r="C40" i="1"/>
  <c r="C32" i="1"/>
  <c r="C24" i="1"/>
  <c r="C49" i="1"/>
  <c r="C71" i="1"/>
  <c r="C63" i="1"/>
  <c r="C55" i="1"/>
  <c r="C47" i="1"/>
  <c r="C39" i="1"/>
  <c r="C31" i="1"/>
  <c r="C41" i="1"/>
  <c r="C57" i="1"/>
  <c r="C70" i="1"/>
  <c r="C62" i="1"/>
  <c r="C54" i="1"/>
  <c r="C46" i="1"/>
  <c r="C38" i="1"/>
  <c r="C30" i="1"/>
  <c r="C25" i="1"/>
  <c r="C33" i="1"/>
  <c r="C69" i="1"/>
  <c r="C61" i="1"/>
  <c r="C53" i="1"/>
  <c r="C45" i="1"/>
  <c r="C37" i="1"/>
  <c r="C29" i="1"/>
  <c r="C68" i="1"/>
  <c r="C60" i="1"/>
  <c r="C52" i="1"/>
  <c r="C44" i="1"/>
  <c r="C36" i="1"/>
  <c r="C28" i="1"/>
  <c r="C59" i="1"/>
  <c r="C51" i="1"/>
  <c r="C35" i="1"/>
  <c r="C67" i="1"/>
  <c r="C43" i="1"/>
  <c r="C27" i="1"/>
  <c r="C66" i="1"/>
  <c r="C58" i="1"/>
  <c r="C50" i="1"/>
  <c r="C42" i="1"/>
  <c r="C34" i="1"/>
  <c r="C26" i="1"/>
  <c r="C65" i="1"/>
  <c r="B61" i="1"/>
  <c r="B49" i="1"/>
  <c r="B72" i="1"/>
  <c r="B64" i="1"/>
  <c r="B56" i="1"/>
  <c r="B48" i="1"/>
  <c r="B40" i="1"/>
  <c r="B32" i="1"/>
  <c r="B24" i="1"/>
  <c r="B53" i="1"/>
  <c r="B59" i="1"/>
  <c r="B50" i="1"/>
  <c r="B65" i="1"/>
  <c r="B45" i="1"/>
  <c r="B29" i="1"/>
  <c r="B67" i="1"/>
  <c r="B41" i="1"/>
  <c r="B71" i="1"/>
  <c r="B63" i="1"/>
  <c r="B55" i="1"/>
  <c r="B47" i="1"/>
  <c r="B39" i="1"/>
  <c r="B31" i="1"/>
  <c r="B69" i="1"/>
  <c r="B37" i="1"/>
  <c r="B43" i="1"/>
  <c r="B27" i="1"/>
  <c r="B42" i="1"/>
  <c r="B70" i="1"/>
  <c r="B62" i="1"/>
  <c r="B54" i="1"/>
  <c r="B46" i="1"/>
  <c r="B38" i="1"/>
  <c r="B30" i="1"/>
  <c r="B35" i="1"/>
  <c r="B34" i="1"/>
  <c r="B25" i="1"/>
  <c r="B36" i="1"/>
  <c r="B58" i="1"/>
  <c r="B33" i="1"/>
  <c r="B68" i="1"/>
  <c r="B60" i="1"/>
  <c r="B52" i="1"/>
  <c r="B44" i="1"/>
  <c r="B28" i="1"/>
  <c r="B51" i="1"/>
  <c r="B26" i="1"/>
  <c r="B57" i="1"/>
  <c r="B66" i="1"/>
</calcChain>
</file>

<file path=xl/sharedStrings.xml><?xml version="1.0" encoding="utf-8"?>
<sst xmlns="http://schemas.openxmlformats.org/spreadsheetml/2006/main" count="14" uniqueCount="14">
  <si>
    <r>
      <t xml:space="preserve">PORTFOLIO OPTIMIZATION ALLOWING SHORT SALES
</t>
    </r>
    <r>
      <rPr>
        <b/>
        <sz val="12"/>
        <rFont val="Arial"/>
        <family val="2"/>
      </rPr>
      <t>Follows Proposition 1, Chapter 9</t>
    </r>
  </si>
  <si>
    <t>Variance-covariance matrix</t>
  </si>
  <si>
    <t>Means</t>
  </si>
  <si>
    <t>c</t>
  </si>
  <si>
    <t>Optimal portfolio without short sale restrictions (Chapter 9, Proposition 1)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</si>
  <si>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</si>
  <si>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</si>
  <si>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</si>
  <si>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</si>
  <si>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</si>
  <si>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</si>
  <si>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</si>
  <si>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t>Covariance between portfolios</t>
  </si>
  <si>
    <t>Proportion of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</si>
</sst>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0" fontId="0" fillId="0" borderId="0" xfId="1" applyNumberFormat="1" applyFont="1" applyAlignment="1"/>
    <xf numFmtId="177" fontId="0" fillId="2" borderId="0" xfId="0" applyNumberFormat="1" applyFill="1" applyAlignment="1"/>
    <xf numFmtId="177" fontId="0" fillId="0" borderId="0" xfId="0" applyNumberFormat="1" applyAlignment="1"/>
    <xf numFmtId="10" fontId="2" fillId="0" borderId="0" xfId="1" applyNumberFormat="1" applyAlignment="1"/>
    <xf numFmtId="0" fontId="6" fillId="2" borderId="0" xfId="0" applyFont="1" applyFill="1" applyAlignment="1">
      <alignment horizontal="left" wrapText="1"/>
    </xf>
    <xf numFmtId="10" fontId="2" fillId="2" borderId="0" xfId="1" applyNumberFormat="1" applyFill="1" applyAlignment="1"/>
    <xf numFmtId="0" fontId="3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342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342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F8-44FE-BFAC-4735B1524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542888"/>
        <c:axId val="1"/>
      </c:scatterChart>
      <c:valAx>
        <c:axId val="762542888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6254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4" name="图表 1">
          <a:extLst>
            <a:ext uri="{FF2B5EF4-FFF2-40B4-BE49-F238E27FC236}">
              <a16:creationId xmlns:a16="http://schemas.microsoft.com/office/drawing/2014/main" id="{9AC14CE2-4A75-4FDF-B75A-2D6BEC99D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393555</xdr:colOff>
          <xdr:row>0</xdr:row>
          <xdr:rowOff>121090</xdr:rowOff>
        </xdr:from>
        <xdr:to>
          <xdr:col>29</xdr:col>
          <xdr:colOff>9380</xdr:colOff>
          <xdr:row>71</xdr:row>
          <xdr:rowOff>129736</xdr:rowOff>
        </xdr:to>
        <xdr:pic>
          <xdr:nvPicPr>
            <xdr:cNvPr id="5" name="图片 4">
              <a:extLst>
                <a:ext uri="{FF2B5EF4-FFF2-40B4-BE49-F238E27FC236}">
                  <a16:creationId xmlns:a16="http://schemas.microsoft.com/office/drawing/2014/main" id="{EDC547E5-BD1C-4468-C52F-3BD5A8F2295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2]Page 342 data'!$A$1:$H$73" spid="_x0000_s10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442305" y="121090"/>
              <a:ext cx="8061325" cy="130737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75"/>
  <sheetViews>
    <sheetView tabSelected="1" view="pageBreakPreview" zoomScale="60" zoomScaleNormal="130" workbookViewId="0">
      <selection activeCell="J27" sqref="J27"/>
    </sheetView>
  </sheetViews>
  <sheetFormatPr defaultRowHeight="13.8" x14ac:dyDescent="0.25"/>
  <sheetData>
    <row r="1" spans="1:8" ht="17.399999999999999" x14ac:dyDescent="0.25">
      <c r="A1" s="14" t="s">
        <v>0</v>
      </c>
      <c r="B1" s="14"/>
      <c r="C1" s="14"/>
      <c r="D1" s="14"/>
      <c r="E1" s="14"/>
      <c r="F1" s="14"/>
      <c r="G1" s="14"/>
      <c r="H1" s="14"/>
    </row>
    <row r="2" spans="1:8" x14ac:dyDescent="0.25">
      <c r="A2" s="1"/>
      <c r="B2" s="2" t="s">
        <v>1</v>
      </c>
      <c r="C2" s="1"/>
      <c r="D2" s="1"/>
      <c r="E2" s="1"/>
      <c r="F2" s="1"/>
      <c r="G2" s="3" t="s">
        <v>2</v>
      </c>
      <c r="H2" s="1"/>
    </row>
    <row r="3" spans="1:8" x14ac:dyDescent="0.25">
      <c r="A3" s="1"/>
      <c r="B3" s="4">
        <v>0.1</v>
      </c>
      <c r="C3" s="4">
        <v>0.03</v>
      </c>
      <c r="D3" s="4">
        <v>-0.08</v>
      </c>
      <c r="E3" s="4">
        <v>0.05</v>
      </c>
      <c r="F3" s="1"/>
      <c r="G3" s="5">
        <v>0.08</v>
      </c>
      <c r="H3" s="1"/>
    </row>
    <row r="4" spans="1:8" x14ac:dyDescent="0.25">
      <c r="A4" s="1"/>
      <c r="B4" s="4">
        <v>0.03</v>
      </c>
      <c r="C4" s="4">
        <v>0.2</v>
      </c>
      <c r="D4" s="4">
        <v>0.02</v>
      </c>
      <c r="E4" s="4">
        <v>0.03</v>
      </c>
      <c r="F4" s="1"/>
      <c r="G4" s="5">
        <v>0.09</v>
      </c>
      <c r="H4" s="1"/>
    </row>
    <row r="5" spans="1:8" x14ac:dyDescent="0.25">
      <c r="A5" s="1"/>
      <c r="B5" s="4">
        <v>-0.08</v>
      </c>
      <c r="C5" s="4">
        <v>0.02</v>
      </c>
      <c r="D5" s="4">
        <v>0.3</v>
      </c>
      <c r="E5" s="4">
        <v>0.2</v>
      </c>
      <c r="F5" s="1"/>
      <c r="G5" s="5">
        <v>0.1</v>
      </c>
      <c r="H5" s="1"/>
    </row>
    <row r="6" spans="1:8" x14ac:dyDescent="0.25">
      <c r="A6" s="1"/>
      <c r="B6" s="4">
        <v>0.05</v>
      </c>
      <c r="C6" s="4">
        <v>0.03</v>
      </c>
      <c r="D6" s="4">
        <v>0.2</v>
      </c>
      <c r="E6" s="4">
        <v>0.9</v>
      </c>
      <c r="F6" s="1"/>
      <c r="G6" s="5">
        <v>0.11</v>
      </c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6" t="s">
        <v>3</v>
      </c>
      <c r="B8" s="7">
        <v>0.08</v>
      </c>
      <c r="C8" s="8">
        <v>0.03</v>
      </c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2" t="s">
        <v>4</v>
      </c>
      <c r="B10" s="1"/>
      <c r="C10" s="1"/>
      <c r="D10" s="1"/>
      <c r="E10" s="1"/>
      <c r="F10" s="1"/>
      <c r="G10" s="1"/>
      <c r="H10" s="1"/>
    </row>
    <row r="11" spans="1:8" ht="15.6" x14ac:dyDescent="0.35">
      <c r="A11" s="6" t="s">
        <v>5</v>
      </c>
      <c r="B11" s="9">
        <f t="array" ref="B11:B14">MMULT(MINVERSE(B3:E6),G3:G6-B8)/SUM(MMULT(MINVERSE(B3:E6),G3:G6-B8))</f>
        <v>0.20041322314049612</v>
      </c>
      <c r="C11" s="10">
        <f t="array" ref="C11:C14">MMULT(MINVERSE(B3:E6),G3:G6-C8)/SUM(MMULT(MINVERSE(B3:E6),G3:G6-C8))</f>
        <v>0.62187995245641836</v>
      </c>
      <c r="D11" s="1" t="str">
        <f ca="1">[1]!getformula(C11)</f>
        <v>&lt;--  {=MMULT(MINVERSE(B3:E6),G3:G6-C8)/SUM(MMULT(MINVERSE(B3:E6),G3:G6-C8))}</v>
      </c>
      <c r="E11" s="1"/>
      <c r="F11" s="1"/>
      <c r="G11" s="1"/>
      <c r="H11" s="1"/>
    </row>
    <row r="12" spans="1:8" ht="15.6" x14ac:dyDescent="0.35">
      <c r="A12" s="6" t="s">
        <v>6</v>
      </c>
      <c r="B12" s="9">
        <v>0.25867768595041302</v>
      </c>
      <c r="C12" s="10">
        <v>8.0417987321711584E-2</v>
      </c>
      <c r="D12" s="1"/>
      <c r="E12" s="1"/>
      <c r="F12" s="1"/>
      <c r="G12" s="1"/>
      <c r="H12" s="1"/>
    </row>
    <row r="13" spans="1:8" ht="15.6" x14ac:dyDescent="0.35">
      <c r="A13" s="6" t="s">
        <v>7</v>
      </c>
      <c r="B13" s="9">
        <v>0.42190082644628102</v>
      </c>
      <c r="C13" s="10">
        <v>0.35418977812995245</v>
      </c>
      <c r="D13" s="1"/>
      <c r="E13" s="1"/>
      <c r="F13" s="1"/>
      <c r="G13" s="1"/>
      <c r="H13" s="1"/>
    </row>
    <row r="14" spans="1:8" ht="15.6" x14ac:dyDescent="0.35">
      <c r="A14" s="6" t="s">
        <v>8</v>
      </c>
      <c r="B14" s="9">
        <v>0.11900826446280981</v>
      </c>
      <c r="C14" s="10">
        <v>-5.6487717908082428E-2</v>
      </c>
      <c r="D14" s="1"/>
      <c r="E14" s="1"/>
      <c r="F14" s="1"/>
      <c r="G14" s="1"/>
      <c r="H14" s="1"/>
    </row>
    <row r="15" spans="1:8" x14ac:dyDescent="0.25">
      <c r="A15" s="1" t="s">
        <v>9</v>
      </c>
      <c r="B15" s="1">
        <f>SUM(B11:B14)</f>
        <v>0.99999999999999989</v>
      </c>
      <c r="C15" s="1">
        <f>SUM(C11:C14)</f>
        <v>1</v>
      </c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 t="s">
        <v>10</v>
      </c>
      <c r="B17" s="11">
        <f t="array" ref="B17">MMULT(TRANSPOSE(B11:B14),$G$3:$G$6)</f>
        <v>9.4595041322314041E-2</v>
      </c>
      <c r="C17" s="11">
        <f t="array" ref="C17">MMULT(TRANSPOSE(C11:C14),$G$3:$G$6)</f>
        <v>8.6193343898573693E-2</v>
      </c>
      <c r="D17" s="1" t="str">
        <f ca="1">[1]!getformula(C17)</f>
        <v>&lt;--  {=MMULT(TRANSPOSE(C11:C14),$G$3:$G$6)}</v>
      </c>
      <c r="E17" s="1"/>
      <c r="F17" s="1"/>
      <c r="G17" s="1"/>
      <c r="H17" s="1"/>
    </row>
    <row r="18" spans="1:8" x14ac:dyDescent="0.25">
      <c r="A18" s="1" t="s">
        <v>11</v>
      </c>
      <c r="B18" s="11">
        <f t="array" ref="B18">SQRT(MMULT(TRANSPOSE(B11:B14),MMULT($B$3:$E$6,B11:B14)))</f>
        <v>0.31907594665903094</v>
      </c>
      <c r="C18" s="11">
        <f t="array" ref="C18">SQRT(MMULT(TRANSPOSE(C11:C14),MMULT($B$3:$E$6,C11:C14)))</f>
        <v>0.19386385651633056</v>
      </c>
      <c r="D18" s="1" t="str">
        <f ca="1">[1]!getformula(C18)</f>
        <v>&lt;--  {=SQRT(MMULT(TRANSPOSE(C11:C14),MMULT($B$3:$E$6,C11:C14)))}</v>
      </c>
      <c r="E18" s="1"/>
      <c r="F18" s="1"/>
      <c r="G18" s="1"/>
      <c r="H18" s="1"/>
    </row>
    <row r="19" spans="1:8" ht="52.8" x14ac:dyDescent="0.25">
      <c r="A19" s="12" t="s">
        <v>12</v>
      </c>
      <c r="B19" s="13">
        <f t="array" ref="B19">MMULT(MMULT(TRANSPOSE(B11:B14),B3:E6),C11:C14)</f>
        <v>4.3202412542075408E-2</v>
      </c>
      <c r="C19" s="1" t="str">
        <f ca="1">[1]!getformula(B19)</f>
        <v>&lt;--  {=MMULT(MMULT(TRANSPOSE(B11:B14),B3:E6),C11:C14)}</v>
      </c>
      <c r="D19" s="1"/>
      <c r="E19" s="1"/>
      <c r="F19" s="1"/>
      <c r="G19" s="1"/>
      <c r="H19" s="1"/>
    </row>
    <row r="20" spans="1:8" x14ac:dyDescent="0.25">
      <c r="A20" s="1"/>
      <c r="B20" s="11"/>
      <c r="C20" s="1"/>
      <c r="D20" s="1"/>
      <c r="E20" s="1"/>
      <c r="F20" s="1"/>
      <c r="G20" s="1"/>
      <c r="H20" s="1"/>
    </row>
    <row r="21" spans="1:8" x14ac:dyDescent="0.25">
      <c r="A21" s="1"/>
      <c r="B21" s="11"/>
      <c r="C21" s="1"/>
      <c r="D21" s="1"/>
      <c r="E21" s="1"/>
      <c r="F21" s="1"/>
      <c r="G21" s="1"/>
      <c r="H21" s="1"/>
    </row>
    <row r="22" spans="1:8" x14ac:dyDescent="0.25">
      <c r="A22" s="1"/>
      <c r="B22" s="11"/>
      <c r="C22" s="1"/>
      <c r="D22" s="1"/>
      <c r="E22" s="1"/>
      <c r="F22" s="1"/>
      <c r="G22" s="1"/>
      <c r="H22" s="1"/>
    </row>
    <row r="23" spans="1:8" x14ac:dyDescent="0.25">
      <c r="A23" s="2" t="s">
        <v>13</v>
      </c>
      <c r="B23" s="11"/>
      <c r="C23" s="1"/>
      <c r="D23" s="1"/>
      <c r="E23" s="1"/>
      <c r="F23" s="1"/>
      <c r="G23" s="1"/>
      <c r="H23" s="1"/>
    </row>
    <row r="24" spans="1:8" x14ac:dyDescent="0.25">
      <c r="A24" s="1">
        <v>-1</v>
      </c>
      <c r="B24" s="11">
        <f>SQRT(A24^2*$B$18^2+(1-A24)^2*$C$18^2+2*A24*(1-A24)*$B$19)</f>
        <v>0.28166041436735967</v>
      </c>
      <c r="C24" s="8">
        <f>A24*$B$17+(1-A24)*$C$17</f>
        <v>7.7791646474833345E-2</v>
      </c>
      <c r="D24" s="1"/>
      <c r="E24" s="1"/>
      <c r="F24" s="1"/>
      <c r="G24" s="1"/>
      <c r="H24" s="1"/>
    </row>
    <row r="25" spans="1:8" x14ac:dyDescent="0.25">
      <c r="A25" s="1">
        <v>-0.9</v>
      </c>
      <c r="B25" s="11">
        <f t="shared" ref="B25:B72" si="0">SQRT(A25^2*$B$18^2+(1-A25)^2*$C$18^2+2*A25*(1-A25)*$B$19)</f>
        <v>0.26530877284659998</v>
      </c>
      <c r="C25" s="8">
        <f t="shared" ref="C25:C72" si="1">A25*$B$17+(1-A25)*$C$17</f>
        <v>7.863181621720737E-2</v>
      </c>
      <c r="D25" s="1"/>
      <c r="E25" s="1"/>
      <c r="F25" s="1"/>
      <c r="G25" s="1"/>
      <c r="H25" s="1"/>
    </row>
    <row r="26" spans="1:8" x14ac:dyDescent="0.25">
      <c r="A26" s="1">
        <v>-0.8</v>
      </c>
      <c r="B26" s="11">
        <f t="shared" si="0"/>
        <v>0.25000931476138372</v>
      </c>
      <c r="C26" s="8">
        <f t="shared" si="1"/>
        <v>7.9471985959581423E-2</v>
      </c>
      <c r="D26" s="1"/>
      <c r="E26" s="1"/>
      <c r="F26" s="1"/>
      <c r="G26" s="1"/>
      <c r="H26" s="1"/>
    </row>
    <row r="27" spans="1:8" x14ac:dyDescent="0.25">
      <c r="A27" s="1">
        <v>-0.7</v>
      </c>
      <c r="B27" s="11">
        <f t="shared" si="0"/>
        <v>0.23596679125643139</v>
      </c>
      <c r="C27" s="8">
        <f t="shared" si="1"/>
        <v>8.0312155701955434E-2</v>
      </c>
      <c r="D27" s="1"/>
      <c r="E27" s="1"/>
      <c r="F27" s="1"/>
      <c r="G27" s="1"/>
      <c r="H27" s="1"/>
    </row>
    <row r="28" spans="1:8" x14ac:dyDescent="0.25">
      <c r="A28" s="1">
        <v>-0.6</v>
      </c>
      <c r="B28" s="11">
        <f t="shared" si="0"/>
        <v>0.22341833468757158</v>
      </c>
      <c r="C28" s="8">
        <f t="shared" si="1"/>
        <v>8.1152325444329487E-2</v>
      </c>
      <c r="D28" s="1"/>
      <c r="E28" s="1"/>
      <c r="F28" s="1"/>
      <c r="G28" s="1"/>
      <c r="H28" s="1"/>
    </row>
    <row r="29" spans="1:8" x14ac:dyDescent="0.25">
      <c r="A29" s="1">
        <v>-0.5</v>
      </c>
      <c r="B29" s="11">
        <f t="shared" si="0"/>
        <v>0.21262863063000473</v>
      </c>
      <c r="C29" s="8">
        <f t="shared" si="1"/>
        <v>8.1992495186703512E-2</v>
      </c>
      <c r="D29" s="1"/>
      <c r="E29" s="1"/>
      <c r="F29" s="1"/>
      <c r="G29" s="1"/>
      <c r="H29" s="1"/>
    </row>
    <row r="30" spans="1:8" x14ac:dyDescent="0.25">
      <c r="A30" s="1">
        <v>-0.4</v>
      </c>
      <c r="B30" s="11">
        <f t="shared" si="0"/>
        <v>0.2038771037731458</v>
      </c>
      <c r="C30" s="8">
        <f t="shared" si="1"/>
        <v>8.2832664929077537E-2</v>
      </c>
      <c r="D30" s="1"/>
      <c r="E30" s="1"/>
      <c r="F30" s="1"/>
      <c r="G30" s="1"/>
      <c r="H30" s="1"/>
    </row>
    <row r="31" spans="1:8" x14ac:dyDescent="0.25">
      <c r="A31" s="1">
        <v>-0.3</v>
      </c>
      <c r="B31" s="11">
        <f t="shared" si="0"/>
        <v>0.19743497388399286</v>
      </c>
      <c r="C31" s="8">
        <f t="shared" si="1"/>
        <v>8.367283467145159E-2</v>
      </c>
      <c r="D31" s="1"/>
      <c r="E31" s="1"/>
      <c r="F31" s="1"/>
      <c r="G31" s="1"/>
      <c r="H31" s="1"/>
    </row>
    <row r="32" spans="1:8" x14ac:dyDescent="0.25">
      <c r="A32" s="1">
        <v>-0.2</v>
      </c>
      <c r="B32" s="11">
        <f t="shared" si="0"/>
        <v>0.19353299711556068</v>
      </c>
      <c r="C32" s="8">
        <f t="shared" si="1"/>
        <v>8.4513004413825615E-2</v>
      </c>
      <c r="D32" s="1"/>
      <c r="E32" s="1"/>
      <c r="F32" s="1"/>
      <c r="G32" s="1"/>
      <c r="H32" s="1"/>
    </row>
    <row r="33" spans="1:8" x14ac:dyDescent="0.25">
      <c r="A33" s="1">
        <v>-0.1</v>
      </c>
      <c r="B33" s="11">
        <f t="shared" si="0"/>
        <v>0.1923258423166323</v>
      </c>
      <c r="C33" s="8">
        <f t="shared" si="1"/>
        <v>8.5353174156199668E-2</v>
      </c>
      <c r="D33" s="1"/>
      <c r="E33" s="1"/>
      <c r="F33" s="1"/>
      <c r="G33" s="1"/>
      <c r="H33" s="1"/>
    </row>
    <row r="34" spans="1:8" x14ac:dyDescent="0.25">
      <c r="A34" s="1">
        <v>0</v>
      </c>
      <c r="B34" s="11">
        <f t="shared" si="0"/>
        <v>0.19386385651633056</v>
      </c>
      <c r="C34" s="8">
        <f t="shared" si="1"/>
        <v>8.6193343898573693E-2</v>
      </c>
      <c r="D34" s="1"/>
      <c r="E34" s="1"/>
      <c r="F34" s="1"/>
      <c r="G34" s="1"/>
      <c r="H34" s="1"/>
    </row>
    <row r="35" spans="1:8" x14ac:dyDescent="0.25">
      <c r="A35" s="1">
        <v>0.1</v>
      </c>
      <c r="B35" s="11">
        <f t="shared" si="0"/>
        <v>0.19808310552462194</v>
      </c>
      <c r="C35" s="8">
        <f t="shared" si="1"/>
        <v>8.7033513640947732E-2</v>
      </c>
      <c r="D35" s="1"/>
      <c r="E35" s="1"/>
      <c r="F35" s="1"/>
      <c r="G35" s="1"/>
      <c r="H35" s="1"/>
    </row>
    <row r="36" spans="1:8" x14ac:dyDescent="0.25">
      <c r="A36" s="1">
        <v>0.2</v>
      </c>
      <c r="B36" s="11">
        <f t="shared" si="0"/>
        <v>0.20481795603775668</v>
      </c>
      <c r="C36" s="8">
        <f t="shared" si="1"/>
        <v>8.7873683383321771E-2</v>
      </c>
      <c r="D36" s="1"/>
      <c r="E36" s="1"/>
      <c r="F36" s="1"/>
      <c r="G36" s="1"/>
      <c r="H36" s="1"/>
    </row>
    <row r="37" spans="1:8" x14ac:dyDescent="0.25">
      <c r="A37" s="1">
        <v>0.3</v>
      </c>
      <c r="B37" s="11">
        <f t="shared" si="0"/>
        <v>0.21383084465764554</v>
      </c>
      <c r="C37" s="8">
        <f t="shared" si="1"/>
        <v>8.8713853125695796E-2</v>
      </c>
      <c r="D37" s="1"/>
      <c r="E37" s="1"/>
      <c r="F37" s="1"/>
      <c r="G37" s="1"/>
      <c r="H37" s="1"/>
    </row>
    <row r="38" spans="1:8" x14ac:dyDescent="0.25">
      <c r="A38" s="1">
        <v>0.4</v>
      </c>
      <c r="B38" s="11">
        <f t="shared" si="0"/>
        <v>0.22484799694200452</v>
      </c>
      <c r="C38" s="8">
        <f t="shared" si="1"/>
        <v>8.9554022868069835E-2</v>
      </c>
      <c r="D38" s="1"/>
      <c r="E38" s="1"/>
      <c r="F38" s="1"/>
      <c r="G38" s="1"/>
      <c r="H38" s="1"/>
    </row>
    <row r="39" spans="1:8" x14ac:dyDescent="0.25">
      <c r="A39" s="1">
        <v>0.5</v>
      </c>
      <c r="B39" s="11">
        <f t="shared" si="0"/>
        <v>0.23759076143859842</v>
      </c>
      <c r="C39" s="8">
        <f t="shared" si="1"/>
        <v>9.0394192610443874E-2</v>
      </c>
      <c r="D39" s="1"/>
      <c r="E39" s="1"/>
      <c r="F39" s="1"/>
      <c r="G39" s="1"/>
      <c r="H39" s="1"/>
    </row>
    <row r="40" spans="1:8" x14ac:dyDescent="0.25">
      <c r="A40" s="1">
        <v>0.6</v>
      </c>
      <c r="B40" s="11">
        <f t="shared" si="0"/>
        <v>0.25179728891198599</v>
      </c>
      <c r="C40" s="8">
        <f t="shared" si="1"/>
        <v>9.1234362352817899E-2</v>
      </c>
      <c r="D40" s="1"/>
      <c r="E40" s="1"/>
      <c r="F40" s="1"/>
      <c r="G40" s="1"/>
      <c r="H40" s="1"/>
    </row>
    <row r="41" spans="1:8" x14ac:dyDescent="0.25">
      <c r="A41" s="1">
        <v>0.7</v>
      </c>
      <c r="B41" s="11">
        <f t="shared" si="0"/>
        <v>0.26723423447640665</v>
      </c>
      <c r="C41" s="8">
        <f t="shared" si="1"/>
        <v>9.2074532095191938E-2</v>
      </c>
      <c r="D41" s="1"/>
      <c r="E41" s="1"/>
      <c r="F41" s="1"/>
      <c r="G41" s="1"/>
      <c r="H41" s="1"/>
    </row>
    <row r="42" spans="1:8" x14ac:dyDescent="0.25">
      <c r="A42" s="1">
        <v>0.8</v>
      </c>
      <c r="B42" s="11">
        <f t="shared" si="0"/>
        <v>0.28370081783327283</v>
      </c>
      <c r="C42" s="8">
        <f t="shared" si="1"/>
        <v>9.2914701837565977E-2</v>
      </c>
      <c r="D42" s="1"/>
      <c r="E42" s="1"/>
      <c r="F42" s="1"/>
      <c r="G42" s="1"/>
      <c r="H42" s="1"/>
    </row>
    <row r="43" spans="1:8" x14ac:dyDescent="0.25">
      <c r="A43" s="1">
        <v>0.9</v>
      </c>
      <c r="B43" s="11">
        <f t="shared" si="0"/>
        <v>0.30102811927236367</v>
      </c>
      <c r="C43" s="8">
        <f t="shared" si="1"/>
        <v>9.3754871579940002E-2</v>
      </c>
      <c r="D43" s="1"/>
      <c r="E43" s="1"/>
      <c r="F43" s="1"/>
      <c r="G43" s="1"/>
      <c r="H43" s="1"/>
    </row>
    <row r="44" spans="1:8" x14ac:dyDescent="0.25">
      <c r="A44" s="1">
        <v>1</v>
      </c>
      <c r="B44" s="11">
        <f t="shared" si="0"/>
        <v>0.31907594665903094</v>
      </c>
      <c r="C44" s="8">
        <f t="shared" si="1"/>
        <v>9.4595041322314041E-2</v>
      </c>
      <c r="D44" s="1"/>
      <c r="E44" s="1"/>
      <c r="F44" s="1"/>
      <c r="G44" s="1"/>
      <c r="H44" s="1"/>
    </row>
    <row r="45" spans="1:8" x14ac:dyDescent="0.25">
      <c r="A45" s="1">
        <v>1.1000000000000001</v>
      </c>
      <c r="B45" s="11">
        <f t="shared" si="0"/>
        <v>0.33772880758142165</v>
      </c>
      <c r="C45" s="8">
        <f t="shared" si="1"/>
        <v>9.543521106468808E-2</v>
      </c>
      <c r="D45" s="1"/>
      <c r="E45" s="1"/>
      <c r="F45" s="1"/>
      <c r="G45" s="1"/>
      <c r="H45" s="1"/>
    </row>
    <row r="46" spans="1:8" x14ac:dyDescent="0.25">
      <c r="A46" s="1">
        <v>1.2</v>
      </c>
      <c r="B46" s="11">
        <f t="shared" si="0"/>
        <v>0.35689184887678921</v>
      </c>
      <c r="C46" s="8">
        <f t="shared" si="1"/>
        <v>9.6275380807062105E-2</v>
      </c>
      <c r="D46" s="1"/>
      <c r="E46" s="1"/>
      <c r="F46" s="1"/>
      <c r="G46" s="1"/>
      <c r="H46" s="1"/>
    </row>
    <row r="47" spans="1:8" x14ac:dyDescent="0.25">
      <c r="A47" s="1">
        <v>1.3</v>
      </c>
      <c r="B47" s="11">
        <f t="shared" si="0"/>
        <v>0.37648717469434295</v>
      </c>
      <c r="C47" s="8">
        <f t="shared" si="1"/>
        <v>9.7115550549436144E-2</v>
      </c>
      <c r="D47" s="1"/>
      <c r="E47" s="1"/>
      <c r="F47" s="1"/>
      <c r="G47" s="1"/>
      <c r="H47" s="1"/>
    </row>
    <row r="48" spans="1:8" x14ac:dyDescent="0.25">
      <c r="A48" s="1">
        <v>1.4</v>
      </c>
      <c r="B48" s="11">
        <f t="shared" si="0"/>
        <v>0.39645069077285799</v>
      </c>
      <c r="C48" s="8">
        <f t="shared" si="1"/>
        <v>9.7955720291810183E-2</v>
      </c>
      <c r="D48" s="1"/>
      <c r="E48" s="1"/>
      <c r="F48" s="1"/>
      <c r="G48" s="1"/>
      <c r="H48" s="1"/>
    </row>
    <row r="49" spans="1:8" x14ac:dyDescent="0.25">
      <c r="A49" s="1">
        <v>1.5</v>
      </c>
      <c r="B49" s="11">
        <f t="shared" si="0"/>
        <v>0.41672948576928859</v>
      </c>
      <c r="C49" s="8">
        <f t="shared" si="1"/>
        <v>9.8795890034184208E-2</v>
      </c>
      <c r="D49" s="1"/>
      <c r="E49" s="1"/>
      <c r="F49" s="1"/>
      <c r="G49" s="1"/>
      <c r="H49" s="1"/>
    </row>
    <row r="50" spans="1:8" x14ac:dyDescent="0.25">
      <c r="A50" s="1">
        <v>1.6</v>
      </c>
      <c r="B50" s="11">
        <f t="shared" si="0"/>
        <v>0.43727969881427947</v>
      </c>
      <c r="C50" s="8">
        <f t="shared" si="1"/>
        <v>9.9636059776558261E-2</v>
      </c>
      <c r="D50" s="1"/>
      <c r="E50" s="1"/>
      <c r="F50" s="1"/>
      <c r="G50" s="1"/>
      <c r="H50" s="1"/>
    </row>
    <row r="51" spans="1:8" x14ac:dyDescent="0.25">
      <c r="A51" s="1">
        <v>1.7</v>
      </c>
      <c r="B51" s="11">
        <f t="shared" si="0"/>
        <v>0.45806480138839512</v>
      </c>
      <c r="C51" s="8">
        <f t="shared" si="1"/>
        <v>0.10047622951893227</v>
      </c>
      <c r="D51" s="1"/>
      <c r="E51" s="1"/>
      <c r="F51" s="1"/>
      <c r="G51" s="1"/>
      <c r="H51" s="1"/>
    </row>
    <row r="52" spans="1:8" x14ac:dyDescent="0.25">
      <c r="A52" s="1">
        <v>1.8</v>
      </c>
      <c r="B52" s="11">
        <f t="shared" si="0"/>
        <v>0.47905422045649987</v>
      </c>
      <c r="C52" s="8">
        <f t="shared" si="1"/>
        <v>0.10131639926130633</v>
      </c>
      <c r="D52" s="1"/>
      <c r="E52" s="1"/>
      <c r="F52" s="1"/>
      <c r="G52" s="1"/>
      <c r="H52" s="1"/>
    </row>
    <row r="53" spans="1:8" x14ac:dyDescent="0.25">
      <c r="A53" s="1">
        <v>1.9</v>
      </c>
      <c r="B53" s="11">
        <f t="shared" si="0"/>
        <v>0.50022223720431636</v>
      </c>
      <c r="C53" s="8">
        <f t="shared" si="1"/>
        <v>0.10215656900368036</v>
      </c>
      <c r="D53" s="1"/>
      <c r="E53" s="1"/>
      <c r="F53" s="1"/>
      <c r="G53" s="1"/>
      <c r="H53" s="1"/>
    </row>
    <row r="54" spans="1:8" x14ac:dyDescent="0.25">
      <c r="A54" s="1">
        <v>2</v>
      </c>
      <c r="B54" s="11">
        <f t="shared" si="0"/>
        <v>0.52154710586917252</v>
      </c>
      <c r="C54" s="8">
        <f t="shared" si="1"/>
        <v>0.10299673874605439</v>
      </c>
      <c r="D54" s="1"/>
      <c r="E54" s="1"/>
      <c r="F54" s="1"/>
      <c r="G54" s="1"/>
      <c r="H54" s="1"/>
    </row>
    <row r="55" spans="1:8" x14ac:dyDescent="0.25">
      <c r="A55" s="1">
        <v>2.1</v>
      </c>
      <c r="B55" s="11">
        <f t="shared" si="0"/>
        <v>0.54301034730255371</v>
      </c>
      <c r="C55" s="8">
        <f t="shared" si="1"/>
        <v>0.10383690848842841</v>
      </c>
      <c r="D55" s="1"/>
      <c r="E55" s="1"/>
      <c r="F55" s="1"/>
      <c r="G55" s="1"/>
      <c r="H55" s="1"/>
    </row>
    <row r="56" spans="1:8" x14ac:dyDescent="0.25">
      <c r="A56" s="1">
        <v>2.2000000000000002</v>
      </c>
      <c r="B56" s="11">
        <f t="shared" si="0"/>
        <v>0.5645961809161324</v>
      </c>
      <c r="C56" s="8">
        <f t="shared" si="1"/>
        <v>0.10467707823080247</v>
      </c>
      <c r="D56" s="1"/>
      <c r="E56" s="1"/>
      <c r="F56" s="1"/>
      <c r="G56" s="1"/>
      <c r="H56" s="1"/>
    </row>
    <row r="57" spans="1:8" x14ac:dyDescent="0.25">
      <c r="A57" s="1">
        <v>2.2999999999999998</v>
      </c>
      <c r="B57" s="11">
        <f t="shared" si="0"/>
        <v>0.58629106621441529</v>
      </c>
      <c r="C57" s="8">
        <f t="shared" si="1"/>
        <v>0.10551724797317649</v>
      </c>
      <c r="D57" s="1"/>
      <c r="E57" s="1"/>
      <c r="F57" s="1"/>
      <c r="G57" s="1"/>
      <c r="H57" s="1"/>
    </row>
    <row r="58" spans="1:8" x14ac:dyDescent="0.25">
      <c r="A58" s="1">
        <v>2.4</v>
      </c>
      <c r="B58" s="11">
        <f t="shared" si="0"/>
        <v>0.60808333123914993</v>
      </c>
      <c r="C58" s="8">
        <f t="shared" si="1"/>
        <v>0.10635741771555052</v>
      </c>
      <c r="D58" s="1"/>
      <c r="E58" s="1"/>
      <c r="F58" s="1"/>
      <c r="G58" s="1"/>
      <c r="H58" s="1"/>
    </row>
    <row r="59" spans="1:8" x14ac:dyDescent="0.25">
      <c r="A59" s="1">
        <v>2.5</v>
      </c>
      <c r="B59" s="11">
        <f t="shared" si="0"/>
        <v>0.62996287011956431</v>
      </c>
      <c r="C59" s="8">
        <f t="shared" si="1"/>
        <v>0.10719758745792457</v>
      </c>
      <c r="D59" s="1"/>
      <c r="E59" s="1"/>
      <c r="F59" s="1"/>
      <c r="G59" s="1"/>
      <c r="H59" s="1"/>
    </row>
    <row r="60" spans="1:8" x14ac:dyDescent="0.25">
      <c r="A60" s="1">
        <v>2.6</v>
      </c>
      <c r="B60" s="11">
        <f t="shared" si="0"/>
        <v>0.6519208957519067</v>
      </c>
      <c r="C60" s="8">
        <f t="shared" si="1"/>
        <v>0.1080377572002986</v>
      </c>
      <c r="D60" s="1"/>
      <c r="E60" s="1"/>
      <c r="F60" s="1"/>
      <c r="G60" s="1"/>
      <c r="H60" s="1"/>
    </row>
    <row r="61" spans="1:8" x14ac:dyDescent="0.25">
      <c r="A61" s="1">
        <v>2.7</v>
      </c>
      <c r="B61" s="11">
        <f t="shared" si="0"/>
        <v>0.67394973662504654</v>
      </c>
      <c r="C61" s="8">
        <f t="shared" si="1"/>
        <v>0.10887792694267262</v>
      </c>
      <c r="D61" s="1"/>
      <c r="E61" s="1"/>
      <c r="F61" s="1"/>
      <c r="G61" s="1"/>
      <c r="H61" s="1"/>
    </row>
    <row r="62" spans="1:8" x14ac:dyDescent="0.25">
      <c r="A62" s="1">
        <v>2.8</v>
      </c>
      <c r="B62" s="11">
        <f t="shared" si="0"/>
        <v>0.6960426691419731</v>
      </c>
      <c r="C62" s="8">
        <f t="shared" si="1"/>
        <v>0.10971809668504667</v>
      </c>
      <c r="D62" s="1"/>
      <c r="E62" s="1"/>
      <c r="F62" s="1"/>
      <c r="G62" s="1"/>
      <c r="H62" s="1"/>
    </row>
    <row r="63" spans="1:8" x14ac:dyDescent="0.25">
      <c r="A63" s="1">
        <v>2.9</v>
      </c>
      <c r="B63" s="11">
        <f t="shared" si="0"/>
        <v>0.71819377860428946</v>
      </c>
      <c r="C63" s="8">
        <f t="shared" si="1"/>
        <v>0.1105582664274207</v>
      </c>
      <c r="D63" s="1"/>
      <c r="E63" s="1"/>
      <c r="F63" s="1"/>
      <c r="G63" s="1"/>
      <c r="H63" s="1"/>
    </row>
    <row r="64" spans="1:8" x14ac:dyDescent="0.25">
      <c r="A64" s="1">
        <v>3</v>
      </c>
      <c r="B64" s="11">
        <f t="shared" si="0"/>
        <v>0.74039784344353932</v>
      </c>
      <c r="C64" s="8">
        <f t="shared" si="1"/>
        <v>0.11139843616979472</v>
      </c>
      <c r="D64" s="1"/>
      <c r="E64" s="1"/>
      <c r="F64" s="1"/>
      <c r="G64" s="1"/>
      <c r="H64" s="1"/>
    </row>
    <row r="65" spans="1:8" x14ac:dyDescent="0.25">
      <c r="A65" s="1">
        <v>3.1</v>
      </c>
      <c r="B65" s="11">
        <f t="shared" si="0"/>
        <v>0.76265023838984802</v>
      </c>
      <c r="C65" s="8">
        <f t="shared" si="1"/>
        <v>0.11223860591216875</v>
      </c>
      <c r="D65" s="1"/>
      <c r="E65" s="1"/>
      <c r="F65" s="1"/>
      <c r="G65" s="1"/>
      <c r="H65" s="1"/>
    </row>
    <row r="66" spans="1:8" x14ac:dyDescent="0.25">
      <c r="A66" s="1">
        <v>3.2</v>
      </c>
      <c r="B66" s="11">
        <f t="shared" si="0"/>
        <v>0.78494685313507195</v>
      </c>
      <c r="C66" s="8">
        <f t="shared" si="1"/>
        <v>0.11307877565454283</v>
      </c>
      <c r="D66" s="1"/>
      <c r="E66" s="1"/>
      <c r="F66" s="1"/>
      <c r="G66" s="1"/>
      <c r="H66" s="1"/>
    </row>
    <row r="67" spans="1:8" x14ac:dyDescent="0.25">
      <c r="A67" s="1">
        <v>3.3</v>
      </c>
      <c r="B67" s="11">
        <f t="shared" si="0"/>
        <v>0.80728402372865271</v>
      </c>
      <c r="C67" s="8">
        <f t="shared" si="1"/>
        <v>0.11391894539691683</v>
      </c>
      <c r="D67" s="1"/>
      <c r="E67" s="1"/>
      <c r="F67" s="1"/>
      <c r="G67" s="1"/>
      <c r="H67" s="1"/>
    </row>
    <row r="68" spans="1:8" x14ac:dyDescent="0.25">
      <c r="A68" s="1">
        <v>3.4</v>
      </c>
      <c r="B68" s="11">
        <f t="shared" si="0"/>
        <v>0.82965847448134189</v>
      </c>
      <c r="C68" s="8">
        <f t="shared" si="1"/>
        <v>0.11475911513929085</v>
      </c>
      <c r="D68" s="1"/>
      <c r="E68" s="1"/>
      <c r="F68" s="1"/>
      <c r="G68" s="1"/>
      <c r="H68" s="1"/>
    </row>
    <row r="69" spans="1:8" x14ac:dyDescent="0.25">
      <c r="A69" s="1">
        <v>3.5</v>
      </c>
      <c r="B69" s="11">
        <f t="shared" si="0"/>
        <v>0.85206726857696113</v>
      </c>
      <c r="C69" s="8">
        <f t="shared" si="1"/>
        <v>0.11559928488166493</v>
      </c>
      <c r="D69" s="1"/>
      <c r="E69" s="1"/>
      <c r="F69" s="1"/>
      <c r="G69" s="1"/>
      <c r="H69" s="1"/>
    </row>
    <row r="70" spans="1:8" x14ac:dyDescent="0.25">
      <c r="A70" s="1">
        <v>3.6</v>
      </c>
      <c r="B70" s="11">
        <f t="shared" si="0"/>
        <v>0.87450776593007484</v>
      </c>
      <c r="C70" s="8">
        <f t="shared" si="1"/>
        <v>0.11643945462403896</v>
      </c>
      <c r="D70" s="1"/>
      <c r="E70" s="1"/>
      <c r="F70" s="1"/>
      <c r="G70" s="1"/>
      <c r="H70" s="1"/>
    </row>
    <row r="71" spans="1:8" x14ac:dyDescent="0.25">
      <c r="A71" s="1">
        <v>3.7</v>
      </c>
      <c r="B71" s="11">
        <f t="shared" si="0"/>
        <v>0.8969775870968737</v>
      </c>
      <c r="C71" s="8">
        <f t="shared" si="1"/>
        <v>0.11727962436641298</v>
      </c>
      <c r="D71" s="1"/>
      <c r="E71" s="1"/>
      <c r="F71" s="1"/>
      <c r="G71" s="1"/>
      <c r="H71" s="1"/>
    </row>
    <row r="72" spans="1:8" x14ac:dyDescent="0.25">
      <c r="A72" s="1">
        <v>3.8</v>
      </c>
      <c r="B72" s="11">
        <f t="shared" si="0"/>
        <v>0.91947458226237044</v>
      </c>
      <c r="C72" s="8">
        <f t="shared" si="1"/>
        <v>0.11811979410878704</v>
      </c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</sheetData>
  <mergeCells count="1">
    <mergeCell ref="A1:H1"/>
  </mergeCells>
  <phoneticPr fontId="1" type="noConversion"/>
  <pageMargins left="0.7" right="0.7" top="0.75" bottom="0.75" header="0.3" footer="0.3"/>
  <pageSetup paperSize="9" scale="74" orientation="portrait" verticalDpi="0" r:id="rId1"/>
  <colBreaks count="1" manualBreakCount="1">
    <brk id="13" max="1048575" man="1"/>
  </col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2024-11-05T09:00:42Z</cp:lastPrinted>
  <dcterms:created xsi:type="dcterms:W3CDTF">2024-10-05T13:27:14Z</dcterms:created>
  <dcterms:modified xsi:type="dcterms:W3CDTF">2024-11-05T09:00:46Z</dcterms:modified>
</cp:coreProperties>
</file>