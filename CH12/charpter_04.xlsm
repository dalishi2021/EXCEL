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"/>
    </mc:Choice>
  </mc:AlternateContent>
  <xr:revisionPtr revIDLastSave="0" documentId="13_ncr:1_{FA2A877B-C33A-446C-BACE-738ECF97D27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Sheet1!$B$11:$B$14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Sheet1!$B$11:$B$14</definedName>
    <definedName name="solver_lhs2" localSheetId="0" hidden="1">Sheet1!$B$15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Sheet1!$B$19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2</definedName>
    <definedName name="solver_rhs1" localSheetId="0" hidden="1">0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 a="1"/>
  <c r="B18" i="1" s="1"/>
  <c r="B17" i="1" a="1"/>
  <c r="B17" i="1" s="1"/>
  <c r="B19" i="1" s="1"/>
  <c r="B15" i="1"/>
  <c r="C19" i="1"/>
  <c r="C18" i="1"/>
  <c r="C17" i="1"/>
  <c r="C15" i="1"/>
</calcChain>
</file>

<file path=xl/sharedStrings.xml><?xml version="1.0" encoding="utf-8"?>
<sst xmlns="http://schemas.openxmlformats.org/spreadsheetml/2006/main" count="14" uniqueCount="14">
  <si>
    <r>
      <t xml:space="preserve">PORTFOLIO OPTIMIZATION WITHOUT SHORT SALES
</t>
    </r>
    <r>
      <rPr>
        <b/>
        <sz val="12"/>
        <rFont val="Arial"/>
        <family val="2"/>
      </rPr>
      <t>Solution with Solver, starting from an arbitrary feasible portfolio</t>
    </r>
  </si>
  <si>
    <t>Variance-covariance matrix</t>
  </si>
  <si>
    <t>Means</t>
  </si>
  <si>
    <t>c</t>
  </si>
  <si>
    <t>&lt;-- This is the constant</t>
  </si>
  <si>
    <t>Here we start with an arbitrary feasible portfolio and use Solver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</si>
  <si>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</si>
  <si>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</si>
  <si>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x</t>
    </r>
    <r>
      <rPr>
        <vertAlign val="subscript"/>
        <sz val="10"/>
        <rFont val="Arial"/>
        <family val="2"/>
      </rPr>
      <t>3</t>
    </r>
  </si>
  <si>
    <r>
      <t>x</t>
    </r>
    <r>
      <rPr>
        <vertAlign val="subscript"/>
        <sz val="10"/>
        <rFont val="Arial"/>
        <family val="2"/>
      </rPr>
      <t>4</t>
    </r>
  </si>
  <si>
    <t>Total</t>
  </si>
  <si>
    <t>Portfolio mean</t>
  </si>
  <si>
    <t>Portfolio sigma</t>
  </si>
  <si>
    <r>
      <t xml:space="preserve">q </t>
    </r>
    <r>
      <rPr>
        <sz val="11"/>
        <color theme="1"/>
        <rFont val="等线"/>
        <family val="2"/>
        <charset val="134"/>
        <scheme val="minor"/>
      </rPr>
      <t>= Theta = 
(mean-constant)/sigma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</si>
</sst>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0" applyNumberFormat="1" applyAlignment="1"/>
    <xf numFmtId="177" fontId="0" fillId="2" borderId="0" xfId="0" applyNumberFormat="1" applyFill="1" applyAlignment="1"/>
    <xf numFmtId="10" fontId="2" fillId="0" borderId="0" xfId="1" applyNumberFormat="1" applyAlignment="1"/>
    <xf numFmtId="0" fontId="7" fillId="2" borderId="0" xfId="0" applyFont="1" applyFill="1" applyAlignment="1">
      <alignment horizontal="left" wrapText="1"/>
    </xf>
    <xf numFmtId="10" fontId="2" fillId="2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340'!#REF!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340'!#REF!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42-4421-BC6F-8E15FE1FE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573720"/>
        <c:axId val="1"/>
      </c:scatterChart>
      <c:valAx>
        <c:axId val="94557372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55737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012AAC-AC9A-4045-8410-F1FB58E025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152400</xdr:colOff>
      <xdr:row>3</xdr:row>
      <xdr:rowOff>68580</xdr:rowOff>
    </xdr:from>
    <xdr:to>
      <xdr:col>23</xdr:col>
      <xdr:colOff>361950</xdr:colOff>
      <xdr:row>28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D62CD3D-81B6-38E1-1162-1B7CA0FC3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486900" y="640080"/>
          <a:ext cx="8122920" cy="45796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37"/>
      <sheetName val="Page 337中文"/>
      <sheetName val="Page 339"/>
      <sheetName val="Page 339中文"/>
      <sheetName val="Page 340"/>
      <sheetName val="Page 340中文"/>
      <sheetName val="Page 341, top"/>
      <sheetName val="Page 341, top中文"/>
      <sheetName val="Page 341, middle"/>
      <sheetName val="Page 341, middle中文"/>
      <sheetName val="Page 342 charts"/>
      <sheetName val="Page 342 charts中文"/>
      <sheetName val="Page 342 data"/>
      <sheetName val="Page 342 data中文"/>
      <sheetName val="Page 344"/>
      <sheetName val="Page 344 (中文)"/>
      <sheetName val="Page 346"/>
      <sheetName val="Page 34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51"/>
  <sheetViews>
    <sheetView tabSelected="1" zoomScale="145" zoomScaleNormal="145" workbookViewId="0">
      <selection activeCell="H12" sqref="H12"/>
    </sheetView>
  </sheetViews>
  <sheetFormatPr defaultRowHeight="13.8" x14ac:dyDescent="0.25"/>
  <cols>
    <col min="1" max="1" width="22.88671875" style="2" customWidth="1"/>
    <col min="2" max="2" width="8.88671875" style="2"/>
    <col min="3" max="3" width="9.5546875" style="2" bestFit="1" customWidth="1"/>
    <col min="4" max="7" width="8.88671875" style="2"/>
    <col min="8" max="8" width="41.44140625" style="2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B2" s="3" t="s">
        <v>1</v>
      </c>
      <c r="G2" s="4" t="s">
        <v>2</v>
      </c>
    </row>
    <row r="3" spans="1:8" x14ac:dyDescent="0.25">
      <c r="B3" s="5">
        <v>0.1</v>
      </c>
      <c r="C3" s="5">
        <v>0.03</v>
      </c>
      <c r="D3" s="5">
        <v>-0.08</v>
      </c>
      <c r="E3" s="5">
        <v>0.05</v>
      </c>
      <c r="G3" s="6">
        <v>0.08</v>
      </c>
    </row>
    <row r="4" spans="1:8" x14ac:dyDescent="0.25">
      <c r="B4" s="5">
        <v>0.03</v>
      </c>
      <c r="C4" s="5">
        <v>0.2</v>
      </c>
      <c r="D4" s="5">
        <v>0.02</v>
      </c>
      <c r="E4" s="5">
        <v>0.03</v>
      </c>
      <c r="G4" s="6">
        <v>0.09</v>
      </c>
    </row>
    <row r="5" spans="1:8" x14ac:dyDescent="0.25">
      <c r="B5" s="5">
        <v>-0.08</v>
      </c>
      <c r="C5" s="5">
        <v>0.02</v>
      </c>
      <c r="D5" s="5">
        <v>0.3</v>
      </c>
      <c r="E5" s="5">
        <v>0.2</v>
      </c>
      <c r="G5" s="6">
        <v>0.1</v>
      </c>
    </row>
    <row r="6" spans="1:8" x14ac:dyDescent="0.25">
      <c r="B6" s="5">
        <v>0.05</v>
      </c>
      <c r="C6" s="5">
        <v>0.03</v>
      </c>
      <c r="D6" s="5">
        <v>0.2</v>
      </c>
      <c r="E6" s="5">
        <v>0.9</v>
      </c>
      <c r="G6" s="6">
        <v>0.11</v>
      </c>
    </row>
    <row r="8" spans="1:8" x14ac:dyDescent="0.25">
      <c r="B8" s="7" t="s">
        <v>3</v>
      </c>
      <c r="C8" s="8">
        <v>8.5000000000000006E-2</v>
      </c>
      <c r="D8" s="2" t="s">
        <v>4</v>
      </c>
    </row>
    <row r="10" spans="1:8" x14ac:dyDescent="0.25">
      <c r="A10" s="3" t="s">
        <v>5</v>
      </c>
    </row>
    <row r="11" spans="1:8" ht="15.6" x14ac:dyDescent="0.35">
      <c r="A11" s="7" t="s">
        <v>6</v>
      </c>
      <c r="B11" s="9">
        <v>0</v>
      </c>
    </row>
    <row r="12" spans="1:8" ht="15.6" x14ac:dyDescent="0.35">
      <c r="A12" s="7" t="s">
        <v>7</v>
      </c>
      <c r="B12" s="9">
        <v>0.25145092149467096</v>
      </c>
    </row>
    <row r="13" spans="1:8" ht="15.6" x14ac:dyDescent="0.35">
      <c r="A13" s="7" t="s">
        <v>8</v>
      </c>
      <c r="B13" s="9">
        <v>0.48846813581312742</v>
      </c>
    </row>
    <row r="14" spans="1:8" ht="15.6" x14ac:dyDescent="0.35">
      <c r="A14" s="7" t="s">
        <v>9</v>
      </c>
      <c r="B14" s="9">
        <v>0.26008094269220144</v>
      </c>
    </row>
    <row r="15" spans="1:8" x14ac:dyDescent="0.25">
      <c r="A15" s="2" t="s">
        <v>10</v>
      </c>
      <c r="B15" s="2">
        <f>SUM(B11:B14)</f>
        <v>0.99999999999999978</v>
      </c>
      <c r="C15" s="2" t="str">
        <f ca="1">[2]!getformula(B15)</f>
        <v>&lt;--  =SUM(B11:B14)</v>
      </c>
    </row>
    <row r="17" spans="1:3" x14ac:dyDescent="0.25">
      <c r="A17" s="2" t="s">
        <v>11</v>
      </c>
      <c r="B17" s="10">
        <f t="array" ref="B17">MMULT(TRANSPOSE(B11:B14),G3:G6)</f>
        <v>0.10008630021197529</v>
      </c>
      <c r="C17" s="2" t="str">
        <f ca="1">[2]!getformula(B17)</f>
        <v>&lt;--  {=MMULT(TRANSPOSE(B11:B14),G3:G6)}</v>
      </c>
    </row>
    <row r="18" spans="1:3" x14ac:dyDescent="0.25">
      <c r="A18" s="2" t="s">
        <v>12</v>
      </c>
      <c r="B18" s="10">
        <f t="array" ref="B18">SQRT(MMULT(TRANSPOSE(B11:B14),MMULT(B3:E6,B11:B14)))</f>
        <v>0.45250096524096889</v>
      </c>
      <c r="C18" s="2" t="str">
        <f ca="1">[2]!getformula(B18)</f>
        <v>&lt;--  {=SQRT(MMULT(TRANSPOSE(B11:B14),MMULT(B3:E6,B11:B14)))}</v>
      </c>
    </row>
    <row r="19" spans="1:3" ht="27.6" x14ac:dyDescent="0.25">
      <c r="A19" s="11" t="s">
        <v>13</v>
      </c>
      <c r="B19" s="12">
        <f>(B17-C8)/B18</f>
        <v>3.3339818853074542E-2</v>
      </c>
      <c r="C19" s="2" t="str">
        <f ca="1">[2]!getformula(B19)</f>
        <v>&lt;--  =(B17-C8)/B18</v>
      </c>
    </row>
    <row r="20" spans="1:3" x14ac:dyDescent="0.25">
      <c r="B20" s="10"/>
    </row>
    <row r="21" spans="1:3" x14ac:dyDescent="0.25">
      <c r="B21" s="10"/>
    </row>
    <row r="22" spans="1:3" x14ac:dyDescent="0.25">
      <c r="B22" s="10"/>
    </row>
    <row r="23" spans="1:3" x14ac:dyDescent="0.25">
      <c r="B23" s="10"/>
    </row>
    <row r="24" spans="1:3" x14ac:dyDescent="0.25">
      <c r="B24" s="10"/>
    </row>
    <row r="25" spans="1:3" x14ac:dyDescent="0.25">
      <c r="B25" s="10"/>
    </row>
    <row r="26" spans="1:3" x14ac:dyDescent="0.25">
      <c r="B26" s="10"/>
    </row>
    <row r="27" spans="1:3" x14ac:dyDescent="0.25">
      <c r="B27" s="10"/>
    </row>
    <row r="28" spans="1:3" x14ac:dyDescent="0.25">
      <c r="B28" s="10"/>
    </row>
    <row r="29" spans="1:3" x14ac:dyDescent="0.25">
      <c r="B29" s="10"/>
    </row>
    <row r="30" spans="1:3" x14ac:dyDescent="0.25">
      <c r="B30" s="10"/>
    </row>
    <row r="31" spans="1:3" x14ac:dyDescent="0.25">
      <c r="B31" s="10"/>
    </row>
    <row r="32" spans="1:3" x14ac:dyDescent="0.25">
      <c r="B32" s="10"/>
    </row>
    <row r="33" spans="2:2" x14ac:dyDescent="0.25">
      <c r="B33" s="10"/>
    </row>
    <row r="34" spans="2:2" x14ac:dyDescent="0.25">
      <c r="B34" s="10"/>
    </row>
    <row r="35" spans="2:2" x14ac:dyDescent="0.25">
      <c r="B35" s="10"/>
    </row>
    <row r="36" spans="2:2" x14ac:dyDescent="0.25">
      <c r="B36" s="10"/>
    </row>
    <row r="37" spans="2:2" x14ac:dyDescent="0.25">
      <c r="B37" s="10"/>
    </row>
    <row r="38" spans="2:2" x14ac:dyDescent="0.25">
      <c r="B38" s="10"/>
    </row>
    <row r="39" spans="2:2" x14ac:dyDescent="0.25">
      <c r="B39" s="10"/>
    </row>
    <row r="40" spans="2:2" x14ac:dyDescent="0.25">
      <c r="B40" s="10"/>
    </row>
    <row r="41" spans="2:2" x14ac:dyDescent="0.25">
      <c r="B41" s="10"/>
    </row>
    <row r="42" spans="2:2" x14ac:dyDescent="0.25">
      <c r="B42" s="10"/>
    </row>
    <row r="43" spans="2:2" x14ac:dyDescent="0.25">
      <c r="B43" s="10"/>
    </row>
    <row r="44" spans="2:2" x14ac:dyDescent="0.25">
      <c r="B44" s="10"/>
    </row>
    <row r="45" spans="2:2" x14ac:dyDescent="0.25">
      <c r="B45" s="10"/>
    </row>
    <row r="46" spans="2:2" x14ac:dyDescent="0.25">
      <c r="B46" s="10"/>
    </row>
    <row r="47" spans="2:2" x14ac:dyDescent="0.25">
      <c r="B47" s="10"/>
    </row>
    <row r="48" spans="2:2" x14ac:dyDescent="0.25">
      <c r="B48" s="10"/>
    </row>
    <row r="49" spans="2:2" x14ac:dyDescent="0.25">
      <c r="B49" s="10"/>
    </row>
    <row r="50" spans="2:2" x14ac:dyDescent="0.25">
      <c r="B50" s="10"/>
    </row>
    <row r="51" spans="2:2" x14ac:dyDescent="0.25">
      <c r="B51" s="10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2024-11-05T07:10:17Z</dcterms:modified>
</cp:coreProperties>
</file>