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2\"/>
    </mc:Choice>
  </mc:AlternateContent>
  <xr:revisionPtr revIDLastSave="0" documentId="13_ncr:1_{42B6C9FC-358A-408C-B822-B40D03E77B6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constant">Sheet1!$C$8</definedName>
    <definedName name="portfolio_mean">Sheet1!$B$17</definedName>
    <definedName name="Portfolio_sigma">Sheet1!$B$18</definedName>
    <definedName name="_xlnm.Print_Area" localSheetId="0">Sheet1!$A$1:$P$42</definedName>
    <definedName name="Results">Sheet1!$J$3:$P$79</definedName>
    <definedName name="solver_adj" localSheetId="0" hidden="1">Sheet1!$B$11:$B$14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Sheet1!$B$11:$B$14</definedName>
    <definedName name="solver_lhs10" localSheetId="0" hidden="1">Sheet1!$B$11:$B$14</definedName>
    <definedName name="solver_lhs100" localSheetId="0" hidden="1">Sheet1!$B$11:$B$14</definedName>
    <definedName name="solver_lhs101" localSheetId="0" hidden="1">Sheet1!$B$11:$B$14</definedName>
    <definedName name="solver_lhs102" localSheetId="0" hidden="1">Sheet1!$B$11:$B$14</definedName>
    <definedName name="solver_lhs103" localSheetId="0" hidden="1">Sheet1!$B$11:$B$14</definedName>
    <definedName name="solver_lhs104" localSheetId="0" hidden="1">Sheet1!$B$11:$B$14</definedName>
    <definedName name="solver_lhs105" localSheetId="0" hidden="1">Sheet1!$B$11:$B$14</definedName>
    <definedName name="solver_lhs106" localSheetId="0" hidden="1">Sheet1!$B$11:$B$14</definedName>
    <definedName name="solver_lhs107" localSheetId="0" hidden="1">Sheet1!$B$11:$B$14</definedName>
    <definedName name="solver_lhs108" localSheetId="0" hidden="1">Sheet1!$B$11:$B$14</definedName>
    <definedName name="solver_lhs109" localSheetId="0" hidden="1">Sheet1!$B$11:$B$14</definedName>
    <definedName name="solver_lhs11" localSheetId="0" hidden="1">Sheet1!$B$15</definedName>
    <definedName name="solver_lhs110" localSheetId="0" hidden="1">Sheet1!$B$11:$B$14</definedName>
    <definedName name="solver_lhs111" localSheetId="0" hidden="1">Sheet1!$B$11:$B$14</definedName>
    <definedName name="solver_lhs112" localSheetId="0" hidden="1">Sheet1!$B$11:$B$14</definedName>
    <definedName name="solver_lhs113" localSheetId="0" hidden="1">Sheet1!$B$11:$B$14</definedName>
    <definedName name="solver_lhs114" localSheetId="0" hidden="1">Sheet1!$B$11:$B$14</definedName>
    <definedName name="solver_lhs115" localSheetId="0" hidden="1">Sheet1!$B$11:$B$14</definedName>
    <definedName name="solver_lhs116" localSheetId="0" hidden="1">Sheet1!$B$11:$B$14</definedName>
    <definedName name="solver_lhs117" localSheetId="0" hidden="1">Sheet1!$B$11:$B$14</definedName>
    <definedName name="solver_lhs118" localSheetId="0" hidden="1">Sheet1!$B$11:$B$14</definedName>
    <definedName name="solver_lhs119" localSheetId="0" hidden="1">Sheet1!$B$11:$B$14</definedName>
    <definedName name="solver_lhs12" localSheetId="0" hidden="1">Sheet1!$B$11:$B$14</definedName>
    <definedName name="solver_lhs120" localSheetId="0" hidden="1">Sheet1!$B$11:$B$14</definedName>
    <definedName name="solver_lhs121" localSheetId="0" hidden="1">Sheet1!$B$11:$B$14</definedName>
    <definedName name="solver_lhs122" localSheetId="0" hidden="1">Sheet1!$B$11:$B$14</definedName>
    <definedName name="solver_lhs123" localSheetId="0" hidden="1">Sheet1!$B$11:$B$14</definedName>
    <definedName name="solver_lhs124" localSheetId="0" hidden="1">Sheet1!$B$11:$B$14</definedName>
    <definedName name="solver_lhs125" localSheetId="0" hidden="1">Sheet1!$B$11:$B$14</definedName>
    <definedName name="solver_lhs126" localSheetId="0" hidden="1">Sheet1!$B$11:$B$14</definedName>
    <definedName name="solver_lhs127" localSheetId="0" hidden="1">Sheet1!$B$11:$B$14</definedName>
    <definedName name="solver_lhs128" localSheetId="0" hidden="1">Sheet1!$B$11:$B$14</definedName>
    <definedName name="solver_lhs129" localSheetId="0" hidden="1">Sheet1!$B$11:$B$14</definedName>
    <definedName name="solver_lhs13" localSheetId="0" hidden="1">Sheet1!$B$15</definedName>
    <definedName name="solver_lhs130" localSheetId="0" hidden="1">Sheet1!$B$11:$B$14</definedName>
    <definedName name="solver_lhs131" localSheetId="0" hidden="1">Sheet1!$B$11:$B$14</definedName>
    <definedName name="solver_lhs132" localSheetId="0" hidden="1">Sheet1!$B$11:$B$14</definedName>
    <definedName name="solver_lhs133" localSheetId="0" hidden="1">Sheet1!$B$11:$B$14</definedName>
    <definedName name="solver_lhs134" localSheetId="0" hidden="1">Sheet1!$B$11:$B$14</definedName>
    <definedName name="solver_lhs135" localSheetId="0" hidden="1">Sheet1!$B$11:$B$14</definedName>
    <definedName name="solver_lhs136" localSheetId="0" hidden="1">Sheet1!$B$11:$B$14</definedName>
    <definedName name="solver_lhs137" localSheetId="0" hidden="1">Sheet1!$B$11:$B$14</definedName>
    <definedName name="solver_lhs138" localSheetId="0" hidden="1">Sheet1!$B$11:$B$14</definedName>
    <definedName name="solver_lhs139" localSheetId="0" hidden="1">Sheet1!$B$11:$B$14</definedName>
    <definedName name="solver_lhs14" localSheetId="0" hidden="1">Sheet1!$B$11:$B$14</definedName>
    <definedName name="solver_lhs140" localSheetId="0" hidden="1">Sheet1!$B$11:$B$14</definedName>
    <definedName name="solver_lhs141" localSheetId="0" hidden="1">Sheet1!$B$11:$B$14</definedName>
    <definedName name="solver_lhs142" localSheetId="0" hidden="1">Sheet1!$B$11:$B$14</definedName>
    <definedName name="solver_lhs143" localSheetId="0" hidden="1">Sheet1!$B$11:$B$14</definedName>
    <definedName name="solver_lhs144" localSheetId="0" hidden="1">Sheet1!$B$11:$B$14</definedName>
    <definedName name="solver_lhs145" localSheetId="0" hidden="1">Sheet1!$B$11:$B$14</definedName>
    <definedName name="solver_lhs146" localSheetId="0" hidden="1">Sheet1!$B$11:$B$14</definedName>
    <definedName name="solver_lhs147" localSheetId="0" hidden="1">Sheet1!$B$11:$B$14</definedName>
    <definedName name="solver_lhs148" localSheetId="0" hidden="1">Sheet1!$B$11:$B$14</definedName>
    <definedName name="solver_lhs149" localSheetId="0" hidden="1">Sheet1!$B$11:$B$14</definedName>
    <definedName name="solver_lhs15" localSheetId="0" hidden="1">Sheet1!$B$15</definedName>
    <definedName name="solver_lhs150" localSheetId="0" hidden="1">Sheet1!$B$11:$B$14</definedName>
    <definedName name="solver_lhs151" localSheetId="0" hidden="1">Sheet1!$B$11:$B$14</definedName>
    <definedName name="solver_lhs152" localSheetId="0" hidden="1">Sheet1!$B$11:$B$14</definedName>
    <definedName name="solver_lhs153" localSheetId="0" hidden="1">Sheet1!$B$11:$B$14</definedName>
    <definedName name="solver_lhs154" localSheetId="0" hidden="1">Sheet1!$B$11:$B$14</definedName>
    <definedName name="solver_lhs155" localSheetId="0" hidden="1">Sheet1!$B$11:$B$14</definedName>
    <definedName name="solver_lhs156" localSheetId="0" hidden="1">Sheet1!$B$11:$B$14</definedName>
    <definedName name="solver_lhs157" localSheetId="0" hidden="1">Sheet1!$B$11:$B$14</definedName>
    <definedName name="solver_lhs158" localSheetId="0" hidden="1">Sheet1!$B$11:$B$14</definedName>
    <definedName name="solver_lhs159" localSheetId="0" hidden="1">Sheet1!$B$11:$B$14</definedName>
    <definedName name="solver_lhs16" localSheetId="0" hidden="1">Sheet1!$B$11:$B$14</definedName>
    <definedName name="solver_lhs160" localSheetId="0" hidden="1">Sheet1!$B$11:$B$14</definedName>
    <definedName name="solver_lhs161" localSheetId="0" hidden="1">Sheet1!$B$11:$B$14</definedName>
    <definedName name="solver_lhs162" localSheetId="0" hidden="1">Sheet1!$B$11:$B$14</definedName>
    <definedName name="solver_lhs163" localSheetId="0" hidden="1">Sheet1!$B$11:$B$14</definedName>
    <definedName name="solver_lhs164" localSheetId="0" hidden="1">Sheet1!$B$11:$B$14</definedName>
    <definedName name="solver_lhs165" localSheetId="0" hidden="1">Sheet1!$B$11:$B$14</definedName>
    <definedName name="solver_lhs166" localSheetId="0" hidden="1">Sheet1!$B$11:$B$14</definedName>
    <definedName name="solver_lhs167" localSheetId="0" hidden="1">Sheet1!$B$11:$B$14</definedName>
    <definedName name="solver_lhs168" localSheetId="0" hidden="1">Sheet1!$B$11:$B$14</definedName>
    <definedName name="solver_lhs169" localSheetId="0" hidden="1">Sheet1!$B$11:$B$14</definedName>
    <definedName name="solver_lhs17" localSheetId="0" hidden="1">Sheet1!$B$15</definedName>
    <definedName name="solver_lhs170" localSheetId="0" hidden="1">Sheet1!$B$11:$B$14</definedName>
    <definedName name="solver_lhs171" localSheetId="0" hidden="1">Sheet1!$B$11:$B$14</definedName>
    <definedName name="solver_lhs172" localSheetId="0" hidden="1">Sheet1!$B$11:$B$14</definedName>
    <definedName name="solver_lhs173" localSheetId="0" hidden="1">Sheet1!$B$11:$B$14</definedName>
    <definedName name="solver_lhs174" localSheetId="0" hidden="1">Sheet1!$B$11:$B$14</definedName>
    <definedName name="solver_lhs175" localSheetId="0" hidden="1">Sheet1!$B$11:$B$14</definedName>
    <definedName name="solver_lhs176" localSheetId="0" hidden="1">Sheet1!$B$11:$B$14</definedName>
    <definedName name="solver_lhs177" localSheetId="0" hidden="1">Sheet1!$B$11:$B$14</definedName>
    <definedName name="solver_lhs178" localSheetId="0" hidden="1">Sheet1!$B$11:$B$14</definedName>
    <definedName name="solver_lhs179" localSheetId="0" hidden="1">Sheet1!$B$11:$B$14</definedName>
    <definedName name="solver_lhs18" localSheetId="0" hidden="1">Sheet1!$B$11:$B$14</definedName>
    <definedName name="solver_lhs180" localSheetId="0" hidden="1">Sheet1!$B$11:$B$14</definedName>
    <definedName name="solver_lhs181" localSheetId="0" hidden="1">Sheet1!$B$11:$B$14</definedName>
    <definedName name="solver_lhs182" localSheetId="0" hidden="1">Sheet1!$B$11:$B$14</definedName>
    <definedName name="solver_lhs183" localSheetId="0" hidden="1">Sheet1!$B$11:$B$14</definedName>
    <definedName name="solver_lhs184" localSheetId="0" hidden="1">Sheet1!$B$11:$B$14</definedName>
    <definedName name="solver_lhs185" localSheetId="0" hidden="1">Sheet1!$B$11:$B$14</definedName>
    <definedName name="solver_lhs186" localSheetId="0" hidden="1">Sheet1!$B$11:$B$14</definedName>
    <definedName name="solver_lhs187" localSheetId="0" hidden="1">Sheet1!$B$11:$B$14</definedName>
    <definedName name="solver_lhs188" localSheetId="0" hidden="1">Sheet1!$B$11:$B$14</definedName>
    <definedName name="solver_lhs189" localSheetId="0" hidden="1">Sheet1!$B$11:$B$14</definedName>
    <definedName name="solver_lhs19" localSheetId="0" hidden="1">Sheet1!$B$15</definedName>
    <definedName name="solver_lhs190" localSheetId="0" hidden="1">Sheet1!$B$11:$B$14</definedName>
    <definedName name="solver_lhs191" localSheetId="0" hidden="1">Sheet1!$B$11:$B$14</definedName>
    <definedName name="solver_lhs192" localSheetId="0" hidden="1">Sheet1!$B$11:$B$14</definedName>
    <definedName name="solver_lhs193" localSheetId="0" hidden="1">Sheet1!$B$11:$B$14</definedName>
    <definedName name="solver_lhs194" localSheetId="0" hidden="1">Sheet1!$B$11:$B$14</definedName>
    <definedName name="solver_lhs195" localSheetId="0" hidden="1">Sheet1!$B$11:$B$14</definedName>
    <definedName name="solver_lhs196" localSheetId="0" hidden="1">Sheet1!$B$11:$B$14</definedName>
    <definedName name="solver_lhs197" localSheetId="0" hidden="1">Sheet1!$B$11:$B$14</definedName>
    <definedName name="solver_lhs198" localSheetId="0" hidden="1">Sheet1!$B$11:$B$14</definedName>
    <definedName name="solver_lhs199" localSheetId="0" hidden="1">Sheet1!$B$11:$B$14</definedName>
    <definedName name="solver_lhs2" localSheetId="0" hidden="1">Sheet1!$B$15</definedName>
    <definedName name="solver_lhs20" localSheetId="0" hidden="1">Sheet1!$B$11:$B$14</definedName>
    <definedName name="solver_lhs200" localSheetId="0" hidden="1">Sheet1!$B$11:$B$14</definedName>
    <definedName name="solver_lhs201" localSheetId="0" hidden="1">Sheet1!$B$11:$B$14</definedName>
    <definedName name="solver_lhs202" localSheetId="0" hidden="1">Sheet1!$B$11:$B$14</definedName>
    <definedName name="solver_lhs21" localSheetId="0" hidden="1">Sheet1!$B$15</definedName>
    <definedName name="solver_lhs22" localSheetId="0" hidden="1">Sheet1!$B$11:$B$14</definedName>
    <definedName name="solver_lhs23" localSheetId="0" hidden="1">Sheet1!$B$15</definedName>
    <definedName name="solver_lhs24" localSheetId="0" hidden="1">Sheet1!$B$11:$B$14</definedName>
    <definedName name="solver_lhs25" localSheetId="0" hidden="1">Sheet1!$B$15</definedName>
    <definedName name="solver_lhs26" localSheetId="0" hidden="1">Sheet1!$B$11:$B$14</definedName>
    <definedName name="solver_lhs27" localSheetId="0" hidden="1">Sheet1!$B$15</definedName>
    <definedName name="solver_lhs28" localSheetId="0" hidden="1">Sheet1!$B$11:$B$14</definedName>
    <definedName name="solver_lhs29" localSheetId="0" hidden="1">Sheet1!$B$15</definedName>
    <definedName name="solver_lhs3" localSheetId="0" hidden="1">Sheet1!$B$15</definedName>
    <definedName name="solver_lhs30" localSheetId="0" hidden="1">Sheet1!$B$11:$B$14</definedName>
    <definedName name="solver_lhs31" localSheetId="0" hidden="1">Sheet1!$B$15</definedName>
    <definedName name="solver_lhs32" localSheetId="0" hidden="1">Sheet1!$B$11:$B$14</definedName>
    <definedName name="solver_lhs33" localSheetId="0" hidden="1">Sheet1!$B$15</definedName>
    <definedName name="solver_lhs34" localSheetId="0" hidden="1">Sheet1!$B$11:$B$14</definedName>
    <definedName name="solver_lhs35" localSheetId="0" hidden="1">Sheet1!$B$15</definedName>
    <definedName name="solver_lhs36" localSheetId="0" hidden="1">Sheet1!$B$11:$B$14</definedName>
    <definedName name="solver_lhs37" localSheetId="0" hidden="1">Sheet1!$B$15</definedName>
    <definedName name="solver_lhs38" localSheetId="0" hidden="1">Sheet1!$B$11:$B$14</definedName>
    <definedName name="solver_lhs39" localSheetId="0" hidden="1">Sheet1!$B$15</definedName>
    <definedName name="solver_lhs4" localSheetId="0" hidden="1">Sheet1!$B$11:$B$14</definedName>
    <definedName name="solver_lhs40" localSheetId="0" hidden="1">Sheet1!$B$11:$B$14</definedName>
    <definedName name="solver_lhs41" localSheetId="0" hidden="1">Sheet1!$B$15</definedName>
    <definedName name="solver_lhs42" localSheetId="0" hidden="1">Sheet1!$B$11:$B$14</definedName>
    <definedName name="solver_lhs43" localSheetId="0" hidden="1">Sheet1!$B$15</definedName>
    <definedName name="solver_lhs44" localSheetId="0" hidden="1">Sheet1!$B$11:$B$14</definedName>
    <definedName name="solver_lhs45" localSheetId="0" hidden="1">Sheet1!$B$15</definedName>
    <definedName name="solver_lhs46" localSheetId="0" hidden="1">Sheet1!$B$11:$B$14</definedName>
    <definedName name="solver_lhs47" localSheetId="0" hidden="1">Sheet1!$B$15</definedName>
    <definedName name="solver_lhs48" localSheetId="0" hidden="1">Sheet1!$B$11:$B$14</definedName>
    <definedName name="solver_lhs49" localSheetId="0" hidden="1">Sheet1!$B$15</definedName>
    <definedName name="solver_lhs5" localSheetId="0" hidden="1">Sheet1!$B$15</definedName>
    <definedName name="solver_lhs50" localSheetId="0" hidden="1">Sheet1!$B$11:$B$14</definedName>
    <definedName name="solver_lhs51" localSheetId="0" hidden="1">Sheet1!$B$15</definedName>
    <definedName name="solver_lhs52" localSheetId="0" hidden="1">Sheet1!$B$11:$B$14</definedName>
    <definedName name="solver_lhs53" localSheetId="0" hidden="1">Sheet1!$B$15</definedName>
    <definedName name="solver_lhs54" localSheetId="0" hidden="1">Sheet1!$B$11:$B$14</definedName>
    <definedName name="solver_lhs55" localSheetId="0" hidden="1">Sheet1!$B$15</definedName>
    <definedName name="solver_lhs56" localSheetId="0" hidden="1">Sheet1!$B$11:$B$14</definedName>
    <definedName name="solver_lhs57" localSheetId="0" hidden="1">Sheet1!$B$15</definedName>
    <definedName name="solver_lhs58" localSheetId="0" hidden="1">Sheet1!$B$11:$B$14</definedName>
    <definedName name="solver_lhs59" localSheetId="0" hidden="1">Sheet1!$B$15</definedName>
    <definedName name="solver_lhs6" localSheetId="0" hidden="1">Sheet1!$B$11:$B$14</definedName>
    <definedName name="solver_lhs60" localSheetId="0" hidden="1">Sheet1!$B$11:$B$14</definedName>
    <definedName name="solver_lhs61" localSheetId="0" hidden="1">Sheet1!$B$15</definedName>
    <definedName name="solver_lhs62" localSheetId="0" hidden="1">Sheet1!$B$11:$B$14</definedName>
    <definedName name="solver_lhs63" localSheetId="0" hidden="1">Sheet1!$B$15</definedName>
    <definedName name="solver_lhs64" localSheetId="0" hidden="1">Sheet1!$B$11:$B$14</definedName>
    <definedName name="solver_lhs65" localSheetId="0" hidden="1">Sheet1!$B$15</definedName>
    <definedName name="solver_lhs66" localSheetId="0" hidden="1">Sheet1!$B$11:$B$14</definedName>
    <definedName name="solver_lhs67" localSheetId="0" hidden="1">Sheet1!$B$15</definedName>
    <definedName name="solver_lhs68" localSheetId="0" hidden="1">Sheet1!$B$11:$B$14</definedName>
    <definedName name="solver_lhs69" localSheetId="0" hidden="1">Sheet1!$B$15</definedName>
    <definedName name="solver_lhs7" localSheetId="0" hidden="1">Sheet1!$B$15</definedName>
    <definedName name="solver_lhs70" localSheetId="0" hidden="1">Sheet1!$B$11:$B$14</definedName>
    <definedName name="solver_lhs71" localSheetId="0" hidden="1">Sheet1!$B$15</definedName>
    <definedName name="solver_lhs72" localSheetId="0" hidden="1">Sheet1!$B$11:$B$14</definedName>
    <definedName name="solver_lhs73" localSheetId="0" hidden="1">Sheet1!$B$15</definedName>
    <definedName name="solver_lhs74" localSheetId="0" hidden="1">Sheet1!$B$11:$B$14</definedName>
    <definedName name="solver_lhs75" localSheetId="0" hidden="1">Sheet1!$B$15</definedName>
    <definedName name="solver_lhs76" localSheetId="0" hidden="1">Sheet1!$B$11:$B$14</definedName>
    <definedName name="solver_lhs77" localSheetId="0" hidden="1">Sheet1!$B$15</definedName>
    <definedName name="solver_lhs78" localSheetId="0" hidden="1">Sheet1!$B$11:$B$14</definedName>
    <definedName name="solver_lhs79" localSheetId="0" hidden="1">Sheet1!$B$15</definedName>
    <definedName name="solver_lhs8" localSheetId="0" hidden="1">Sheet1!$B$11:$B$14</definedName>
    <definedName name="solver_lhs80" localSheetId="0" hidden="1">Sheet1!$B$11:$B$14</definedName>
    <definedName name="solver_lhs81" localSheetId="0" hidden="1">Sheet1!$B$15</definedName>
    <definedName name="solver_lhs82" localSheetId="0" hidden="1">Sheet1!$B$11:$B$14</definedName>
    <definedName name="solver_lhs83" localSheetId="0" hidden="1">Sheet1!$B$11:$B$14</definedName>
    <definedName name="solver_lhs84" localSheetId="0" hidden="1">Sheet1!$B$11:$B$14</definedName>
    <definedName name="solver_lhs85" localSheetId="0" hidden="1">Sheet1!$B$11:$B$14</definedName>
    <definedName name="solver_lhs86" localSheetId="0" hidden="1">Sheet1!$B$11:$B$14</definedName>
    <definedName name="solver_lhs87" localSheetId="0" hidden="1">Sheet1!$B$11:$B$14</definedName>
    <definedName name="solver_lhs88" localSheetId="0" hidden="1">Sheet1!$B$11:$B$14</definedName>
    <definedName name="solver_lhs89" localSheetId="0" hidden="1">Sheet1!$B$11:$B$14</definedName>
    <definedName name="solver_lhs9" localSheetId="0" hidden="1">Sheet1!$B$15</definedName>
    <definedName name="solver_lhs90" localSheetId="0" hidden="1">Sheet1!$B$11:$B$14</definedName>
    <definedName name="solver_lhs91" localSheetId="0" hidden="1">Sheet1!$B$11:$B$14</definedName>
    <definedName name="solver_lhs92" localSheetId="0" hidden="1">Sheet1!$B$11:$B$14</definedName>
    <definedName name="solver_lhs93" localSheetId="0" hidden="1">Sheet1!$B$11:$B$14</definedName>
    <definedName name="solver_lhs94" localSheetId="0" hidden="1">Sheet1!$B$11:$B$14</definedName>
    <definedName name="solver_lhs95" localSheetId="0" hidden="1">Sheet1!$B$11:$B$14</definedName>
    <definedName name="solver_lhs96" localSheetId="0" hidden="1">Sheet1!$B$11:$B$14</definedName>
    <definedName name="solver_lhs97" localSheetId="0" hidden="1">Sheet1!$B$11:$B$14</definedName>
    <definedName name="solver_lhs98" localSheetId="0" hidden="1">Sheet1!$B$11:$B$14</definedName>
    <definedName name="solver_lhs99" localSheetId="0" hidden="1">Sheet1!$B$11:$B$14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Sheet1!$B$19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00" localSheetId="0" hidden="1">3</definedName>
    <definedName name="solver_rel101" localSheetId="0" hidden="1">3</definedName>
    <definedName name="solver_rel102" localSheetId="0" hidden="1">3</definedName>
    <definedName name="solver_rel103" localSheetId="0" hidden="1">3</definedName>
    <definedName name="solver_rel104" localSheetId="0" hidden="1">3</definedName>
    <definedName name="solver_rel105" localSheetId="0" hidden="1">3</definedName>
    <definedName name="solver_rel106" localSheetId="0" hidden="1">3</definedName>
    <definedName name="solver_rel107" localSheetId="0" hidden="1">3</definedName>
    <definedName name="solver_rel108" localSheetId="0" hidden="1">3</definedName>
    <definedName name="solver_rel109" localSheetId="0" hidden="1">3</definedName>
    <definedName name="solver_rel11" localSheetId="0" hidden="1">2</definedName>
    <definedName name="solver_rel110" localSheetId="0" hidden="1">3</definedName>
    <definedName name="solver_rel111" localSheetId="0" hidden="1">3</definedName>
    <definedName name="solver_rel112" localSheetId="0" hidden="1">3</definedName>
    <definedName name="solver_rel113" localSheetId="0" hidden="1">3</definedName>
    <definedName name="solver_rel114" localSheetId="0" hidden="1">3</definedName>
    <definedName name="solver_rel115" localSheetId="0" hidden="1">3</definedName>
    <definedName name="solver_rel116" localSheetId="0" hidden="1">3</definedName>
    <definedName name="solver_rel117" localSheetId="0" hidden="1">3</definedName>
    <definedName name="solver_rel118" localSheetId="0" hidden="1">3</definedName>
    <definedName name="solver_rel119" localSheetId="0" hidden="1">3</definedName>
    <definedName name="solver_rel12" localSheetId="0" hidden="1">3</definedName>
    <definedName name="solver_rel120" localSheetId="0" hidden="1">3</definedName>
    <definedName name="solver_rel121" localSheetId="0" hidden="1">3</definedName>
    <definedName name="solver_rel122" localSheetId="0" hidden="1">3</definedName>
    <definedName name="solver_rel123" localSheetId="0" hidden="1">3</definedName>
    <definedName name="solver_rel124" localSheetId="0" hidden="1">3</definedName>
    <definedName name="solver_rel125" localSheetId="0" hidden="1">3</definedName>
    <definedName name="solver_rel126" localSheetId="0" hidden="1">3</definedName>
    <definedName name="solver_rel127" localSheetId="0" hidden="1">3</definedName>
    <definedName name="solver_rel128" localSheetId="0" hidden="1">3</definedName>
    <definedName name="solver_rel129" localSheetId="0" hidden="1">3</definedName>
    <definedName name="solver_rel13" localSheetId="0" hidden="1">2</definedName>
    <definedName name="solver_rel130" localSheetId="0" hidden="1">3</definedName>
    <definedName name="solver_rel131" localSheetId="0" hidden="1">3</definedName>
    <definedName name="solver_rel132" localSheetId="0" hidden="1">3</definedName>
    <definedName name="solver_rel133" localSheetId="0" hidden="1">3</definedName>
    <definedName name="solver_rel134" localSheetId="0" hidden="1">3</definedName>
    <definedName name="solver_rel135" localSheetId="0" hidden="1">3</definedName>
    <definedName name="solver_rel136" localSheetId="0" hidden="1">3</definedName>
    <definedName name="solver_rel137" localSheetId="0" hidden="1">3</definedName>
    <definedName name="solver_rel138" localSheetId="0" hidden="1">3</definedName>
    <definedName name="solver_rel139" localSheetId="0" hidden="1">3</definedName>
    <definedName name="solver_rel14" localSheetId="0" hidden="1">3</definedName>
    <definedName name="solver_rel140" localSheetId="0" hidden="1">3</definedName>
    <definedName name="solver_rel141" localSheetId="0" hidden="1">3</definedName>
    <definedName name="solver_rel142" localSheetId="0" hidden="1">3</definedName>
    <definedName name="solver_rel143" localSheetId="0" hidden="1">3</definedName>
    <definedName name="solver_rel144" localSheetId="0" hidden="1">3</definedName>
    <definedName name="solver_rel145" localSheetId="0" hidden="1">3</definedName>
    <definedName name="solver_rel146" localSheetId="0" hidden="1">3</definedName>
    <definedName name="solver_rel147" localSheetId="0" hidden="1">3</definedName>
    <definedName name="solver_rel148" localSheetId="0" hidden="1">3</definedName>
    <definedName name="solver_rel149" localSheetId="0" hidden="1">3</definedName>
    <definedName name="solver_rel15" localSheetId="0" hidden="1">2</definedName>
    <definedName name="solver_rel150" localSheetId="0" hidden="1">3</definedName>
    <definedName name="solver_rel151" localSheetId="0" hidden="1">3</definedName>
    <definedName name="solver_rel152" localSheetId="0" hidden="1">3</definedName>
    <definedName name="solver_rel153" localSheetId="0" hidden="1">3</definedName>
    <definedName name="solver_rel154" localSheetId="0" hidden="1">3</definedName>
    <definedName name="solver_rel155" localSheetId="0" hidden="1">3</definedName>
    <definedName name="solver_rel156" localSheetId="0" hidden="1">3</definedName>
    <definedName name="solver_rel157" localSheetId="0" hidden="1">3</definedName>
    <definedName name="solver_rel158" localSheetId="0" hidden="1">3</definedName>
    <definedName name="solver_rel159" localSheetId="0" hidden="1">3</definedName>
    <definedName name="solver_rel16" localSheetId="0" hidden="1">3</definedName>
    <definedName name="solver_rel160" localSheetId="0" hidden="1">3</definedName>
    <definedName name="solver_rel161" localSheetId="0" hidden="1">3</definedName>
    <definedName name="solver_rel162" localSheetId="0" hidden="1">3</definedName>
    <definedName name="solver_rel163" localSheetId="0" hidden="1">3</definedName>
    <definedName name="solver_rel164" localSheetId="0" hidden="1">3</definedName>
    <definedName name="solver_rel165" localSheetId="0" hidden="1">3</definedName>
    <definedName name="solver_rel166" localSheetId="0" hidden="1">3</definedName>
    <definedName name="solver_rel167" localSheetId="0" hidden="1">3</definedName>
    <definedName name="solver_rel168" localSheetId="0" hidden="1">3</definedName>
    <definedName name="solver_rel169" localSheetId="0" hidden="1">3</definedName>
    <definedName name="solver_rel17" localSheetId="0" hidden="1">2</definedName>
    <definedName name="solver_rel170" localSheetId="0" hidden="1">3</definedName>
    <definedName name="solver_rel171" localSheetId="0" hidden="1">3</definedName>
    <definedName name="solver_rel172" localSheetId="0" hidden="1">3</definedName>
    <definedName name="solver_rel173" localSheetId="0" hidden="1">3</definedName>
    <definedName name="solver_rel174" localSheetId="0" hidden="1">3</definedName>
    <definedName name="solver_rel175" localSheetId="0" hidden="1">3</definedName>
    <definedName name="solver_rel176" localSheetId="0" hidden="1">3</definedName>
    <definedName name="solver_rel177" localSheetId="0" hidden="1">3</definedName>
    <definedName name="solver_rel178" localSheetId="0" hidden="1">3</definedName>
    <definedName name="solver_rel179" localSheetId="0" hidden="1">3</definedName>
    <definedName name="solver_rel18" localSheetId="0" hidden="1">3</definedName>
    <definedName name="solver_rel180" localSheetId="0" hidden="1">3</definedName>
    <definedName name="solver_rel181" localSheetId="0" hidden="1">3</definedName>
    <definedName name="solver_rel182" localSheetId="0" hidden="1">3</definedName>
    <definedName name="solver_rel183" localSheetId="0" hidden="1">3</definedName>
    <definedName name="solver_rel184" localSheetId="0" hidden="1">3</definedName>
    <definedName name="solver_rel185" localSheetId="0" hidden="1">3</definedName>
    <definedName name="solver_rel186" localSheetId="0" hidden="1">3</definedName>
    <definedName name="solver_rel187" localSheetId="0" hidden="1">3</definedName>
    <definedName name="solver_rel188" localSheetId="0" hidden="1">3</definedName>
    <definedName name="solver_rel189" localSheetId="0" hidden="1">3</definedName>
    <definedName name="solver_rel19" localSheetId="0" hidden="1">2</definedName>
    <definedName name="solver_rel190" localSheetId="0" hidden="1">3</definedName>
    <definedName name="solver_rel191" localSheetId="0" hidden="1">3</definedName>
    <definedName name="solver_rel192" localSheetId="0" hidden="1">3</definedName>
    <definedName name="solver_rel193" localSheetId="0" hidden="1">3</definedName>
    <definedName name="solver_rel194" localSheetId="0" hidden="1">3</definedName>
    <definedName name="solver_rel195" localSheetId="0" hidden="1">3</definedName>
    <definedName name="solver_rel196" localSheetId="0" hidden="1">3</definedName>
    <definedName name="solver_rel197" localSheetId="0" hidden="1">3</definedName>
    <definedName name="solver_rel198" localSheetId="0" hidden="1">3</definedName>
    <definedName name="solver_rel199" localSheetId="0" hidden="1">3</definedName>
    <definedName name="solver_rel2" localSheetId="0" hidden="1">2</definedName>
    <definedName name="solver_rel20" localSheetId="0" hidden="1">3</definedName>
    <definedName name="solver_rel200" localSheetId="0" hidden="1">3</definedName>
    <definedName name="solver_rel201" localSheetId="0" hidden="1">3</definedName>
    <definedName name="solver_rel202" localSheetId="0" hidden="1">3</definedName>
    <definedName name="solver_rel21" localSheetId="0" hidden="1">2</definedName>
    <definedName name="solver_rel22" localSheetId="0" hidden="1">3</definedName>
    <definedName name="solver_rel23" localSheetId="0" hidden="1">2</definedName>
    <definedName name="solver_rel24" localSheetId="0" hidden="1">3</definedName>
    <definedName name="solver_rel25" localSheetId="0" hidden="1">2</definedName>
    <definedName name="solver_rel26" localSheetId="0" hidden="1">3</definedName>
    <definedName name="solver_rel27" localSheetId="0" hidden="1">2</definedName>
    <definedName name="solver_rel28" localSheetId="0" hidden="1">3</definedName>
    <definedName name="solver_rel29" localSheetId="0" hidden="1">2</definedName>
    <definedName name="solver_rel3" localSheetId="0" hidden="1">2</definedName>
    <definedName name="solver_rel30" localSheetId="0" hidden="1">3</definedName>
    <definedName name="solver_rel31" localSheetId="0" hidden="1">2</definedName>
    <definedName name="solver_rel32" localSheetId="0" hidden="1">3</definedName>
    <definedName name="solver_rel33" localSheetId="0" hidden="1">2</definedName>
    <definedName name="solver_rel34" localSheetId="0" hidden="1">3</definedName>
    <definedName name="solver_rel35" localSheetId="0" hidden="1">2</definedName>
    <definedName name="solver_rel36" localSheetId="0" hidden="1">3</definedName>
    <definedName name="solver_rel37" localSheetId="0" hidden="1">2</definedName>
    <definedName name="solver_rel38" localSheetId="0" hidden="1">3</definedName>
    <definedName name="solver_rel39" localSheetId="0" hidden="1">2</definedName>
    <definedName name="solver_rel4" localSheetId="0" hidden="1">3</definedName>
    <definedName name="solver_rel40" localSheetId="0" hidden="1">3</definedName>
    <definedName name="solver_rel41" localSheetId="0" hidden="1">2</definedName>
    <definedName name="solver_rel42" localSheetId="0" hidden="1">3</definedName>
    <definedName name="solver_rel43" localSheetId="0" hidden="1">2</definedName>
    <definedName name="solver_rel44" localSheetId="0" hidden="1">3</definedName>
    <definedName name="solver_rel45" localSheetId="0" hidden="1">2</definedName>
    <definedName name="solver_rel46" localSheetId="0" hidden="1">3</definedName>
    <definedName name="solver_rel47" localSheetId="0" hidden="1">2</definedName>
    <definedName name="solver_rel48" localSheetId="0" hidden="1">3</definedName>
    <definedName name="solver_rel49" localSheetId="0" hidden="1">2</definedName>
    <definedName name="solver_rel5" localSheetId="0" hidden="1">2</definedName>
    <definedName name="solver_rel50" localSheetId="0" hidden="1">3</definedName>
    <definedName name="solver_rel51" localSheetId="0" hidden="1">2</definedName>
    <definedName name="solver_rel52" localSheetId="0" hidden="1">3</definedName>
    <definedName name="solver_rel53" localSheetId="0" hidden="1">2</definedName>
    <definedName name="solver_rel54" localSheetId="0" hidden="1">3</definedName>
    <definedName name="solver_rel55" localSheetId="0" hidden="1">2</definedName>
    <definedName name="solver_rel56" localSheetId="0" hidden="1">3</definedName>
    <definedName name="solver_rel57" localSheetId="0" hidden="1">2</definedName>
    <definedName name="solver_rel58" localSheetId="0" hidden="1">3</definedName>
    <definedName name="solver_rel59" localSheetId="0" hidden="1">2</definedName>
    <definedName name="solver_rel6" localSheetId="0" hidden="1">3</definedName>
    <definedName name="solver_rel60" localSheetId="0" hidden="1">3</definedName>
    <definedName name="solver_rel61" localSheetId="0" hidden="1">2</definedName>
    <definedName name="solver_rel62" localSheetId="0" hidden="1">3</definedName>
    <definedName name="solver_rel63" localSheetId="0" hidden="1">2</definedName>
    <definedName name="solver_rel64" localSheetId="0" hidden="1">3</definedName>
    <definedName name="solver_rel65" localSheetId="0" hidden="1">2</definedName>
    <definedName name="solver_rel66" localSheetId="0" hidden="1">3</definedName>
    <definedName name="solver_rel67" localSheetId="0" hidden="1">2</definedName>
    <definedName name="solver_rel68" localSheetId="0" hidden="1">3</definedName>
    <definedName name="solver_rel69" localSheetId="0" hidden="1">2</definedName>
    <definedName name="solver_rel7" localSheetId="0" hidden="1">2</definedName>
    <definedName name="solver_rel70" localSheetId="0" hidden="1">3</definedName>
    <definedName name="solver_rel71" localSheetId="0" hidden="1">2</definedName>
    <definedName name="solver_rel72" localSheetId="0" hidden="1">3</definedName>
    <definedName name="solver_rel73" localSheetId="0" hidden="1">2</definedName>
    <definedName name="solver_rel74" localSheetId="0" hidden="1">3</definedName>
    <definedName name="solver_rel75" localSheetId="0" hidden="1">2</definedName>
    <definedName name="solver_rel76" localSheetId="0" hidden="1">3</definedName>
    <definedName name="solver_rel77" localSheetId="0" hidden="1">2</definedName>
    <definedName name="solver_rel78" localSheetId="0" hidden="1">3</definedName>
    <definedName name="solver_rel79" localSheetId="0" hidden="1">2</definedName>
    <definedName name="solver_rel8" localSheetId="0" hidden="1">3</definedName>
    <definedName name="solver_rel80" localSheetId="0" hidden="1">3</definedName>
    <definedName name="solver_rel81" localSheetId="0" hidden="1">2</definedName>
    <definedName name="solver_rel82" localSheetId="0" hidden="1">3</definedName>
    <definedName name="solver_rel83" localSheetId="0" hidden="1">3</definedName>
    <definedName name="solver_rel84" localSheetId="0" hidden="1">3</definedName>
    <definedName name="solver_rel85" localSheetId="0" hidden="1">3</definedName>
    <definedName name="solver_rel86" localSheetId="0" hidden="1">3</definedName>
    <definedName name="solver_rel87" localSheetId="0" hidden="1">3</definedName>
    <definedName name="solver_rel88" localSheetId="0" hidden="1">3</definedName>
    <definedName name="solver_rel89" localSheetId="0" hidden="1">3</definedName>
    <definedName name="solver_rel9" localSheetId="0" hidden="1">2</definedName>
    <definedName name="solver_rel90" localSheetId="0" hidden="1">3</definedName>
    <definedName name="solver_rel91" localSheetId="0" hidden="1">3</definedName>
    <definedName name="solver_rel92" localSheetId="0" hidden="1">3</definedName>
    <definedName name="solver_rel93" localSheetId="0" hidden="1">3</definedName>
    <definedName name="solver_rel94" localSheetId="0" hidden="1">3</definedName>
    <definedName name="solver_rel95" localSheetId="0" hidden="1">3</definedName>
    <definedName name="solver_rel96" localSheetId="0" hidden="1">3</definedName>
    <definedName name="solver_rel97" localSheetId="0" hidden="1">3</definedName>
    <definedName name="solver_rel98" localSheetId="0" hidden="1">3</definedName>
    <definedName name="solver_rel99" localSheetId="0" hidden="1">3</definedName>
    <definedName name="solver_rhs1" localSheetId="0" hidden="1">0</definedName>
    <definedName name="solver_rhs10" localSheetId="0" hidden="1">0</definedName>
    <definedName name="solver_rhs100" localSheetId="0" hidden="1">0</definedName>
    <definedName name="solver_rhs101" localSheetId="0" hidden="1">0</definedName>
    <definedName name="solver_rhs102" localSheetId="0" hidden="1">0</definedName>
    <definedName name="solver_rhs103" localSheetId="0" hidden="1">0</definedName>
    <definedName name="solver_rhs104" localSheetId="0" hidden="1">0</definedName>
    <definedName name="solver_rhs105" localSheetId="0" hidden="1">0</definedName>
    <definedName name="solver_rhs106" localSheetId="0" hidden="1">0</definedName>
    <definedName name="solver_rhs107" localSheetId="0" hidden="1">0</definedName>
    <definedName name="solver_rhs108" localSheetId="0" hidden="1">0</definedName>
    <definedName name="solver_rhs109" localSheetId="0" hidden="1">0</definedName>
    <definedName name="solver_rhs11" localSheetId="0" hidden="1">1</definedName>
    <definedName name="solver_rhs110" localSheetId="0" hidden="1">0</definedName>
    <definedName name="solver_rhs111" localSheetId="0" hidden="1">0</definedName>
    <definedName name="solver_rhs112" localSheetId="0" hidden="1">0</definedName>
    <definedName name="solver_rhs113" localSheetId="0" hidden="1">0</definedName>
    <definedName name="solver_rhs114" localSheetId="0" hidden="1">0</definedName>
    <definedName name="solver_rhs115" localSheetId="0" hidden="1">0</definedName>
    <definedName name="solver_rhs116" localSheetId="0" hidden="1">0</definedName>
    <definedName name="solver_rhs117" localSheetId="0" hidden="1">0</definedName>
    <definedName name="solver_rhs118" localSheetId="0" hidden="1">0</definedName>
    <definedName name="solver_rhs119" localSheetId="0" hidden="1">0</definedName>
    <definedName name="solver_rhs12" localSheetId="0" hidden="1">0</definedName>
    <definedName name="solver_rhs120" localSheetId="0" hidden="1">0</definedName>
    <definedName name="solver_rhs121" localSheetId="0" hidden="1">0</definedName>
    <definedName name="solver_rhs122" localSheetId="0" hidden="1">0</definedName>
    <definedName name="solver_rhs123" localSheetId="0" hidden="1">0</definedName>
    <definedName name="solver_rhs124" localSheetId="0" hidden="1">0</definedName>
    <definedName name="solver_rhs125" localSheetId="0" hidden="1">0</definedName>
    <definedName name="solver_rhs126" localSheetId="0" hidden="1">0</definedName>
    <definedName name="solver_rhs127" localSheetId="0" hidden="1">0</definedName>
    <definedName name="solver_rhs128" localSheetId="0" hidden="1">0</definedName>
    <definedName name="solver_rhs129" localSheetId="0" hidden="1">0</definedName>
    <definedName name="solver_rhs13" localSheetId="0" hidden="1">1</definedName>
    <definedName name="solver_rhs130" localSheetId="0" hidden="1">0</definedName>
    <definedName name="solver_rhs131" localSheetId="0" hidden="1">0</definedName>
    <definedName name="solver_rhs132" localSheetId="0" hidden="1">0</definedName>
    <definedName name="solver_rhs133" localSheetId="0" hidden="1">0</definedName>
    <definedName name="solver_rhs134" localSheetId="0" hidden="1">0</definedName>
    <definedName name="solver_rhs135" localSheetId="0" hidden="1">0</definedName>
    <definedName name="solver_rhs136" localSheetId="0" hidden="1">0</definedName>
    <definedName name="solver_rhs137" localSheetId="0" hidden="1">0</definedName>
    <definedName name="solver_rhs138" localSheetId="0" hidden="1">0</definedName>
    <definedName name="solver_rhs139" localSheetId="0" hidden="1">0</definedName>
    <definedName name="solver_rhs14" localSheetId="0" hidden="1">0</definedName>
    <definedName name="solver_rhs140" localSheetId="0" hidden="1">0</definedName>
    <definedName name="solver_rhs141" localSheetId="0" hidden="1">0</definedName>
    <definedName name="solver_rhs142" localSheetId="0" hidden="1">0</definedName>
    <definedName name="solver_rhs143" localSheetId="0" hidden="1">0</definedName>
    <definedName name="solver_rhs144" localSheetId="0" hidden="1">0</definedName>
    <definedName name="solver_rhs145" localSheetId="0" hidden="1">0</definedName>
    <definedName name="solver_rhs146" localSheetId="0" hidden="1">0</definedName>
    <definedName name="solver_rhs147" localSheetId="0" hidden="1">0</definedName>
    <definedName name="solver_rhs148" localSheetId="0" hidden="1">0</definedName>
    <definedName name="solver_rhs149" localSheetId="0" hidden="1">0</definedName>
    <definedName name="solver_rhs15" localSheetId="0" hidden="1">1</definedName>
    <definedName name="solver_rhs150" localSheetId="0" hidden="1">0</definedName>
    <definedName name="solver_rhs151" localSheetId="0" hidden="1">0</definedName>
    <definedName name="solver_rhs152" localSheetId="0" hidden="1">0</definedName>
    <definedName name="solver_rhs153" localSheetId="0" hidden="1">0</definedName>
    <definedName name="solver_rhs154" localSheetId="0" hidden="1">0</definedName>
    <definedName name="solver_rhs155" localSheetId="0" hidden="1">0</definedName>
    <definedName name="solver_rhs156" localSheetId="0" hidden="1">0</definedName>
    <definedName name="solver_rhs157" localSheetId="0" hidden="1">0</definedName>
    <definedName name="solver_rhs158" localSheetId="0" hidden="1">0</definedName>
    <definedName name="solver_rhs159" localSheetId="0" hidden="1">0</definedName>
    <definedName name="solver_rhs16" localSheetId="0" hidden="1">0</definedName>
    <definedName name="solver_rhs160" localSheetId="0" hidden="1">0</definedName>
    <definedName name="solver_rhs161" localSheetId="0" hidden="1">0</definedName>
    <definedName name="solver_rhs162" localSheetId="0" hidden="1">0</definedName>
    <definedName name="solver_rhs163" localSheetId="0" hidden="1">0</definedName>
    <definedName name="solver_rhs164" localSheetId="0" hidden="1">0</definedName>
    <definedName name="solver_rhs165" localSheetId="0" hidden="1">0</definedName>
    <definedName name="solver_rhs166" localSheetId="0" hidden="1">0</definedName>
    <definedName name="solver_rhs167" localSheetId="0" hidden="1">0</definedName>
    <definedName name="solver_rhs168" localSheetId="0" hidden="1">0</definedName>
    <definedName name="solver_rhs169" localSheetId="0" hidden="1">0</definedName>
    <definedName name="solver_rhs17" localSheetId="0" hidden="1">1</definedName>
    <definedName name="solver_rhs170" localSheetId="0" hidden="1">0</definedName>
    <definedName name="solver_rhs171" localSheetId="0" hidden="1">0</definedName>
    <definedName name="solver_rhs172" localSheetId="0" hidden="1">0</definedName>
    <definedName name="solver_rhs173" localSheetId="0" hidden="1">0</definedName>
    <definedName name="solver_rhs174" localSheetId="0" hidden="1">0</definedName>
    <definedName name="solver_rhs175" localSheetId="0" hidden="1">0</definedName>
    <definedName name="solver_rhs176" localSheetId="0" hidden="1">0</definedName>
    <definedName name="solver_rhs177" localSheetId="0" hidden="1">0</definedName>
    <definedName name="solver_rhs178" localSheetId="0" hidden="1">0</definedName>
    <definedName name="solver_rhs179" localSheetId="0" hidden="1">0</definedName>
    <definedName name="solver_rhs18" localSheetId="0" hidden="1">0</definedName>
    <definedName name="solver_rhs180" localSheetId="0" hidden="1">0</definedName>
    <definedName name="solver_rhs181" localSheetId="0" hidden="1">0</definedName>
    <definedName name="solver_rhs182" localSheetId="0" hidden="1">0</definedName>
    <definedName name="solver_rhs183" localSheetId="0" hidden="1">0</definedName>
    <definedName name="solver_rhs184" localSheetId="0" hidden="1">0</definedName>
    <definedName name="solver_rhs185" localSheetId="0" hidden="1">0</definedName>
    <definedName name="solver_rhs186" localSheetId="0" hidden="1">0</definedName>
    <definedName name="solver_rhs187" localSheetId="0" hidden="1">0</definedName>
    <definedName name="solver_rhs188" localSheetId="0" hidden="1">0</definedName>
    <definedName name="solver_rhs189" localSheetId="0" hidden="1">0</definedName>
    <definedName name="solver_rhs19" localSheetId="0" hidden="1">1</definedName>
    <definedName name="solver_rhs190" localSheetId="0" hidden="1">0</definedName>
    <definedName name="solver_rhs191" localSheetId="0" hidden="1">0</definedName>
    <definedName name="solver_rhs192" localSheetId="0" hidden="1">0</definedName>
    <definedName name="solver_rhs193" localSheetId="0" hidden="1">0</definedName>
    <definedName name="solver_rhs194" localSheetId="0" hidden="1">0</definedName>
    <definedName name="solver_rhs195" localSheetId="0" hidden="1">0</definedName>
    <definedName name="solver_rhs196" localSheetId="0" hidden="1">0</definedName>
    <definedName name="solver_rhs197" localSheetId="0" hidden="1">0</definedName>
    <definedName name="solver_rhs198" localSheetId="0" hidden="1">0</definedName>
    <definedName name="solver_rhs199" localSheetId="0" hidden="1">0</definedName>
    <definedName name="solver_rhs2" localSheetId="0" hidden="1">1</definedName>
    <definedName name="solver_rhs20" localSheetId="0" hidden="1">0</definedName>
    <definedName name="solver_rhs200" localSheetId="0" hidden="1">0</definedName>
    <definedName name="solver_rhs201" localSheetId="0" hidden="1">0</definedName>
    <definedName name="solver_rhs202" localSheetId="0" hidden="1">0</definedName>
    <definedName name="solver_rhs21" localSheetId="0" hidden="1">1</definedName>
    <definedName name="solver_rhs22" localSheetId="0" hidden="1">0</definedName>
    <definedName name="solver_rhs23" localSheetId="0" hidden="1">1</definedName>
    <definedName name="solver_rhs24" localSheetId="0" hidden="1">0</definedName>
    <definedName name="solver_rhs25" localSheetId="0" hidden="1">1</definedName>
    <definedName name="solver_rhs26" localSheetId="0" hidden="1">0</definedName>
    <definedName name="solver_rhs27" localSheetId="0" hidden="1">1</definedName>
    <definedName name="solver_rhs28" localSheetId="0" hidden="1">0</definedName>
    <definedName name="solver_rhs29" localSheetId="0" hidden="1">1</definedName>
    <definedName name="solver_rhs3" localSheetId="0" hidden="1">1</definedName>
    <definedName name="solver_rhs30" localSheetId="0" hidden="1">0</definedName>
    <definedName name="solver_rhs31" localSheetId="0" hidden="1">1</definedName>
    <definedName name="solver_rhs32" localSheetId="0" hidden="1">0</definedName>
    <definedName name="solver_rhs33" localSheetId="0" hidden="1">1</definedName>
    <definedName name="solver_rhs34" localSheetId="0" hidden="1">0</definedName>
    <definedName name="solver_rhs35" localSheetId="0" hidden="1">1</definedName>
    <definedName name="solver_rhs36" localSheetId="0" hidden="1">0</definedName>
    <definedName name="solver_rhs37" localSheetId="0" hidden="1">1</definedName>
    <definedName name="solver_rhs38" localSheetId="0" hidden="1">0</definedName>
    <definedName name="solver_rhs39" localSheetId="0" hidden="1">1</definedName>
    <definedName name="solver_rhs4" localSheetId="0" hidden="1">0</definedName>
    <definedName name="solver_rhs40" localSheetId="0" hidden="1">0</definedName>
    <definedName name="solver_rhs41" localSheetId="0" hidden="1">1</definedName>
    <definedName name="solver_rhs42" localSheetId="0" hidden="1">0</definedName>
    <definedName name="solver_rhs43" localSheetId="0" hidden="1">1</definedName>
    <definedName name="solver_rhs44" localSheetId="0" hidden="1">0</definedName>
    <definedName name="solver_rhs45" localSheetId="0" hidden="1">1</definedName>
    <definedName name="solver_rhs46" localSheetId="0" hidden="1">0</definedName>
    <definedName name="solver_rhs47" localSheetId="0" hidden="1">1</definedName>
    <definedName name="solver_rhs48" localSheetId="0" hidden="1">0</definedName>
    <definedName name="solver_rhs49" localSheetId="0" hidden="1">1</definedName>
    <definedName name="solver_rhs5" localSheetId="0" hidden="1">1</definedName>
    <definedName name="solver_rhs50" localSheetId="0" hidden="1">0</definedName>
    <definedName name="solver_rhs51" localSheetId="0" hidden="1">1</definedName>
    <definedName name="solver_rhs52" localSheetId="0" hidden="1">0</definedName>
    <definedName name="solver_rhs53" localSheetId="0" hidden="1">1</definedName>
    <definedName name="solver_rhs54" localSheetId="0" hidden="1">0</definedName>
    <definedName name="solver_rhs55" localSheetId="0" hidden="1">1</definedName>
    <definedName name="solver_rhs56" localSheetId="0" hidden="1">0</definedName>
    <definedName name="solver_rhs57" localSheetId="0" hidden="1">1</definedName>
    <definedName name="solver_rhs58" localSheetId="0" hidden="1">0</definedName>
    <definedName name="solver_rhs59" localSheetId="0" hidden="1">1</definedName>
    <definedName name="solver_rhs6" localSheetId="0" hidden="1">0</definedName>
    <definedName name="solver_rhs60" localSheetId="0" hidden="1">0</definedName>
    <definedName name="solver_rhs61" localSheetId="0" hidden="1">1</definedName>
    <definedName name="solver_rhs62" localSheetId="0" hidden="1">0</definedName>
    <definedName name="solver_rhs63" localSheetId="0" hidden="1">1</definedName>
    <definedName name="solver_rhs64" localSheetId="0" hidden="1">0</definedName>
    <definedName name="solver_rhs65" localSheetId="0" hidden="1">1</definedName>
    <definedName name="solver_rhs66" localSheetId="0" hidden="1">0</definedName>
    <definedName name="solver_rhs67" localSheetId="0" hidden="1">1</definedName>
    <definedName name="solver_rhs68" localSheetId="0" hidden="1">0</definedName>
    <definedName name="solver_rhs69" localSheetId="0" hidden="1">1</definedName>
    <definedName name="solver_rhs7" localSheetId="0" hidden="1">1</definedName>
    <definedName name="solver_rhs70" localSheetId="0" hidden="1">0</definedName>
    <definedName name="solver_rhs71" localSheetId="0" hidden="1">1</definedName>
    <definedName name="solver_rhs72" localSheetId="0" hidden="1">0</definedName>
    <definedName name="solver_rhs73" localSheetId="0" hidden="1">1</definedName>
    <definedName name="solver_rhs74" localSheetId="0" hidden="1">0</definedName>
    <definedName name="solver_rhs75" localSheetId="0" hidden="1">1</definedName>
    <definedName name="solver_rhs76" localSheetId="0" hidden="1">0</definedName>
    <definedName name="solver_rhs77" localSheetId="0" hidden="1">1</definedName>
    <definedName name="solver_rhs78" localSheetId="0" hidden="1">0</definedName>
    <definedName name="solver_rhs79" localSheetId="0" hidden="1">1</definedName>
    <definedName name="solver_rhs8" localSheetId="0" hidden="1">0</definedName>
    <definedName name="solver_rhs80" localSheetId="0" hidden="1">0</definedName>
    <definedName name="solver_rhs81" localSheetId="0" hidden="1">1</definedName>
    <definedName name="solver_rhs82" localSheetId="0" hidden="1">0</definedName>
    <definedName name="solver_rhs83" localSheetId="0" hidden="1">0</definedName>
    <definedName name="solver_rhs84" localSheetId="0" hidden="1">0</definedName>
    <definedName name="solver_rhs85" localSheetId="0" hidden="1">0</definedName>
    <definedName name="solver_rhs86" localSheetId="0" hidden="1">0</definedName>
    <definedName name="solver_rhs87" localSheetId="0" hidden="1">0</definedName>
    <definedName name="solver_rhs88" localSheetId="0" hidden="1">0</definedName>
    <definedName name="solver_rhs89" localSheetId="0" hidden="1">0</definedName>
    <definedName name="solver_rhs9" localSheetId="0" hidden="1">1</definedName>
    <definedName name="solver_rhs90" localSheetId="0" hidden="1">0</definedName>
    <definedName name="solver_rhs91" localSheetId="0" hidden="1">0</definedName>
    <definedName name="solver_rhs92" localSheetId="0" hidden="1">0</definedName>
    <definedName name="solver_rhs93" localSheetId="0" hidden="1">0</definedName>
    <definedName name="solver_rhs94" localSheetId="0" hidden="1">0</definedName>
    <definedName name="solver_rhs95" localSheetId="0" hidden="1">0</definedName>
    <definedName name="solver_rhs96" localSheetId="0" hidden="1">0</definedName>
    <definedName name="solver_rhs97" localSheetId="0" hidden="1">0</definedName>
    <definedName name="solver_rhs98" localSheetId="0" hidden="1">0</definedName>
    <definedName name="solver_rhs9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x_1">Sheet1!$B$11</definedName>
    <definedName name="x_2">Sheet1!$B$12</definedName>
    <definedName name="x_3">Sheet1!$B$13</definedName>
    <definedName name="x_4">Sheet1!$B$14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 a="1"/>
  <c r="B18" i="1" s="1"/>
  <c r="B17" i="1" a="1"/>
  <c r="B17" i="1" s="1"/>
  <c r="B15" i="1"/>
  <c r="C19" i="1"/>
  <c r="C17" i="1"/>
  <c r="C18" i="1"/>
  <c r="C15" i="1"/>
  <c r="B19" i="1" l="1"/>
</calcChain>
</file>

<file path=xl/sharedStrings.xml><?xml version="1.0" encoding="utf-8"?>
<sst xmlns="http://schemas.openxmlformats.org/spreadsheetml/2006/main" count="29" uniqueCount="28">
  <si>
    <t>PORTFOLIO OPTIMIZATION WITHOUT SHORT SALES</t>
  </si>
  <si>
    <t>RESULTS</t>
  </si>
  <si>
    <t>Variance-covariance matrix</t>
  </si>
  <si>
    <t>Means</t>
  </si>
  <si>
    <t>c</t>
  </si>
  <si>
    <t>Sigma</t>
  </si>
  <si>
    <t>Mean</t>
  </si>
  <si>
    <r>
      <t>x</t>
    </r>
    <r>
      <rPr>
        <b/>
        <vertAlign val="subscript"/>
        <sz val="10"/>
        <rFont val="Arial"/>
        <family val="2"/>
      </rPr>
      <t>1</t>
    </r>
  </si>
  <si>
    <r>
      <t>x</t>
    </r>
    <r>
      <rPr>
        <b/>
        <vertAlign val="subscript"/>
        <sz val="10"/>
        <rFont val="Arial"/>
        <family val="2"/>
      </rPr>
      <t>2</t>
    </r>
  </si>
  <si>
    <r>
      <t>x</t>
    </r>
    <r>
      <rPr>
        <b/>
        <vertAlign val="subscript"/>
        <sz val="10"/>
        <rFont val="Arial"/>
        <family val="2"/>
      </rPr>
      <t>3</t>
    </r>
  </si>
  <si>
    <r>
      <t>x</t>
    </r>
    <r>
      <rPr>
        <b/>
        <vertAlign val="subscript"/>
        <sz val="10"/>
        <rFont val="Arial"/>
        <family val="2"/>
      </rPr>
      <t>4</t>
    </r>
  </si>
  <si>
    <t>which calculates efficient</t>
  </si>
  <si>
    <t xml:space="preserve">portfolios for no-short sales. </t>
  </si>
  <si>
    <t>This program iteratively</t>
  </si>
  <si>
    <t>substitutes a constant ranging</t>
  </si>
  <si>
    <t>&lt;-- This is the constant</t>
  </si>
  <si>
    <t>from -3.5% 'till 16% (1/2%</t>
  </si>
  <si>
    <t>jumps) and calculates the</t>
  </si>
  <si>
    <t>optimal portfolio.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</si>
  <si>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</si>
  <si>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</si>
  <si>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r>
      <t>x</t>
    </r>
    <r>
      <rPr>
        <vertAlign val="subscript"/>
        <sz val="10"/>
        <rFont val="Arial"/>
        <family val="2"/>
      </rPr>
      <t>3</t>
    </r>
  </si>
  <si>
    <r>
      <t>x</t>
    </r>
    <r>
      <rPr>
        <vertAlign val="subscript"/>
        <sz val="10"/>
        <rFont val="Arial"/>
        <family val="2"/>
      </rPr>
      <t>4</t>
    </r>
  </si>
  <si>
    <t>Total</t>
  </si>
  <si>
    <t>Portfolio mean</t>
  </si>
  <si>
    <t>Portfolio sigma</t>
  </si>
  <si>
    <t>Theta</t>
  </si>
  <si>
    <t>Press Button VBA works the VBA program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</si>
</sst>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0"/>
    <numFmt numFmtId="178" formatCode="0.0%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4" fillId="0" borderId="0" xfId="0" applyFont="1" applyAlignment="1"/>
    <xf numFmtId="10" fontId="0" fillId="0" borderId="0" xfId="1" applyNumberFormat="1" applyFont="1" applyAlignment="1"/>
    <xf numFmtId="176" fontId="0" fillId="0" borderId="0" xfId="0" applyNumberFormat="1" applyAlignment="1"/>
    <xf numFmtId="0" fontId="0" fillId="0" borderId="0" xfId="0" applyAlignment="1"/>
    <xf numFmtId="0" fontId="4" fillId="0" borderId="0" xfId="0" applyFont="1" applyAlignment="1">
      <alignment horizontal="center"/>
    </xf>
    <xf numFmtId="10" fontId="4" fillId="0" borderId="0" xfId="1" applyNumberFormat="1" applyFont="1" applyAlignment="1">
      <alignment horizontal="center"/>
    </xf>
    <xf numFmtId="176" fontId="4" fillId="0" borderId="0" xfId="0" applyNumberFormat="1" applyFont="1" applyAlignment="1">
      <alignment horizontal="center"/>
    </xf>
    <xf numFmtId="2" fontId="0" fillId="0" borderId="0" xfId="0" applyNumberFormat="1" applyAlignment="1"/>
    <xf numFmtId="9" fontId="0" fillId="0" borderId="0" xfId="0" applyNumberFormat="1" applyAlignment="1"/>
    <xf numFmtId="177" fontId="0" fillId="0" borderId="0" xfId="0" applyNumberFormat="1" applyAlignment="1"/>
    <xf numFmtId="0" fontId="0" fillId="0" borderId="0" xfId="0" quotePrefix="1" applyAlignment="1"/>
    <xf numFmtId="178" fontId="0" fillId="0" borderId="0" xfId="0" applyNumberFormat="1" applyAlignment="1"/>
    <xf numFmtId="0" fontId="0" fillId="0" borderId="0" xfId="0" applyAlignment="1">
      <alignment horizontal="center"/>
    </xf>
    <xf numFmtId="10" fontId="2" fillId="0" borderId="0" xfId="1" applyNumberFormat="1" applyAlignment="1"/>
    <xf numFmtId="0" fontId="3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344'!#REF!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344'!#REF!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5D-40E7-B3E2-04498564C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549008"/>
        <c:axId val="1"/>
      </c:scatterChart>
      <c:valAx>
        <c:axId val="762549008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625490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61</xdr:row>
      <xdr:rowOff>0</xdr:rowOff>
    </xdr:from>
    <xdr:to>
      <xdr:col>9</xdr:col>
      <xdr:colOff>0</xdr:colOff>
      <xdr:row>61</xdr:row>
      <xdr:rowOff>0</xdr:rowOff>
    </xdr:to>
    <xdr:graphicFrame macro="">
      <xdr:nvGraphicFramePr>
        <xdr:cNvPr id="2" name="图表 3">
          <a:extLst>
            <a:ext uri="{FF2B5EF4-FFF2-40B4-BE49-F238E27FC236}">
              <a16:creationId xmlns:a16="http://schemas.microsoft.com/office/drawing/2014/main" id="{DADE34C6-0375-43AD-9C09-26DAE388F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198120</xdr:colOff>
      <xdr:row>1</xdr:row>
      <xdr:rowOff>104921</xdr:rowOff>
    </xdr:from>
    <xdr:to>
      <xdr:col>35</xdr:col>
      <xdr:colOff>247651</xdr:colOff>
      <xdr:row>43</xdr:row>
      <xdr:rowOff>11576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4349EA5E-4121-F4F3-303A-5BD880A7F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979812" y="324729"/>
          <a:ext cx="11604088" cy="712719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297180</xdr:colOff>
          <xdr:row>11</xdr:row>
          <xdr:rowOff>137160</xdr:rowOff>
        </xdr:from>
        <xdr:to>
          <xdr:col>8</xdr:col>
          <xdr:colOff>1584960</xdr:colOff>
          <xdr:row>13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VBA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>
    <pageSetUpPr fitToPage="1"/>
  </sheetPr>
  <dimension ref="A1:P42"/>
  <sheetViews>
    <sheetView tabSelected="1" view="pageBreakPreview" zoomScale="60" zoomScaleNormal="130" workbookViewId="0">
      <selection activeCell="O56" sqref="O56"/>
    </sheetView>
  </sheetViews>
  <sheetFormatPr defaultRowHeight="13.8" x14ac:dyDescent="0.25"/>
  <cols>
    <col min="1" max="1" width="14.6640625" style="4" customWidth="1"/>
    <col min="2" max="2" width="10.44140625" style="4" customWidth="1"/>
    <col min="3" max="3" width="9.5546875" style="4" bestFit="1" customWidth="1"/>
    <col min="4" max="8" width="8.88671875" style="4"/>
    <col min="9" max="9" width="36.6640625" style="4" customWidth="1"/>
    <col min="10" max="10" width="8.88671875" style="4"/>
    <col min="11" max="12" width="9.109375" style="2" customWidth="1"/>
    <col min="13" max="16" width="9.109375" style="3" customWidth="1"/>
  </cols>
  <sheetData>
    <row r="1" spans="1:16" ht="17.399999999999999" x14ac:dyDescent="0.3">
      <c r="A1" s="15" t="s">
        <v>0</v>
      </c>
      <c r="B1" s="15"/>
      <c r="C1" s="15"/>
      <c r="D1" s="15"/>
      <c r="E1" s="15"/>
      <c r="F1" s="15"/>
      <c r="G1" s="15"/>
      <c r="H1" s="15"/>
      <c r="I1" s="15"/>
      <c r="J1" s="1" t="s">
        <v>1</v>
      </c>
    </row>
    <row r="2" spans="1:16" ht="15.6" x14ac:dyDescent="0.35">
      <c r="B2" s="1" t="s">
        <v>2</v>
      </c>
      <c r="G2" s="5" t="s">
        <v>3</v>
      </c>
      <c r="J2" s="5" t="s">
        <v>4</v>
      </c>
      <c r="K2" s="6" t="s">
        <v>5</v>
      </c>
      <c r="L2" s="6" t="s">
        <v>6</v>
      </c>
      <c r="M2" s="7" t="s">
        <v>7</v>
      </c>
      <c r="N2" s="7" t="s">
        <v>8</v>
      </c>
      <c r="O2" s="7" t="s">
        <v>9</v>
      </c>
      <c r="P2" s="7" t="s">
        <v>10</v>
      </c>
    </row>
    <row r="3" spans="1:16" x14ac:dyDescent="0.25">
      <c r="B3" s="8">
        <v>0.1</v>
      </c>
      <c r="C3" s="8">
        <v>0.03</v>
      </c>
      <c r="D3" s="8">
        <v>-0.08</v>
      </c>
      <c r="E3" s="8">
        <v>0.05</v>
      </c>
      <c r="G3" s="9">
        <v>0.08</v>
      </c>
      <c r="I3" s="4" t="s">
        <v>27</v>
      </c>
      <c r="J3" s="4">
        <v>-3.5000000000000003E-2</v>
      </c>
      <c r="K3" s="2">
        <v>0.2024372022932846</v>
      </c>
      <c r="L3" s="2">
        <v>8.7016243075599159E-2</v>
      </c>
      <c r="M3" s="10">
        <v>0.60492822990300565</v>
      </c>
      <c r="N3" s="10">
        <v>8.8520424727108415E-2</v>
      </c>
      <c r="O3" s="10">
        <v>0.30655146457918953</v>
      </c>
      <c r="P3" s="10">
        <v>0</v>
      </c>
    </row>
    <row r="4" spans="1:16" x14ac:dyDescent="0.25">
      <c r="B4" s="8">
        <v>0.03</v>
      </c>
      <c r="C4" s="8">
        <v>0.2</v>
      </c>
      <c r="D4" s="8">
        <v>0.02</v>
      </c>
      <c r="E4" s="8">
        <v>0.03</v>
      </c>
      <c r="G4" s="9">
        <v>0.09</v>
      </c>
      <c r="I4" s="4" t="s">
        <v>11</v>
      </c>
      <c r="J4" s="4">
        <v>-0.03</v>
      </c>
      <c r="K4" s="2">
        <v>0.20245488788172961</v>
      </c>
      <c r="L4" s="2">
        <v>8.7026679772696597E-2</v>
      </c>
      <c r="M4" s="10">
        <v>0.60439573687046189</v>
      </c>
      <c r="N4" s="10">
        <v>8.8541740910338201E-2</v>
      </c>
      <c r="O4" s="10">
        <v>0.30706264141129214</v>
      </c>
      <c r="P4" s="10">
        <v>0</v>
      </c>
    </row>
    <row r="5" spans="1:16" x14ac:dyDescent="0.25">
      <c r="B5" s="8">
        <v>-0.08</v>
      </c>
      <c r="C5" s="8">
        <v>0.02</v>
      </c>
      <c r="D5" s="8">
        <v>0.3</v>
      </c>
      <c r="E5" s="8">
        <v>0.2</v>
      </c>
      <c r="G5" s="9">
        <v>0.1</v>
      </c>
      <c r="I5" s="4" t="s">
        <v>12</v>
      </c>
      <c r="J5" s="4">
        <v>-2.5000000000000001E-2</v>
      </c>
      <c r="K5" s="2">
        <v>0.20247513483219473</v>
      </c>
      <c r="L5" s="2">
        <v>8.7038128213624749E-2</v>
      </c>
      <c r="M5" s="10">
        <v>0.60380778858659834</v>
      </c>
      <c r="N5" s="10">
        <v>8.857279376176995E-2</v>
      </c>
      <c r="O5" s="10">
        <v>0.30761953688137594</v>
      </c>
      <c r="P5" s="10">
        <v>0</v>
      </c>
    </row>
    <row r="6" spans="1:16" x14ac:dyDescent="0.25">
      <c r="B6" s="8">
        <v>0.05</v>
      </c>
      <c r="C6" s="8">
        <v>0.03</v>
      </c>
      <c r="D6" s="8">
        <v>0.2</v>
      </c>
      <c r="E6" s="8">
        <v>0.9</v>
      </c>
      <c r="G6" s="9">
        <v>0.11</v>
      </c>
      <c r="I6" s="11" t="s">
        <v>13</v>
      </c>
      <c r="J6" s="4">
        <v>-0.02</v>
      </c>
      <c r="K6" s="2">
        <v>0.20249842399053264</v>
      </c>
      <c r="L6" s="2">
        <v>8.7050721891421393E-2</v>
      </c>
      <c r="M6" s="10">
        <v>0.6031572626825733</v>
      </c>
      <c r="N6" s="10">
        <v>8.8614477234738503E-2</v>
      </c>
      <c r="O6" s="10">
        <v>0.30822837925689062</v>
      </c>
      <c r="P6" s="10">
        <v>0</v>
      </c>
    </row>
    <row r="7" spans="1:16" x14ac:dyDescent="0.25">
      <c r="I7" s="4" t="s">
        <v>14</v>
      </c>
      <c r="J7" s="4">
        <v>-1.4999999999999999E-2</v>
      </c>
      <c r="K7" s="2">
        <v>0.20253296102536125</v>
      </c>
      <c r="L7" s="2">
        <v>8.7068807802025389E-2</v>
      </c>
      <c r="M7" s="10">
        <v>0.60161158390852443</v>
      </c>
      <c r="N7" s="10">
        <v>8.9897243406348651E-2</v>
      </c>
      <c r="O7" s="10">
        <v>0.30849129182772045</v>
      </c>
      <c r="P7" s="10">
        <v>0</v>
      </c>
    </row>
    <row r="8" spans="1:16" x14ac:dyDescent="0.25">
      <c r="B8" s="4" t="s">
        <v>4</v>
      </c>
      <c r="C8" s="12">
        <v>0.16</v>
      </c>
      <c r="D8" s="4" t="s">
        <v>15</v>
      </c>
      <c r="I8" s="4" t="s">
        <v>16</v>
      </c>
      <c r="J8" s="4">
        <v>-0.01</v>
      </c>
      <c r="K8" s="2">
        <v>0.2025666196924821</v>
      </c>
      <c r="L8" s="2">
        <v>8.7085344542971885E-2</v>
      </c>
      <c r="M8" s="10">
        <v>0.60056818907181841</v>
      </c>
      <c r="N8" s="10">
        <v>9.0330358709799871E-2</v>
      </c>
      <c r="O8" s="10">
        <v>0.30910157133344418</v>
      </c>
      <c r="P8" s="10">
        <v>0</v>
      </c>
    </row>
    <row r="9" spans="1:16" x14ac:dyDescent="0.25">
      <c r="C9" s="12"/>
      <c r="I9" s="4" t="s">
        <v>17</v>
      </c>
      <c r="J9" s="4">
        <v>-5.0000000000000001E-3</v>
      </c>
      <c r="K9" s="2">
        <v>0.20260592281897083</v>
      </c>
      <c r="L9" s="2">
        <v>8.7103683678527596E-2</v>
      </c>
      <c r="M9" s="10">
        <v>0.59941107406923</v>
      </c>
      <c r="N9" s="10">
        <v>9.0810675427216464E-2</v>
      </c>
      <c r="O9" s="10">
        <v>0.30977836964539712</v>
      </c>
      <c r="P9" s="10">
        <v>0</v>
      </c>
    </row>
    <row r="10" spans="1:16" x14ac:dyDescent="0.25">
      <c r="I10" s="4" t="s">
        <v>18</v>
      </c>
      <c r="J10" s="4">
        <v>0</v>
      </c>
      <c r="K10" s="2">
        <v>0.20265220635513576</v>
      </c>
      <c r="L10" s="2">
        <v>8.7124136883509257E-2</v>
      </c>
      <c r="M10" s="10">
        <v>0.59812057021257781</v>
      </c>
      <c r="N10" s="10">
        <v>9.1346362853123017E-2</v>
      </c>
      <c r="O10" s="10">
        <v>0.31053318609721947</v>
      </c>
      <c r="P10" s="10">
        <v>0</v>
      </c>
    </row>
    <row r="11" spans="1:16" ht="15.6" x14ac:dyDescent="0.35">
      <c r="A11" s="13" t="s">
        <v>19</v>
      </c>
      <c r="B11" s="10">
        <v>0</v>
      </c>
      <c r="J11" s="4">
        <v>5.0000000000000001E-3</v>
      </c>
      <c r="K11" s="2">
        <v>0.20270722588449183</v>
      </c>
      <c r="L11" s="2">
        <v>8.7147092022763717E-2</v>
      </c>
      <c r="M11" s="10">
        <v>0.59667220593463988</v>
      </c>
      <c r="N11" s="10">
        <v>9.194757803189256E-2</v>
      </c>
      <c r="O11" s="10">
        <v>0.31138033525122194</v>
      </c>
      <c r="P11" s="10">
        <v>0</v>
      </c>
    </row>
    <row r="12" spans="1:16" ht="15.6" x14ac:dyDescent="0.35">
      <c r="A12" s="13" t="s">
        <v>20</v>
      </c>
      <c r="B12" s="10">
        <v>0</v>
      </c>
      <c r="J12" s="4">
        <v>0.01</v>
      </c>
      <c r="K12" s="2">
        <v>0.20277332544824228</v>
      </c>
      <c r="L12" s="2">
        <v>8.7173038033685951E-2</v>
      </c>
      <c r="M12" s="10">
        <v>0.59503512914514534</v>
      </c>
      <c r="N12" s="10">
        <v>9.2627129836852423E-2</v>
      </c>
      <c r="O12" s="10">
        <v>0.31233786016757603</v>
      </c>
      <c r="P12" s="10">
        <v>0</v>
      </c>
    </row>
    <row r="13" spans="1:16" ht="15.6" x14ac:dyDescent="0.35">
      <c r="A13" s="13" t="s">
        <v>21</v>
      </c>
      <c r="B13" s="10">
        <v>0</v>
      </c>
      <c r="J13" s="4">
        <v>1.4999999999999999E-2</v>
      </c>
      <c r="K13" s="2">
        <v>0.20285369154410254</v>
      </c>
      <c r="L13" s="2">
        <v>8.7202600340970188E-2</v>
      </c>
      <c r="M13" s="10">
        <v>0.59316988100442969</v>
      </c>
      <c r="N13" s="10">
        <v>9.3401396473866444E-2</v>
      </c>
      <c r="O13" s="10">
        <v>0.31342884177967828</v>
      </c>
      <c r="P13" s="10">
        <v>0</v>
      </c>
    </row>
    <row r="14" spans="1:16" ht="15.6" x14ac:dyDescent="0.35">
      <c r="A14" s="13" t="s">
        <v>22</v>
      </c>
      <c r="B14" s="10">
        <v>1.0000001259833851</v>
      </c>
      <c r="J14" s="4">
        <v>0.02</v>
      </c>
      <c r="K14" s="2">
        <v>0.20295274248444009</v>
      </c>
      <c r="L14" s="2">
        <v>8.7236591440268491E-2</v>
      </c>
      <c r="M14" s="10">
        <v>0.59102519907972728</v>
      </c>
      <c r="N14" s="10">
        <v>9.4291649543589803E-2</v>
      </c>
      <c r="O14" s="10">
        <v>0.31468327054967227</v>
      </c>
      <c r="P14" s="10">
        <v>0</v>
      </c>
    </row>
    <row r="15" spans="1:16" x14ac:dyDescent="0.25">
      <c r="A15" s="4" t="s">
        <v>23</v>
      </c>
      <c r="B15" s="10">
        <f>SUM(B11:B14)</f>
        <v>1.0000001259833851</v>
      </c>
      <c r="C15" s="4" t="str">
        <f ca="1">[1]!getformula(B15)</f>
        <v>&lt;--  =SUM(B11:B14)</v>
      </c>
      <c r="J15" s="4">
        <v>2.5000000000000001E-2</v>
      </c>
      <c r="K15" s="2">
        <v>0.20307674945411014</v>
      </c>
      <c r="L15" s="2">
        <v>8.7276087389289908E-2</v>
      </c>
      <c r="M15" s="10">
        <v>0.58853318852979963</v>
      </c>
      <c r="N15" s="10">
        <v>9.5326075704606175E-2</v>
      </c>
      <c r="O15" s="10">
        <v>0.31614085493491395</v>
      </c>
      <c r="P15" s="10">
        <v>0</v>
      </c>
    </row>
    <row r="16" spans="1:16" x14ac:dyDescent="0.25">
      <c r="J16" s="4">
        <v>0.03</v>
      </c>
      <c r="K16" s="2">
        <v>0.20323484950669252</v>
      </c>
      <c r="L16" s="2">
        <v>8.7322543066957387E-2</v>
      </c>
      <c r="M16" s="10">
        <v>0.58560205334267912</v>
      </c>
      <c r="N16" s="10">
        <v>9.6542776636240599E-2</v>
      </c>
      <c r="O16" s="10">
        <v>0.31785528902281407</v>
      </c>
      <c r="P16" s="10">
        <v>0</v>
      </c>
    </row>
    <row r="17" spans="1:16" x14ac:dyDescent="0.25">
      <c r="A17" s="4" t="s">
        <v>24</v>
      </c>
      <c r="B17" s="14">
        <f t="array" ref="B17">MMULT(TRANSPOSE(B11:B14),G3:G6)</f>
        <v>0.11000001385817236</v>
      </c>
      <c r="C17" s="4" t="str">
        <f ca="1">[1]!getformula(B17)</f>
        <v>&lt;--  {=MMULT(TRANSPOSE(B11:B14),G3:G6)}</v>
      </c>
      <c r="J17" s="4">
        <v>3.5000000000000003E-2</v>
      </c>
      <c r="K17" s="2">
        <v>0.20344077577172454</v>
      </c>
      <c r="L17" s="2">
        <v>8.7377976105288732E-2</v>
      </c>
      <c r="M17" s="10">
        <v>0.58210450006181913</v>
      </c>
      <c r="N17" s="10">
        <v>9.7994579806767318E-2</v>
      </c>
      <c r="O17" s="10">
        <v>0.31990103917734142</v>
      </c>
      <c r="P17" s="10">
        <v>0</v>
      </c>
    </row>
    <row r="18" spans="1:16" x14ac:dyDescent="0.25">
      <c r="A18" s="4" t="s">
        <v>25</v>
      </c>
      <c r="B18" s="14">
        <f t="array" ref="B18">SQRT(MMULT(TRANSPOSE(B11:B14),MMULT(B3:E6,B11:B14)))</f>
        <v>0.948683417568847</v>
      </c>
      <c r="C18" s="4" t="str">
        <f ca="1">[1]!getformula(B18)</f>
        <v>&lt;--  {=SQRT(MMULT(TRANSPOSE(B11:B14),MMULT(B3:E6,B11:B14)))}</v>
      </c>
      <c r="J18" s="4">
        <v>0.04</v>
      </c>
      <c r="K18" s="2">
        <v>0.20371593013022496</v>
      </c>
      <c r="L18" s="2">
        <v>8.7445266802528038E-2</v>
      </c>
      <c r="M18" s="10">
        <v>0.57785878873380681</v>
      </c>
      <c r="N18" s="10">
        <v>9.975693503004511E-2</v>
      </c>
      <c r="O18" s="10">
        <v>0.3223843955111943</v>
      </c>
      <c r="P18" s="10">
        <v>0</v>
      </c>
    </row>
    <row r="19" spans="1:16" x14ac:dyDescent="0.25">
      <c r="A19" s="4" t="s">
        <v>26</v>
      </c>
      <c r="B19" s="14">
        <f>(portfolio_mean-C8)/Portfolio_sigma</f>
        <v>-5.270460642177198E-2</v>
      </c>
      <c r="C19" s="4" t="str">
        <f ca="1">[1]!getformula(B19)</f>
        <v>&lt;--  =(portfolio_mean-C8)/Portfolio_sigma</v>
      </c>
      <c r="J19" s="4">
        <v>4.4999999999999998E-2</v>
      </c>
      <c r="K19" s="2">
        <v>0.20409515463796524</v>
      </c>
      <c r="L19" s="2">
        <v>8.7528675299525294E-2</v>
      </c>
      <c r="M19" s="10">
        <v>0.57259613324850778</v>
      </c>
      <c r="N19" s="10">
        <v>0.10194139795982712</v>
      </c>
      <c r="O19" s="10">
        <v>0.32546258823260221</v>
      </c>
      <c r="P19" s="10">
        <v>0</v>
      </c>
    </row>
    <row r="20" spans="1:16" x14ac:dyDescent="0.25">
      <c r="J20" s="4">
        <v>0.05</v>
      </c>
      <c r="K20" s="2">
        <v>0.20463828011492041</v>
      </c>
      <c r="L20" s="2">
        <v>8.7634781976739615E-2</v>
      </c>
      <c r="M20" s="10">
        <v>0.56590141775511871</v>
      </c>
      <c r="N20" s="10">
        <v>0.10472016251077079</v>
      </c>
      <c r="O20" s="10">
        <v>0.3293785393036075</v>
      </c>
      <c r="P20" s="10">
        <v>0</v>
      </c>
    </row>
    <row r="21" spans="1:16" x14ac:dyDescent="0.25">
      <c r="A21" s="1"/>
      <c r="J21" s="4">
        <v>5.5E-2</v>
      </c>
      <c r="K21" s="2">
        <v>0.20545506085185911</v>
      </c>
      <c r="L21" s="2">
        <v>8.7774307815770225E-2</v>
      </c>
      <c r="M21" s="10">
        <v>0.55709784504716897</v>
      </c>
      <c r="N21" s="10">
        <v>0.10837472351201527</v>
      </c>
      <c r="O21" s="10">
        <v>0.33452755095915321</v>
      </c>
      <c r="P21" s="10">
        <v>0</v>
      </c>
    </row>
    <row r="22" spans="1:16" x14ac:dyDescent="0.25">
      <c r="J22" s="4">
        <v>0.06</v>
      </c>
      <c r="K22" s="2">
        <v>0.20676484134069911</v>
      </c>
      <c r="L22" s="2">
        <v>8.7965994761564081E-2</v>
      </c>
      <c r="M22" s="10">
        <v>0.54500324811502843</v>
      </c>
      <c r="N22" s="10">
        <v>0.11339522493474863</v>
      </c>
      <c r="O22" s="10">
        <v>0.34160164668234438</v>
      </c>
      <c r="P22" s="10">
        <v>0</v>
      </c>
    </row>
    <row r="23" spans="1:16" x14ac:dyDescent="0.25">
      <c r="J23" s="4">
        <v>6.5000000000000002E-2</v>
      </c>
      <c r="K23" s="2">
        <v>0.20905874632031232</v>
      </c>
      <c r="L23" s="2">
        <v>8.8245813223479908E-2</v>
      </c>
      <c r="M23" s="10">
        <v>0.52734796834401765</v>
      </c>
      <c r="N23" s="10">
        <v>0.12072393288632642</v>
      </c>
      <c r="O23" s="10">
        <v>0.35192821796189117</v>
      </c>
      <c r="P23" s="10">
        <v>0</v>
      </c>
    </row>
    <row r="24" spans="1:16" x14ac:dyDescent="0.25">
      <c r="J24" s="4">
        <v>7.0000000000000007E-2</v>
      </c>
      <c r="K24" s="2">
        <v>0.21362784032914386</v>
      </c>
      <c r="L24" s="2">
        <v>8.8692709725103874E-2</v>
      </c>
      <c r="M24" s="10">
        <v>0.49915080066341705</v>
      </c>
      <c r="N24" s="10">
        <v>0.13242862820362306</v>
      </c>
      <c r="O24" s="10">
        <v>0.36842069133704447</v>
      </c>
      <c r="P24" s="10">
        <v>0</v>
      </c>
    </row>
    <row r="25" spans="1:16" x14ac:dyDescent="0.25">
      <c r="J25" s="4">
        <v>7.4999999999999997E-2</v>
      </c>
      <c r="K25" s="2">
        <v>0.23271758167169612</v>
      </c>
      <c r="L25" s="2">
        <v>9.0085001239956566E-2</v>
      </c>
      <c r="M25" s="10">
        <v>0.42665652002964005</v>
      </c>
      <c r="N25" s="10">
        <v>0.16298908512349441</v>
      </c>
      <c r="O25" s="10">
        <v>0.38555347035307086</v>
      </c>
      <c r="P25" s="10">
        <v>2.4801044919670671E-2</v>
      </c>
    </row>
    <row r="26" spans="1:16" x14ac:dyDescent="0.25">
      <c r="A26" s="1"/>
      <c r="J26" s="4">
        <v>0.08</v>
      </c>
      <c r="K26" s="2">
        <v>0.31907380840123478</v>
      </c>
      <c r="L26" s="2">
        <v>9.4594952610760563E-2</v>
      </c>
      <c r="M26" s="10">
        <v>0.20042648339596419</v>
      </c>
      <c r="N26" s="10">
        <v>0.25865802173207242</v>
      </c>
      <c r="O26" s="10">
        <v>0.42191049663779662</v>
      </c>
      <c r="P26" s="10">
        <v>0.11900511199470216</v>
      </c>
    </row>
    <row r="27" spans="1:16" x14ac:dyDescent="0.25">
      <c r="J27" s="4">
        <v>8.5000000000000006E-2</v>
      </c>
      <c r="K27" s="2">
        <v>0.45249695872361717</v>
      </c>
      <c r="L27" s="2">
        <v>0.10008617632800572</v>
      </c>
      <c r="M27" s="10">
        <v>0</v>
      </c>
      <c r="N27" s="10">
        <v>0.25146278668734673</v>
      </c>
      <c r="O27" s="10">
        <v>0.48845804839502821</v>
      </c>
      <c r="P27" s="10">
        <v>0.26007927896946992</v>
      </c>
    </row>
    <row r="28" spans="1:16" x14ac:dyDescent="0.25">
      <c r="J28" s="4">
        <v>0.09</v>
      </c>
      <c r="K28" s="2">
        <v>0.60756554617198244</v>
      </c>
      <c r="L28" s="2">
        <v>0.1044444576376112</v>
      </c>
      <c r="M28" s="10">
        <v>0</v>
      </c>
      <c r="N28" s="10">
        <v>0</v>
      </c>
      <c r="O28" s="10">
        <v>0.55555563250066997</v>
      </c>
      <c r="P28" s="10">
        <v>0.44444449443222001</v>
      </c>
    </row>
    <row r="29" spans="1:16" x14ac:dyDescent="0.25">
      <c r="J29" s="4">
        <v>9.5000000000000001E-2</v>
      </c>
      <c r="K29" s="2">
        <v>0.74296650910555695</v>
      </c>
      <c r="L29" s="2">
        <v>0.10700000407360366</v>
      </c>
      <c r="M29" s="10">
        <v>0</v>
      </c>
      <c r="N29" s="10">
        <v>0</v>
      </c>
      <c r="O29" s="10">
        <v>0.30000102883149266</v>
      </c>
      <c r="P29" s="10">
        <v>0.69999910173140356</v>
      </c>
    </row>
    <row r="30" spans="1:16" x14ac:dyDescent="0.25">
      <c r="J30" s="4">
        <v>0.1</v>
      </c>
      <c r="K30" s="2">
        <v>0.948683417568847</v>
      </c>
      <c r="L30" s="2">
        <v>0.11000001385817236</v>
      </c>
      <c r="M30" s="10">
        <v>0</v>
      </c>
      <c r="N30" s="10">
        <v>0</v>
      </c>
      <c r="O30" s="10">
        <v>0</v>
      </c>
      <c r="P30" s="10">
        <v>1.0000001259833851</v>
      </c>
    </row>
    <row r="31" spans="1:16" x14ac:dyDescent="0.25">
      <c r="J31" s="4">
        <v>0.105</v>
      </c>
      <c r="K31" s="2">
        <v>0.948683417568847</v>
      </c>
      <c r="L31" s="2">
        <v>0.11000001385817236</v>
      </c>
      <c r="M31" s="10">
        <v>0</v>
      </c>
      <c r="N31" s="10">
        <v>0</v>
      </c>
      <c r="O31" s="10">
        <v>0</v>
      </c>
      <c r="P31" s="10">
        <v>1.0000001259833851</v>
      </c>
    </row>
    <row r="32" spans="1:16" x14ac:dyDescent="0.25">
      <c r="J32" s="4">
        <v>0.11</v>
      </c>
      <c r="K32" s="2">
        <v>0.948683417568847</v>
      </c>
      <c r="L32" s="2">
        <v>0.11000001385817236</v>
      </c>
      <c r="M32" s="10">
        <v>0</v>
      </c>
      <c r="N32" s="10">
        <v>0</v>
      </c>
      <c r="O32" s="10">
        <v>0</v>
      </c>
      <c r="P32" s="10">
        <v>1.0000001259833851</v>
      </c>
    </row>
    <row r="33" spans="10:16" x14ac:dyDescent="0.25">
      <c r="J33" s="4">
        <v>0.115</v>
      </c>
      <c r="K33" s="2">
        <v>0.948683417568847</v>
      </c>
      <c r="L33" s="2">
        <v>0.11000001385817236</v>
      </c>
      <c r="M33" s="10">
        <v>0</v>
      </c>
      <c r="N33" s="10">
        <v>0</v>
      </c>
      <c r="O33" s="10">
        <v>0</v>
      </c>
      <c r="P33" s="10">
        <v>1.0000001259833851</v>
      </c>
    </row>
    <row r="34" spans="10:16" x14ac:dyDescent="0.25">
      <c r="J34" s="4">
        <v>0.12</v>
      </c>
      <c r="K34" s="2">
        <v>0.948683417568847</v>
      </c>
      <c r="L34" s="2">
        <v>0.11000001385817236</v>
      </c>
      <c r="M34" s="10">
        <v>0</v>
      </c>
      <c r="N34" s="10">
        <v>0</v>
      </c>
      <c r="O34" s="10">
        <v>0</v>
      </c>
      <c r="P34" s="10">
        <v>1.0000001259833851</v>
      </c>
    </row>
    <row r="35" spans="10:16" x14ac:dyDescent="0.25">
      <c r="J35" s="4">
        <v>0.125</v>
      </c>
      <c r="K35" s="2">
        <v>0.948683417568847</v>
      </c>
      <c r="L35" s="2">
        <v>0.11000001385817236</v>
      </c>
      <c r="M35" s="10">
        <v>0</v>
      </c>
      <c r="N35" s="10">
        <v>0</v>
      </c>
      <c r="O35" s="10">
        <v>0</v>
      </c>
      <c r="P35" s="10">
        <v>1.0000001259833851</v>
      </c>
    </row>
    <row r="36" spans="10:16" x14ac:dyDescent="0.25">
      <c r="J36" s="4">
        <v>0.13</v>
      </c>
      <c r="K36" s="2">
        <v>0.948683417568847</v>
      </c>
      <c r="L36" s="2">
        <v>0.11000001385817236</v>
      </c>
      <c r="M36" s="10">
        <v>0</v>
      </c>
      <c r="N36" s="10">
        <v>0</v>
      </c>
      <c r="O36" s="10">
        <v>0</v>
      </c>
      <c r="P36" s="10">
        <v>1.0000001259833851</v>
      </c>
    </row>
    <row r="37" spans="10:16" x14ac:dyDescent="0.25">
      <c r="J37" s="4">
        <v>0.13500000000000001</v>
      </c>
      <c r="K37" s="2">
        <v>0.948683417568847</v>
      </c>
      <c r="L37" s="2">
        <v>0.11000001385817236</v>
      </c>
      <c r="M37" s="10">
        <v>0</v>
      </c>
      <c r="N37" s="10">
        <v>0</v>
      </c>
      <c r="O37" s="10">
        <v>0</v>
      </c>
      <c r="P37" s="10">
        <v>1.0000001259833851</v>
      </c>
    </row>
    <row r="38" spans="10:16" x14ac:dyDescent="0.25">
      <c r="J38" s="4">
        <v>0.14000000000000001</v>
      </c>
      <c r="K38" s="2">
        <v>0.948683417568847</v>
      </c>
      <c r="L38" s="2">
        <v>0.11000001385817236</v>
      </c>
      <c r="M38" s="10">
        <v>0</v>
      </c>
      <c r="N38" s="10">
        <v>0</v>
      </c>
      <c r="O38" s="10">
        <v>0</v>
      </c>
      <c r="P38" s="10">
        <v>1.0000001259833851</v>
      </c>
    </row>
    <row r="39" spans="10:16" x14ac:dyDescent="0.25">
      <c r="J39" s="4">
        <v>0.14499999999999999</v>
      </c>
      <c r="K39" s="2">
        <v>0.948683417568847</v>
      </c>
      <c r="L39" s="2">
        <v>0.11000001385817236</v>
      </c>
      <c r="M39" s="10">
        <v>0</v>
      </c>
      <c r="N39" s="10">
        <v>0</v>
      </c>
      <c r="O39" s="10">
        <v>0</v>
      </c>
      <c r="P39" s="10">
        <v>1.0000001259833851</v>
      </c>
    </row>
    <row r="40" spans="10:16" x14ac:dyDescent="0.25">
      <c r="J40" s="4">
        <v>0.15</v>
      </c>
      <c r="K40" s="2">
        <v>0.948683417568847</v>
      </c>
      <c r="L40" s="2">
        <v>0.11000001385817236</v>
      </c>
      <c r="M40" s="10">
        <v>0</v>
      </c>
      <c r="N40" s="10">
        <v>0</v>
      </c>
      <c r="O40" s="10">
        <v>0</v>
      </c>
      <c r="P40" s="10">
        <v>1.0000001259833851</v>
      </c>
    </row>
    <row r="41" spans="10:16" x14ac:dyDescent="0.25">
      <c r="J41" s="4">
        <v>0.155</v>
      </c>
      <c r="K41" s="2">
        <v>0.948683417568847</v>
      </c>
      <c r="L41" s="2">
        <v>0.11000001385817236</v>
      </c>
      <c r="M41" s="10">
        <v>0</v>
      </c>
      <c r="N41" s="10">
        <v>0</v>
      </c>
      <c r="O41" s="10">
        <v>0</v>
      </c>
      <c r="P41" s="10">
        <v>1.0000001259833851</v>
      </c>
    </row>
    <row r="42" spans="10:16" x14ac:dyDescent="0.25">
      <c r="J42" s="4">
        <v>0.16</v>
      </c>
      <c r="K42" s="2">
        <v>0.948683417568847</v>
      </c>
      <c r="L42" s="2">
        <v>0.11000001385817236</v>
      </c>
      <c r="M42" s="10">
        <v>0</v>
      </c>
      <c r="N42" s="10">
        <v>0</v>
      </c>
      <c r="O42" s="10">
        <v>0</v>
      </c>
      <c r="P42" s="10">
        <v>1.0000001259833851</v>
      </c>
    </row>
  </sheetData>
  <mergeCells count="1">
    <mergeCell ref="A1:I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71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it">
                <anchor moveWithCells="1" sizeWithCells="1">
                  <from>
                    <xdr:col>8</xdr:col>
                    <xdr:colOff>297180</xdr:colOff>
                    <xdr:row>11</xdr:row>
                    <xdr:rowOff>137160</xdr:rowOff>
                  </from>
                  <to>
                    <xdr:col>8</xdr:col>
                    <xdr:colOff>1584960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9</vt:i4>
      </vt:variant>
    </vt:vector>
  </HeadingPairs>
  <TitlesOfParts>
    <vt:vector size="10" baseType="lpstr">
      <vt:lpstr>Sheet1</vt:lpstr>
      <vt:lpstr>constant</vt:lpstr>
      <vt:lpstr>portfolio_mean</vt:lpstr>
      <vt:lpstr>Portfolio_sigma</vt:lpstr>
      <vt:lpstr>Sheet1!Print_Area</vt:lpstr>
      <vt:lpstr>Results</vt:lpstr>
      <vt:lpstr>x_1</vt:lpstr>
      <vt:lpstr>x_2</vt:lpstr>
      <vt:lpstr>x_3</vt:lpstr>
      <vt:lpstr>x_4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2024-11-05T09:01:18Z</cp:lastPrinted>
  <dcterms:created xsi:type="dcterms:W3CDTF">2024-10-05T13:27:14Z</dcterms:created>
  <dcterms:modified xsi:type="dcterms:W3CDTF">2024-11-05T09:01:19Z</dcterms:modified>
</cp:coreProperties>
</file>