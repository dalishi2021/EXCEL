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4\"/>
    </mc:Choice>
  </mc:AlternateContent>
  <xr:revisionPtr revIDLastSave="0" documentId="13_ncr:1_{C4D94D27-C3E1-4647-8EE1-FBC369129BCD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Chart1" sheetId="4" r:id="rId1"/>
    <sheet name="Sheet1" sheetId="1" r:id="rId2"/>
  </sheets>
  <externalReferences>
    <externalReference r:id="rId3"/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1" l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O9" i="1"/>
  <c r="P9" i="1"/>
  <c r="P35" i="1" s="1"/>
  <c r="Q9" i="1"/>
  <c r="N9" i="1"/>
  <c r="N35" i="1" s="1"/>
  <c r="K9" i="1"/>
  <c r="L9" i="1"/>
  <c r="L35" i="1" s="1"/>
  <c r="M9" i="1"/>
  <c r="J9" i="1"/>
  <c r="J35" i="1" s="1"/>
  <c r="G9" i="1"/>
  <c r="H9" i="1"/>
  <c r="H35" i="1" s="1"/>
  <c r="I9" i="1"/>
  <c r="F9" i="1"/>
  <c r="F35" i="1" s="1"/>
  <c r="B9" i="1"/>
  <c r="C9" i="1"/>
  <c r="D9" i="1"/>
  <c r="E9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Y38" i="1"/>
  <c r="Y40" i="1"/>
  <c r="Y43" i="1"/>
  <c r="T43" i="1"/>
  <c r="T40" i="1"/>
  <c r="S38" i="1"/>
  <c r="V3" i="1"/>
  <c r="B7" i="1"/>
  <c r="O35" i="1" l="1"/>
  <c r="B35" i="1"/>
  <c r="K35" i="1"/>
  <c r="D35" i="1"/>
  <c r="C35" i="1"/>
  <c r="I35" i="1"/>
  <c r="M35" i="1"/>
  <c r="E35" i="1"/>
  <c r="G35" i="1"/>
  <c r="Q35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U11" i="1" a="1"/>
  <c r="U11" i="1" s="1"/>
  <c r="Y11" i="1" a="1"/>
  <c r="Y11" i="1" s="1"/>
  <c r="T30" i="1" l="1"/>
  <c r="U30" i="1" s="1"/>
  <c r="X30" i="1"/>
  <c r="Y30" i="1" s="1"/>
  <c r="T34" i="1"/>
  <c r="U34" i="1" s="1"/>
  <c r="T17" i="1"/>
  <c r="X17" i="1"/>
  <c r="T25" i="1"/>
  <c r="X25" i="1"/>
  <c r="T33" i="1"/>
  <c r="X33" i="1"/>
  <c r="T19" i="1"/>
  <c r="X20" i="1"/>
  <c r="X28" i="1"/>
  <c r="T20" i="1"/>
  <c r="X15" i="1"/>
  <c r="T28" i="1"/>
  <c r="X21" i="1"/>
  <c r="X23" i="1"/>
  <c r="T15" i="1"/>
  <c r="X29" i="1"/>
  <c r="X31" i="1"/>
  <c r="T35" i="1"/>
  <c r="T23" i="1"/>
  <c r="X16" i="1"/>
  <c r="X18" i="1"/>
  <c r="X24" i="1"/>
  <c r="X26" i="1"/>
  <c r="T21" i="1"/>
  <c r="T29" i="1"/>
  <c r="T18" i="1"/>
  <c r="X32" i="1"/>
  <c r="X34" i="1"/>
  <c r="T31" i="1"/>
  <c r="T16" i="1"/>
  <c r="T26" i="1"/>
  <c r="X19" i="1"/>
  <c r="X27" i="1"/>
  <c r="T24" i="1"/>
  <c r="T32" i="1"/>
  <c r="T27" i="1"/>
  <c r="X35" i="1"/>
  <c r="T22" i="1"/>
  <c r="X22" i="1"/>
  <c r="V15" i="1" l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U15" i="1"/>
  <c r="Y23" i="1"/>
  <c r="Y32" i="1"/>
  <c r="Y21" i="1"/>
  <c r="U18" i="1"/>
  <c r="U28" i="1"/>
  <c r="Y34" i="1"/>
  <c r="Z15" i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Z35" i="1" s="1"/>
  <c r="Y15" i="1"/>
  <c r="Y22" i="1"/>
  <c r="U20" i="1"/>
  <c r="U29" i="1"/>
  <c r="U32" i="1"/>
  <c r="Y28" i="1"/>
  <c r="U22" i="1"/>
  <c r="U27" i="1"/>
  <c r="Y26" i="1"/>
  <c r="U24" i="1"/>
  <c r="Y24" i="1"/>
  <c r="Y20" i="1"/>
  <c r="Y29" i="1"/>
  <c r="Y35" i="1"/>
  <c r="U21" i="1"/>
  <c r="Y27" i="1"/>
  <c r="Y18" i="1"/>
  <c r="U19" i="1"/>
  <c r="Y16" i="1"/>
  <c r="Y33" i="1"/>
  <c r="U31" i="1"/>
  <c r="U33" i="1"/>
  <c r="Y19" i="1"/>
  <c r="Y25" i="1"/>
  <c r="U23" i="1"/>
  <c r="U25" i="1"/>
  <c r="U35" i="1"/>
  <c r="U26" i="1"/>
  <c r="U16" i="1"/>
  <c r="Y17" i="1"/>
  <c r="Y31" i="1"/>
  <c r="U17" i="1"/>
</calcChain>
</file>

<file path=xl/sharedStrings.xml><?xml version="1.0" encoding="utf-8"?>
<sst xmlns="http://schemas.openxmlformats.org/spreadsheetml/2006/main" count="39" uniqueCount="23">
  <si>
    <t>CUMULATIVE ABNORMAL RETURNS IN THE WINDOW -10 TO +10</t>
  </si>
  <si>
    <t>Calendar Date</t>
  </si>
  <si>
    <t>Ticker</t>
  </si>
  <si>
    <t>KR</t>
  </si>
  <si>
    <t>SVU</t>
  </si>
  <si>
    <t>SWY</t>
  </si>
  <si>
    <t>WFMI</t>
  </si>
  <si>
    <t>Consensus</t>
  </si>
  <si>
    <t xml:space="preserve">Actual </t>
  </si>
  <si>
    <t>Surprise</t>
  </si>
  <si>
    <t>Starting Point</t>
  </si>
  <si>
    <t>Intercept</t>
  </si>
  <si>
    <t>Unadjusted cross-sectional errors - Positive</t>
  </si>
  <si>
    <t>Unadjusted cross-sectional errors - Non-Positive</t>
  </si>
  <si>
    <t>Slope</t>
  </si>
  <si>
    <t>Positive-Earnings Announcements</t>
  </si>
  <si>
    <t>Non-Positive  Earnings Announcements</t>
  </si>
  <si>
    <t>Day relative
to event</t>
  </si>
  <si>
    <t>ABNORMAL RETURN</t>
  </si>
  <si>
    <t>AAR</t>
  </si>
  <si>
    <t>T-stat</t>
  </si>
  <si>
    <t>Cumulative Abnormal Returns</t>
  </si>
  <si>
    <t>STEYX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</si>
</sst>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[$-409]d\-mmm\-yy;@"/>
    <numFmt numFmtId="177" formatCode="0.0000"/>
    <numFmt numFmtId="178" formatCode="0.00%_W"/>
    <numFmt numFmtId="179" formatCode="0.00%_w;\-0.00%_w"/>
    <numFmt numFmtId="180" formatCode="mm/dd/yy;@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7.5"/>
      <name val="Arial"/>
      <family val="2"/>
    </font>
    <font>
      <sz val="7.9"/>
      <name val="Arial"/>
      <family val="2"/>
    </font>
    <font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/>
    <xf numFmtId="176" fontId="4" fillId="0" borderId="0" xfId="0" applyNumberFormat="1" applyFont="1" applyAlignment="1"/>
    <xf numFmtId="14" fontId="0" fillId="0" borderId="0" xfId="0" applyNumberFormat="1" applyAlignment="1"/>
    <xf numFmtId="0" fontId="0" fillId="0" borderId="0" xfId="0" applyAlignment="1">
      <alignment horizont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0" xfId="0" applyFont="1" applyAlignment="1"/>
    <xf numFmtId="2" fontId="0" fillId="0" borderId="0" xfId="0" applyNumberFormat="1" applyAlignment="1"/>
    <xf numFmtId="16" fontId="5" fillId="0" borderId="0" xfId="0" applyNumberFormat="1" applyFont="1" applyAlignment="1">
      <alignment horizontal="center" wrapText="1"/>
    </xf>
    <xf numFmtId="0" fontId="6" fillId="0" borderId="0" xfId="0" applyFont="1" applyAlignment="1">
      <alignment wrapText="1"/>
    </xf>
    <xf numFmtId="10" fontId="6" fillId="0" borderId="0" xfId="0" applyNumberFormat="1" applyFont="1" applyAlignment="1">
      <alignment wrapText="1"/>
    </xf>
    <xf numFmtId="1" fontId="0" fillId="0" borderId="0" xfId="0" applyNumberFormat="1" applyAlignment="1"/>
    <xf numFmtId="177" fontId="0" fillId="0" borderId="0" xfId="0" applyNumberFormat="1" applyAlignment="1"/>
    <xf numFmtId="178" fontId="4" fillId="2" borderId="0" xfId="1" applyNumberFormat="1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178" fontId="7" fillId="0" borderId="0" xfId="1" applyNumberFormat="1" applyFont="1" applyAlignment="1">
      <alignment horizontal="center" wrapText="1"/>
    </xf>
    <xf numFmtId="178" fontId="7" fillId="0" borderId="0" xfId="1" applyNumberFormat="1" applyFont="1" applyAlignment="1">
      <alignment horizontal="right" wrapText="1"/>
    </xf>
    <xf numFmtId="178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179" fontId="7" fillId="0" borderId="0" xfId="1" applyNumberFormat="1" applyFont="1" applyAlignment="1">
      <alignment horizontal="right" wrapText="1"/>
    </xf>
    <xf numFmtId="177" fontId="0" fillId="0" borderId="0" xfId="0" applyNumberFormat="1" applyAlignment="1">
      <alignment horizontal="right"/>
    </xf>
    <xf numFmtId="178" fontId="7" fillId="0" borderId="0" xfId="1" applyNumberFormat="1" applyFont="1" applyAlignment="1">
      <alignment horizontal="right"/>
    </xf>
    <xf numFmtId="177" fontId="4" fillId="0" borderId="0" xfId="0" applyNumberFormat="1" applyFont="1" applyAlignment="1">
      <alignment horizontal="right"/>
    </xf>
    <xf numFmtId="180" fontId="7" fillId="0" borderId="0" xfId="0" applyNumberFormat="1" applyFont="1" applyAlignment="1">
      <alignment horizontal="center" wrapText="1"/>
    </xf>
    <xf numFmtId="0" fontId="8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="1">
                <a:solidFill>
                  <a:schemeClr val="tx1"/>
                </a:solidFill>
              </a:rPr>
              <a:t>Cumulative Average Abnormal Returns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6.5194916162663763E-2"/>
          <c:y val="9.0800738666699743E-2"/>
          <c:w val="0.90358266871128634"/>
          <c:h val="0.82659661983711219"/>
        </c:manualLayout>
      </c:layout>
      <c:lineChart>
        <c:grouping val="standard"/>
        <c:varyColors val="0"/>
        <c:ser>
          <c:idx val="0"/>
          <c:order val="0"/>
          <c:tx>
            <c:strRef>
              <c:f>Sheet1!$T$13</c:f>
              <c:strCache>
                <c:ptCount val="1"/>
                <c:pt idx="0">
                  <c:v>Positive-Earnings Announcements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Sheet1!$S$15:$S$35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Sheet1!$V$15:$V$35</c:f>
              <c:numCache>
                <c:formatCode>0.00%_W</c:formatCode>
                <c:ptCount val="21"/>
                <c:pt idx="0">
                  <c:v>-5.6501779729199912E-3</c:v>
                </c:pt>
                <c:pt idx="1">
                  <c:v>-1.0481184004308537E-2</c:v>
                </c:pt>
                <c:pt idx="2">
                  <c:v>-1.0468442765946211E-2</c:v>
                </c:pt>
                <c:pt idx="3">
                  <c:v>-1.4382511128336578E-2</c:v>
                </c:pt>
                <c:pt idx="4">
                  <c:v>-2.0111108140906719E-2</c:v>
                </c:pt>
                <c:pt idx="5">
                  <c:v>-1.9603697020307245E-2</c:v>
                </c:pt>
                <c:pt idx="6">
                  <c:v>-2.1429157562168538E-2</c:v>
                </c:pt>
                <c:pt idx="7">
                  <c:v>-2.8925199248494876E-2</c:v>
                </c:pt>
                <c:pt idx="8">
                  <c:v>-2.3623218188247027E-2</c:v>
                </c:pt>
                <c:pt idx="9">
                  <c:v>-1.5141352360217453E-2</c:v>
                </c:pt>
                <c:pt idx="10">
                  <c:v>1.1323600339156612E-2</c:v>
                </c:pt>
                <c:pt idx="11">
                  <c:v>1.5900341378634292E-2</c:v>
                </c:pt>
                <c:pt idx="12">
                  <c:v>1.6063220128610202E-2</c:v>
                </c:pt>
                <c:pt idx="13">
                  <c:v>9.769016365675183E-3</c:v>
                </c:pt>
                <c:pt idx="14">
                  <c:v>9.9416143632078992E-3</c:v>
                </c:pt>
                <c:pt idx="15">
                  <c:v>6.980501611672723E-3</c:v>
                </c:pt>
                <c:pt idx="16">
                  <c:v>4.212581838337893E-3</c:v>
                </c:pt>
                <c:pt idx="17">
                  <c:v>7.616796754578989E-3</c:v>
                </c:pt>
                <c:pt idx="18">
                  <c:v>4.0529435622929811E-3</c:v>
                </c:pt>
                <c:pt idx="19">
                  <c:v>5.5872829625628739E-3</c:v>
                </c:pt>
                <c:pt idx="20">
                  <c:v>6.7671264319472818E-3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7-441C-8475-0E220B0E2B55}"/>
            </c:ext>
          </c:extLst>
        </c:ser>
        <c:ser>
          <c:idx val="1"/>
          <c:order val="1"/>
          <c:tx>
            <c:strRef>
              <c:f>Sheet1!$X$13</c:f>
              <c:strCache>
                <c:ptCount val="1"/>
                <c:pt idx="0">
                  <c:v>Non-Positive  Earnings Announcements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Sheet1!$S$15:$S$35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Sheet1!$Z$15:$Z$35</c:f>
              <c:numCache>
                <c:formatCode>0.00%_W</c:formatCode>
                <c:ptCount val="21"/>
                <c:pt idx="0">
                  <c:v>-8.8116138799153808E-4</c:v>
                </c:pt>
                <c:pt idx="1">
                  <c:v>1.6790318379129756E-4</c:v>
                </c:pt>
                <c:pt idx="2">
                  <c:v>5.2932530756546656E-4</c:v>
                </c:pt>
                <c:pt idx="3">
                  <c:v>6.6471174489245622E-4</c:v>
                </c:pt>
                <c:pt idx="4">
                  <c:v>-4.7643471370979263E-3</c:v>
                </c:pt>
                <c:pt idx="5">
                  <c:v>-1.0312205019897873E-2</c:v>
                </c:pt>
                <c:pt idx="6">
                  <c:v>-6.655824670093546E-3</c:v>
                </c:pt>
                <c:pt idx="7">
                  <c:v>-1.0097533396599785E-2</c:v>
                </c:pt>
                <c:pt idx="8">
                  <c:v>-4.7448119650516912E-3</c:v>
                </c:pt>
                <c:pt idx="9">
                  <c:v>-1.2131738879172587E-2</c:v>
                </c:pt>
                <c:pt idx="10">
                  <c:v>-4.4551831336436323E-2</c:v>
                </c:pt>
                <c:pt idx="11">
                  <c:v>-6.084788354898344E-2</c:v>
                </c:pt>
                <c:pt idx="12">
                  <c:v>-5.6877202385714698E-2</c:v>
                </c:pt>
                <c:pt idx="13">
                  <c:v>-5.465256625219813E-2</c:v>
                </c:pt>
                <c:pt idx="14">
                  <c:v>-5.2259120239266751E-2</c:v>
                </c:pt>
                <c:pt idx="15">
                  <c:v>-5.745158974258751E-2</c:v>
                </c:pt>
                <c:pt idx="16">
                  <c:v>-5.1908862534061545E-2</c:v>
                </c:pt>
                <c:pt idx="17">
                  <c:v>-4.7243464710749049E-2</c:v>
                </c:pt>
                <c:pt idx="18">
                  <c:v>-4.5796894521020391E-2</c:v>
                </c:pt>
                <c:pt idx="19">
                  <c:v>-5.0321435358930078E-2</c:v>
                </c:pt>
                <c:pt idx="20">
                  <c:v>-5.2272445902417961E-2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7-441C-8475-0E220B0E2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8460160"/>
        <c:axId val="918460520"/>
      </c:lineChart>
      <c:catAx>
        <c:axId val="918460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400" b="0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EVENT DAY</a:t>
                </a:r>
                <a:endParaRPr lang="zh-CN" alt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in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18460520"/>
        <c:crossesAt val="-7.0000000000000007E-2"/>
        <c:auto val="1"/>
        <c:lblAlgn val="ctr"/>
        <c:lblOffset val="100"/>
        <c:noMultiLvlLbl val="0"/>
      </c:catAx>
      <c:valAx>
        <c:axId val="918460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800" b="1" cap="none" spc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Return</a:t>
                </a:r>
                <a:endParaRPr lang="zh-CN" altLang="en-US" sz="1800" b="1" cap="none" spc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in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184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908665954565463"/>
          <c:y val="0.16769222607930506"/>
          <c:w val="0.22759207768451986"/>
          <c:h val="0.529168598800365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E6076C8-C607-45D9-90C9-AB963A633875}">
  <sheetPr/>
  <sheetViews>
    <sheetView zoomScale="13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1605092" cy="7577978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38005889-B582-62BC-01A8-015D1E46B8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0.51738</cdr:x>
      <cdr:y>0.05773</cdr:y>
    </cdr:from>
    <cdr:to>
      <cdr:x>0.51738</cdr:x>
      <cdr:y>0.91523</cdr:y>
    </cdr:to>
    <cdr:cxnSp macro="">
      <cdr:nvCxnSpPr>
        <cdr:cNvPr id="3" name="直接连接符 2">
          <a:extLst xmlns:a="http://schemas.openxmlformats.org/drawingml/2006/main">
            <a:ext uri="{FF2B5EF4-FFF2-40B4-BE49-F238E27FC236}">
              <a16:creationId xmlns:a16="http://schemas.microsoft.com/office/drawing/2014/main" id="{A221DA5A-E361-BAAF-34EC-38FE911EAA9B}"/>
            </a:ext>
          </a:extLst>
        </cdr:cNvPr>
        <cdr:cNvCxnSpPr/>
      </cdr:nvCxnSpPr>
      <cdr:spPr>
        <a:xfrm xmlns:a="http://schemas.openxmlformats.org/drawingml/2006/main">
          <a:off x="6004275" y="437444"/>
          <a:ext cx="0" cy="6498167"/>
        </a:xfrm>
        <a:prstGeom xmlns:a="http://schemas.openxmlformats.org/drawingml/2006/main" prst="line">
          <a:avLst/>
        </a:prstGeom>
        <a:ln xmlns:a="http://schemas.openxmlformats.org/drawingml/2006/main" w="12700">
          <a:solidFill>
            <a:srgbClr val="FF0000"/>
          </a:solidFill>
          <a:prstDash val="dashDot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45720</xdr:colOff>
      <xdr:row>35</xdr:row>
      <xdr:rowOff>0</xdr:rowOff>
    </xdr:from>
    <xdr:to>
      <xdr:col>19</xdr:col>
      <xdr:colOff>243840</xdr:colOff>
      <xdr:row>37</xdr:row>
      <xdr:rowOff>15240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B0DC506-B668-4E1E-929B-2D2A236D91F0}"/>
            </a:ext>
          </a:extLst>
        </xdr:cNvPr>
        <xdr:cNvSpPr>
          <a:spLocks noChangeShapeType="1"/>
        </xdr:cNvSpPr>
      </xdr:nvSpPr>
      <xdr:spPr bwMode="auto">
        <a:xfrm flipV="1">
          <a:off x="11896725" y="7115175"/>
          <a:ext cx="200025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91440</xdr:colOff>
      <xdr:row>35</xdr:row>
      <xdr:rowOff>7620</xdr:rowOff>
    </xdr:from>
    <xdr:to>
      <xdr:col>20</xdr:col>
      <xdr:colOff>289560</xdr:colOff>
      <xdr:row>39</xdr:row>
      <xdr:rowOff>7620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6450284-594B-4AD1-9C69-35BEB1059C24}"/>
            </a:ext>
          </a:extLst>
        </xdr:cNvPr>
        <xdr:cNvSpPr>
          <a:spLocks noChangeShapeType="1"/>
        </xdr:cNvSpPr>
      </xdr:nvSpPr>
      <xdr:spPr bwMode="auto">
        <a:xfrm flipV="1">
          <a:off x="12592050" y="7124700"/>
          <a:ext cx="190500" cy="10287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358140</xdr:colOff>
      <xdr:row>35</xdr:row>
      <xdr:rowOff>0</xdr:rowOff>
    </xdr:from>
    <xdr:to>
      <xdr:col>21</xdr:col>
      <xdr:colOff>472440</xdr:colOff>
      <xdr:row>41</xdr:row>
      <xdr:rowOff>121920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7852BE02-0F0F-48C7-B6CC-C53AE538FE67}"/>
            </a:ext>
          </a:extLst>
        </xdr:cNvPr>
        <xdr:cNvSpPr>
          <a:spLocks noChangeShapeType="1"/>
        </xdr:cNvSpPr>
      </xdr:nvSpPr>
      <xdr:spPr bwMode="auto">
        <a:xfrm flipV="1">
          <a:off x="12858750" y="7115175"/>
          <a:ext cx="933450" cy="16287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426720</xdr:colOff>
      <xdr:row>35</xdr:row>
      <xdr:rowOff>0</xdr:rowOff>
    </xdr:from>
    <xdr:to>
      <xdr:col>24</xdr:col>
      <xdr:colOff>297180</xdr:colOff>
      <xdr:row>37</xdr:row>
      <xdr:rowOff>7620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BBDDAA5-A8DD-473D-B3E5-5AD59FC89E5F}"/>
            </a:ext>
          </a:extLst>
        </xdr:cNvPr>
        <xdr:cNvSpPr>
          <a:spLocks noChangeShapeType="1"/>
        </xdr:cNvSpPr>
      </xdr:nvSpPr>
      <xdr:spPr bwMode="auto">
        <a:xfrm flipH="1" flipV="1">
          <a:off x="14849475" y="7115175"/>
          <a:ext cx="609600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419100</xdr:colOff>
      <xdr:row>35</xdr:row>
      <xdr:rowOff>0</xdr:rowOff>
    </xdr:from>
    <xdr:to>
      <xdr:col>27</xdr:col>
      <xdr:colOff>137160</xdr:colOff>
      <xdr:row>39</xdr:row>
      <xdr:rowOff>22860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3F3C8CA0-2FAF-40A4-96E4-E5E9903BF7B9}"/>
            </a:ext>
          </a:extLst>
        </xdr:cNvPr>
        <xdr:cNvSpPr>
          <a:spLocks noChangeShapeType="1"/>
        </xdr:cNvSpPr>
      </xdr:nvSpPr>
      <xdr:spPr bwMode="auto">
        <a:xfrm flipH="1" flipV="1">
          <a:off x="15582900" y="7115175"/>
          <a:ext cx="1971675" cy="1047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152400</xdr:colOff>
      <xdr:row>34</xdr:row>
      <xdr:rowOff>121920</xdr:rowOff>
    </xdr:from>
    <xdr:to>
      <xdr:col>25</xdr:col>
      <xdr:colOff>449580</xdr:colOff>
      <xdr:row>42</xdr:row>
      <xdr:rowOff>15240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9F46F86-B55A-4CCE-AB3B-6AB58D18A293}"/>
            </a:ext>
          </a:extLst>
        </xdr:cNvPr>
        <xdr:cNvSpPr>
          <a:spLocks noChangeShapeType="1"/>
        </xdr:cNvSpPr>
      </xdr:nvSpPr>
      <xdr:spPr bwMode="auto">
        <a:xfrm flipV="1">
          <a:off x="15316200" y="7067550"/>
          <a:ext cx="1123950" cy="17430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525780</xdr:colOff>
      <xdr:row>5</xdr:row>
      <xdr:rowOff>121920</xdr:rowOff>
    </xdr:from>
    <xdr:to>
      <xdr:col>21</xdr:col>
      <xdr:colOff>426720</xdr:colOff>
      <xdr:row>10</xdr:row>
      <xdr:rowOff>45720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463845BB-4364-4965-91A3-064C62007CD3}"/>
            </a:ext>
          </a:extLst>
        </xdr:cNvPr>
        <xdr:cNvSpPr>
          <a:spLocks noChangeShapeType="1"/>
        </xdr:cNvSpPr>
      </xdr:nvSpPr>
      <xdr:spPr bwMode="auto">
        <a:xfrm flipH="1">
          <a:off x="13020675" y="1019175"/>
          <a:ext cx="723900" cy="10477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28</xdr:col>
      <xdr:colOff>182218</xdr:colOff>
      <xdr:row>0</xdr:row>
      <xdr:rowOff>0</xdr:rowOff>
    </xdr:from>
    <xdr:to>
      <xdr:col>59</xdr:col>
      <xdr:colOff>551291</xdr:colOff>
      <xdr:row>45</xdr:row>
      <xdr:rowOff>98811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E94D82AE-5E7E-3026-EC30-AF49E536CE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8221740" y="0"/>
          <a:ext cx="19384617" cy="936067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CH14\data.xlsx" TargetMode="External"/><Relationship Id="rId1" Type="http://schemas.openxmlformats.org/officeDocument/2006/relationships/externalLinkPath" Target="data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ock Prices"/>
      <sheetName val="More stock prices"/>
    </sheetNames>
    <sheetDataSet>
      <sheetData sheetId="0">
        <row r="2">
          <cell r="A2" t="str">
            <v>Date</v>
          </cell>
        </row>
        <row r="3">
          <cell r="A3">
            <v>38355</v>
          </cell>
        </row>
        <row r="4">
          <cell r="A4">
            <v>38356</v>
          </cell>
        </row>
        <row r="5">
          <cell r="A5">
            <v>38357</v>
          </cell>
        </row>
        <row r="6">
          <cell r="A6">
            <v>38358</v>
          </cell>
        </row>
        <row r="7">
          <cell r="A7">
            <v>38359</v>
          </cell>
        </row>
        <row r="8">
          <cell r="A8">
            <v>38362</v>
          </cell>
        </row>
        <row r="9">
          <cell r="A9">
            <v>38363</v>
          </cell>
        </row>
        <row r="10">
          <cell r="A10">
            <v>38364</v>
          </cell>
        </row>
        <row r="11">
          <cell r="A11">
            <v>38365</v>
          </cell>
        </row>
        <row r="12">
          <cell r="A12">
            <v>38366</v>
          </cell>
        </row>
        <row r="13">
          <cell r="A13">
            <v>38370</v>
          </cell>
        </row>
        <row r="14">
          <cell r="A14">
            <v>38371</v>
          </cell>
        </row>
        <row r="15">
          <cell r="A15">
            <v>38372</v>
          </cell>
        </row>
        <row r="16">
          <cell r="A16">
            <v>38373</v>
          </cell>
        </row>
        <row r="17">
          <cell r="A17">
            <v>38376</v>
          </cell>
        </row>
        <row r="18">
          <cell r="A18">
            <v>38377</v>
          </cell>
        </row>
        <row r="19">
          <cell r="A19">
            <v>38378</v>
          </cell>
        </row>
        <row r="20">
          <cell r="A20">
            <v>38379</v>
          </cell>
        </row>
        <row r="21">
          <cell r="A21">
            <v>38380</v>
          </cell>
        </row>
        <row r="22">
          <cell r="A22">
            <v>38383</v>
          </cell>
        </row>
        <row r="23">
          <cell r="A23">
            <v>38384</v>
          </cell>
        </row>
        <row r="24">
          <cell r="A24">
            <v>38385</v>
          </cell>
        </row>
        <row r="25">
          <cell r="A25">
            <v>38386</v>
          </cell>
        </row>
        <row r="26">
          <cell r="A26">
            <v>38387</v>
          </cell>
        </row>
        <row r="27">
          <cell r="A27">
            <v>38390</v>
          </cell>
        </row>
        <row r="28">
          <cell r="A28">
            <v>38391</v>
          </cell>
        </row>
        <row r="29">
          <cell r="A29">
            <v>38392</v>
          </cell>
        </row>
        <row r="30">
          <cell r="A30">
            <v>38393</v>
          </cell>
        </row>
        <row r="31">
          <cell r="A31">
            <v>38394</v>
          </cell>
        </row>
        <row r="32">
          <cell r="A32">
            <v>38397</v>
          </cell>
        </row>
        <row r="33">
          <cell r="A33">
            <v>38398</v>
          </cell>
        </row>
        <row r="34">
          <cell r="A34">
            <v>38399</v>
          </cell>
        </row>
        <row r="35">
          <cell r="A35">
            <v>38400</v>
          </cell>
        </row>
        <row r="36">
          <cell r="A36">
            <v>38401</v>
          </cell>
        </row>
        <row r="37">
          <cell r="A37">
            <v>38405</v>
          </cell>
        </row>
        <row r="38">
          <cell r="A38">
            <v>38406</v>
          </cell>
        </row>
        <row r="39">
          <cell r="A39">
            <v>38407</v>
          </cell>
        </row>
        <row r="40">
          <cell r="A40">
            <v>38408</v>
          </cell>
        </row>
        <row r="41">
          <cell r="A41">
            <v>38411</v>
          </cell>
        </row>
        <row r="42">
          <cell r="A42">
            <v>38412</v>
          </cell>
        </row>
        <row r="43">
          <cell r="A43">
            <v>38413</v>
          </cell>
        </row>
        <row r="44">
          <cell r="A44">
            <v>38414</v>
          </cell>
        </row>
        <row r="45">
          <cell r="A45">
            <v>38415</v>
          </cell>
        </row>
        <row r="46">
          <cell r="A46">
            <v>38418</v>
          </cell>
        </row>
        <row r="47">
          <cell r="A47">
            <v>38419</v>
          </cell>
        </row>
        <row r="48">
          <cell r="A48">
            <v>38420</v>
          </cell>
        </row>
        <row r="49">
          <cell r="A49">
            <v>38421</v>
          </cell>
        </row>
        <row r="50">
          <cell r="A50">
            <v>38422</v>
          </cell>
        </row>
        <row r="51">
          <cell r="A51">
            <v>38425</v>
          </cell>
        </row>
        <row r="52">
          <cell r="A52">
            <v>38426</v>
          </cell>
        </row>
        <row r="53">
          <cell r="A53">
            <v>38427</v>
          </cell>
        </row>
        <row r="54">
          <cell r="A54">
            <v>38428</v>
          </cell>
        </row>
        <row r="55">
          <cell r="A55">
            <v>38429</v>
          </cell>
        </row>
        <row r="56">
          <cell r="A56">
            <v>38432</v>
          </cell>
        </row>
        <row r="57">
          <cell r="A57">
            <v>38433</v>
          </cell>
        </row>
        <row r="58">
          <cell r="A58">
            <v>38434</v>
          </cell>
        </row>
        <row r="59">
          <cell r="A59">
            <v>38435</v>
          </cell>
        </row>
        <row r="60">
          <cell r="A60">
            <v>38439</v>
          </cell>
        </row>
        <row r="61">
          <cell r="A61">
            <v>38440</v>
          </cell>
        </row>
        <row r="62">
          <cell r="A62">
            <v>38441</v>
          </cell>
        </row>
        <row r="63">
          <cell r="A63">
            <v>38442</v>
          </cell>
        </row>
        <row r="64">
          <cell r="A64">
            <v>38443</v>
          </cell>
        </row>
        <row r="65">
          <cell r="A65">
            <v>38446</v>
          </cell>
        </row>
        <row r="66">
          <cell r="A66">
            <v>38447</v>
          </cell>
        </row>
        <row r="67">
          <cell r="A67">
            <v>38448</v>
          </cell>
        </row>
        <row r="68">
          <cell r="A68">
            <v>38449</v>
          </cell>
        </row>
        <row r="69">
          <cell r="A69">
            <v>38450</v>
          </cell>
        </row>
        <row r="70">
          <cell r="A70">
            <v>38453</v>
          </cell>
        </row>
        <row r="71">
          <cell r="A71">
            <v>38454</v>
          </cell>
        </row>
        <row r="72">
          <cell r="A72">
            <v>38455</v>
          </cell>
        </row>
        <row r="73">
          <cell r="A73">
            <v>38456</v>
          </cell>
        </row>
        <row r="74">
          <cell r="A74">
            <v>38457</v>
          </cell>
        </row>
        <row r="75">
          <cell r="A75">
            <v>38460</v>
          </cell>
        </row>
        <row r="76">
          <cell r="A76">
            <v>38461</v>
          </cell>
        </row>
        <row r="77">
          <cell r="A77">
            <v>38462</v>
          </cell>
        </row>
        <row r="78">
          <cell r="A78">
            <v>38463</v>
          </cell>
        </row>
        <row r="79">
          <cell r="A79">
            <v>38464</v>
          </cell>
        </row>
        <row r="80">
          <cell r="A80">
            <v>38467</v>
          </cell>
        </row>
        <row r="81">
          <cell r="A81">
            <v>38468</v>
          </cell>
        </row>
        <row r="82">
          <cell r="A82">
            <v>38469</v>
          </cell>
        </row>
        <row r="83">
          <cell r="A83">
            <v>38470</v>
          </cell>
        </row>
        <row r="84">
          <cell r="A84">
            <v>38471</v>
          </cell>
        </row>
        <row r="85">
          <cell r="A85">
            <v>38474</v>
          </cell>
        </row>
        <row r="86">
          <cell r="A86">
            <v>38475</v>
          </cell>
        </row>
        <row r="87">
          <cell r="A87">
            <v>38476</v>
          </cell>
        </row>
        <row r="88">
          <cell r="A88">
            <v>38477</v>
          </cell>
        </row>
        <row r="89">
          <cell r="A89">
            <v>38478</v>
          </cell>
        </row>
        <row r="90">
          <cell r="A90">
            <v>38481</v>
          </cell>
        </row>
        <row r="91">
          <cell r="A91">
            <v>38482</v>
          </cell>
        </row>
        <row r="92">
          <cell r="A92">
            <v>38483</v>
          </cell>
        </row>
        <row r="93">
          <cell r="A93">
            <v>38484</v>
          </cell>
        </row>
        <row r="94">
          <cell r="A94">
            <v>38485</v>
          </cell>
        </row>
        <row r="95">
          <cell r="A95">
            <v>38488</v>
          </cell>
        </row>
        <row r="96">
          <cell r="A96">
            <v>38489</v>
          </cell>
        </row>
        <row r="97">
          <cell r="A97">
            <v>38490</v>
          </cell>
        </row>
        <row r="98">
          <cell r="A98">
            <v>38491</v>
          </cell>
        </row>
        <row r="99">
          <cell r="A99">
            <v>38492</v>
          </cell>
        </row>
        <row r="100">
          <cell r="A100">
            <v>38495</v>
          </cell>
        </row>
        <row r="101">
          <cell r="A101">
            <v>38496</v>
          </cell>
        </row>
        <row r="102">
          <cell r="A102">
            <v>38497</v>
          </cell>
        </row>
        <row r="103">
          <cell r="A103">
            <v>38498</v>
          </cell>
        </row>
        <row r="104">
          <cell r="A104">
            <v>38499</v>
          </cell>
        </row>
        <row r="105">
          <cell r="A105">
            <v>38503</v>
          </cell>
        </row>
        <row r="106">
          <cell r="A106">
            <v>38504</v>
          </cell>
        </row>
        <row r="107">
          <cell r="A107">
            <v>38505</v>
          </cell>
        </row>
        <row r="108">
          <cell r="A108">
            <v>38506</v>
          </cell>
        </row>
        <row r="109">
          <cell r="A109">
            <v>38509</v>
          </cell>
        </row>
        <row r="110">
          <cell r="A110">
            <v>38510</v>
          </cell>
        </row>
        <row r="111">
          <cell r="A111">
            <v>38511</v>
          </cell>
        </row>
        <row r="112">
          <cell r="A112">
            <v>38512</v>
          </cell>
        </row>
        <row r="113">
          <cell r="A113">
            <v>38513</v>
          </cell>
        </row>
        <row r="114">
          <cell r="A114">
            <v>38516</v>
          </cell>
        </row>
        <row r="115">
          <cell r="A115">
            <v>38517</v>
          </cell>
        </row>
        <row r="116">
          <cell r="A116">
            <v>38518</v>
          </cell>
        </row>
        <row r="117">
          <cell r="A117">
            <v>38519</v>
          </cell>
        </row>
        <row r="118">
          <cell r="A118">
            <v>38520</v>
          </cell>
        </row>
        <row r="119">
          <cell r="A119">
            <v>38523</v>
          </cell>
        </row>
        <row r="120">
          <cell r="A120">
            <v>38524</v>
          </cell>
        </row>
        <row r="121">
          <cell r="A121">
            <v>38525</v>
          </cell>
        </row>
        <row r="122">
          <cell r="A122">
            <v>38526</v>
          </cell>
        </row>
        <row r="123">
          <cell r="A123">
            <v>38527</v>
          </cell>
        </row>
        <row r="124">
          <cell r="A124">
            <v>38530</v>
          </cell>
        </row>
        <row r="125">
          <cell r="A125">
            <v>38531</v>
          </cell>
        </row>
        <row r="126">
          <cell r="A126">
            <v>38532</v>
          </cell>
        </row>
        <row r="127">
          <cell r="A127">
            <v>38533</v>
          </cell>
        </row>
        <row r="128">
          <cell r="A128">
            <v>38534</v>
          </cell>
        </row>
        <row r="129">
          <cell r="A129">
            <v>38538</v>
          </cell>
        </row>
        <row r="130">
          <cell r="A130">
            <v>38539</v>
          </cell>
        </row>
        <row r="131">
          <cell r="A131">
            <v>38540</v>
          </cell>
        </row>
        <row r="132">
          <cell r="A132">
            <v>38541</v>
          </cell>
        </row>
        <row r="133">
          <cell r="A133">
            <v>38544</v>
          </cell>
        </row>
        <row r="134">
          <cell r="A134">
            <v>38545</v>
          </cell>
        </row>
        <row r="135">
          <cell r="A135">
            <v>38546</v>
          </cell>
        </row>
        <row r="136">
          <cell r="A136">
            <v>38547</v>
          </cell>
        </row>
        <row r="137">
          <cell r="A137">
            <v>38548</v>
          </cell>
        </row>
        <row r="138">
          <cell r="A138">
            <v>38551</v>
          </cell>
        </row>
        <row r="139">
          <cell r="A139">
            <v>38552</v>
          </cell>
        </row>
        <row r="140">
          <cell r="A140">
            <v>38553</v>
          </cell>
        </row>
        <row r="141">
          <cell r="A141">
            <v>38554</v>
          </cell>
        </row>
        <row r="142">
          <cell r="A142">
            <v>38555</v>
          </cell>
        </row>
        <row r="143">
          <cell r="A143">
            <v>38558</v>
          </cell>
        </row>
        <row r="144">
          <cell r="A144">
            <v>38559</v>
          </cell>
        </row>
        <row r="145">
          <cell r="A145">
            <v>38560</v>
          </cell>
        </row>
        <row r="146">
          <cell r="A146">
            <v>38561</v>
          </cell>
        </row>
        <row r="147">
          <cell r="A147">
            <v>38562</v>
          </cell>
        </row>
        <row r="148">
          <cell r="A148">
            <v>38565</v>
          </cell>
        </row>
        <row r="149">
          <cell r="A149">
            <v>38566</v>
          </cell>
        </row>
        <row r="150">
          <cell r="A150">
            <v>38567</v>
          </cell>
        </row>
        <row r="151">
          <cell r="A151">
            <v>38568</v>
          </cell>
        </row>
        <row r="152">
          <cell r="A152">
            <v>38569</v>
          </cell>
        </row>
        <row r="153">
          <cell r="A153">
            <v>38572</v>
          </cell>
        </row>
        <row r="154">
          <cell r="A154">
            <v>38573</v>
          </cell>
        </row>
        <row r="155">
          <cell r="A155">
            <v>38574</v>
          </cell>
        </row>
        <row r="156">
          <cell r="A156">
            <v>38575</v>
          </cell>
        </row>
        <row r="157">
          <cell r="A157">
            <v>38576</v>
          </cell>
        </row>
        <row r="158">
          <cell r="A158">
            <v>38579</v>
          </cell>
        </row>
        <row r="159">
          <cell r="A159">
            <v>38580</v>
          </cell>
        </row>
        <row r="160">
          <cell r="A160">
            <v>38581</v>
          </cell>
        </row>
        <row r="161">
          <cell r="A161">
            <v>38582</v>
          </cell>
        </row>
        <row r="162">
          <cell r="A162">
            <v>38583</v>
          </cell>
        </row>
        <row r="163">
          <cell r="A163">
            <v>38586</v>
          </cell>
        </row>
        <row r="164">
          <cell r="A164">
            <v>38587</v>
          </cell>
        </row>
        <row r="165">
          <cell r="A165">
            <v>38588</v>
          </cell>
        </row>
        <row r="166">
          <cell r="A166">
            <v>38589</v>
          </cell>
        </row>
        <row r="167">
          <cell r="A167">
            <v>38590</v>
          </cell>
        </row>
        <row r="168">
          <cell r="A168">
            <v>38593</v>
          </cell>
        </row>
        <row r="169">
          <cell r="A169">
            <v>38594</v>
          </cell>
        </row>
        <row r="170">
          <cell r="A170">
            <v>38595</v>
          </cell>
        </row>
        <row r="171">
          <cell r="A171">
            <v>38596</v>
          </cell>
        </row>
        <row r="172">
          <cell r="A172">
            <v>38597</v>
          </cell>
        </row>
        <row r="173">
          <cell r="A173">
            <v>38601</v>
          </cell>
        </row>
        <row r="174">
          <cell r="A174">
            <v>38602</v>
          </cell>
        </row>
        <row r="175">
          <cell r="A175">
            <v>38603</v>
          </cell>
        </row>
        <row r="176">
          <cell r="A176">
            <v>38604</v>
          </cell>
        </row>
        <row r="177">
          <cell r="A177">
            <v>38607</v>
          </cell>
        </row>
        <row r="178">
          <cell r="A178">
            <v>38608</v>
          </cell>
        </row>
        <row r="179">
          <cell r="A179">
            <v>38609</v>
          </cell>
        </row>
        <row r="180">
          <cell r="A180">
            <v>38610</v>
          </cell>
        </row>
        <row r="181">
          <cell r="A181">
            <v>38611</v>
          </cell>
        </row>
        <row r="182">
          <cell r="A182">
            <v>38614</v>
          </cell>
        </row>
        <row r="183">
          <cell r="A183">
            <v>38615</v>
          </cell>
        </row>
        <row r="184">
          <cell r="A184">
            <v>38616</v>
          </cell>
        </row>
        <row r="185">
          <cell r="A185">
            <v>38617</v>
          </cell>
        </row>
        <row r="186">
          <cell r="A186">
            <v>38618</v>
          </cell>
        </row>
        <row r="187">
          <cell r="A187">
            <v>38621</v>
          </cell>
        </row>
        <row r="188">
          <cell r="A188">
            <v>38622</v>
          </cell>
        </row>
        <row r="189">
          <cell r="A189">
            <v>38623</v>
          </cell>
        </row>
        <row r="190">
          <cell r="A190">
            <v>38624</v>
          </cell>
        </row>
        <row r="191">
          <cell r="A191">
            <v>38625</v>
          </cell>
        </row>
        <row r="192">
          <cell r="A192">
            <v>38628</v>
          </cell>
        </row>
        <row r="193">
          <cell r="A193">
            <v>38629</v>
          </cell>
        </row>
        <row r="194">
          <cell r="A194">
            <v>38630</v>
          </cell>
        </row>
        <row r="195">
          <cell r="A195">
            <v>38631</v>
          </cell>
        </row>
        <row r="196">
          <cell r="A196">
            <v>38632</v>
          </cell>
        </row>
        <row r="197">
          <cell r="A197">
            <v>38635</v>
          </cell>
        </row>
        <row r="198">
          <cell r="A198">
            <v>38636</v>
          </cell>
        </row>
        <row r="199">
          <cell r="A199">
            <v>38637</v>
          </cell>
        </row>
        <row r="200">
          <cell r="A200">
            <v>38638</v>
          </cell>
        </row>
        <row r="201">
          <cell r="A201">
            <v>38639</v>
          </cell>
        </row>
        <row r="202">
          <cell r="A202">
            <v>38642</v>
          </cell>
        </row>
        <row r="203">
          <cell r="A203">
            <v>38643</v>
          </cell>
        </row>
        <row r="204">
          <cell r="A204">
            <v>38644</v>
          </cell>
        </row>
        <row r="205">
          <cell r="A205">
            <v>38645</v>
          </cell>
        </row>
        <row r="206">
          <cell r="A206">
            <v>38646</v>
          </cell>
        </row>
        <row r="207">
          <cell r="A207">
            <v>38649</v>
          </cell>
        </row>
        <row r="208">
          <cell r="A208">
            <v>38650</v>
          </cell>
        </row>
        <row r="209">
          <cell r="A209">
            <v>38651</v>
          </cell>
        </row>
        <row r="210">
          <cell r="A210">
            <v>38652</v>
          </cell>
        </row>
        <row r="211">
          <cell r="A211">
            <v>38653</v>
          </cell>
        </row>
        <row r="212">
          <cell r="A212">
            <v>38656</v>
          </cell>
        </row>
        <row r="213">
          <cell r="A213">
            <v>38657</v>
          </cell>
        </row>
        <row r="214">
          <cell r="A214">
            <v>38658</v>
          </cell>
        </row>
        <row r="215">
          <cell r="A215">
            <v>38659</v>
          </cell>
        </row>
        <row r="216">
          <cell r="A216">
            <v>38660</v>
          </cell>
        </row>
        <row r="217">
          <cell r="A217">
            <v>38663</v>
          </cell>
        </row>
        <row r="218">
          <cell r="A218">
            <v>38664</v>
          </cell>
        </row>
        <row r="219">
          <cell r="A219">
            <v>38665</v>
          </cell>
        </row>
        <row r="220">
          <cell r="A220">
            <v>38666</v>
          </cell>
        </row>
        <row r="221">
          <cell r="A221">
            <v>38667</v>
          </cell>
        </row>
        <row r="222">
          <cell r="A222">
            <v>38670</v>
          </cell>
        </row>
        <row r="223">
          <cell r="A223">
            <v>38671</v>
          </cell>
        </row>
        <row r="224">
          <cell r="A224">
            <v>38672</v>
          </cell>
        </row>
        <row r="225">
          <cell r="A225">
            <v>38673</v>
          </cell>
        </row>
        <row r="226">
          <cell r="A226">
            <v>38674</v>
          </cell>
        </row>
        <row r="227">
          <cell r="A227">
            <v>38677</v>
          </cell>
        </row>
        <row r="228">
          <cell r="A228">
            <v>38678</v>
          </cell>
        </row>
        <row r="229">
          <cell r="A229">
            <v>38679</v>
          </cell>
        </row>
        <row r="230">
          <cell r="A230">
            <v>38681</v>
          </cell>
        </row>
        <row r="231">
          <cell r="A231">
            <v>38684</v>
          </cell>
        </row>
        <row r="232">
          <cell r="A232">
            <v>38685</v>
          </cell>
        </row>
        <row r="233">
          <cell r="A233">
            <v>38686</v>
          </cell>
        </row>
        <row r="234">
          <cell r="A234">
            <v>38687</v>
          </cell>
        </row>
        <row r="235">
          <cell r="A235">
            <v>38688</v>
          </cell>
        </row>
        <row r="236">
          <cell r="A236">
            <v>38691</v>
          </cell>
        </row>
        <row r="237">
          <cell r="A237">
            <v>38692</v>
          </cell>
        </row>
        <row r="238">
          <cell r="A238">
            <v>38693</v>
          </cell>
        </row>
        <row r="239">
          <cell r="A239">
            <v>38694</v>
          </cell>
        </row>
        <row r="240">
          <cell r="A240">
            <v>38695</v>
          </cell>
        </row>
        <row r="241">
          <cell r="A241">
            <v>38698</v>
          </cell>
        </row>
        <row r="242">
          <cell r="A242">
            <v>38699</v>
          </cell>
        </row>
        <row r="243">
          <cell r="A243">
            <v>38700</v>
          </cell>
        </row>
        <row r="244">
          <cell r="A244">
            <v>38701</v>
          </cell>
        </row>
        <row r="245">
          <cell r="A245">
            <v>38702</v>
          </cell>
        </row>
        <row r="246">
          <cell r="A246">
            <v>38705</v>
          </cell>
        </row>
        <row r="247">
          <cell r="A247">
            <v>38706</v>
          </cell>
        </row>
        <row r="248">
          <cell r="A248">
            <v>38707</v>
          </cell>
        </row>
        <row r="249">
          <cell r="A249">
            <v>38708</v>
          </cell>
        </row>
        <row r="250">
          <cell r="A250">
            <v>38709</v>
          </cell>
        </row>
        <row r="251">
          <cell r="A251">
            <v>38713</v>
          </cell>
        </row>
        <row r="252">
          <cell r="A252">
            <v>38714</v>
          </cell>
        </row>
        <row r="253">
          <cell r="A253">
            <v>38715</v>
          </cell>
        </row>
        <row r="254">
          <cell r="A254">
            <v>38716</v>
          </cell>
        </row>
        <row r="255">
          <cell r="A255">
            <v>38720</v>
          </cell>
        </row>
        <row r="256">
          <cell r="A256">
            <v>38721</v>
          </cell>
        </row>
        <row r="257">
          <cell r="A257">
            <v>38722</v>
          </cell>
        </row>
        <row r="258">
          <cell r="A258">
            <v>38723</v>
          </cell>
        </row>
        <row r="259">
          <cell r="A259">
            <v>38726</v>
          </cell>
        </row>
        <row r="260">
          <cell r="A260">
            <v>38727</v>
          </cell>
        </row>
        <row r="261">
          <cell r="A261">
            <v>38728</v>
          </cell>
        </row>
        <row r="262">
          <cell r="A262">
            <v>38729</v>
          </cell>
        </row>
        <row r="263">
          <cell r="A263">
            <v>38730</v>
          </cell>
        </row>
        <row r="264">
          <cell r="A264">
            <v>38734</v>
          </cell>
        </row>
        <row r="265">
          <cell r="A265">
            <v>38735</v>
          </cell>
        </row>
        <row r="266">
          <cell r="A266">
            <v>38736</v>
          </cell>
        </row>
        <row r="267">
          <cell r="A267">
            <v>38737</v>
          </cell>
        </row>
        <row r="268">
          <cell r="A268">
            <v>38740</v>
          </cell>
        </row>
        <row r="269">
          <cell r="A269">
            <v>38741</v>
          </cell>
        </row>
        <row r="270">
          <cell r="A270">
            <v>38742</v>
          </cell>
        </row>
        <row r="271">
          <cell r="A271">
            <v>38743</v>
          </cell>
        </row>
        <row r="272">
          <cell r="A272">
            <v>38744</v>
          </cell>
        </row>
        <row r="273">
          <cell r="A273">
            <v>38747</v>
          </cell>
        </row>
        <row r="274">
          <cell r="A274">
            <v>38748</v>
          </cell>
        </row>
        <row r="275">
          <cell r="A275">
            <v>38749</v>
          </cell>
        </row>
        <row r="276">
          <cell r="A276">
            <v>38750</v>
          </cell>
        </row>
        <row r="277">
          <cell r="A277">
            <v>38751</v>
          </cell>
        </row>
        <row r="278">
          <cell r="A278">
            <v>38754</v>
          </cell>
        </row>
        <row r="279">
          <cell r="A279">
            <v>38755</v>
          </cell>
        </row>
        <row r="280">
          <cell r="A280">
            <v>38756</v>
          </cell>
        </row>
        <row r="281">
          <cell r="A281">
            <v>38757</v>
          </cell>
        </row>
        <row r="282">
          <cell r="A282">
            <v>38758</v>
          </cell>
        </row>
        <row r="283">
          <cell r="A283">
            <v>38761</v>
          </cell>
        </row>
        <row r="284">
          <cell r="A284">
            <v>38762</v>
          </cell>
        </row>
        <row r="285">
          <cell r="A285">
            <v>38763</v>
          </cell>
        </row>
        <row r="286">
          <cell r="A286">
            <v>38764</v>
          </cell>
        </row>
        <row r="287">
          <cell r="A287">
            <v>38765</v>
          </cell>
        </row>
        <row r="288">
          <cell r="A288">
            <v>38769</v>
          </cell>
        </row>
        <row r="289">
          <cell r="A289">
            <v>38770</v>
          </cell>
        </row>
        <row r="290">
          <cell r="A290">
            <v>38771</v>
          </cell>
        </row>
        <row r="291">
          <cell r="A291">
            <v>38772</v>
          </cell>
        </row>
        <row r="292">
          <cell r="A292">
            <v>38775</v>
          </cell>
        </row>
        <row r="293">
          <cell r="A293">
            <v>38776</v>
          </cell>
        </row>
        <row r="294">
          <cell r="A294">
            <v>38777</v>
          </cell>
        </row>
        <row r="295">
          <cell r="A295">
            <v>38778</v>
          </cell>
        </row>
        <row r="296">
          <cell r="A296">
            <v>38779</v>
          </cell>
        </row>
        <row r="297">
          <cell r="A297">
            <v>38782</v>
          </cell>
        </row>
        <row r="298">
          <cell r="A298">
            <v>38783</v>
          </cell>
        </row>
        <row r="299">
          <cell r="A299">
            <v>38784</v>
          </cell>
        </row>
        <row r="300">
          <cell r="A300">
            <v>38785</v>
          </cell>
        </row>
        <row r="301">
          <cell r="A301">
            <v>38786</v>
          </cell>
        </row>
        <row r="302">
          <cell r="A302">
            <v>38789</v>
          </cell>
        </row>
        <row r="303">
          <cell r="A303">
            <v>38790</v>
          </cell>
        </row>
        <row r="304">
          <cell r="A304">
            <v>38791</v>
          </cell>
        </row>
        <row r="305">
          <cell r="A305">
            <v>38792</v>
          </cell>
        </row>
        <row r="306">
          <cell r="A306">
            <v>38793</v>
          </cell>
        </row>
        <row r="307">
          <cell r="A307">
            <v>38796</v>
          </cell>
        </row>
        <row r="308">
          <cell r="A308">
            <v>38797</v>
          </cell>
        </row>
        <row r="309">
          <cell r="A309">
            <v>38798</v>
          </cell>
        </row>
        <row r="310">
          <cell r="A310">
            <v>38799</v>
          </cell>
        </row>
        <row r="311">
          <cell r="A311">
            <v>38800</v>
          </cell>
        </row>
        <row r="312">
          <cell r="A312">
            <v>38803</v>
          </cell>
        </row>
        <row r="313">
          <cell r="A313">
            <v>38804</v>
          </cell>
        </row>
        <row r="314">
          <cell r="A314">
            <v>38805</v>
          </cell>
        </row>
        <row r="315">
          <cell r="A315">
            <v>38806</v>
          </cell>
        </row>
        <row r="316">
          <cell r="A316">
            <v>38807</v>
          </cell>
        </row>
        <row r="317">
          <cell r="A317">
            <v>38810</v>
          </cell>
        </row>
        <row r="318">
          <cell r="A318">
            <v>38811</v>
          </cell>
        </row>
        <row r="319">
          <cell r="A319">
            <v>38812</v>
          </cell>
        </row>
        <row r="320">
          <cell r="A320">
            <v>38813</v>
          </cell>
        </row>
        <row r="321">
          <cell r="A321">
            <v>38814</v>
          </cell>
        </row>
        <row r="322">
          <cell r="A322">
            <v>38817</v>
          </cell>
        </row>
        <row r="323">
          <cell r="A323">
            <v>38818</v>
          </cell>
        </row>
        <row r="324">
          <cell r="A324">
            <v>38819</v>
          </cell>
        </row>
        <row r="325">
          <cell r="A325">
            <v>38820</v>
          </cell>
        </row>
        <row r="326">
          <cell r="A326">
            <v>38824</v>
          </cell>
        </row>
        <row r="327">
          <cell r="A327">
            <v>38825</v>
          </cell>
        </row>
        <row r="328">
          <cell r="A328">
            <v>38826</v>
          </cell>
        </row>
        <row r="329">
          <cell r="A329">
            <v>38827</v>
          </cell>
        </row>
        <row r="330">
          <cell r="A330">
            <v>38828</v>
          </cell>
        </row>
        <row r="331">
          <cell r="A331">
            <v>38831</v>
          </cell>
        </row>
        <row r="332">
          <cell r="A332">
            <v>38832</v>
          </cell>
        </row>
        <row r="333">
          <cell r="A333">
            <v>38833</v>
          </cell>
        </row>
        <row r="334">
          <cell r="A334">
            <v>38834</v>
          </cell>
        </row>
        <row r="335">
          <cell r="A335">
            <v>38835</v>
          </cell>
        </row>
        <row r="336">
          <cell r="A336">
            <v>38838</v>
          </cell>
        </row>
        <row r="337">
          <cell r="A337">
            <v>38839</v>
          </cell>
        </row>
        <row r="338">
          <cell r="A338">
            <v>38840</v>
          </cell>
        </row>
        <row r="339">
          <cell r="A339">
            <v>38841</v>
          </cell>
        </row>
        <row r="340">
          <cell r="A340">
            <v>38842</v>
          </cell>
        </row>
        <row r="341">
          <cell r="A341">
            <v>38845</v>
          </cell>
        </row>
        <row r="342">
          <cell r="A342">
            <v>38846</v>
          </cell>
        </row>
        <row r="343">
          <cell r="A343">
            <v>38847</v>
          </cell>
        </row>
        <row r="344">
          <cell r="A344">
            <v>38848</v>
          </cell>
        </row>
        <row r="345">
          <cell r="A345">
            <v>38849</v>
          </cell>
        </row>
        <row r="346">
          <cell r="A346">
            <v>38852</v>
          </cell>
        </row>
        <row r="347">
          <cell r="A347">
            <v>38853</v>
          </cell>
        </row>
        <row r="348">
          <cell r="A348">
            <v>38854</v>
          </cell>
        </row>
        <row r="349">
          <cell r="A349">
            <v>38855</v>
          </cell>
        </row>
        <row r="350">
          <cell r="A350">
            <v>38856</v>
          </cell>
        </row>
        <row r="351">
          <cell r="A351">
            <v>38859</v>
          </cell>
        </row>
        <row r="352">
          <cell r="A352">
            <v>38860</v>
          </cell>
        </row>
        <row r="353">
          <cell r="A353">
            <v>38861</v>
          </cell>
        </row>
        <row r="354">
          <cell r="A354">
            <v>38862</v>
          </cell>
        </row>
        <row r="355">
          <cell r="A355">
            <v>38863</v>
          </cell>
        </row>
        <row r="356">
          <cell r="A356">
            <v>38867</v>
          </cell>
        </row>
        <row r="357">
          <cell r="A357">
            <v>38868</v>
          </cell>
        </row>
        <row r="358">
          <cell r="A358">
            <v>38869</v>
          </cell>
        </row>
        <row r="359">
          <cell r="A359">
            <v>38870</v>
          </cell>
        </row>
        <row r="360">
          <cell r="A360">
            <v>38873</v>
          </cell>
        </row>
        <row r="361">
          <cell r="A361">
            <v>38874</v>
          </cell>
        </row>
        <row r="362">
          <cell r="A362">
            <v>38875</v>
          </cell>
        </row>
        <row r="363">
          <cell r="A363">
            <v>38876</v>
          </cell>
        </row>
        <row r="364">
          <cell r="A364">
            <v>38877</v>
          </cell>
        </row>
        <row r="365">
          <cell r="A365">
            <v>38880</v>
          </cell>
        </row>
        <row r="366">
          <cell r="A366">
            <v>38881</v>
          </cell>
        </row>
        <row r="367">
          <cell r="A367">
            <v>38882</v>
          </cell>
        </row>
        <row r="368">
          <cell r="A368">
            <v>38883</v>
          </cell>
        </row>
        <row r="369">
          <cell r="A369">
            <v>38884</v>
          </cell>
        </row>
        <row r="370">
          <cell r="A370">
            <v>38887</v>
          </cell>
        </row>
        <row r="371">
          <cell r="A371">
            <v>38888</v>
          </cell>
        </row>
        <row r="372">
          <cell r="A372">
            <v>38889</v>
          </cell>
        </row>
        <row r="373">
          <cell r="A373">
            <v>38890</v>
          </cell>
        </row>
        <row r="374">
          <cell r="A374">
            <v>38891</v>
          </cell>
        </row>
        <row r="375">
          <cell r="A375">
            <v>38894</v>
          </cell>
        </row>
        <row r="376">
          <cell r="A376">
            <v>38895</v>
          </cell>
        </row>
        <row r="377">
          <cell r="A377">
            <v>38896</v>
          </cell>
        </row>
        <row r="378">
          <cell r="A378">
            <v>38897</v>
          </cell>
        </row>
        <row r="379">
          <cell r="A379">
            <v>38898</v>
          </cell>
        </row>
        <row r="380">
          <cell r="A380">
            <v>38901</v>
          </cell>
        </row>
        <row r="381">
          <cell r="A381">
            <v>38903</v>
          </cell>
        </row>
        <row r="382">
          <cell r="A382">
            <v>38904</v>
          </cell>
        </row>
        <row r="383">
          <cell r="A383">
            <v>38905</v>
          </cell>
        </row>
        <row r="384">
          <cell r="A384">
            <v>38908</v>
          </cell>
        </row>
        <row r="385">
          <cell r="A385">
            <v>38909</v>
          </cell>
        </row>
        <row r="386">
          <cell r="A386">
            <v>38910</v>
          </cell>
        </row>
        <row r="387">
          <cell r="A387">
            <v>38911</v>
          </cell>
        </row>
        <row r="388">
          <cell r="A388">
            <v>38912</v>
          </cell>
        </row>
        <row r="389">
          <cell r="A389">
            <v>38915</v>
          </cell>
        </row>
        <row r="390">
          <cell r="A390">
            <v>38916</v>
          </cell>
        </row>
        <row r="391">
          <cell r="A391">
            <v>38917</v>
          </cell>
        </row>
        <row r="392">
          <cell r="A392">
            <v>38918</v>
          </cell>
        </row>
        <row r="393">
          <cell r="A393">
            <v>38919</v>
          </cell>
        </row>
        <row r="394">
          <cell r="A394">
            <v>38922</v>
          </cell>
        </row>
        <row r="395">
          <cell r="A395">
            <v>38923</v>
          </cell>
        </row>
        <row r="396">
          <cell r="A396">
            <v>38924</v>
          </cell>
        </row>
        <row r="397">
          <cell r="A397">
            <v>38925</v>
          </cell>
        </row>
        <row r="398">
          <cell r="A398">
            <v>38926</v>
          </cell>
        </row>
        <row r="399">
          <cell r="A399">
            <v>38929</v>
          </cell>
        </row>
        <row r="400">
          <cell r="A400">
            <v>38930</v>
          </cell>
        </row>
        <row r="401">
          <cell r="A401">
            <v>38931</v>
          </cell>
        </row>
        <row r="402">
          <cell r="A402">
            <v>38932</v>
          </cell>
        </row>
        <row r="403">
          <cell r="A403">
            <v>38933</v>
          </cell>
        </row>
        <row r="404">
          <cell r="A404">
            <v>38936</v>
          </cell>
        </row>
        <row r="405">
          <cell r="A405">
            <v>38937</v>
          </cell>
        </row>
        <row r="406">
          <cell r="A406">
            <v>38938</v>
          </cell>
        </row>
        <row r="407">
          <cell r="A407">
            <v>38939</v>
          </cell>
        </row>
        <row r="408">
          <cell r="A408">
            <v>38940</v>
          </cell>
        </row>
        <row r="409">
          <cell r="A409">
            <v>38943</v>
          </cell>
        </row>
        <row r="410">
          <cell r="A410">
            <v>38944</v>
          </cell>
        </row>
        <row r="411">
          <cell r="A411">
            <v>38945</v>
          </cell>
        </row>
        <row r="412">
          <cell r="A412">
            <v>38946</v>
          </cell>
        </row>
        <row r="413">
          <cell r="A413">
            <v>38947</v>
          </cell>
        </row>
        <row r="414">
          <cell r="A414">
            <v>38950</v>
          </cell>
        </row>
        <row r="415">
          <cell r="A415">
            <v>38951</v>
          </cell>
        </row>
        <row r="416">
          <cell r="A416">
            <v>38952</v>
          </cell>
        </row>
        <row r="417">
          <cell r="A417">
            <v>38953</v>
          </cell>
        </row>
        <row r="418">
          <cell r="A418">
            <v>38954</v>
          </cell>
        </row>
        <row r="419">
          <cell r="A419">
            <v>38957</v>
          </cell>
        </row>
        <row r="420">
          <cell r="A420">
            <v>38958</v>
          </cell>
        </row>
        <row r="421">
          <cell r="A421">
            <v>38959</v>
          </cell>
        </row>
        <row r="422">
          <cell r="A422">
            <v>38960</v>
          </cell>
        </row>
        <row r="423">
          <cell r="A423">
            <v>38961</v>
          </cell>
        </row>
        <row r="424">
          <cell r="A424">
            <v>38965</v>
          </cell>
        </row>
        <row r="425">
          <cell r="A425">
            <v>38966</v>
          </cell>
        </row>
        <row r="426">
          <cell r="A426">
            <v>38967</v>
          </cell>
        </row>
        <row r="427">
          <cell r="A427">
            <v>38968</v>
          </cell>
        </row>
        <row r="428">
          <cell r="A428">
            <v>38971</v>
          </cell>
        </row>
        <row r="429">
          <cell r="A429">
            <v>38972</v>
          </cell>
        </row>
        <row r="430">
          <cell r="A430">
            <v>38973</v>
          </cell>
        </row>
        <row r="431">
          <cell r="A431">
            <v>38974</v>
          </cell>
        </row>
        <row r="432">
          <cell r="A432">
            <v>38975</v>
          </cell>
        </row>
        <row r="433">
          <cell r="A433">
            <v>38978</v>
          </cell>
        </row>
        <row r="434">
          <cell r="A434">
            <v>38979</v>
          </cell>
        </row>
        <row r="435">
          <cell r="A435">
            <v>38980</v>
          </cell>
        </row>
        <row r="436">
          <cell r="A436">
            <v>38981</v>
          </cell>
        </row>
        <row r="437">
          <cell r="A437">
            <v>38982</v>
          </cell>
        </row>
        <row r="438">
          <cell r="A438">
            <v>38985</v>
          </cell>
        </row>
        <row r="439">
          <cell r="A439">
            <v>38986</v>
          </cell>
        </row>
        <row r="440">
          <cell r="A440">
            <v>38987</v>
          </cell>
        </row>
        <row r="441">
          <cell r="A441">
            <v>38988</v>
          </cell>
        </row>
        <row r="442">
          <cell r="A442">
            <v>38989</v>
          </cell>
        </row>
        <row r="443">
          <cell r="A443">
            <v>38992</v>
          </cell>
        </row>
        <row r="444">
          <cell r="A444">
            <v>38993</v>
          </cell>
        </row>
        <row r="445">
          <cell r="A445">
            <v>38994</v>
          </cell>
        </row>
        <row r="446">
          <cell r="A446">
            <v>38995</v>
          </cell>
        </row>
        <row r="447">
          <cell r="A447">
            <v>38996</v>
          </cell>
        </row>
        <row r="448">
          <cell r="A448">
            <v>38999</v>
          </cell>
        </row>
        <row r="449">
          <cell r="A449">
            <v>39000</v>
          </cell>
        </row>
        <row r="450">
          <cell r="A450">
            <v>39001</v>
          </cell>
        </row>
        <row r="451">
          <cell r="A451">
            <v>39002</v>
          </cell>
        </row>
        <row r="452">
          <cell r="A452">
            <v>39003</v>
          </cell>
        </row>
        <row r="453">
          <cell r="A453">
            <v>39006</v>
          </cell>
        </row>
        <row r="454">
          <cell r="A454">
            <v>39007</v>
          </cell>
        </row>
        <row r="455">
          <cell r="A455">
            <v>39008</v>
          </cell>
        </row>
        <row r="456">
          <cell r="A456">
            <v>39009</v>
          </cell>
        </row>
        <row r="457">
          <cell r="A457">
            <v>39010</v>
          </cell>
        </row>
        <row r="458">
          <cell r="A458">
            <v>39013</v>
          </cell>
        </row>
        <row r="459">
          <cell r="A459">
            <v>39014</v>
          </cell>
        </row>
        <row r="460">
          <cell r="A460">
            <v>39015</v>
          </cell>
        </row>
        <row r="461">
          <cell r="A461">
            <v>39016</v>
          </cell>
        </row>
        <row r="462">
          <cell r="A462">
            <v>39017</v>
          </cell>
        </row>
        <row r="463">
          <cell r="A463">
            <v>39020</v>
          </cell>
        </row>
        <row r="464">
          <cell r="A464">
            <v>39021</v>
          </cell>
        </row>
        <row r="465">
          <cell r="A465">
            <v>39022</v>
          </cell>
        </row>
        <row r="466">
          <cell r="A466">
            <v>39023</v>
          </cell>
        </row>
        <row r="467">
          <cell r="A467">
            <v>39024</v>
          </cell>
        </row>
        <row r="468">
          <cell r="A468">
            <v>39027</v>
          </cell>
        </row>
        <row r="469">
          <cell r="A469">
            <v>39028</v>
          </cell>
        </row>
        <row r="470">
          <cell r="A470">
            <v>39029</v>
          </cell>
        </row>
        <row r="471">
          <cell r="A471">
            <v>39030</v>
          </cell>
        </row>
        <row r="472">
          <cell r="A472">
            <v>39031</v>
          </cell>
        </row>
        <row r="473">
          <cell r="A473">
            <v>39034</v>
          </cell>
        </row>
        <row r="474">
          <cell r="A474">
            <v>39035</v>
          </cell>
        </row>
        <row r="475">
          <cell r="A475">
            <v>39036</v>
          </cell>
        </row>
        <row r="476">
          <cell r="A476">
            <v>39037</v>
          </cell>
        </row>
        <row r="477">
          <cell r="A477">
            <v>39038</v>
          </cell>
        </row>
        <row r="478">
          <cell r="A478">
            <v>39041</v>
          </cell>
        </row>
        <row r="479">
          <cell r="A479">
            <v>39042</v>
          </cell>
        </row>
        <row r="480">
          <cell r="A480">
            <v>39043</v>
          </cell>
        </row>
        <row r="481">
          <cell r="A481">
            <v>39045</v>
          </cell>
        </row>
        <row r="482">
          <cell r="A482">
            <v>39048</v>
          </cell>
        </row>
        <row r="483">
          <cell r="A483">
            <v>39049</v>
          </cell>
        </row>
        <row r="484">
          <cell r="A484">
            <v>39050</v>
          </cell>
        </row>
        <row r="485">
          <cell r="A485">
            <v>39051</v>
          </cell>
        </row>
        <row r="486">
          <cell r="A486">
            <v>39052</v>
          </cell>
        </row>
        <row r="487">
          <cell r="A487">
            <v>39055</v>
          </cell>
        </row>
        <row r="488">
          <cell r="A488">
            <v>39056</v>
          </cell>
        </row>
        <row r="489">
          <cell r="A489">
            <v>39057</v>
          </cell>
        </row>
        <row r="490">
          <cell r="A490">
            <v>39058</v>
          </cell>
        </row>
        <row r="491">
          <cell r="A491">
            <v>39059</v>
          </cell>
        </row>
        <row r="492">
          <cell r="A492">
            <v>39062</v>
          </cell>
        </row>
        <row r="493">
          <cell r="A493">
            <v>39063</v>
          </cell>
        </row>
        <row r="494">
          <cell r="A494">
            <v>39064</v>
          </cell>
        </row>
        <row r="495">
          <cell r="A495">
            <v>39065</v>
          </cell>
        </row>
        <row r="496">
          <cell r="A496">
            <v>39066</v>
          </cell>
        </row>
        <row r="497">
          <cell r="A497">
            <v>39069</v>
          </cell>
        </row>
        <row r="498">
          <cell r="A498">
            <v>39070</v>
          </cell>
        </row>
        <row r="499">
          <cell r="A499">
            <v>39071</v>
          </cell>
        </row>
        <row r="500">
          <cell r="A500">
            <v>39072</v>
          </cell>
        </row>
        <row r="501">
          <cell r="A501">
            <v>39073</v>
          </cell>
        </row>
        <row r="502">
          <cell r="A502">
            <v>39077</v>
          </cell>
        </row>
        <row r="503">
          <cell r="A503">
            <v>39078</v>
          </cell>
        </row>
        <row r="504">
          <cell r="A504">
            <v>39079</v>
          </cell>
        </row>
        <row r="505">
          <cell r="A505">
            <v>39080</v>
          </cell>
        </row>
        <row r="506">
          <cell r="A506">
            <v>39085</v>
          </cell>
        </row>
        <row r="507">
          <cell r="A507">
            <v>39086</v>
          </cell>
        </row>
        <row r="508">
          <cell r="A508">
            <v>39087</v>
          </cell>
        </row>
        <row r="509">
          <cell r="A509">
            <v>39090</v>
          </cell>
        </row>
        <row r="510">
          <cell r="A510">
            <v>39091</v>
          </cell>
        </row>
        <row r="511">
          <cell r="A511">
            <v>39092</v>
          </cell>
        </row>
        <row r="512">
          <cell r="A512">
            <v>39093</v>
          </cell>
        </row>
        <row r="513">
          <cell r="A513">
            <v>39094</v>
          </cell>
        </row>
        <row r="514">
          <cell r="A514">
            <v>39098</v>
          </cell>
        </row>
        <row r="515">
          <cell r="A515">
            <v>39099</v>
          </cell>
        </row>
        <row r="516">
          <cell r="A516">
            <v>39100</v>
          </cell>
        </row>
        <row r="517">
          <cell r="A517">
            <v>39101</v>
          </cell>
        </row>
        <row r="518">
          <cell r="A518">
            <v>39104</v>
          </cell>
        </row>
        <row r="519">
          <cell r="A519">
            <v>39105</v>
          </cell>
        </row>
        <row r="520">
          <cell r="A520">
            <v>39106</v>
          </cell>
        </row>
        <row r="521">
          <cell r="A521">
            <v>39107</v>
          </cell>
        </row>
        <row r="522">
          <cell r="A522">
            <v>39108</v>
          </cell>
        </row>
        <row r="523">
          <cell r="A523">
            <v>39111</v>
          </cell>
        </row>
        <row r="524">
          <cell r="A524">
            <v>39112</v>
          </cell>
        </row>
        <row r="525">
          <cell r="A525">
            <v>39113</v>
          </cell>
        </row>
        <row r="526">
          <cell r="A526">
            <v>39114</v>
          </cell>
        </row>
        <row r="527">
          <cell r="A527">
            <v>39115</v>
          </cell>
        </row>
        <row r="528">
          <cell r="A528">
            <v>39118</v>
          </cell>
        </row>
        <row r="529">
          <cell r="A529">
            <v>39119</v>
          </cell>
        </row>
        <row r="530">
          <cell r="A530">
            <v>39120</v>
          </cell>
        </row>
        <row r="531">
          <cell r="A531">
            <v>39121</v>
          </cell>
        </row>
        <row r="532">
          <cell r="A532">
            <v>39122</v>
          </cell>
        </row>
        <row r="533">
          <cell r="A533">
            <v>39125</v>
          </cell>
        </row>
        <row r="534">
          <cell r="A534">
            <v>39126</v>
          </cell>
        </row>
        <row r="535">
          <cell r="A535">
            <v>39127</v>
          </cell>
        </row>
        <row r="536">
          <cell r="A536">
            <v>39128</v>
          </cell>
        </row>
        <row r="537">
          <cell r="A537">
            <v>39129</v>
          </cell>
        </row>
        <row r="538">
          <cell r="A538">
            <v>39133</v>
          </cell>
        </row>
        <row r="539">
          <cell r="A539">
            <v>39134</v>
          </cell>
        </row>
        <row r="540">
          <cell r="A540">
            <v>39135</v>
          </cell>
        </row>
        <row r="541">
          <cell r="A541">
            <v>39136</v>
          </cell>
        </row>
        <row r="542">
          <cell r="A542">
            <v>39139</v>
          </cell>
        </row>
        <row r="543">
          <cell r="A543">
            <v>39140</v>
          </cell>
        </row>
        <row r="544">
          <cell r="A544">
            <v>39141</v>
          </cell>
        </row>
        <row r="545">
          <cell r="A545">
            <v>39142</v>
          </cell>
        </row>
        <row r="546">
          <cell r="A546">
            <v>39143</v>
          </cell>
        </row>
        <row r="547">
          <cell r="A547">
            <v>39146</v>
          </cell>
        </row>
        <row r="548">
          <cell r="A548">
            <v>39147</v>
          </cell>
        </row>
        <row r="549">
          <cell r="A549">
            <v>39148</v>
          </cell>
        </row>
        <row r="550">
          <cell r="A550">
            <v>39149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AD45"/>
  <sheetViews>
    <sheetView tabSelected="1" zoomScale="115" zoomScaleNormal="115" workbookViewId="0">
      <selection activeCell="H39" sqref="H39"/>
    </sheetView>
  </sheetViews>
  <sheetFormatPr defaultRowHeight="13.8" x14ac:dyDescent="0.25"/>
  <cols>
    <col min="1" max="1" width="12.6640625" style="3" bestFit="1" customWidth="1"/>
    <col min="2" max="2" width="8.33203125" style="3" bestFit="1" customWidth="1"/>
    <col min="3" max="3" width="9.33203125" style="3" bestFit="1" customWidth="1"/>
    <col min="4" max="4" width="9.44140625" style="3" bestFit="1" customWidth="1"/>
    <col min="5" max="7" width="9.33203125" style="3" bestFit="1" customWidth="1"/>
    <col min="8" max="8" width="10.33203125" style="3" bestFit="1" customWidth="1"/>
    <col min="9" max="9" width="8.33203125" style="3" bestFit="1" customWidth="1"/>
    <col min="10" max="11" width="9.33203125" style="3" bestFit="1" customWidth="1"/>
    <col min="12" max="12" width="10.33203125" style="3" bestFit="1" customWidth="1"/>
    <col min="13" max="13" width="9.33203125" style="3" bestFit="1" customWidth="1"/>
    <col min="14" max="14" width="8.6640625" style="3" bestFit="1" customWidth="1"/>
    <col min="15" max="15" width="8.5546875" style="3" bestFit="1" customWidth="1"/>
    <col min="16" max="17" width="9.33203125" style="3" bestFit="1" customWidth="1"/>
    <col min="18" max="18" width="3.5546875" style="3" customWidth="1"/>
    <col min="19" max="19" width="8.88671875" style="3"/>
    <col min="20" max="20" width="9.44140625" style="3" customWidth="1"/>
    <col min="21" max="21" width="11.88671875" style="3" customWidth="1"/>
    <col min="22" max="22" width="13.44140625" style="3" customWidth="1"/>
    <col min="23" max="23" width="2.6640625" style="3" customWidth="1"/>
    <col min="24" max="24" width="10.88671875" style="3" customWidth="1"/>
    <col min="25" max="25" width="12.109375" style="3" customWidth="1"/>
    <col min="26" max="26" width="11.88671875" style="3" customWidth="1"/>
    <col min="27" max="30" width="8.88671875" style="3"/>
  </cols>
  <sheetData>
    <row r="1" spans="1:26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2"/>
    </row>
    <row r="2" spans="1:26" x14ac:dyDescent="0.25">
      <c r="A2" s="3" t="s">
        <v>1</v>
      </c>
      <c r="B2" s="4">
        <v>38783</v>
      </c>
      <c r="C2" s="4">
        <v>38888</v>
      </c>
      <c r="D2" s="4">
        <v>38972</v>
      </c>
      <c r="E2" s="4">
        <v>39056</v>
      </c>
      <c r="F2" s="4">
        <v>38825</v>
      </c>
      <c r="G2" s="4">
        <v>38924</v>
      </c>
      <c r="H2" s="4">
        <v>39000</v>
      </c>
      <c r="I2" s="4">
        <v>39091</v>
      </c>
      <c r="J2" s="4">
        <v>38834</v>
      </c>
      <c r="K2" s="4">
        <v>38918</v>
      </c>
      <c r="L2" s="4">
        <v>39002</v>
      </c>
      <c r="M2" s="4">
        <v>39140</v>
      </c>
      <c r="N2" s="4">
        <v>38841</v>
      </c>
      <c r="O2" s="4">
        <v>38930</v>
      </c>
      <c r="P2" s="4">
        <v>39024</v>
      </c>
      <c r="Q2" s="4">
        <v>39135</v>
      </c>
      <c r="R2" s="5"/>
    </row>
    <row r="3" spans="1:26" x14ac:dyDescent="0.25">
      <c r="A3" s="3" t="s">
        <v>2</v>
      </c>
      <c r="B3" s="6" t="s">
        <v>3</v>
      </c>
      <c r="C3" s="6" t="s">
        <v>3</v>
      </c>
      <c r="D3" s="6" t="s">
        <v>3</v>
      </c>
      <c r="E3" s="6" t="s">
        <v>3</v>
      </c>
      <c r="F3" s="6" t="s">
        <v>4</v>
      </c>
      <c r="G3" s="6" t="s">
        <v>4</v>
      </c>
      <c r="H3" s="6" t="s">
        <v>4</v>
      </c>
      <c r="I3" s="6" t="s">
        <v>4</v>
      </c>
      <c r="J3" s="6" t="s">
        <v>5</v>
      </c>
      <c r="K3" s="6" t="s">
        <v>5</v>
      </c>
      <c r="L3" s="6" t="s">
        <v>5</v>
      </c>
      <c r="M3" s="6" t="s">
        <v>5</v>
      </c>
      <c r="N3" s="6" t="s">
        <v>6</v>
      </c>
      <c r="O3" s="6" t="s">
        <v>6</v>
      </c>
      <c r="P3" s="6" t="s">
        <v>6</v>
      </c>
      <c r="Q3" s="6" t="s">
        <v>6</v>
      </c>
      <c r="V3" s="7" t="str">
        <f ca="1">"Cell "&amp;CHAR(COLUMN(U11)+64)&amp;ROW(U11)&amp;" contains formula "&amp;[2]!ggetformula(U11)</f>
        <v>Cell U11 contains formula  {=SQRT(SUMPRODUCT(IF($B$6:$Q$6&gt;0,$B$11:$Q$11),IF($B$6:$Q$6&gt;0,$B$11:$Q$11))*(1/COUNTIF($B$6:$Q$6,"&gt;0")^2))}</v>
      </c>
      <c r="W3" s="8"/>
      <c r="X3" s="8"/>
      <c r="Y3" s="8"/>
      <c r="Z3" s="8"/>
    </row>
    <row r="4" spans="1:26" x14ac:dyDescent="0.25">
      <c r="A4" s="3" t="s">
        <v>7</v>
      </c>
      <c r="B4" s="3">
        <v>0.36</v>
      </c>
      <c r="C4" s="3">
        <v>0.42</v>
      </c>
      <c r="D4" s="3">
        <v>0.28999999999999998</v>
      </c>
      <c r="E4" s="3">
        <v>0.28000000000000003</v>
      </c>
      <c r="F4" s="3">
        <v>0.56000000000000005</v>
      </c>
      <c r="G4" s="3">
        <v>0.56999999999999995</v>
      </c>
      <c r="H4" s="3">
        <v>0.53</v>
      </c>
      <c r="I4" s="3">
        <v>0.56000000000000005</v>
      </c>
      <c r="J4" s="3">
        <v>0.3</v>
      </c>
      <c r="K4" s="3">
        <v>0.36</v>
      </c>
      <c r="L4" s="3">
        <v>0.39</v>
      </c>
      <c r="M4" s="3">
        <v>0.6</v>
      </c>
      <c r="N4" s="3">
        <v>0.35</v>
      </c>
      <c r="O4" s="3">
        <v>0.34</v>
      </c>
      <c r="P4" s="3">
        <v>0.28999999999999998</v>
      </c>
      <c r="Q4" s="3">
        <v>0.4</v>
      </c>
      <c r="V4" s="8"/>
      <c r="W4" s="8"/>
      <c r="X4" s="8"/>
      <c r="Y4" s="8"/>
      <c r="Z4" s="8"/>
    </row>
    <row r="5" spans="1:26" x14ac:dyDescent="0.25">
      <c r="A5" s="3" t="s">
        <v>8</v>
      </c>
      <c r="B5" s="3">
        <v>0.39</v>
      </c>
      <c r="C5" s="3">
        <v>0.42</v>
      </c>
      <c r="D5" s="3">
        <v>0.28999999999999998</v>
      </c>
      <c r="E5" s="3">
        <v>0.3</v>
      </c>
      <c r="F5" s="3">
        <v>0.55000000000000004</v>
      </c>
      <c r="G5" s="3">
        <v>0.53</v>
      </c>
      <c r="H5" s="3">
        <v>0.61</v>
      </c>
      <c r="I5" s="3">
        <v>0.54</v>
      </c>
      <c r="J5" s="3">
        <v>0.32</v>
      </c>
      <c r="K5" s="3">
        <v>0.42</v>
      </c>
      <c r="L5" s="3">
        <v>0.39</v>
      </c>
      <c r="M5" s="3">
        <v>0.61</v>
      </c>
      <c r="N5" s="3">
        <v>0.36</v>
      </c>
      <c r="O5" s="3">
        <v>0.35</v>
      </c>
      <c r="P5" s="3">
        <v>0.28999999999999998</v>
      </c>
      <c r="Q5" s="3">
        <v>0.38</v>
      </c>
      <c r="V5" s="8"/>
      <c r="W5" s="8"/>
      <c r="X5" s="8"/>
      <c r="Y5" s="8"/>
      <c r="Z5" s="8"/>
    </row>
    <row r="6" spans="1:26" x14ac:dyDescent="0.25">
      <c r="A6" s="9" t="s">
        <v>9</v>
      </c>
      <c r="B6" s="10">
        <f t="shared" ref="B6:Q6" si="0">B5-B4</f>
        <v>3.0000000000000027E-2</v>
      </c>
      <c r="C6" s="10">
        <f t="shared" si="0"/>
        <v>0</v>
      </c>
      <c r="D6" s="10">
        <f t="shared" si="0"/>
        <v>0</v>
      </c>
      <c r="E6" s="10">
        <f t="shared" si="0"/>
        <v>1.9999999999999962E-2</v>
      </c>
      <c r="F6" s="10">
        <f t="shared" si="0"/>
        <v>-1.0000000000000009E-2</v>
      </c>
      <c r="G6" s="10">
        <f t="shared" si="0"/>
        <v>-3.9999999999999925E-2</v>
      </c>
      <c r="H6" s="10">
        <f t="shared" si="0"/>
        <v>7.999999999999996E-2</v>
      </c>
      <c r="I6" s="10">
        <f t="shared" si="0"/>
        <v>-2.0000000000000018E-2</v>
      </c>
      <c r="J6" s="10">
        <f t="shared" si="0"/>
        <v>2.0000000000000018E-2</v>
      </c>
      <c r="K6" s="10">
        <f t="shared" si="0"/>
        <v>0.06</v>
      </c>
      <c r="L6" s="10">
        <f t="shared" si="0"/>
        <v>0</v>
      </c>
      <c r="M6" s="10">
        <f t="shared" si="0"/>
        <v>1.0000000000000009E-2</v>
      </c>
      <c r="N6" s="10">
        <f t="shared" si="0"/>
        <v>1.0000000000000009E-2</v>
      </c>
      <c r="O6" s="10">
        <f t="shared" si="0"/>
        <v>9.9999999999999534E-3</v>
      </c>
      <c r="P6" s="10">
        <f t="shared" si="0"/>
        <v>0</v>
      </c>
      <c r="Q6" s="10">
        <f t="shared" si="0"/>
        <v>-2.0000000000000018E-2</v>
      </c>
      <c r="R6" s="10"/>
      <c r="V6" s="8"/>
      <c r="W6" s="8"/>
      <c r="X6" s="8"/>
      <c r="Y6" s="8"/>
      <c r="Z6" s="8"/>
    </row>
    <row r="7" spans="1:26" x14ac:dyDescent="0.25">
      <c r="B7" s="31" t="str">
        <f ca="1">_xlfn.FORMULATEXT(B8)</f>
        <v>=COUNTIF('[data.xlsx]Stock Prices'!$A$3:$A$550,"&lt;="&amp;TEXT(B2,"0"))-252</v>
      </c>
      <c r="E7" s="11"/>
      <c r="F7" s="12"/>
      <c r="G7" s="12"/>
      <c r="H7" s="12"/>
      <c r="I7" s="13"/>
      <c r="V7"/>
      <c r="W7"/>
      <c r="X7"/>
      <c r="Y7"/>
      <c r="Z7"/>
    </row>
    <row r="8" spans="1:26" x14ac:dyDescent="0.25">
      <c r="A8" s="3" t="s">
        <v>10</v>
      </c>
      <c r="B8" s="14">
        <f>COUNTIF('[1]Stock Prices'!$A$3:$A$550,"&lt;="&amp;TEXT(B2,"0"))-252</f>
        <v>44</v>
      </c>
      <c r="C8" s="14">
        <f>COUNTIF('[1]Stock Prices'!$A$3:$A$550,"&lt;="&amp;TEXT(C2,"0"))-252</f>
        <v>117</v>
      </c>
      <c r="D8" s="14">
        <f>COUNTIF('[1]Stock Prices'!$A$3:$A$550,"&lt;="&amp;TEXT(D2,"0"))-252</f>
        <v>175</v>
      </c>
      <c r="E8" s="14">
        <f>COUNTIF('[1]Stock Prices'!$A$3:$A$550,"&lt;="&amp;TEXT(E2,"0"))-252</f>
        <v>234</v>
      </c>
      <c r="F8" s="14">
        <f>COUNTIF('[1]Stock Prices'!$A$3:$A$550,"&lt;="&amp;TEXT(F2,"0"))-252</f>
        <v>73</v>
      </c>
      <c r="G8" s="14">
        <f>COUNTIF('[1]Stock Prices'!$A$3:$A$550,"&lt;="&amp;TEXT(G2,"0"))-252</f>
        <v>142</v>
      </c>
      <c r="H8" s="14">
        <f>COUNTIF('[1]Stock Prices'!$A$3:$A$550,"&lt;="&amp;TEXT(H2,"0"))-252</f>
        <v>195</v>
      </c>
      <c r="I8" s="14">
        <f>COUNTIF('[1]Stock Prices'!$A$3:$A$550,"&lt;="&amp;TEXT(I2,"0"))-252</f>
        <v>256</v>
      </c>
      <c r="J8" s="14">
        <f>COUNTIF('[1]Stock Prices'!$A$3:$A$550,"&lt;="&amp;TEXT(J2,"0"))-252</f>
        <v>80</v>
      </c>
      <c r="K8" s="14">
        <f>COUNTIF('[1]Stock Prices'!$A$3:$A$550,"&lt;="&amp;TEXT(K2,"0"))-252</f>
        <v>138</v>
      </c>
      <c r="L8" s="14">
        <f>COUNTIF('[1]Stock Prices'!$A$3:$A$550,"&lt;="&amp;TEXT(L2,"0"))-252</f>
        <v>197</v>
      </c>
      <c r="M8" s="14">
        <f>COUNTIF('[1]Stock Prices'!$A$3:$A$550,"&lt;="&amp;TEXT(M2,"0"))-252</f>
        <v>289</v>
      </c>
      <c r="N8" s="14">
        <f>COUNTIF('[1]Stock Prices'!$A$3:$A$550,"&lt;="&amp;TEXT(N2,"0"))-252</f>
        <v>85</v>
      </c>
      <c r="O8" s="14">
        <f>COUNTIF('[1]Stock Prices'!$A$3:$A$550,"&lt;="&amp;TEXT(O2,"0"))-252</f>
        <v>146</v>
      </c>
      <c r="P8" s="14">
        <f>COUNTIF('[1]Stock Prices'!$A$3:$A$550,"&lt;="&amp;TEXT(P2,"0"))-252</f>
        <v>213</v>
      </c>
      <c r="Q8" s="14">
        <f>COUNTIF('[1]Stock Prices'!$A$3:$A$550,"&lt;="&amp;TEXT(Q2,"0"))-252</f>
        <v>286</v>
      </c>
      <c r="R8" s="14"/>
    </row>
    <row r="9" spans="1:26" x14ac:dyDescent="0.25">
      <c r="A9" s="3" t="s">
        <v>11</v>
      </c>
      <c r="B9" s="15">
        <f ca="1">INTERCEPT(OFFSET('[1]Stock Prices'!$A$2,B$8,4,252,1),OFFSET('[1]Stock Prices'!$A$2,B$8,2,252,1))</f>
        <v>3.0722287454796969E-4</v>
      </c>
      <c r="C9" s="15">
        <f ca="1">INTERCEPT(OFFSET('[1]Stock Prices'!$A$2,C$8,4,252,1),OFFSET('[1]Stock Prices'!$A$2,C$8,2,252,1))</f>
        <v>4.1405519411151021E-4</v>
      </c>
      <c r="D9" s="15">
        <f ca="1">INTERCEPT(OFFSET('[1]Stock Prices'!$A$2,D$8,4,252,1),OFFSET('[1]Stock Prices'!$A$2,D$8,2,252,1))</f>
        <v>6.4501452016221903E-4</v>
      </c>
      <c r="E9" s="15">
        <f ca="1">INTERCEPT(OFFSET('[1]Stock Prices'!$A$2,E$8,4,252,1),OFFSET('[1]Stock Prices'!$A$2,E$8,2,252,1))</f>
        <v>2.9477122927313454E-4</v>
      </c>
      <c r="F9" s="15">
        <f ca="1">INTERCEPT(OFFSET('[1]Stock Prices'!$A$2,F$8,6,252,1),OFFSET('[1]Stock Prices'!$A$2,F$8,2,252,1))</f>
        <v>-8.0167100748492295E-4</v>
      </c>
      <c r="G9" s="15">
        <f ca="1">INTERCEPT(OFFSET('[1]Stock Prices'!$A$2,G$8,6,252,1),OFFSET('[1]Stock Prices'!$A$2,G$8,2,252,1))</f>
        <v>-3.3487183377710865E-4</v>
      </c>
      <c r="H9" s="15">
        <f ca="1">INTERCEPT(OFFSET('[1]Stock Prices'!$A$2,H$8,6,252,1),OFFSET('[1]Stock Prices'!$A$2,H$8,2,252,1))</f>
        <v>-1.9897866511731937E-4</v>
      </c>
      <c r="I9" s="15">
        <f ca="1">INTERCEPT(OFFSET('[1]Stock Prices'!$A$2,I$8,6,252,1),OFFSET('[1]Stock Prices'!$A$2,I$8,2,252,1))</f>
        <v>2.885023377713319E-4</v>
      </c>
      <c r="J9" s="15">
        <f ca="1">INTERCEPT(OFFSET('[1]Stock Prices'!$A$2,J$8,8,252,1),OFFSET('[1]Stock Prices'!$A$2,J$8,2,252,1))</f>
        <v>9.888255768116807E-5</v>
      </c>
      <c r="K9" s="15">
        <f ca="1">INTERCEPT(OFFSET('[1]Stock Prices'!$A$2,K$8,8,252,1),OFFSET('[1]Stock Prices'!$A$2,K$8,2,252,1))</f>
        <v>1.1512496723664544E-4</v>
      </c>
      <c r="L9" s="15">
        <f ca="1">INTERCEPT(OFFSET('[1]Stock Prices'!$A$2,L$8,8,252,1),OFFSET('[1]Stock Prices'!$A$2,L$8,2,252,1))</f>
        <v>3.1691105317675587E-4</v>
      </c>
      <c r="M9" s="15">
        <f ca="1">INTERCEPT(OFFSET('[1]Stock Prices'!$A$2,M$8,8,252,1),OFFSET('[1]Stock Prices'!$A$2,M$8,2,252,1))</f>
        <v>1.1605587759325536E-3</v>
      </c>
      <c r="N9" s="15">
        <f ca="1">INTERCEPT(OFFSET('[1]Stock Prices'!$A$2,N$8,10,252,1),OFFSET('[1]Stock Prices'!$A$2,N$8,2,252,1))</f>
        <v>6.2668026182029516E-4</v>
      </c>
      <c r="O9" s="15">
        <f ca="1">INTERCEPT(OFFSET('[1]Stock Prices'!$A$2,O$8,10,252,1),OFFSET('[1]Stock Prices'!$A$2,O$8,2,252,1))</f>
        <v>-7.0852983492196745E-4</v>
      </c>
      <c r="P9" s="15">
        <f ca="1">INTERCEPT(OFFSET('[1]Stock Prices'!$A$2,P$8,10,252,1),OFFSET('[1]Stock Prices'!$A$2,P$8,2,252,1))</f>
        <v>-1.3549093875490149E-3</v>
      </c>
      <c r="Q9" s="15">
        <f ca="1">INTERCEPT(OFFSET('[1]Stock Prices'!$A$2,Q$8,10,252,1),OFFSET('[1]Stock Prices'!$A$2,Q$8,2,252,1))</f>
        <v>-2.0240410892946267E-3</v>
      </c>
      <c r="R9" s="15"/>
      <c r="T9" s="16" t="s">
        <v>12</v>
      </c>
      <c r="U9" s="17"/>
      <c r="V9" s="17"/>
      <c r="X9" s="16" t="s">
        <v>13</v>
      </c>
      <c r="Y9" s="17"/>
      <c r="Z9" s="17"/>
    </row>
    <row r="10" spans="1:26" x14ac:dyDescent="0.25">
      <c r="A10" s="3" t="s">
        <v>14</v>
      </c>
      <c r="B10" s="15">
        <f ca="1">SLOPE(OFFSET('[1]Stock Prices'!$A$2,B$8,4,252,1),OFFSET('[1]Stock Prices'!$A$2,B$8,2,252,1))</f>
        <v>0.66621190736463554</v>
      </c>
      <c r="C10" s="15">
        <f ca="1">SLOPE(OFFSET('[1]Stock Prices'!$A$2,C$8,4,252,1),OFFSET('[1]Stock Prices'!$A$2,C$8,2,252,1))</f>
        <v>0.60632055502246196</v>
      </c>
      <c r="D10" s="15">
        <f ca="1">SLOPE(OFFSET('[1]Stock Prices'!$A$2,D$8,4,252,1),OFFSET('[1]Stock Prices'!$A$2,D$8,2,252,1))</f>
        <v>0.56282510959831344</v>
      </c>
      <c r="E10" s="15">
        <f ca="1">SLOPE(OFFSET('[1]Stock Prices'!$A$2,E$8,4,252,1),OFFSET('[1]Stock Prices'!$A$2,E$8,2,252,1))</f>
        <v>0.44829342625496299</v>
      </c>
      <c r="F10" s="15">
        <f ca="1">SLOPE(OFFSET('[1]Stock Prices'!$A$2,F$8,6,252,1),OFFSET('[1]Stock Prices'!$A$2,F$8,2,252,1))</f>
        <v>0.70490771829587706</v>
      </c>
      <c r="G10" s="15">
        <f ca="1">SLOPE(OFFSET('[1]Stock Prices'!$A$2,G$8,6,252,1),OFFSET('[1]Stock Prices'!$A$2,G$8,2,252,1))</f>
        <v>0.54161426946692248</v>
      </c>
      <c r="H10" s="15">
        <f ca="1">SLOPE(OFFSET('[1]Stock Prices'!$A$2,H$8,6,252,1),OFFSET('[1]Stock Prices'!$A$2,H$8,2,252,1))</f>
        <v>0.60144717151449223</v>
      </c>
      <c r="I10" s="15">
        <f ca="1">SLOPE(OFFSET('[1]Stock Prices'!$A$2,I$8,6,252,1),OFFSET('[1]Stock Prices'!$A$2,I$8,2,252,1))</f>
        <v>0.52375032095537422</v>
      </c>
      <c r="J10" s="15">
        <f ca="1">SLOPE(OFFSET('[1]Stock Prices'!$A$2,J$8,8,252,1),OFFSET('[1]Stock Prices'!$A$2,J$8,2,252,1))</f>
        <v>1.0138690829703181</v>
      </c>
      <c r="K10" s="15">
        <f ca="1">SLOPE(OFFSET('[1]Stock Prices'!$A$2,K$8,8,252,1),OFFSET('[1]Stock Prices'!$A$2,K$8,2,252,1))</f>
        <v>0.92887616586129296</v>
      </c>
      <c r="L10" s="15">
        <f ca="1">SLOPE(OFFSET('[1]Stock Prices'!$A$2,L$8,8,252,1),OFFSET('[1]Stock Prices'!$A$2,L$8,2,252,1))</f>
        <v>0.75334791263338774</v>
      </c>
      <c r="M10" s="15">
        <f ca="1">SLOPE(OFFSET('[1]Stock Prices'!$A$2,M$8,8,252,1),OFFSET('[1]Stock Prices'!$A$2,M$8,2,252,1))</f>
        <v>0.75045483683749536</v>
      </c>
      <c r="N10" s="15">
        <f ca="1">SLOPE(OFFSET('[1]Stock Prices'!$A$2,N$8,10,252,1),OFFSET('[1]Stock Prices'!$A$2,N$8,2,252,1))</f>
        <v>0.83447092637184028</v>
      </c>
      <c r="O10" s="15">
        <f ca="1">SLOPE(OFFSET('[1]Stock Prices'!$A$2,O$8,10,252,1),OFFSET('[1]Stock Prices'!$A$2,O$8,2,252,1))</f>
        <v>1.2328671999286716</v>
      </c>
      <c r="P10" s="15">
        <f ca="1">SLOPE(OFFSET('[1]Stock Prices'!$A$2,P$8,10,252,1),OFFSET('[1]Stock Prices'!$A$2,P$8,2,252,1))</f>
        <v>1.3198879988465675</v>
      </c>
      <c r="Q10" s="15">
        <f ca="1">SLOPE(OFFSET('[1]Stock Prices'!$A$2,Q$8,10,252,1),OFFSET('[1]Stock Prices'!$A$2,Q$8,2,252,1))</f>
        <v>1.5320514538546197</v>
      </c>
      <c r="R10" s="15"/>
    </row>
    <row r="11" spans="1:26" x14ac:dyDescent="0.25">
      <c r="A11" s="3" t="s">
        <v>22</v>
      </c>
      <c r="B11" s="15">
        <f ca="1">STEYX(OFFSET('[1]Stock Prices'!$A$2,B$8,4,252,1),OFFSET('[1]Stock Prices'!$A$2,B$8,2,252,1))</f>
        <v>1.2349137993478559E-2</v>
      </c>
      <c r="C11" s="15">
        <f ca="1">STEYX(OFFSET('[1]Stock Prices'!$A$2,C$8,4,252,1),OFFSET('[1]Stock Prices'!$A$2,C$8,2,252,1))</f>
        <v>1.1296821585500948E-2</v>
      </c>
      <c r="D11" s="15">
        <f ca="1">STEYX(OFFSET('[1]Stock Prices'!$A$2,D$8,4,252,1),OFFSET('[1]Stock Prices'!$A$2,D$8,2,252,1))</f>
        <v>1.0848033184705751E-2</v>
      </c>
      <c r="E11" s="15">
        <f ca="1">STEYX(OFFSET('[1]Stock Prices'!$A$2,E$8,4,252,1),OFFSET('[1]Stock Prices'!$A$2,E$8,2,252,1))</f>
        <v>1.1790466061742458E-2</v>
      </c>
      <c r="F11" s="15">
        <f ca="1">STEYX(OFFSET('[1]Stock Prices'!$A$2,F$8,6,252,1),OFFSET('[1]Stock Prices'!$A$2,F$8,2,252,1))</f>
        <v>1.2308660462193853E-2</v>
      </c>
      <c r="G11" s="15">
        <f ca="1">STEYX(OFFSET('[1]Stock Prices'!$A$2,G$8,6,252,1),OFFSET('[1]Stock Prices'!$A$2,G$8,2,252,1))</f>
        <v>1.2204132650369339E-2</v>
      </c>
      <c r="H11" s="15">
        <f ca="1">STEYX(OFFSET('[1]Stock Prices'!$A$2,H$8,6,252,1),OFFSET('[1]Stock Prices'!$A$2,H$8,2,252,1))</f>
        <v>1.2843372283021331E-2</v>
      </c>
      <c r="I11" s="15">
        <f ca="1">STEYX(OFFSET('[1]Stock Prices'!$A$2,I$8,6,252,1),OFFSET('[1]Stock Prices'!$A$2,I$8,2,252,1))</f>
        <v>1.3023864729747025E-2</v>
      </c>
      <c r="J11" s="15">
        <f ca="1">STEYX(OFFSET('[1]Stock Prices'!$A$2,J$8,8,252,1),OFFSET('[1]Stock Prices'!$A$2,J$8,2,252,1))</f>
        <v>1.3034592936521632E-2</v>
      </c>
      <c r="K11" s="15">
        <f ca="1">STEYX(OFFSET('[1]Stock Prices'!$A$2,K$8,8,252,1),OFFSET('[1]Stock Prices'!$A$2,K$8,2,252,1))</f>
        <v>1.1834156402763025E-2</v>
      </c>
      <c r="L11" s="15">
        <f ca="1">STEYX(OFFSET('[1]Stock Prices'!$A$2,L$8,8,252,1),OFFSET('[1]Stock Prices'!$A$2,L$8,2,252,1))</f>
        <v>1.3415506884475934E-2</v>
      </c>
      <c r="M11" s="15">
        <f ca="1">STEYX(OFFSET('[1]Stock Prices'!$A$2,M$8,8,252,1),OFFSET('[1]Stock Prices'!$A$2,M$8,2,252,1))</f>
        <v>1.3076057525761185E-2</v>
      </c>
      <c r="N11" s="15">
        <f ca="1">STEYX(OFFSET('[1]Stock Prices'!$A$2,N$8,10,252,1),OFFSET('[1]Stock Prices'!$A$2,N$8,2,252,1))</f>
        <v>1.7526853315346886E-2</v>
      </c>
      <c r="O11" s="15">
        <f ca="1">STEYX(OFFSET('[1]Stock Prices'!$A$2,O$8,10,252,1),OFFSET('[1]Stock Prices'!$A$2,O$8,2,252,1))</f>
        <v>1.642533547553077E-2</v>
      </c>
      <c r="P11" s="15">
        <f ca="1">STEYX(OFFSET('[1]Stock Prices'!$A$2,P$8,10,252,1),OFFSET('[1]Stock Prices'!$A$2,P$8,2,252,1))</f>
        <v>1.9505709143388682E-2</v>
      </c>
      <c r="Q11" s="15">
        <f ca="1">STEYX(OFFSET('[1]Stock Prices'!$A$2,Q$8,10,252,1),OFFSET('[1]Stock Prices'!$A$2,Q$8,2,252,1))</f>
        <v>2.4266967602447915E-2</v>
      </c>
      <c r="R11" s="15"/>
      <c r="U11" s="18">
        <f t="array" aca="1" ref="U11" ca="1">SQRT(SUMPRODUCT(IF($B$6:$Q$6&gt;0,$B$11:$Q$11),IF($B$6:$Q$6&gt;0,$B$11:$Q$11))*(1/COUNTIF($B$6:$Q$6,"&gt;0")^2))</f>
        <v>4.864382499608225E-3</v>
      </c>
      <c r="Y11" s="18">
        <f t="array" aca="1" ref="Y11" ca="1">SQRT(SUMPRODUCT(IF($B$6:$Q$6&lt;=0,$B$11:$Q$11),IF($B$6:$Q$6&lt;=0,$B$11:$Q$11))*(1/COUNTIF($B$6:$Q$6,"&lt;=0")^2))</f>
        <v>5.3977675670471136E-3</v>
      </c>
    </row>
    <row r="12" spans="1:26" x14ac:dyDescent="0.25"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T12" s="19"/>
      <c r="U12" s="19"/>
    </row>
    <row r="13" spans="1:26" x14ac:dyDescent="0.25"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T13" s="20" t="s">
        <v>15</v>
      </c>
      <c r="U13" s="20"/>
      <c r="V13" s="20"/>
      <c r="X13" s="20" t="s">
        <v>16</v>
      </c>
      <c r="Y13" s="21"/>
      <c r="Z13" s="21"/>
    </row>
    <row r="14" spans="1:26" ht="39.6" x14ac:dyDescent="0.25">
      <c r="A14" s="22" t="s">
        <v>17</v>
      </c>
      <c r="B14" s="23" t="s">
        <v>18</v>
      </c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4"/>
      <c r="S14" s="22" t="s">
        <v>17</v>
      </c>
      <c r="T14" s="22" t="s">
        <v>19</v>
      </c>
      <c r="U14" s="22" t="s">
        <v>20</v>
      </c>
      <c r="V14" s="22" t="s">
        <v>21</v>
      </c>
      <c r="W14" s="25"/>
      <c r="X14" s="22" t="s">
        <v>19</v>
      </c>
      <c r="Y14" s="22" t="s">
        <v>20</v>
      </c>
      <c r="Z14" s="22" t="s">
        <v>21</v>
      </c>
    </row>
    <row r="15" spans="1:26" x14ac:dyDescent="0.25">
      <c r="A15" s="6">
        <v>-10</v>
      </c>
      <c r="B15" s="26">
        <f ca="1">OFFSET('[1]Stock Prices'!$A$2,SUM(B$8,252,$A15),4,1,1)-(B$9+B$10*OFFSET('[1]Stock Prices'!$A$2,SUM(B$8,252,$A15),2,1,1))</f>
        <v>5.9176874589179909E-3</v>
      </c>
      <c r="C15" s="19">
        <f ca="1">OFFSET('[1]Stock Prices'!$A$2,SUM(C$8,252,$A15),4,1,1)-(C$9+C$10*OFFSET('[1]Stock Prices'!$A$2,SUM(C$8,252,$A15),2,1,1))</f>
        <v>-7.4402978579683147E-4</v>
      </c>
      <c r="D15" s="19">
        <f ca="1">OFFSET('[1]Stock Prices'!$A$2,SUM(D$8,252,$A15),4,1,1)-(D$9+D$10*OFFSET('[1]Stock Prices'!$A$2,SUM(D$8,252,$A15),2,1,1))</f>
        <v>7.1963452894618475E-3</v>
      </c>
      <c r="E15" s="19">
        <f ca="1">OFFSET('[1]Stock Prices'!$A$2,SUM(E$8,252,$A15),4,1,1)-(E$9+E$10*OFFSET('[1]Stock Prices'!$A$2,SUM(E$8,252,$A15),2,1,1))</f>
        <v>-4.6038598489693662E-3</v>
      </c>
      <c r="F15" s="19">
        <f ca="1">OFFSET('[1]Stock Prices'!$A$2,SUM(F$8,252,$A15),6,1,1)-(F$9+F$10*OFFSET('[1]Stock Prices'!$A$2,SUM(F$8,252,$A15),2,1,1))</f>
        <v>-6.777090751065599E-3</v>
      </c>
      <c r="G15" s="19">
        <f ca="1">OFFSET('[1]Stock Prices'!$A$2,SUM(G$8,252,$A15),6,1,1)-(G$9+G$10*OFFSET('[1]Stock Prices'!$A$2,SUM(G$8,252,$A15),2,1,1))</f>
        <v>-1.8149799756780993E-2</v>
      </c>
      <c r="H15" s="19">
        <f ca="1">OFFSET('[1]Stock Prices'!$A$2,SUM(H$8,252,$A15),6,1,1)-(H$9+H$10*OFFSET('[1]Stock Prices'!$A$2,SUM(H$8,252,$A15),2,1,1))</f>
        <v>-1.0407126980480083E-2</v>
      </c>
      <c r="I15" s="19">
        <f ca="1">OFFSET('[1]Stock Prices'!$A$2,SUM(I$8,252,$A15),6,1,1)-(I$9+I$10*OFFSET('[1]Stock Prices'!$A$2,SUM(I$8,252,$A15),2,1,1))</f>
        <v>4.6952640861642565E-3</v>
      </c>
      <c r="J15" s="19">
        <f ca="1">OFFSET('[1]Stock Prices'!$A$2,SUM(J$8,252,$A15),8,1,1)-(J$9+J$10*OFFSET('[1]Stock Prices'!$A$2,SUM(J$8,252,$A15),2,1,1))</f>
        <v>3.191367586248483E-3</v>
      </c>
      <c r="K15" s="19">
        <f ca="1">OFFSET('[1]Stock Prices'!$A$2,SUM(K$8,252,$A15),8,1,1)-(K$9+K$10*OFFSET('[1]Stock Prices'!$A$2,SUM(K$8,252,$A15),2,1,1))</f>
        <v>-7.5248255289094533E-5</v>
      </c>
      <c r="L15" s="19">
        <f ca="1">OFFSET('[1]Stock Prices'!$A$2,SUM(L$8,252,$A15),8,1,1)-(L$9+L$10*OFFSET('[1]Stock Prices'!$A$2,SUM(L$8,252,$A15),2,1,1))</f>
        <v>3.6307987894115333E-3</v>
      </c>
      <c r="M15" s="19">
        <f ca="1">OFFSET('[1]Stock Prices'!$A$2,SUM(M$8,252,$A15),8,1,1)-(M$9+M$10*OFFSET('[1]Stock Prices'!$A$2,SUM(M$8,252,$A15),2,1,1))</f>
        <v>4.6456976952712978E-3</v>
      </c>
      <c r="N15" s="19">
        <f ca="1">OFFSET('[1]Stock Prices'!$A$2,SUM(N$8,252,$A15),10,1,1)-(N$9+N$10*OFFSET('[1]Stock Prices'!$A$2,SUM(N$8,252,$A15),2,1,1))</f>
        <v>-5.1564713837479199E-3</v>
      </c>
      <c r="O15" s="19">
        <f ca="1">OFFSET('[1]Stock Prices'!$A$2,SUM(O$8,252,$A15),10,1,1)-(O$9+O$10*OFFSET('[1]Stock Prices'!$A$2,SUM(O$8,252,$A15),2,1,1))</f>
        <v>-3.8713470055311235E-2</v>
      </c>
      <c r="P15" s="19">
        <f ca="1">OFFSET('[1]Stock Prices'!$A$2,SUM(P$8,252,$A15),10,1,1)-(P$9+P$10*OFFSET('[1]Stock Prices'!$A$2,SUM(P$8,252,$A15),2,1,1))</f>
        <v>5.4782723662008472E-4</v>
      </c>
      <c r="Q15" s="19">
        <f ca="1">OFFSET('[1]Stock Prices'!$A$2,SUM(Q$8,252,$A15),10,1,1)-(Q$9+Q$10*OFFSET('[1]Stock Prices'!$A$2,SUM(Q$8,252,$A15),2,1,1))</f>
        <v>2.5513937880533946E-3</v>
      </c>
      <c r="R15" s="19"/>
      <c r="S15" s="6">
        <v>-10</v>
      </c>
      <c r="T15" s="19">
        <f t="shared" ref="T15:T35" ca="1" si="1">SUMIF($B$6:$Q$6,"&gt;0",B15:Q15)/COUNTIF($B$6:$Q$6,"&gt;0")</f>
        <v>-5.6501779729199912E-3</v>
      </c>
      <c r="U15" s="27">
        <f t="shared" ref="U15:U35" ca="1" si="2">T15/$U$11</f>
        <v>-1.1615406422860566</v>
      </c>
      <c r="V15" s="28">
        <f ca="1">T15</f>
        <v>-5.6501779729199912E-3</v>
      </c>
      <c r="W15" s="19"/>
      <c r="X15" s="28">
        <f t="shared" ref="X15:X35" ca="1" si="3">SUMIF($B$6:$Q$6,"&lt;=0",B15:Q15)/COUNTIF($B$6:$Q$6,"&lt;=0")</f>
        <v>-8.8116138799153808E-4</v>
      </c>
      <c r="Y15" s="27">
        <f t="shared" ref="Y15:Y35" ca="1" si="4">X15/$Y$11</f>
        <v>-0.16324552271775267</v>
      </c>
      <c r="Z15" s="28">
        <f ca="1">X15</f>
        <v>-8.8116138799153808E-4</v>
      </c>
    </row>
    <row r="16" spans="1:26" x14ac:dyDescent="0.25">
      <c r="A16" s="6">
        <v>-9</v>
      </c>
      <c r="B16" s="26">
        <f ca="1">OFFSET('[1]Stock Prices'!$A$2,SUM(B$8,252,$A16),4,1,1)-(B$9+B$10*OFFSET('[1]Stock Prices'!$A$2,SUM(B$8,252,$A16),2,1,1))</f>
        <v>-1.1871378110618728E-2</v>
      </c>
      <c r="C16" s="19">
        <f ca="1">OFFSET('[1]Stock Prices'!$A$2,SUM(C$8,252,$A16),4,1,1)-(C$9+C$10*OFFSET('[1]Stock Prices'!$A$2,SUM(C$8,252,$A16),2,1,1))</f>
        <v>8.8906524055273554E-3</v>
      </c>
      <c r="D16" s="19">
        <f ca="1">OFFSET('[1]Stock Prices'!$A$2,SUM(D$8,252,$A16),4,1,1)-(D$9+D$10*OFFSET('[1]Stock Prices'!$A$2,SUM(D$8,252,$A16),2,1,1))</f>
        <v>3.8153264000164574E-3</v>
      </c>
      <c r="E16" s="19">
        <f ca="1">OFFSET('[1]Stock Prices'!$A$2,SUM(E$8,252,$A16),4,1,1)-(E$9+E$10*OFFSET('[1]Stock Prices'!$A$2,SUM(E$8,252,$A16),2,1,1))</f>
        <v>-1.1997602461851621E-2</v>
      </c>
      <c r="F16" s="19">
        <f ca="1">OFFSET('[1]Stock Prices'!$A$2,SUM(F$8,252,$A16),6,1,1)-(F$9+F$10*OFFSET('[1]Stock Prices'!$A$2,SUM(F$8,252,$A16),2,1,1))</f>
        <v>-1.0617246848484882E-2</v>
      </c>
      <c r="G16" s="19">
        <f ca="1">OFFSET('[1]Stock Prices'!$A$2,SUM(G$8,252,$A16),6,1,1)-(G$9+G$10*OFFSET('[1]Stock Prices'!$A$2,SUM(G$8,252,$A16),2,1,1))</f>
        <v>3.3346182459690248E-3</v>
      </c>
      <c r="H16" s="19">
        <f ca="1">OFFSET('[1]Stock Prices'!$A$2,SUM(H$8,252,$A16),6,1,1)-(H$9+H$10*OFFSET('[1]Stock Prices'!$A$2,SUM(H$8,252,$A16),2,1,1))</f>
        <v>-4.3360739633356927E-3</v>
      </c>
      <c r="I16" s="19">
        <f ca="1">OFFSET('[1]Stock Prices'!$A$2,SUM(I$8,252,$A16),6,1,1)-(I$9+I$10*OFFSET('[1]Stock Prices'!$A$2,SUM(I$8,252,$A16),2,1,1))</f>
        <v>3.6122539408341521E-3</v>
      </c>
      <c r="J16" s="19">
        <f ca="1">OFFSET('[1]Stock Prices'!$A$2,SUM(J$8,252,$A16),8,1,1)-(J$9+J$10*OFFSET('[1]Stock Prices'!$A$2,SUM(J$8,252,$A16),2,1,1))</f>
        <v>6.4523171513886732E-3</v>
      </c>
      <c r="K16" s="19">
        <f ca="1">OFFSET('[1]Stock Prices'!$A$2,SUM(K$8,252,$A16),8,1,1)-(K$9+K$10*OFFSET('[1]Stock Prices'!$A$2,SUM(K$8,252,$A16),2,1,1))</f>
        <v>-9.6221004155369744E-3</v>
      </c>
      <c r="L16" s="19">
        <f ca="1">OFFSET('[1]Stock Prices'!$A$2,SUM(L$8,252,$A16),8,1,1)-(L$9+L$10*OFFSET('[1]Stock Prices'!$A$2,SUM(L$8,252,$A16),2,1,1))</f>
        <v>-9.4422965243699045E-3</v>
      </c>
      <c r="M16" s="19">
        <f ca="1">OFFSET('[1]Stock Prices'!$A$2,SUM(M$8,252,$A16),8,1,1)-(M$9+M$10*OFFSET('[1]Stock Prices'!$A$2,SUM(M$8,252,$A16),2,1,1))</f>
        <v>2.8803738978827008E-3</v>
      </c>
      <c r="N16" s="19">
        <f ca="1">OFFSET('[1]Stock Prices'!$A$2,SUM(N$8,252,$A16),10,1,1)-(N$9+N$10*OFFSET('[1]Stock Prices'!$A$2,SUM(N$8,252,$A16),2,1,1))</f>
        <v>-1.9429299053021098E-2</v>
      </c>
      <c r="O16" s="19">
        <f ca="1">OFFSET('[1]Stock Prices'!$A$2,SUM(O$8,252,$A16),10,1,1)-(O$9+O$10*OFFSET('[1]Stock Prices'!$A$2,SUM(O$8,252,$A16),2,1,1))</f>
        <v>9.2757147039843717E-3</v>
      </c>
      <c r="P16" s="19">
        <f ca="1">OFFSET('[1]Stock Prices'!$A$2,SUM(P$8,252,$A16),10,1,1)-(P$9+P$10*OFFSET('[1]Stock Prices'!$A$2,SUM(P$8,252,$A16),2,1,1))</f>
        <v>-5.5812400512246681E-4</v>
      </c>
      <c r="Q16" s="19">
        <f ca="1">OFFSET('[1]Stock Prices'!$A$2,SUM(Q$8,252,$A16),10,1,1)-(Q$9+Q$10*OFFSET('[1]Stock Prices'!$A$2,SUM(Q$8,252,$A16),2,1,1))</f>
        <v>9.3573329598929493E-3</v>
      </c>
      <c r="R16" s="19"/>
      <c r="S16" s="6">
        <v>-9</v>
      </c>
      <c r="T16" s="19">
        <f t="shared" ca="1" si="1"/>
        <v>-4.8310060313885451E-3</v>
      </c>
      <c r="U16" s="27">
        <f t="shared" ca="1" si="2"/>
        <v>-0.99313860120531883</v>
      </c>
      <c r="V16" s="28">
        <f t="shared" ref="V16:V35" ca="1" si="5">T16+V15</f>
        <v>-1.0481184004308537E-2</v>
      </c>
      <c r="W16" s="19"/>
      <c r="X16" s="28">
        <f t="shared" ca="1" si="3"/>
        <v>1.0490645717828356E-3</v>
      </c>
      <c r="Y16" s="27">
        <f t="shared" ca="1" si="4"/>
        <v>0.19435156455925978</v>
      </c>
      <c r="Z16" s="28">
        <f t="shared" ref="Z16:Z35" ca="1" si="6">X16+Z15</f>
        <v>1.6790318379129756E-4</v>
      </c>
    </row>
    <row r="17" spans="1:26" x14ac:dyDescent="0.25">
      <c r="A17" s="6">
        <v>-8</v>
      </c>
      <c r="B17" s="19">
        <f ca="1">OFFSET('[1]Stock Prices'!$A$2,SUM(B$8,252,$A17),4,1,1)-(B$9+B$10*OFFSET('[1]Stock Prices'!$A$2,SUM(B$8,252,$A17),2,1,1))</f>
        <v>1.0804995178055995E-2</v>
      </c>
      <c r="C17" s="19">
        <f ca="1">OFFSET('[1]Stock Prices'!$A$2,SUM(C$8,252,$A17),4,1,1)-(C$9+C$10*OFFSET('[1]Stock Prices'!$A$2,SUM(C$8,252,$A17),2,1,1))</f>
        <v>5.8088457431202277E-3</v>
      </c>
      <c r="D17" s="19">
        <f ca="1">OFFSET('[1]Stock Prices'!$A$2,SUM(D$8,252,$A17),4,1,1)-(D$9+D$10*OFFSET('[1]Stock Prices'!$A$2,SUM(D$8,252,$A17),2,1,1))</f>
        <v>-3.2423845091346217E-3</v>
      </c>
      <c r="E17" s="19">
        <f ca="1">OFFSET('[1]Stock Prices'!$A$2,SUM(E$8,252,$A17),4,1,1)-(E$9+E$10*OFFSET('[1]Stock Prices'!$A$2,SUM(E$8,252,$A17),2,1,1))</f>
        <v>3.5363223585967076E-5</v>
      </c>
      <c r="F17" s="19">
        <f ca="1">OFFSET('[1]Stock Prices'!$A$2,SUM(F$8,252,$A17),6,1,1)-(F$9+F$10*OFFSET('[1]Stock Prices'!$A$2,SUM(F$8,252,$A17),2,1,1))</f>
        <v>2.456257835288818E-3</v>
      </c>
      <c r="G17" s="19">
        <f ca="1">OFFSET('[1]Stock Prices'!$A$2,SUM(G$8,252,$A17),6,1,1)-(G$9+G$10*OFFSET('[1]Stock Prices'!$A$2,SUM(G$8,252,$A17),2,1,1))</f>
        <v>-3.4847644775032596E-3</v>
      </c>
      <c r="H17" s="19">
        <f ca="1">OFFSET('[1]Stock Prices'!$A$2,SUM(H$8,252,$A17),6,1,1)-(H$9+H$10*OFFSET('[1]Stock Prices'!$A$2,SUM(H$8,252,$A17),2,1,1))</f>
        <v>2.9166283622403199E-3</v>
      </c>
      <c r="I17" s="19">
        <f ca="1">OFFSET('[1]Stock Prices'!$A$2,SUM(I$8,252,$A17),6,1,1)-(I$9+I$10*OFFSET('[1]Stock Prices'!$A$2,SUM(I$8,252,$A17),2,1,1))</f>
        <v>-9.2353074821979152E-3</v>
      </c>
      <c r="J17" s="19">
        <f ca="1">OFFSET('[1]Stock Prices'!$A$2,SUM(J$8,252,$A17),8,1,1)-(J$9+J$10*OFFSET('[1]Stock Prices'!$A$2,SUM(J$8,252,$A17),2,1,1))</f>
        <v>-6.4996357322812601E-3</v>
      </c>
      <c r="K17" s="19">
        <f ca="1">OFFSET('[1]Stock Prices'!$A$2,SUM(K$8,252,$A17),8,1,1)-(K$9+K$10*OFFSET('[1]Stock Prices'!$A$2,SUM(K$8,252,$A17),2,1,1))</f>
        <v>2.0970166284109996E-3</v>
      </c>
      <c r="L17" s="19">
        <f ca="1">OFFSET('[1]Stock Prices'!$A$2,SUM(L$8,252,$A17),8,1,1)-(L$9+L$10*OFFSET('[1]Stock Prices'!$A$2,SUM(L$8,252,$A17),2,1,1))</f>
        <v>2.2421079262644884E-3</v>
      </c>
      <c r="M17" s="19">
        <f ca="1">OFFSET('[1]Stock Prices'!$A$2,SUM(M$8,252,$A17),8,1,1)-(M$9+M$10*OFFSET('[1]Stock Prices'!$A$2,SUM(M$8,252,$A17),2,1,1))</f>
        <v>6.031687059103257E-3</v>
      </c>
      <c r="N17" s="19">
        <f ca="1">OFFSET('[1]Stock Prices'!$A$2,SUM(N$8,252,$A17),10,1,1)-(N$9+N$10*OFFSET('[1]Stock Prices'!$A$2,SUM(N$8,252,$A17),2,1,1))</f>
        <v>-1.1953158736943541E-2</v>
      </c>
      <c r="O17" s="19">
        <f ca="1">OFFSET('[1]Stock Prices'!$A$2,SUM(O$8,252,$A17),10,1,1)-(O$9+O$10*OFFSET('[1]Stock Prices'!$A$2,SUM(O$8,252,$A17),2,1,1))</f>
        <v>-3.330966075273124E-3</v>
      </c>
      <c r="P17" s="19">
        <f ca="1">OFFSET('[1]Stock Prices'!$A$2,SUM(P$8,252,$A17),10,1,1)-(P$9+P$10*OFFSET('[1]Stock Prices'!$A$2,SUM(P$8,252,$A17),2,1,1))</f>
        <v>-9.8345222747723351E-3</v>
      </c>
      <c r="Q17" s="19">
        <f ca="1">OFFSET('[1]Stock Prices'!$A$2,SUM(Q$8,252,$A17),10,1,1)-(Q$9+Q$10*OFFSET('[1]Stock Prices'!$A$2,SUM(Q$8,252,$A17),2,1,1))</f>
        <v>1.8181144229127949E-2</v>
      </c>
      <c r="R17" s="19"/>
      <c r="S17" s="6">
        <v>-8</v>
      </c>
      <c r="T17" s="19">
        <f t="shared" ca="1" si="1"/>
        <v>1.2741238362326979E-5</v>
      </c>
      <c r="U17" s="27">
        <f t="shared" ca="1" si="2"/>
        <v>2.6192920403264241E-3</v>
      </c>
      <c r="V17" s="28">
        <f t="shared" ca="1" si="5"/>
        <v>-1.0468442765946211E-2</v>
      </c>
      <c r="W17" s="19"/>
      <c r="X17" s="28">
        <f t="shared" ca="1" si="3"/>
        <v>3.61422123774169E-4</v>
      </c>
      <c r="Y17" s="27">
        <f t="shared" ca="1" si="4"/>
        <v>6.6957704140618912E-2</v>
      </c>
      <c r="Z17" s="28">
        <f t="shared" ca="1" si="6"/>
        <v>5.2932530756546656E-4</v>
      </c>
    </row>
    <row r="18" spans="1:26" x14ac:dyDescent="0.25">
      <c r="A18" s="6">
        <v>-7</v>
      </c>
      <c r="B18" s="19">
        <f ca="1">OFFSET('[1]Stock Prices'!$A$2,SUM(B$8,252,$A18),4,1,1)-(B$9+B$10*OFFSET('[1]Stock Prices'!$A$2,SUM(B$8,252,$A18),2,1,1))</f>
        <v>-6.7064679168952488E-3</v>
      </c>
      <c r="C18" s="19">
        <f ca="1">OFFSET('[1]Stock Prices'!$A$2,SUM(C$8,252,$A18),4,1,1)-(C$9+C$10*OFFSET('[1]Stock Prices'!$A$2,SUM(C$8,252,$A18),2,1,1))</f>
        <v>-1.3442668992481676E-2</v>
      </c>
      <c r="D18" s="19">
        <f ca="1">OFFSET('[1]Stock Prices'!$A$2,SUM(D$8,252,$A18),4,1,1)-(D$9+D$10*OFFSET('[1]Stock Prices'!$A$2,SUM(D$8,252,$A18),2,1,1))</f>
        <v>8.5054977348763446E-3</v>
      </c>
      <c r="E18" s="19">
        <f ca="1">OFFSET('[1]Stock Prices'!$A$2,SUM(E$8,252,$A18),4,1,1)-(E$9+E$10*OFFSET('[1]Stock Prices'!$A$2,SUM(E$8,252,$A18),2,1,1))</f>
        <v>-2.3294946573621613E-3</v>
      </c>
      <c r="F18" s="19">
        <f ca="1">OFFSET('[1]Stock Prices'!$A$2,SUM(F$8,252,$A18),6,1,1)-(F$9+F$10*OFFSET('[1]Stock Prices'!$A$2,SUM(F$8,252,$A18),2,1,1))</f>
        <v>-8.5882035039264587E-3</v>
      </c>
      <c r="G18" s="19">
        <f ca="1">OFFSET('[1]Stock Prices'!$A$2,SUM(G$8,252,$A18),6,1,1)-(G$9+G$10*OFFSET('[1]Stock Prices'!$A$2,SUM(G$8,252,$A18),2,1,1))</f>
        <v>1.2983421498662608E-2</v>
      </c>
      <c r="H18" s="19">
        <f ca="1">OFFSET('[1]Stock Prices'!$A$2,SUM(H$8,252,$A18),6,1,1)-(H$9+H$10*OFFSET('[1]Stock Prices'!$A$2,SUM(H$8,252,$A18),2,1,1))</f>
        <v>5.4106575675280655E-4</v>
      </c>
      <c r="I18" s="19">
        <f ca="1">OFFSET('[1]Stock Prices'!$A$2,SUM(I$8,252,$A18),6,1,1)-(I$9+I$10*OFFSET('[1]Stock Prices'!$A$2,SUM(I$8,252,$A18),2,1,1))</f>
        <v>6.5939901082341622E-3</v>
      </c>
      <c r="J18" s="19">
        <f ca="1">OFFSET('[1]Stock Prices'!$A$2,SUM(J$8,252,$A18),8,1,1)-(J$9+J$10*OFFSET('[1]Stock Prices'!$A$2,SUM(J$8,252,$A18),2,1,1))</f>
        <v>9.0344561656341069E-3</v>
      </c>
      <c r="K18" s="19">
        <f ca="1">OFFSET('[1]Stock Prices'!$A$2,SUM(K$8,252,$A18),8,1,1)-(K$9+K$10*OFFSET('[1]Stock Prices'!$A$2,SUM(K$8,252,$A18),2,1,1))</f>
        <v>-7.8128537674143558E-3</v>
      </c>
      <c r="L18" s="19">
        <f ca="1">OFFSET('[1]Stock Prices'!$A$2,SUM(L$8,252,$A18),8,1,1)-(L$9+L$10*OFFSET('[1]Stock Prices'!$A$2,SUM(L$8,252,$A18),2,1,1))</f>
        <v>-1.5640449676047625E-3</v>
      </c>
      <c r="M18" s="19">
        <f ca="1">OFFSET('[1]Stock Prices'!$A$2,SUM(M$8,252,$A18),8,1,1)-(M$9+M$10*OFFSET('[1]Stock Prices'!$A$2,SUM(M$8,252,$A18),2,1,1))</f>
        <v>-9.6079864208056028E-3</v>
      </c>
      <c r="N18" s="19">
        <f ca="1">OFFSET('[1]Stock Prices'!$A$2,SUM(N$8,252,$A18),10,1,1)-(N$9+N$10*OFFSET('[1]Stock Prices'!$A$2,SUM(N$8,252,$A18),2,1,1))</f>
        <v>-1.2677377194149818E-2</v>
      </c>
      <c r="O18" s="19">
        <f ca="1">OFFSET('[1]Stock Prices'!$A$2,SUM(O$8,252,$A18),10,1,1)-(O$9+O$10*OFFSET('[1]Stock Prices'!$A$2,SUM(O$8,252,$A18),2,1,1))</f>
        <v>-1.7538888648826693E-3</v>
      </c>
      <c r="P18" s="19">
        <f ca="1">OFFSET('[1]Stock Prices'!$A$2,SUM(P$8,252,$A18),10,1,1)-(P$9+P$10*OFFSET('[1]Stock Prices'!$A$2,SUM(P$8,252,$A18),2,1,1))</f>
        <v>5.2555511304588276E-3</v>
      </c>
      <c r="Q18" s="19">
        <f ca="1">OFFSET('[1]Stock Prices'!$A$2,SUM(Q$8,252,$A18),10,1,1)-(Q$9+Q$10*OFFSET('[1]Stock Prices'!$A$2,SUM(Q$8,252,$A18),2,1,1))</f>
        <v>-8.6604515096031266E-3</v>
      </c>
      <c r="R18" s="19"/>
      <c r="S18" s="6">
        <v>-7</v>
      </c>
      <c r="T18" s="19">
        <f t="shared" ca="1" si="1"/>
        <v>-3.9140683623903674E-3</v>
      </c>
      <c r="U18" s="27">
        <f t="shared" ca="1" si="2"/>
        <v>-0.80463827889883344</v>
      </c>
      <c r="V18" s="28">
        <f t="shared" ca="1" si="5"/>
        <v>-1.4382511128336578E-2</v>
      </c>
      <c r="W18" s="19"/>
      <c r="X18" s="28">
        <f t="shared" ca="1" si="3"/>
        <v>1.3538643732698965E-4</v>
      </c>
      <c r="Y18" s="27">
        <f t="shared" ca="1" si="4"/>
        <v>2.5081931677368195E-2</v>
      </c>
      <c r="Z18" s="28">
        <f t="shared" ca="1" si="6"/>
        <v>6.6471174489245622E-4</v>
      </c>
    </row>
    <row r="19" spans="1:26" x14ac:dyDescent="0.25">
      <c r="A19" s="6">
        <v>-6</v>
      </c>
      <c r="B19" s="19">
        <f ca="1">OFFSET('[1]Stock Prices'!$A$2,SUM(B$8,252,$A19),4,1,1)-(B$9+B$10*OFFSET('[1]Stock Prices'!$A$2,SUM(B$8,252,$A19),2,1,1))</f>
        <v>9.8464396657966143E-3</v>
      </c>
      <c r="C19" s="19">
        <f ca="1">OFFSET('[1]Stock Prices'!$A$2,SUM(C$8,252,$A19),4,1,1)-(C$9+C$10*OFFSET('[1]Stock Prices'!$A$2,SUM(C$8,252,$A19),2,1,1))</f>
        <v>-3.4697788775764037E-3</v>
      </c>
      <c r="D19" s="19">
        <f ca="1">OFFSET('[1]Stock Prices'!$A$2,SUM(D$8,252,$A19),4,1,1)-(D$9+D$10*OFFSET('[1]Stock Prices'!$A$2,SUM(D$8,252,$A19),2,1,1))</f>
        <v>-5.8539423847186614E-3</v>
      </c>
      <c r="E19" s="19">
        <f ca="1">OFFSET('[1]Stock Prices'!$A$2,SUM(E$8,252,$A19),4,1,1)-(E$9+E$10*OFFSET('[1]Stock Prices'!$A$2,SUM(E$8,252,$A19),2,1,1))</f>
        <v>-6.6854034412801768E-3</v>
      </c>
      <c r="F19" s="19">
        <f ca="1">OFFSET('[1]Stock Prices'!$A$2,SUM(F$8,252,$A19),6,1,1)-(F$9+F$10*OFFSET('[1]Stock Prices'!$A$2,SUM(F$8,252,$A19),2,1,1))</f>
        <v>-5.465578193784992E-3</v>
      </c>
      <c r="G19" s="19">
        <f ca="1">OFFSET('[1]Stock Prices'!$A$2,SUM(G$8,252,$A19),6,1,1)-(G$9+G$10*OFFSET('[1]Stock Prices'!$A$2,SUM(G$8,252,$A19),2,1,1))</f>
        <v>1.2390092413275293E-2</v>
      </c>
      <c r="H19" s="19">
        <f ca="1">OFFSET('[1]Stock Prices'!$A$2,SUM(H$8,252,$A19),6,1,1)-(H$9+H$10*OFFSET('[1]Stock Prices'!$A$2,SUM(H$8,252,$A19),2,1,1))</f>
        <v>-6.6469356445478887E-3</v>
      </c>
      <c r="I19" s="19">
        <f ca="1">OFFSET('[1]Stock Prices'!$A$2,SUM(I$8,252,$A19),6,1,1)-(I$9+I$10*OFFSET('[1]Stock Prices'!$A$2,SUM(I$8,252,$A19),2,1,1))</f>
        <v>-4.7714833240387637E-3</v>
      </c>
      <c r="J19" s="19">
        <f ca="1">OFFSET('[1]Stock Prices'!$A$2,SUM(J$8,252,$A19),8,1,1)-(J$9+J$10*OFFSET('[1]Stock Prices'!$A$2,SUM(J$8,252,$A19),2,1,1))</f>
        <v>-2.3953454844521809E-2</v>
      </c>
      <c r="K19" s="19">
        <f ca="1">OFFSET('[1]Stock Prices'!$A$2,SUM(K$8,252,$A19),8,1,1)-(K$9+K$10*OFFSET('[1]Stock Prices'!$A$2,SUM(K$8,252,$A19),2,1,1))</f>
        <v>2.0392227300658466E-3</v>
      </c>
      <c r="L19" s="19">
        <f ca="1">OFFSET('[1]Stock Prices'!$A$2,SUM(L$8,252,$A19),8,1,1)-(L$9+L$10*OFFSET('[1]Stock Prices'!$A$2,SUM(L$8,252,$A19),2,1,1))</f>
        <v>-3.6096794109500105E-2</v>
      </c>
      <c r="M19" s="19">
        <f ca="1">OFFSET('[1]Stock Prices'!$A$2,SUM(M$8,252,$A19),8,1,1)-(M$9+M$10*OFFSET('[1]Stock Prices'!$A$2,SUM(M$8,252,$A19),2,1,1))</f>
        <v>3.3358855605409962E-3</v>
      </c>
      <c r="N19" s="19">
        <f ca="1">OFFSET('[1]Stock Prices'!$A$2,SUM(N$8,252,$A19),10,1,1)-(N$9+N$10*OFFSET('[1]Stock Prices'!$A$2,SUM(N$8,252,$A19),2,1,1))</f>
        <v>-5.9061633238210957E-3</v>
      </c>
      <c r="O19" s="19">
        <f ca="1">OFFSET('[1]Stock Prices'!$A$2,SUM(O$8,252,$A19),10,1,1)-(O$9+O$10*OFFSET('[1]Stock Prices'!$A$2,SUM(O$8,252,$A19),2,1,1))</f>
        <v>-1.7858366802793627E-2</v>
      </c>
      <c r="P19" s="19">
        <f ca="1">OFFSET('[1]Stock Prices'!$A$2,SUM(P$8,252,$A19),10,1,1)-(P$9+P$10*OFFSET('[1]Stock Prices'!$A$2,SUM(P$8,252,$A19),2,1,1))</f>
        <v>9.7906993965552695E-4</v>
      </c>
      <c r="Q19" s="19">
        <f ca="1">OFFSET('[1]Stock Prices'!$A$2,SUM(Q$8,252,$A19),10,1,1)-(Q$9+Q$10*OFFSET('[1]Stock Prices'!$A$2,SUM(Q$8,252,$A19),2,1,1))</f>
        <v>-1.1440565192349511E-3</v>
      </c>
      <c r="R19" s="19"/>
      <c r="S19" s="6">
        <v>-6</v>
      </c>
      <c r="T19" s="19">
        <f t="shared" ca="1" si="1"/>
        <v>-5.728597012570143E-3</v>
      </c>
      <c r="U19" s="27">
        <f t="shared" ca="1" si="2"/>
        <v>-1.1776617099974194</v>
      </c>
      <c r="V19" s="28">
        <f t="shared" ca="1" si="5"/>
        <v>-2.0111108140906719E-2</v>
      </c>
      <c r="W19" s="19"/>
      <c r="X19" s="28">
        <f t="shared" ca="1" si="3"/>
        <v>-5.4290588819903823E-3</v>
      </c>
      <c r="Y19" s="27">
        <f t="shared" ca="1" si="4"/>
        <v>-1.0057970845455257</v>
      </c>
      <c r="Z19" s="28">
        <f t="shared" ca="1" si="6"/>
        <v>-4.7643471370979263E-3</v>
      </c>
    </row>
    <row r="20" spans="1:26" x14ac:dyDescent="0.25">
      <c r="A20" s="6">
        <v>-5</v>
      </c>
      <c r="B20" s="19">
        <f ca="1">OFFSET('[1]Stock Prices'!$A$2,SUM(B$8,252,$A20),4,1,1)-(B$9+B$10*OFFSET('[1]Stock Prices'!$A$2,SUM(B$8,252,$A20),2,1,1))</f>
        <v>-3.3870271376950775E-3</v>
      </c>
      <c r="C20" s="19">
        <f ca="1">OFFSET('[1]Stock Prices'!$A$2,SUM(C$8,252,$A20),4,1,1)-(C$9+C$10*OFFSET('[1]Stock Prices'!$A$2,SUM(C$8,252,$A20),2,1,1))</f>
        <v>1.4090881943650345E-2</v>
      </c>
      <c r="D20" s="19">
        <f ca="1">OFFSET('[1]Stock Prices'!$A$2,SUM(D$8,252,$A20),4,1,1)-(D$9+D$10*OFFSET('[1]Stock Prices'!$A$2,SUM(D$8,252,$A20),2,1,1))</f>
        <v>-8.3999218044544521E-3</v>
      </c>
      <c r="E20" s="19">
        <f ca="1">OFFSET('[1]Stock Prices'!$A$2,SUM(E$8,252,$A20),4,1,1)-(E$9+E$10*OFFSET('[1]Stock Prices'!$A$2,SUM(E$8,252,$A20),2,1,1))</f>
        <v>4.2061019540378646E-3</v>
      </c>
      <c r="F20" s="19">
        <f ca="1">OFFSET('[1]Stock Prices'!$A$2,SUM(F$8,252,$A20),6,1,1)-(F$9+F$10*OFFSET('[1]Stock Prices'!$A$2,SUM(F$8,252,$A20),2,1,1))</f>
        <v>2.9266293618563388E-3</v>
      </c>
      <c r="G20" s="19">
        <f ca="1">OFFSET('[1]Stock Prices'!$A$2,SUM(G$8,252,$A20),6,1,1)-(G$9+G$10*OFFSET('[1]Stock Prices'!$A$2,SUM(G$8,252,$A20),2,1,1))</f>
        <v>1.3244886471340707E-3</v>
      </c>
      <c r="H20" s="19">
        <f ca="1">OFFSET('[1]Stock Prices'!$A$2,SUM(H$8,252,$A20),6,1,1)-(H$9+H$10*OFFSET('[1]Stock Prices'!$A$2,SUM(H$8,252,$A20),2,1,1))</f>
        <v>2.4369274985159825E-2</v>
      </c>
      <c r="I20" s="19">
        <f ca="1">OFFSET('[1]Stock Prices'!$A$2,SUM(I$8,252,$A20),6,1,1)-(I$9+I$10*OFFSET('[1]Stock Prices'!$A$2,SUM(I$8,252,$A20),2,1,1))</f>
        <v>-1.0484129140544862E-2</v>
      </c>
      <c r="J20" s="19">
        <f ca="1">OFFSET('[1]Stock Prices'!$A$2,SUM(J$8,252,$A20),8,1,1)-(J$9+J$10*OFFSET('[1]Stock Prices'!$A$2,SUM(J$8,252,$A20),2,1,1))</f>
        <v>-6.6026418865503117E-3</v>
      </c>
      <c r="K20" s="19">
        <f ca="1">OFFSET('[1]Stock Prices'!$A$2,SUM(K$8,252,$A20),8,1,1)-(K$9+K$10*OFFSET('[1]Stock Prices'!$A$2,SUM(K$8,252,$A20),2,1,1))</f>
        <v>1.9213554626766414E-3</v>
      </c>
      <c r="L20" s="19">
        <f ca="1">OFFSET('[1]Stock Prices'!$A$2,SUM(L$8,252,$A20),8,1,1)-(L$9+L$10*OFFSET('[1]Stock Prices'!$A$2,SUM(L$8,252,$A20),2,1,1))</f>
        <v>-4.9892613417467487E-2</v>
      </c>
      <c r="M20" s="19">
        <f ca="1">OFFSET('[1]Stock Prices'!$A$2,SUM(M$8,252,$A20),8,1,1)-(M$9+M$10*OFFSET('[1]Stock Prices'!$A$2,SUM(M$8,252,$A20),2,1,1))</f>
        <v>6.7911515183692785E-3</v>
      </c>
      <c r="N20" s="19">
        <f ca="1">OFFSET('[1]Stock Prices'!$A$2,SUM(N$8,252,$A20),10,1,1)-(N$9+N$10*OFFSET('[1]Stock Prices'!$A$2,SUM(N$8,252,$A20),2,1,1))</f>
        <v>-1.353629412885839E-2</v>
      </c>
      <c r="O20" s="19">
        <f ca="1">OFFSET('[1]Stock Prices'!$A$2,SUM(O$8,252,$A20),10,1,1)-(O$9+O$10*OFFSET('[1]Stock Prices'!$A$2,SUM(O$8,252,$A20),2,1,1))</f>
        <v>-9.7026318023440382E-3</v>
      </c>
      <c r="P20" s="19">
        <f ca="1">OFFSET('[1]Stock Prices'!$A$2,SUM(P$8,252,$A20),10,1,1)-(P$9+P$10*OFFSET('[1]Stock Prices'!$A$2,SUM(P$8,252,$A20),2,1,1))</f>
        <v>2.530451150279292E-3</v>
      </c>
      <c r="Q20" s="19">
        <f ca="1">OFFSET('[1]Stock Prices'!$A$2,SUM(Q$8,252,$A20),10,1,1)-(Q$9+Q$10*OFFSET('[1]Stock Prices'!$A$2,SUM(Q$8,252,$A20),2,1,1))</f>
        <v>3.5213501971471748E-3</v>
      </c>
      <c r="R20" s="19"/>
      <c r="S20" s="6">
        <v>-5</v>
      </c>
      <c r="T20" s="19">
        <f t="shared" ca="1" si="1"/>
        <v>5.0741112059947413E-4</v>
      </c>
      <c r="U20" s="27">
        <f t="shared" ca="1" si="2"/>
        <v>0.10431151757501404</v>
      </c>
      <c r="V20" s="28">
        <f t="shared" ca="1" si="5"/>
        <v>-1.9603697020307245E-2</v>
      </c>
      <c r="W20" s="19"/>
      <c r="X20" s="28">
        <f t="shared" ca="1" si="3"/>
        <v>-5.5478578827999475E-3</v>
      </c>
      <c r="Y20" s="27">
        <f t="shared" ca="1" si="4"/>
        <v>-1.0278059982925389</v>
      </c>
      <c r="Z20" s="28">
        <f t="shared" ca="1" si="6"/>
        <v>-1.0312205019897873E-2</v>
      </c>
    </row>
    <row r="21" spans="1:26" x14ac:dyDescent="0.25">
      <c r="A21" s="6">
        <v>-4</v>
      </c>
      <c r="B21" s="19">
        <f ca="1">OFFSET('[1]Stock Prices'!$A$2,SUM(B$8,252,$A21),4,1,1)-(B$9+B$10*OFFSET('[1]Stock Prices'!$A$2,SUM(B$8,252,$A21),2,1,1))</f>
        <v>-2.2610921545780792E-3</v>
      </c>
      <c r="C21" s="19">
        <f ca="1">OFFSET('[1]Stock Prices'!$A$2,SUM(C$8,252,$A21),4,1,1)-(C$9+C$10*OFFSET('[1]Stock Prices'!$A$2,SUM(C$8,252,$A21),2,1,1))</f>
        <v>1.0572309529614382E-3</v>
      </c>
      <c r="D21" s="19">
        <f ca="1">OFFSET('[1]Stock Prices'!$A$2,SUM(D$8,252,$A21),4,1,1)-(D$9+D$10*OFFSET('[1]Stock Prices'!$A$2,SUM(D$8,252,$A21),2,1,1))</f>
        <v>4.9498815233991215E-3</v>
      </c>
      <c r="E21" s="19">
        <f ca="1">OFFSET('[1]Stock Prices'!$A$2,SUM(E$8,252,$A21),4,1,1)-(E$9+E$10*OFFSET('[1]Stock Prices'!$A$2,SUM(E$8,252,$A21),2,1,1))</f>
        <v>6.200708811804732E-3</v>
      </c>
      <c r="F21" s="19">
        <f ca="1">OFFSET('[1]Stock Prices'!$A$2,SUM(F$8,252,$A21),6,1,1)-(F$9+F$10*OFFSET('[1]Stock Prices'!$A$2,SUM(F$8,252,$A21),2,1,1))</f>
        <v>-7.1133201598629504E-3</v>
      </c>
      <c r="G21" s="19">
        <f ca="1">OFFSET('[1]Stock Prices'!$A$2,SUM(G$8,252,$A21),6,1,1)-(G$9+G$10*OFFSET('[1]Stock Prices'!$A$2,SUM(G$8,252,$A21),2,1,1))</f>
        <v>7.9108801840845067E-3</v>
      </c>
      <c r="H21" s="19">
        <f ca="1">OFFSET('[1]Stock Prices'!$A$2,SUM(H$8,252,$A21),6,1,1)-(H$9+H$10*OFFSET('[1]Stock Prices'!$A$2,SUM(H$8,252,$A21),2,1,1))</f>
        <v>-6.3420224887240934E-3</v>
      </c>
      <c r="I21" s="19">
        <f ca="1">OFFSET('[1]Stock Prices'!$A$2,SUM(I$8,252,$A21),6,1,1)-(I$9+I$10*OFFSET('[1]Stock Prices'!$A$2,SUM(I$8,252,$A21),2,1,1))</f>
        <v>7.0604825857427727E-3</v>
      </c>
      <c r="J21" s="19">
        <f ca="1">OFFSET('[1]Stock Prices'!$A$2,SUM(J$8,252,$A21),8,1,1)-(J$9+J$10*OFFSET('[1]Stock Prices'!$A$2,SUM(J$8,252,$A21),2,1,1))</f>
        <v>-5.7210506491413805E-3</v>
      </c>
      <c r="K21" s="19">
        <f ca="1">OFFSET('[1]Stock Prices'!$A$2,SUM(K$8,252,$A21),8,1,1)-(K$9+K$10*OFFSET('[1]Stock Prices'!$A$2,SUM(K$8,252,$A21),2,1,1))</f>
        <v>9.2965453999237085E-3</v>
      </c>
      <c r="L21" s="19">
        <f ca="1">OFFSET('[1]Stock Prices'!$A$2,SUM(L$8,252,$A21),8,1,1)-(L$9+L$10*OFFSET('[1]Stock Prices'!$A$2,SUM(L$8,252,$A21),2,1,1))</f>
        <v>8.7913443316393995E-3</v>
      </c>
      <c r="M21" s="19">
        <f ca="1">OFFSET('[1]Stock Prices'!$A$2,SUM(M$8,252,$A21),8,1,1)-(M$9+M$10*OFFSET('[1]Stock Prices'!$A$2,SUM(M$8,252,$A21),2,1,1))</f>
        <v>2.0609819326622134E-3</v>
      </c>
      <c r="N21" s="19">
        <f ca="1">OFFSET('[1]Stock Prices'!$A$2,SUM(N$8,252,$A21),10,1,1)-(N$9+N$10*OFFSET('[1]Stock Prices'!$A$2,SUM(N$8,252,$A21),2,1,1))</f>
        <v>9.4514683147618826E-4</v>
      </c>
      <c r="O21" s="19">
        <f ca="1">OFFSET('[1]Stock Prices'!$A$2,SUM(O$8,252,$A21),10,1,1)-(O$9+O$10*OFFSET('[1]Stock Prices'!$A$2,SUM(O$8,252,$A21),2,1,1))</f>
        <v>-1.8782902018313629E-2</v>
      </c>
      <c r="P21" s="19">
        <f ca="1">OFFSET('[1]Stock Prices'!$A$2,SUM(P$8,252,$A21),10,1,1)-(P$9+P$10*OFFSET('[1]Stock Prices'!$A$2,SUM(P$8,252,$A21),2,1,1))</f>
        <v>3.1125221140705095E-3</v>
      </c>
      <c r="Q21" s="19">
        <f ca="1">OFFSET('[1]Stock Prices'!$A$2,SUM(Q$8,252,$A21),10,1,1)-(Q$9+Q$10*OFFSET('[1]Stock Prices'!$A$2,SUM(Q$8,252,$A21),2,1,1))</f>
        <v>3.4820212663998129E-3</v>
      </c>
      <c r="R21" s="19"/>
      <c r="S21" s="6">
        <v>-4</v>
      </c>
      <c r="T21" s="19">
        <f t="shared" ca="1" si="1"/>
        <v>-1.8254605418612925E-3</v>
      </c>
      <c r="U21" s="27">
        <f t="shared" ca="1" si="2"/>
        <v>-0.37527076499603274</v>
      </c>
      <c r="V21" s="28">
        <f t="shared" ca="1" si="5"/>
        <v>-2.1429157562168538E-2</v>
      </c>
      <c r="W21" s="19"/>
      <c r="X21" s="28">
        <f t="shared" ca="1" si="3"/>
        <v>3.6563803498043264E-3</v>
      </c>
      <c r="Y21" s="27">
        <f t="shared" ca="1" si="4"/>
        <v>0.67738751333536484</v>
      </c>
      <c r="Z21" s="28">
        <f t="shared" ca="1" si="6"/>
        <v>-6.655824670093546E-3</v>
      </c>
    </row>
    <row r="22" spans="1:26" x14ac:dyDescent="0.25">
      <c r="A22" s="6">
        <v>-3</v>
      </c>
      <c r="B22" s="19">
        <f ca="1">OFFSET('[1]Stock Prices'!$A$2,SUM(B$8,252,$A22),4,1,1)-(B$9+B$10*OFFSET('[1]Stock Prices'!$A$2,SUM(B$8,252,$A22),2,1,1))</f>
        <v>-1.5450387958515667E-2</v>
      </c>
      <c r="C22" s="19">
        <f ca="1">OFFSET('[1]Stock Prices'!$A$2,SUM(C$8,252,$A22),4,1,1)-(C$9+C$10*OFFSET('[1]Stock Prices'!$A$2,SUM(C$8,252,$A22),2,1,1))</f>
        <v>-1.1622738239104405E-2</v>
      </c>
      <c r="D22" s="19">
        <f ca="1">OFFSET('[1]Stock Prices'!$A$2,SUM(D$8,252,$A22),4,1,1)-(D$9+D$10*OFFSET('[1]Stock Prices'!$A$2,SUM(D$8,252,$A22),2,1,1))</f>
        <v>-3.9204160647442737E-3</v>
      </c>
      <c r="E22" s="19">
        <f ca="1">OFFSET('[1]Stock Prices'!$A$2,SUM(E$8,252,$A22),4,1,1)-(E$9+E$10*OFFSET('[1]Stock Prices'!$A$2,SUM(E$8,252,$A22),2,1,1))</f>
        <v>-1.9173475424588596E-2</v>
      </c>
      <c r="F22" s="19">
        <f ca="1">OFFSET('[1]Stock Prices'!$A$2,SUM(F$8,252,$A22),6,1,1)-(F$9+F$10*OFFSET('[1]Stock Prices'!$A$2,SUM(F$8,252,$A22),2,1,1))</f>
        <v>-1.0128839939731342E-2</v>
      </c>
      <c r="G22" s="19">
        <f ca="1">OFFSET('[1]Stock Prices'!$A$2,SUM(G$8,252,$A22),6,1,1)-(G$9+G$10*OFFSET('[1]Stock Prices'!$A$2,SUM(G$8,252,$A22),2,1,1))</f>
        <v>-6.400646510157296E-3</v>
      </c>
      <c r="H22" s="19">
        <f ca="1">OFFSET('[1]Stock Prices'!$A$2,SUM(H$8,252,$A22),6,1,1)-(H$9+H$10*OFFSET('[1]Stock Prices'!$A$2,SUM(H$8,252,$A22),2,1,1))</f>
        <v>-1.1447793995090581E-3</v>
      </c>
      <c r="I22" s="19">
        <f ca="1">OFFSET('[1]Stock Prices'!$A$2,SUM(I$8,252,$A22),6,1,1)-(I$9+I$10*OFFSET('[1]Stock Prices'!$A$2,SUM(I$8,252,$A22),2,1,1))</f>
        <v>-4.5662690035183189E-3</v>
      </c>
      <c r="J22" s="19">
        <f ca="1">OFFSET('[1]Stock Prices'!$A$2,SUM(J$8,252,$A22),8,1,1)-(J$9+J$10*OFFSET('[1]Stock Prices'!$A$2,SUM(J$8,252,$A22),2,1,1))</f>
        <v>-8.0162868506729011E-3</v>
      </c>
      <c r="K22" s="19">
        <f ca="1">OFFSET('[1]Stock Prices'!$A$2,SUM(K$8,252,$A22),8,1,1)-(K$9+K$10*OFFSET('[1]Stock Prices'!$A$2,SUM(K$8,252,$A22),2,1,1))</f>
        <v>9.2092807794772816E-3</v>
      </c>
      <c r="L22" s="19">
        <f ca="1">OFFSET('[1]Stock Prices'!$A$2,SUM(L$8,252,$A22),8,1,1)-(L$9+L$10*OFFSET('[1]Stock Prices'!$A$2,SUM(L$8,252,$A22),2,1,1))</f>
        <v>1.2061855145256468E-2</v>
      </c>
      <c r="M22" s="19">
        <f ca="1">OFFSET('[1]Stock Prices'!$A$2,SUM(M$8,252,$A22),8,1,1)-(M$9+M$10*OFFSET('[1]Stock Prices'!$A$2,SUM(M$8,252,$A22),2,1,1))</f>
        <v>-3.8007334208646763E-2</v>
      </c>
      <c r="N22" s="19">
        <f ca="1">OFFSET('[1]Stock Prices'!$A$2,SUM(N$8,252,$A22),10,1,1)-(N$9+N$10*OFFSET('[1]Stock Prices'!$A$2,SUM(N$8,252,$A22),2,1,1))</f>
        <v>4.1452568454590092E-3</v>
      </c>
      <c r="O22" s="19">
        <f ca="1">OFFSET('[1]Stock Prices'!$A$2,SUM(O$8,252,$A22),10,1,1)-(O$9+O$10*OFFSET('[1]Stock Prices'!$A$2,SUM(O$8,252,$A22),2,1,1))</f>
        <v>8.4693927263859783E-3</v>
      </c>
      <c r="P22" s="19">
        <f ca="1">OFFSET('[1]Stock Prices'!$A$2,SUM(P$8,252,$A22),10,1,1)-(P$9+P$10*OFFSET('[1]Stock Prices'!$A$2,SUM(P$8,252,$A22),2,1,1))</f>
        <v>-1.5186549290193155E-2</v>
      </c>
      <c r="Q22" s="19">
        <f ca="1">OFFSET('[1]Stock Prices'!$A$2,SUM(Q$8,252,$A22),10,1,1)-(Q$9+Q$10*OFFSET('[1]Stock Prices'!$A$2,SUM(Q$8,252,$A22),2,1,1))</f>
        <v>1.2229934090142402E-2</v>
      </c>
      <c r="R22" s="19"/>
      <c r="S22" s="6">
        <v>-3</v>
      </c>
      <c r="T22" s="19">
        <f t="shared" ca="1" si="1"/>
        <v>-7.4960416863263388E-3</v>
      </c>
      <c r="U22" s="27">
        <f t="shared" ca="1" si="2"/>
        <v>-1.5410058084309912</v>
      </c>
      <c r="V22" s="28">
        <f t="shared" ca="1" si="5"/>
        <v>-2.8925199248494876E-2</v>
      </c>
      <c r="W22" s="19"/>
      <c r="X22" s="28">
        <f t="shared" ca="1" si="3"/>
        <v>-3.4417087265062392E-3</v>
      </c>
      <c r="Y22" s="27">
        <f t="shared" ca="1" si="4"/>
        <v>-0.63761706738125623</v>
      </c>
      <c r="Z22" s="28">
        <f t="shared" ca="1" si="6"/>
        <v>-1.0097533396599785E-2</v>
      </c>
    </row>
    <row r="23" spans="1:26" x14ac:dyDescent="0.25">
      <c r="A23" s="6">
        <v>-2</v>
      </c>
      <c r="B23" s="19">
        <f ca="1">OFFSET('[1]Stock Prices'!$A$2,SUM(B$8,252,$A23),4,1,1)-(B$9+B$10*OFFSET('[1]Stock Prices'!$A$2,SUM(B$8,252,$A23),2,1,1))</f>
        <v>9.3342293186637719E-3</v>
      </c>
      <c r="C23" s="19">
        <f ca="1">OFFSET('[1]Stock Prices'!$A$2,SUM(C$8,252,$A23),4,1,1)-(C$9+C$10*OFFSET('[1]Stock Prices'!$A$2,SUM(C$8,252,$A23),2,1,1))</f>
        <v>-5.8624690329499175E-3</v>
      </c>
      <c r="D23" s="19">
        <f ca="1">OFFSET('[1]Stock Prices'!$A$2,SUM(D$8,252,$A23),4,1,1)-(D$9+D$10*OFFSET('[1]Stock Prices'!$A$2,SUM(D$8,252,$A23),2,1,1))</f>
        <v>1.9691119713789739E-2</v>
      </c>
      <c r="E23" s="19">
        <f ca="1">OFFSET('[1]Stock Prices'!$A$2,SUM(E$8,252,$A23),4,1,1)-(E$9+E$10*OFFSET('[1]Stock Prices'!$A$2,SUM(E$8,252,$A23),2,1,1))</f>
        <v>9.7968568696179589E-3</v>
      </c>
      <c r="F23" s="19">
        <f ca="1">OFFSET('[1]Stock Prices'!$A$2,SUM(F$8,252,$A23),6,1,1)-(F$9+F$10*OFFSET('[1]Stock Prices'!$A$2,SUM(F$8,252,$A23),2,1,1))</f>
        <v>3.3943657031620246E-3</v>
      </c>
      <c r="G23" s="19">
        <f ca="1">OFFSET('[1]Stock Prices'!$A$2,SUM(G$8,252,$A23),6,1,1)-(G$9+G$10*OFFSET('[1]Stock Prices'!$A$2,SUM(G$8,252,$A23),2,1,1))</f>
        <v>4.9427489314953048E-3</v>
      </c>
      <c r="H23" s="19">
        <f ca="1">OFFSET('[1]Stock Prices'!$A$2,SUM(H$8,252,$A23),6,1,1)-(H$9+H$10*OFFSET('[1]Stock Prices'!$A$2,SUM(H$8,252,$A23),2,1,1))</f>
        <v>-5.3014406772219132E-4</v>
      </c>
      <c r="I23" s="19">
        <f ca="1">OFFSET('[1]Stock Prices'!$A$2,SUM(I$8,252,$A23),6,1,1)-(I$9+I$10*OFFSET('[1]Stock Prices'!$A$2,SUM(I$8,252,$A23),2,1,1))</f>
        <v>6.8219312030848829E-3</v>
      </c>
      <c r="J23" s="19">
        <f ca="1">OFFSET('[1]Stock Prices'!$A$2,SUM(J$8,252,$A23),8,1,1)-(J$9+J$10*OFFSET('[1]Stock Prices'!$A$2,SUM(J$8,252,$A23),2,1,1))</f>
        <v>6.1005965241342454E-3</v>
      </c>
      <c r="K23" s="19">
        <f ca="1">OFFSET('[1]Stock Prices'!$A$2,SUM(K$8,252,$A23),8,1,1)-(K$9+K$10*OFFSET('[1]Stock Prices'!$A$2,SUM(K$8,252,$A23),2,1,1))</f>
        <v>1.7921634536815483E-2</v>
      </c>
      <c r="L23" s="19">
        <f ca="1">OFFSET('[1]Stock Prices'!$A$2,SUM(L$8,252,$A23),8,1,1)-(L$9+L$10*OFFSET('[1]Stock Prices'!$A$2,SUM(L$8,252,$A23),2,1,1))</f>
        <v>2.3602405421564041E-2</v>
      </c>
      <c r="M23" s="19">
        <f ca="1">OFFSET('[1]Stock Prices'!$A$2,SUM(M$8,252,$A23),8,1,1)-(M$9+M$10*OFFSET('[1]Stock Prices'!$A$2,SUM(M$8,252,$A23),2,1,1))</f>
        <v>-1.1202458191102646E-2</v>
      </c>
      <c r="N23" s="19">
        <f ca="1">OFFSET('[1]Stock Prices'!$A$2,SUM(N$8,252,$A23),10,1,1)-(N$9+N$10*OFFSET('[1]Stock Prices'!$A$2,SUM(N$8,252,$A23),2,1,1))</f>
        <v>-2.7887090237883843E-3</v>
      </c>
      <c r="O23" s="19">
        <f ca="1">OFFSET('[1]Stock Prices'!$A$2,SUM(O$8,252,$A23),10,1,1)-(O$9+O$10*OFFSET('[1]Stock Prices'!$A$2,SUM(O$8,252,$A23),2,1,1))</f>
        <v>1.3783842515364551E-2</v>
      </c>
      <c r="P23" s="19">
        <f ca="1">OFFSET('[1]Stock Prices'!$A$2,SUM(P$8,252,$A23),10,1,1)-(P$9+P$10*OFFSET('[1]Stock Prices'!$A$2,SUM(P$8,252,$A23),2,1,1))</f>
        <v>3.4288795627130698E-4</v>
      </c>
      <c r="Q23" s="19">
        <f ca="1">OFFSET('[1]Stock Prices'!$A$2,SUM(Q$8,252,$A23),10,1,1)-(Q$9+Q$10*OFFSET('[1]Stock Prices'!$A$2,SUM(Q$8,252,$A23),2,1,1))</f>
        <v>-1.011121844403263E-2</v>
      </c>
      <c r="R23" s="19"/>
      <c r="S23" s="6">
        <v>-2</v>
      </c>
      <c r="T23" s="19">
        <f t="shared" ca="1" si="1"/>
        <v>5.3019810602478483E-3</v>
      </c>
      <c r="U23" s="27">
        <f t="shared" ca="1" si="2"/>
        <v>1.0899597350074479</v>
      </c>
      <c r="V23" s="28">
        <f t="shared" ca="1" si="5"/>
        <v>-2.3623218188247027E-2</v>
      </c>
      <c r="W23" s="19"/>
      <c r="X23" s="28">
        <f t="shared" ca="1" si="3"/>
        <v>5.3527214315480937E-3</v>
      </c>
      <c r="Y23" s="27">
        <f t="shared" ca="1" si="4"/>
        <v>0.99165467298480536</v>
      </c>
      <c r="Z23" s="28">
        <f t="shared" ca="1" si="6"/>
        <v>-4.7448119650516912E-3</v>
      </c>
    </row>
    <row r="24" spans="1:26" x14ac:dyDescent="0.25">
      <c r="A24" s="6">
        <v>-1</v>
      </c>
      <c r="B24" s="19">
        <f ca="1">OFFSET('[1]Stock Prices'!$A$2,SUM(B$8,252,$A24),4,1,1)-(B$9+B$10*OFFSET('[1]Stock Prices'!$A$2,SUM(B$8,252,$A24),2,1,1))</f>
        <v>2.8851180022581961E-4</v>
      </c>
      <c r="C24" s="19">
        <f ca="1">OFFSET('[1]Stock Prices'!$A$2,SUM(C$8,252,$A24),4,1,1)-(C$9+C$10*OFFSET('[1]Stock Prices'!$A$2,SUM(C$8,252,$A24),2,1,1))</f>
        <v>-2.6029939215713692E-3</v>
      </c>
      <c r="D24" s="19">
        <f ca="1">OFFSET('[1]Stock Prices'!$A$2,SUM(D$8,252,$A24),4,1,1)-(D$9+D$10*OFFSET('[1]Stock Prices'!$A$2,SUM(D$8,252,$A24),2,1,1))</f>
        <v>2.8513092948616002E-3</v>
      </c>
      <c r="E24" s="19">
        <f ca="1">OFFSET('[1]Stock Prices'!$A$2,SUM(E$8,252,$A24),4,1,1)-(E$9+E$10*OFFSET('[1]Stock Prices'!$A$2,SUM(E$8,252,$A24),2,1,1))</f>
        <v>2.6286825306474634E-2</v>
      </c>
      <c r="F24" s="19">
        <f ca="1">OFFSET('[1]Stock Prices'!$A$2,SUM(F$8,252,$A24),6,1,1)-(F$9+F$10*OFFSET('[1]Stock Prices'!$A$2,SUM(F$8,252,$A24),2,1,1))</f>
        <v>2.8771451338843622E-3</v>
      </c>
      <c r="G24" s="19">
        <f ca="1">OFFSET('[1]Stock Prices'!$A$2,SUM(G$8,252,$A24),6,1,1)-(G$9+G$10*OFFSET('[1]Stock Prices'!$A$2,SUM(G$8,252,$A24),2,1,1))</f>
        <v>-6.0339592842626657E-3</v>
      </c>
      <c r="H24" s="19">
        <f ca="1">OFFSET('[1]Stock Prices'!$A$2,SUM(H$8,252,$A24),6,1,1)-(H$9+H$10*OFFSET('[1]Stock Prices'!$A$2,SUM(H$8,252,$A24),2,1,1))</f>
        <v>2.9456919145109988E-2</v>
      </c>
      <c r="I24" s="19">
        <f ca="1">OFFSET('[1]Stock Prices'!$A$2,SUM(I$8,252,$A24),6,1,1)-(I$9+I$10*OFFSET('[1]Stock Prices'!$A$2,SUM(I$8,252,$A24),2,1,1))</f>
        <v>-7.8881946687403264E-3</v>
      </c>
      <c r="J24" s="19">
        <f ca="1">OFFSET('[1]Stock Prices'!$A$2,SUM(J$8,252,$A24),8,1,1)-(J$9+J$10*OFFSET('[1]Stock Prices'!$A$2,SUM(J$8,252,$A24),2,1,1))</f>
        <v>8.2292906513281461E-3</v>
      </c>
      <c r="K24" s="19">
        <f ca="1">OFFSET('[1]Stock Prices'!$A$2,SUM(K$8,252,$A24),8,1,1)-(K$9+K$10*OFFSET('[1]Stock Prices'!$A$2,SUM(K$8,252,$A24),2,1,1))</f>
        <v>-1.3275553382656315E-2</v>
      </c>
      <c r="L24" s="19">
        <f ca="1">OFFSET('[1]Stock Prices'!$A$2,SUM(L$8,252,$A24),8,1,1)-(L$9+L$10*OFFSET('[1]Stock Prices'!$A$2,SUM(L$8,252,$A24),2,1,1))</f>
        <v>2.9748327424576667E-3</v>
      </c>
      <c r="M24" s="19">
        <f ca="1">OFFSET('[1]Stock Prices'!$A$2,SUM(M$8,252,$A24),8,1,1)-(M$9+M$10*OFFSET('[1]Stock Prices'!$A$2,SUM(M$8,252,$A24),2,1,1))</f>
        <v>6.0205946586582241E-3</v>
      </c>
      <c r="N24" s="19">
        <f ca="1">OFFSET('[1]Stock Prices'!$A$2,SUM(N$8,252,$A24),10,1,1)-(N$9+N$10*OFFSET('[1]Stock Prices'!$A$2,SUM(N$8,252,$A24),2,1,1))</f>
        <v>1.0762688447861359E-2</v>
      </c>
      <c r="O24" s="19">
        <f ca="1">OFFSET('[1]Stock Prices'!$A$2,SUM(O$8,252,$A24),10,1,1)-(O$9+O$10*OFFSET('[1]Stock Prices'!$A$2,SUM(O$8,252,$A24),2,1,1))</f>
        <v>8.5649997234741541E-5</v>
      </c>
      <c r="P24" s="19">
        <f ca="1">OFFSET('[1]Stock Prices'!$A$2,SUM(P$8,252,$A24),10,1,1)-(P$9+P$10*OFFSET('[1]Stock Prices'!$A$2,SUM(P$8,252,$A24),2,1,1))</f>
        <v>-4.7387066697014722E-2</v>
      </c>
      <c r="Q24" s="19">
        <f ca="1">OFFSET('[1]Stock Prices'!$A$2,SUM(Q$8,252,$A24),10,1,1)-(Q$9+Q$10*OFFSET('[1]Stock Prices'!$A$2,SUM(Q$8,252,$A24),2,1,1))</f>
        <v>-3.886487912581716E-3</v>
      </c>
      <c r="R24" s="19"/>
      <c r="S24" s="6">
        <v>-1</v>
      </c>
      <c r="T24" s="19">
        <f t="shared" ca="1" si="1"/>
        <v>8.4818658280295736E-3</v>
      </c>
      <c r="U24" s="27">
        <f t="shared" ca="1" si="2"/>
        <v>1.743667532048045</v>
      </c>
      <c r="V24" s="28">
        <f t="shared" ca="1" si="5"/>
        <v>-1.5141352360217453E-2</v>
      </c>
      <c r="W24" s="19"/>
      <c r="X24" s="28">
        <f t="shared" ca="1" si="3"/>
        <v>-7.3869269141208956E-3</v>
      </c>
      <c r="Y24" s="27">
        <f t="shared" ca="1" si="4"/>
        <v>-1.3685151912093105</v>
      </c>
      <c r="Z24" s="28">
        <f t="shared" ca="1" si="6"/>
        <v>-1.2131738879172587E-2</v>
      </c>
    </row>
    <row r="25" spans="1:26" x14ac:dyDescent="0.25">
      <c r="A25" s="6">
        <v>0</v>
      </c>
      <c r="B25" s="19">
        <f ca="1">OFFSET('[1]Stock Prices'!$A$2,SUM(B$8,252,$A25),4,1,1)-(B$9+B$10*OFFSET('[1]Stock Prices'!$A$2,SUM(B$8,252,$A25),2,1,1))</f>
        <v>1.4581271145045187E-2</v>
      </c>
      <c r="C25" s="19">
        <f ca="1">OFFSET('[1]Stock Prices'!$A$2,SUM(C$8,252,$A25),4,1,1)-(C$9+C$10*OFFSET('[1]Stock Prices'!$A$2,SUM(C$8,252,$A25),2,1,1))</f>
        <v>5.0106624131823901E-2</v>
      </c>
      <c r="D25" s="19">
        <f ca="1">OFFSET('[1]Stock Prices'!$A$2,SUM(D$8,252,$A25),4,1,1)-(D$9+D$10*OFFSET('[1]Stock Prices'!$A$2,SUM(D$8,252,$A25),2,1,1))</f>
        <v>-6.3136363528097802E-2</v>
      </c>
      <c r="E25" s="19">
        <f ca="1">OFFSET('[1]Stock Prices'!$A$2,SUM(E$8,252,$A25),4,1,1)-(E$9+E$10*OFFSET('[1]Stock Prices'!$A$2,SUM(E$8,252,$A25),2,1,1))</f>
        <v>4.8691287748682206E-2</v>
      </c>
      <c r="F25" s="19">
        <f ca="1">OFFSET('[1]Stock Prices'!$A$2,SUM(F$8,252,$A25),6,1,1)-(F$9+F$10*OFFSET('[1]Stock Prices'!$A$2,SUM(F$8,252,$A25),2,1,1))</f>
        <v>-1.3925010767826661E-2</v>
      </c>
      <c r="G25" s="19">
        <f ca="1">OFFSET('[1]Stock Prices'!$A$2,SUM(G$8,252,$A25),6,1,1)-(G$9+G$10*OFFSET('[1]Stock Prices'!$A$2,SUM(G$8,252,$A25),2,1,1))</f>
        <v>-7.0334543698423554E-2</v>
      </c>
      <c r="H25" s="19">
        <f ca="1">OFFSET('[1]Stock Prices'!$A$2,SUM(H$8,252,$A25),6,1,1)-(H$9+H$10*OFFSET('[1]Stock Prices'!$A$2,SUM(H$8,252,$A25),2,1,1))</f>
        <v>4.260175504955966E-2</v>
      </c>
      <c r="I25" s="19">
        <f ca="1">OFFSET('[1]Stock Prices'!$A$2,SUM(I$8,252,$A25),6,1,1)-(I$9+I$10*OFFSET('[1]Stock Prices'!$A$2,SUM(I$8,252,$A25),2,1,1))</f>
        <v>-1.7010578282145489E-2</v>
      </c>
      <c r="J25" s="19">
        <f ca="1">OFFSET('[1]Stock Prices'!$A$2,SUM(J$8,252,$A25),8,1,1)-(J$9+J$10*OFFSET('[1]Stock Prices'!$A$2,SUM(J$8,252,$A25),2,1,1))</f>
        <v>2.5381974507704779E-2</v>
      </c>
      <c r="K25" s="19">
        <f ca="1">OFFSET('[1]Stock Prices'!$A$2,SUM(K$8,252,$A25),8,1,1)-(K$9+K$10*OFFSET('[1]Stock Prices'!$A$2,SUM(K$8,252,$A25),2,1,1))</f>
        <v>9.1737351957169755E-2</v>
      </c>
      <c r="L25" s="19">
        <f ca="1">OFFSET('[1]Stock Prices'!$A$2,SUM(L$8,252,$A25),8,1,1)-(L$9+L$10*OFFSET('[1]Stock Prices'!$A$2,SUM(L$8,252,$A25),2,1,1))</f>
        <v>-2.1820010562137747E-2</v>
      </c>
      <c r="M25" s="19">
        <f ca="1">OFFSET('[1]Stock Prices'!$A$2,SUM(M$8,252,$A25),8,1,1)-(M$9+M$10*OFFSET('[1]Stock Prices'!$A$2,SUM(M$8,252,$A25),2,1,1))</f>
        <v>-1.4140943119127742E-2</v>
      </c>
      <c r="N25" s="19">
        <f ca="1">OFFSET('[1]Stock Prices'!$A$2,SUM(N$8,252,$A25),10,1,1)-(N$9+N$10*OFFSET('[1]Stock Prices'!$A$2,SUM(N$8,252,$A25),2,1,1))</f>
        <v>0.12169594706989403</v>
      </c>
      <c r="O25" s="19">
        <f ca="1">OFFSET('[1]Stock Prices'!$A$2,SUM(O$8,252,$A25),10,1,1)-(O$9+O$10*OFFSET('[1]Stock Prices'!$A$2,SUM(O$8,252,$A25),2,1,1))</f>
        <v>-0.11882902276393531</v>
      </c>
      <c r="P25" s="19">
        <f ca="1">OFFSET('[1]Stock Prices'!$A$2,SUM(P$8,252,$A25),10,1,1)-(P$9+P$10*OFFSET('[1]Stock Prices'!$A$2,SUM(P$8,252,$A25),2,1,1))</f>
        <v>-0.25783785331884324</v>
      </c>
      <c r="Q25" s="19">
        <f ca="1">OFFSET('[1]Stock Prices'!$A$2,SUM(Q$8,252,$A25),10,1,1)-(Q$9+Q$10*OFFSET('[1]Stock Prices'!$A$2,SUM(Q$8,252,$A25),2,1,1))</f>
        <v>0.13459699636754072</v>
      </c>
      <c r="R25" s="19"/>
      <c r="S25" s="6">
        <v>0</v>
      </c>
      <c r="T25" s="19">
        <f t="shared" ca="1" si="1"/>
        <v>2.6464952699374066E-2</v>
      </c>
      <c r="U25" s="29">
        <f t="shared" ca="1" si="2"/>
        <v>5.4405575016984251</v>
      </c>
      <c r="V25" s="28">
        <f t="shared" ca="1" si="5"/>
        <v>1.1323600339156612E-2</v>
      </c>
      <c r="W25" s="19"/>
      <c r="X25" s="28">
        <f t="shared" ca="1" si="3"/>
        <v>-3.2420092457263738E-2</v>
      </c>
      <c r="Y25" s="29">
        <f t="shared" ca="1" si="4"/>
        <v>-6.0062038712421577</v>
      </c>
      <c r="Z25" s="28">
        <f t="shared" ca="1" si="6"/>
        <v>-4.4551831336436323E-2</v>
      </c>
    </row>
    <row r="26" spans="1:26" x14ac:dyDescent="0.25">
      <c r="A26" s="6">
        <v>1</v>
      </c>
      <c r="B26" s="19">
        <f ca="1">OFFSET('[1]Stock Prices'!$A$2,SUM(B$8,252,$A26),4,1,1)-(B$9+B$10*OFFSET('[1]Stock Prices'!$A$2,SUM(B$8,252,$A26),2,1,1))</f>
        <v>1.4278349025820541E-2</v>
      </c>
      <c r="C26" s="19">
        <f ca="1">OFFSET('[1]Stock Prices'!$A$2,SUM(C$8,252,$A26),4,1,1)-(C$9+C$10*OFFSET('[1]Stock Prices'!$A$2,SUM(C$8,252,$A26),2,1,1))</f>
        <v>-6.2916388598282897E-3</v>
      </c>
      <c r="D26" s="19">
        <f ca="1">OFFSET('[1]Stock Prices'!$A$2,SUM(D$8,252,$A26),4,1,1)-(D$9+D$10*OFFSET('[1]Stock Prices'!$A$2,SUM(D$8,252,$A26),2,1,1))</f>
        <v>3.7923839529351061E-3</v>
      </c>
      <c r="E26" s="19">
        <f ca="1">OFFSET('[1]Stock Prices'!$A$2,SUM(E$8,252,$A26),4,1,1)-(E$9+E$10*OFFSET('[1]Stock Prices'!$A$2,SUM(E$8,252,$A26),2,1,1))</f>
        <v>-1.3456835563849202E-2</v>
      </c>
      <c r="F26" s="19">
        <f ca="1">OFFSET('[1]Stock Prices'!$A$2,SUM(F$8,252,$A26),6,1,1)-(F$9+F$10*OFFSET('[1]Stock Prices'!$A$2,SUM(F$8,252,$A26),2,1,1))</f>
        <v>-1.1159613210486835E-2</v>
      </c>
      <c r="G26" s="19">
        <f ca="1">OFFSET('[1]Stock Prices'!$A$2,SUM(G$8,252,$A26),6,1,1)-(G$9+G$10*OFFSET('[1]Stock Prices'!$A$2,SUM(G$8,252,$A26),2,1,1))</f>
        <v>-4.369115121902406E-2</v>
      </c>
      <c r="H26" s="19">
        <f ca="1">OFFSET('[1]Stock Prices'!$A$2,SUM(H$8,252,$A26),6,1,1)-(H$9+H$10*OFFSET('[1]Stock Prices'!$A$2,SUM(H$8,252,$A26),2,1,1))</f>
        <v>5.7859169698998561E-3</v>
      </c>
      <c r="I26" s="19">
        <f ca="1">OFFSET('[1]Stock Prices'!$A$2,SUM(I$8,252,$A26),6,1,1)-(I$9+I$10*OFFSET('[1]Stock Prices'!$A$2,SUM(I$8,252,$A26),2,1,1))</f>
        <v>-1.5688379030214639E-2</v>
      </c>
      <c r="J26" s="19">
        <f ca="1">OFFSET('[1]Stock Prices'!$A$2,SUM(J$8,252,$A26),8,1,1)-(J$9+J$10*OFFSET('[1]Stock Prices'!$A$2,SUM(J$8,252,$A26),2,1,1))</f>
        <v>-1.1878478055085656E-3</v>
      </c>
      <c r="K26" s="19">
        <f ca="1">OFFSET('[1]Stock Prices'!$A$2,SUM(K$8,252,$A26),8,1,1)-(K$9+K$10*OFFSET('[1]Stock Prices'!$A$2,SUM(K$8,252,$A26),2,1,1))</f>
        <v>8.2774882148451412E-3</v>
      </c>
      <c r="L26" s="19">
        <f ca="1">OFFSET('[1]Stock Prices'!$A$2,SUM(L$8,252,$A26),8,1,1)-(L$9+L$10*OFFSET('[1]Stock Prices'!$A$2,SUM(L$8,252,$A26),2,1,1))</f>
        <v>-2.342364956425716E-2</v>
      </c>
      <c r="M26" s="19">
        <f ca="1">OFFSET('[1]Stock Prices'!$A$2,SUM(M$8,252,$A26),8,1,1)-(M$9+M$10*OFFSET('[1]Stock Prices'!$A$2,SUM(M$8,252,$A26),2,1,1))</f>
        <v>1.0145742399427789E-2</v>
      </c>
      <c r="N26" s="19">
        <f ca="1">OFFSET('[1]Stock Prices'!$A$2,SUM(N$8,252,$A26),10,1,1)-(N$9+N$10*OFFSET('[1]Stock Prices'!$A$2,SUM(N$8,252,$A26),2,1,1))</f>
        <v>1.4186705409979395E-2</v>
      </c>
      <c r="O26" s="19">
        <f ca="1">OFFSET('[1]Stock Prices'!$A$2,SUM(O$8,252,$A26),10,1,1)-(O$9+O$10*OFFSET('[1]Stock Prices'!$A$2,SUM(O$8,252,$A26),2,1,1))</f>
        <v>-1.4155903347935136E-3</v>
      </c>
      <c r="P26" s="19">
        <f ca="1">OFFSET('[1]Stock Prices'!$A$2,SUM(P$8,252,$A26),10,1,1)-(P$9+P$10*OFFSET('[1]Stock Prices'!$A$2,SUM(P$8,252,$A26),2,1,1))</f>
        <v>-9.4220586687495354E-3</v>
      </c>
      <c r="Q26" s="19">
        <f ca="1">OFFSET('[1]Stock Prices'!$A$2,SUM(Q$8,252,$A26),10,1,1)-(Q$9+Q$10*OFFSET('[1]Stock Prices'!$A$2,SUM(Q$8,252,$A26),2,1,1))</f>
        <v>-2.448431110075152E-2</v>
      </c>
      <c r="R26" s="19"/>
      <c r="S26" s="6">
        <v>1</v>
      </c>
      <c r="T26" s="19">
        <f t="shared" ca="1" si="1"/>
        <v>4.5767410394776794E-3</v>
      </c>
      <c r="U26" s="27">
        <f t="shared" ca="1" si="2"/>
        <v>0.94086783673904917</v>
      </c>
      <c r="V26" s="28">
        <f t="shared" ca="1" si="5"/>
        <v>1.5900341378634292E-2</v>
      </c>
      <c r="W26" s="19"/>
      <c r="X26" s="28">
        <f t="shared" ca="1" si="3"/>
        <v>-1.6296052212547117E-2</v>
      </c>
      <c r="Y26" s="29">
        <f t="shared" ca="1" si="4"/>
        <v>-3.0190355568537357</v>
      </c>
      <c r="Z26" s="28">
        <f t="shared" ca="1" si="6"/>
        <v>-6.084788354898344E-2</v>
      </c>
    </row>
    <row r="27" spans="1:26" x14ac:dyDescent="0.25">
      <c r="A27" s="6">
        <v>2</v>
      </c>
      <c r="B27" s="19">
        <f ca="1">OFFSET('[1]Stock Prices'!$A$2,SUM(B$8,252,$A27),4,1,1)-(B$9+B$10*OFFSET('[1]Stock Prices'!$A$2,SUM(B$8,252,$A27),2,1,1))</f>
        <v>-1.147929280158197E-2</v>
      </c>
      <c r="C27" s="19">
        <f ca="1">OFFSET('[1]Stock Prices'!$A$2,SUM(C$8,252,$A27),4,1,1)-(C$9+C$10*OFFSET('[1]Stock Prices'!$A$2,SUM(C$8,252,$A27),2,1,1))</f>
        <v>-5.6195019133518593E-3</v>
      </c>
      <c r="D27" s="19">
        <f ca="1">OFFSET('[1]Stock Prices'!$A$2,SUM(D$8,252,$A27),4,1,1)-(D$9+D$10*OFFSET('[1]Stock Prices'!$A$2,SUM(D$8,252,$A27),2,1,1))</f>
        <v>9.2962282331420995E-3</v>
      </c>
      <c r="E27" s="19">
        <f ca="1">OFFSET('[1]Stock Prices'!$A$2,SUM(E$8,252,$A27),4,1,1)-(E$9+E$10*OFFSET('[1]Stock Prices'!$A$2,SUM(E$8,252,$A27),2,1,1))</f>
        <v>-1.5448419543092336E-3</v>
      </c>
      <c r="F27" s="19">
        <f ca="1">OFFSET('[1]Stock Prices'!$A$2,SUM(F$8,252,$A27),6,1,1)-(F$9+F$10*OFFSET('[1]Stock Prices'!$A$2,SUM(F$8,252,$A27),2,1,1))</f>
        <v>1.434738510690969E-2</v>
      </c>
      <c r="G27" s="19">
        <f ca="1">OFFSET('[1]Stock Prices'!$A$2,SUM(G$8,252,$A27),6,1,1)-(G$9+G$10*OFFSET('[1]Stock Prices'!$A$2,SUM(G$8,252,$A27),2,1,1))</f>
        <v>-2.637950145646192E-2</v>
      </c>
      <c r="H27" s="19">
        <f ca="1">OFFSET('[1]Stock Prices'!$A$2,SUM(H$8,252,$A27),6,1,1)-(H$9+H$10*OFFSET('[1]Stock Prices'!$A$2,SUM(H$8,252,$A27),2,1,1))</f>
        <v>9.8868513030655157E-3</v>
      </c>
      <c r="I27" s="19">
        <f ca="1">OFFSET('[1]Stock Prices'!$A$2,SUM(I$8,252,$A27),6,1,1)-(I$9+I$10*OFFSET('[1]Stock Prices'!$A$2,SUM(I$8,252,$A27),2,1,1))</f>
        <v>1.5914271609230226E-2</v>
      </c>
      <c r="J27" s="19">
        <f ca="1">OFFSET('[1]Stock Prices'!$A$2,SUM(J$8,252,$A27),8,1,1)-(J$9+J$10*OFFSET('[1]Stock Prices'!$A$2,SUM(J$8,252,$A27),2,1,1))</f>
        <v>1.3267881809098367E-2</v>
      </c>
      <c r="K27" s="19">
        <f ca="1">OFFSET('[1]Stock Prices'!$A$2,SUM(K$8,252,$A27),8,1,1)-(K$9+K$10*OFFSET('[1]Stock Prices'!$A$2,SUM(K$8,252,$A27),2,1,1))</f>
        <v>-1.4355014459135982E-2</v>
      </c>
      <c r="L27" s="19">
        <f ca="1">OFFSET('[1]Stock Prices'!$A$2,SUM(L$8,252,$A27),8,1,1)-(L$9+L$10*OFFSET('[1]Stock Prices'!$A$2,SUM(L$8,252,$A27),2,1,1))</f>
        <v>3.3979027997795329E-3</v>
      </c>
      <c r="M27" s="19">
        <f ca="1">OFFSET('[1]Stock Prices'!$A$2,SUM(M$8,252,$A27),8,1,1)-(M$9+M$10*OFFSET('[1]Stock Prices'!$A$2,SUM(M$8,252,$A27),2,1,1))</f>
        <v>3.6808764521108241E-3</v>
      </c>
      <c r="N27" s="19">
        <f ca="1">OFFSET('[1]Stock Prices'!$A$2,SUM(N$8,252,$A27),10,1,1)-(N$9+N$10*OFFSET('[1]Stock Prices'!$A$2,SUM(N$8,252,$A27),2,1,1))</f>
        <v>3.6977744560077871E-3</v>
      </c>
      <c r="O27" s="19">
        <f ca="1">OFFSET('[1]Stock Prices'!$A$2,SUM(O$8,252,$A27),10,1,1)-(O$9+O$10*OFFSET('[1]Stock Prices'!$A$2,SUM(O$8,252,$A27),2,1,1))</f>
        <v>-1.8512048054480236E-3</v>
      </c>
      <c r="P27" s="19">
        <f ca="1">OFFSET('[1]Stock Prices'!$A$2,SUM(P$8,252,$A27),10,1,1)-(P$9+P$10*OFFSET('[1]Stock Prices'!$A$2,SUM(P$8,252,$A27),2,1,1))</f>
        <v>2.0236029374436283E-2</v>
      </c>
      <c r="Q27" s="19">
        <f ca="1">OFFSET('[1]Stock Prices'!$A$2,SUM(Q$8,252,$A27),10,1,1)-(Q$9+Q$10*OFFSET('[1]Stock Prices'!$A$2,SUM(Q$8,252,$A27),2,1,1))</f>
        <v>5.7263555246588006E-4</v>
      </c>
      <c r="R27" s="19"/>
      <c r="S27" s="6">
        <v>2</v>
      </c>
      <c r="T27" s="19">
        <f t="shared" ca="1" si="1"/>
        <v>1.6287874997591059E-4</v>
      </c>
      <c r="U27" s="27">
        <f t="shared" ca="1" si="2"/>
        <v>3.3483951969037952E-2</v>
      </c>
      <c r="V27" s="28">
        <f t="shared" ca="1" si="5"/>
        <v>1.6063220128610202E-2</v>
      </c>
      <c r="W27" s="19"/>
      <c r="X27" s="28">
        <f t="shared" ca="1" si="3"/>
        <v>3.9706811632687416E-3</v>
      </c>
      <c r="Y27" s="27">
        <f t="shared" ca="1" si="4"/>
        <v>0.73561543989211275</v>
      </c>
      <c r="Z27" s="28">
        <f t="shared" ca="1" si="6"/>
        <v>-5.6877202385714698E-2</v>
      </c>
    </row>
    <row r="28" spans="1:26" x14ac:dyDescent="0.25">
      <c r="A28" s="6">
        <v>3</v>
      </c>
      <c r="B28" s="19">
        <f ca="1">OFFSET('[1]Stock Prices'!$A$2,SUM(B$8,252,$A28),4,1,1)-(B$9+B$10*OFFSET('[1]Stock Prices'!$A$2,SUM(B$8,252,$A28),2,1,1))</f>
        <v>1.0810486184671193E-2</v>
      </c>
      <c r="C28" s="19">
        <f ca="1">OFFSET('[1]Stock Prices'!$A$2,SUM(C$8,252,$A28),4,1,1)-(C$9+C$10*OFFSET('[1]Stock Prices'!$A$2,SUM(C$8,252,$A28),2,1,1))</f>
        <v>1.1482580266017907E-2</v>
      </c>
      <c r="D28" s="19">
        <f ca="1">OFFSET('[1]Stock Prices'!$A$2,SUM(D$8,252,$A28),4,1,1)-(D$9+D$10*OFFSET('[1]Stock Prices'!$A$2,SUM(D$8,252,$A28),2,1,1))</f>
        <v>-2.8980044352971052E-2</v>
      </c>
      <c r="E28" s="19">
        <f ca="1">OFFSET('[1]Stock Prices'!$A$2,SUM(E$8,252,$A28),4,1,1)-(E$9+E$10*OFFSET('[1]Stock Prices'!$A$2,SUM(E$8,252,$A28),2,1,1))</f>
        <v>-2.4092726207194156E-3</v>
      </c>
      <c r="F28" s="19">
        <f ca="1">OFFSET('[1]Stock Prices'!$A$2,SUM(F$8,252,$A28),6,1,1)-(F$9+F$10*OFFSET('[1]Stock Prices'!$A$2,SUM(F$8,252,$A28),2,1,1))</f>
        <v>-8.1893667383382343E-3</v>
      </c>
      <c r="G28" s="19">
        <f ca="1">OFFSET('[1]Stock Prices'!$A$2,SUM(G$8,252,$A28),6,1,1)-(G$9+G$10*OFFSET('[1]Stock Prices'!$A$2,SUM(G$8,252,$A28),2,1,1))</f>
        <v>8.6549308835595293E-3</v>
      </c>
      <c r="H28" s="19">
        <f ca="1">OFFSET('[1]Stock Prices'!$A$2,SUM(H$8,252,$A28),6,1,1)-(H$9+H$10*OFFSET('[1]Stock Prices'!$A$2,SUM(H$8,252,$A28),2,1,1))</f>
        <v>2.020522213808414E-3</v>
      </c>
      <c r="I28" s="19">
        <f ca="1">OFFSET('[1]Stock Prices'!$A$2,SUM(I$8,252,$A28),6,1,1)-(I$9+I$10*OFFSET('[1]Stock Prices'!$A$2,SUM(I$8,252,$A28),2,1,1))</f>
        <v>-9.0955889821991622E-3</v>
      </c>
      <c r="J28" s="19">
        <f ca="1">OFFSET('[1]Stock Prices'!$A$2,SUM(J$8,252,$A28),8,1,1)-(J$9+J$10*OFFSET('[1]Stock Prices'!$A$2,SUM(J$8,252,$A28),2,1,1))</f>
        <v>-3.2838627654421346E-2</v>
      </c>
      <c r="K28" s="19">
        <f ca="1">OFFSET('[1]Stock Prices'!$A$2,SUM(K$8,252,$A28),8,1,1)-(K$9+K$10*OFFSET('[1]Stock Prices'!$A$2,SUM(K$8,252,$A28),2,1,1))</f>
        <v>-2.3900957760882944E-3</v>
      </c>
      <c r="L28" s="19">
        <f ca="1">OFFSET('[1]Stock Prices'!$A$2,SUM(L$8,252,$A28),8,1,1)-(L$9+L$10*OFFSET('[1]Stock Prices'!$A$2,SUM(L$8,252,$A28),2,1,1))</f>
        <v>3.4933821927254491E-3</v>
      </c>
      <c r="M28" s="19">
        <f ca="1">OFFSET('[1]Stock Prices'!$A$2,SUM(M$8,252,$A28),8,1,1)-(M$9+M$10*OFFSET('[1]Stock Prices'!$A$2,SUM(M$8,252,$A28),2,1,1))</f>
        <v>-1.4449634575062731E-2</v>
      </c>
      <c r="N28" s="19">
        <f ca="1">OFFSET('[1]Stock Prices'!$A$2,SUM(N$8,252,$A28),10,1,1)-(N$9+N$10*OFFSET('[1]Stock Prices'!$A$2,SUM(N$8,252,$A28),2,1,1))</f>
        <v>-1.780229319075232E-2</v>
      </c>
      <c r="O28" s="19">
        <f ca="1">OFFSET('[1]Stock Prices'!$A$2,SUM(O$8,252,$A28),10,1,1)-(O$9+O$10*OFFSET('[1]Stock Prices'!$A$2,SUM(O$8,252,$A28),2,1,1))</f>
        <v>6.7052853150843398E-3</v>
      </c>
      <c r="P28" s="19">
        <f ca="1">OFFSET('[1]Stock Prices'!$A$2,SUM(P$8,252,$A28),10,1,1)-(P$9+P$10*OFFSET('[1]Stock Prices'!$A$2,SUM(P$8,252,$A28),2,1,1))</f>
        <v>3.1064398042420047E-2</v>
      </c>
      <c r="Q28" s="19">
        <f ca="1">OFFSET('[1]Stock Prices'!$A$2,SUM(Q$8,252,$A28),10,1,1)-(Q$9+Q$10*OFFSET('[1]Stock Prices'!$A$2,SUM(Q$8,252,$A28),2,1,1))</f>
        <v>9.3667977569180799E-3</v>
      </c>
      <c r="R28" s="19"/>
      <c r="S28" s="6">
        <v>3</v>
      </c>
      <c r="T28" s="19">
        <f t="shared" ca="1" si="1"/>
        <v>-6.2942037629350198E-3</v>
      </c>
      <c r="U28" s="27">
        <f t="shared" ca="1" si="2"/>
        <v>-1.2939368488070073</v>
      </c>
      <c r="V28" s="28">
        <f t="shared" ca="1" si="5"/>
        <v>9.769016365675183E-3</v>
      </c>
      <c r="W28" s="19"/>
      <c r="X28" s="28">
        <f t="shared" ca="1" si="3"/>
        <v>2.2246361335165705E-3</v>
      </c>
      <c r="Y28" s="27">
        <f t="shared" ca="1" si="4"/>
        <v>0.41214003861481074</v>
      </c>
      <c r="Z28" s="28">
        <f t="shared" ca="1" si="6"/>
        <v>-5.465256625219813E-2</v>
      </c>
    </row>
    <row r="29" spans="1:26" x14ac:dyDescent="0.25">
      <c r="A29" s="6">
        <v>4</v>
      </c>
      <c r="B29" s="19">
        <f ca="1">OFFSET('[1]Stock Prices'!$A$2,SUM(B$8,252,$A29),4,1,1)-(B$9+B$10*OFFSET('[1]Stock Prices'!$A$2,SUM(B$8,252,$A29),2,1,1))</f>
        <v>2.567475028504853E-4</v>
      </c>
      <c r="C29" s="19">
        <f ca="1">OFFSET('[1]Stock Prices'!$A$2,SUM(C$8,252,$A29),4,1,1)-(C$9+C$10*OFFSET('[1]Stock Prices'!$A$2,SUM(C$8,252,$A29),2,1,1))</f>
        <v>1.3685160851367301E-2</v>
      </c>
      <c r="D29" s="19">
        <f ca="1">OFFSET('[1]Stock Prices'!$A$2,SUM(D$8,252,$A29),4,1,1)-(D$9+D$10*OFFSET('[1]Stock Prices'!$A$2,SUM(D$8,252,$A29),2,1,1))</f>
        <v>2.720473228960291E-3</v>
      </c>
      <c r="E29" s="19">
        <f ca="1">OFFSET('[1]Stock Prices'!$A$2,SUM(E$8,252,$A29),4,1,1)-(E$9+E$10*OFFSET('[1]Stock Prices'!$A$2,SUM(E$8,252,$A29),2,1,1))</f>
        <v>2.6123073695788757E-2</v>
      </c>
      <c r="F29" s="19">
        <f ca="1">OFFSET('[1]Stock Prices'!$A$2,SUM(F$8,252,$A29),6,1,1)-(F$9+F$10*OFFSET('[1]Stock Prices'!$A$2,SUM(F$8,252,$A29),2,1,1))</f>
        <v>3.5606545172080927E-3</v>
      </c>
      <c r="G29" s="19">
        <f ca="1">OFFSET('[1]Stock Prices'!$A$2,SUM(G$8,252,$A29),6,1,1)-(G$9+G$10*OFFSET('[1]Stock Prices'!$A$2,SUM(G$8,252,$A29),2,1,1))</f>
        <v>2.0261740238941396E-3</v>
      </c>
      <c r="H29" s="19">
        <f ca="1">OFFSET('[1]Stock Prices'!$A$2,SUM(H$8,252,$A29),6,1,1)-(H$9+H$10*OFFSET('[1]Stock Prices'!$A$2,SUM(H$8,252,$A29),2,1,1))</f>
        <v>-7.1201382299827549E-3</v>
      </c>
      <c r="I29" s="19">
        <f ca="1">OFFSET('[1]Stock Prices'!$A$2,SUM(I$8,252,$A29),6,1,1)-(I$9+I$10*OFFSET('[1]Stock Prices'!$A$2,SUM(I$8,252,$A29),2,1,1))</f>
        <v>-5.5897959470266444E-3</v>
      </c>
      <c r="J29" s="19">
        <f ca="1">OFFSET('[1]Stock Prices'!$A$2,SUM(J$8,252,$A29),8,1,1)-(J$9+J$10*OFFSET('[1]Stock Prices'!$A$2,SUM(J$8,252,$A29),2,1,1))</f>
        <v>-1.3417466509777822E-2</v>
      </c>
      <c r="K29" s="19">
        <f ca="1">OFFSET('[1]Stock Prices'!$A$2,SUM(K$8,252,$A29),8,1,1)-(K$9+K$10*OFFSET('[1]Stock Prices'!$A$2,SUM(K$8,252,$A29),2,1,1))</f>
        <v>-2.2668075209805448E-3</v>
      </c>
      <c r="L29" s="19">
        <f ca="1">OFFSET('[1]Stock Prices'!$A$2,SUM(L$8,252,$A29),8,1,1)-(L$9+L$10*OFFSET('[1]Stock Prices'!$A$2,SUM(L$8,252,$A29),2,1,1))</f>
        <v>1.2591864013268476E-2</v>
      </c>
      <c r="M29" s="19">
        <f ca="1">OFFSET('[1]Stock Prices'!$A$2,SUM(M$8,252,$A29),8,1,1)-(M$9+M$10*OFFSET('[1]Stock Prices'!$A$2,SUM(M$8,252,$A29),2,1,1))</f>
        <v>-5.818098888690339E-4</v>
      </c>
      <c r="N29" s="19">
        <f ca="1">OFFSET('[1]Stock Prices'!$A$2,SUM(N$8,252,$A29),10,1,1)-(N$9+N$10*OFFSET('[1]Stock Prices'!$A$2,SUM(N$8,252,$A29),2,1,1))</f>
        <v>-4.0163548612340274E-3</v>
      </c>
      <c r="O29" s="19">
        <f ca="1">OFFSET('[1]Stock Prices'!$A$2,SUM(O$8,252,$A29),10,1,1)-(O$9+O$10*OFFSET('[1]Stock Prices'!$A$2,SUM(O$8,252,$A29),2,1,1))</f>
        <v>2.4035397924666701E-3</v>
      </c>
      <c r="P29" s="19">
        <f ca="1">OFFSET('[1]Stock Prices'!$A$2,SUM(P$8,252,$A29),10,1,1)-(P$9+P$10*OFFSET('[1]Stock Prices'!$A$2,SUM(P$8,252,$A29),2,1,1))</f>
        <v>1.428249385119775E-3</v>
      </c>
      <c r="Q29" s="19">
        <f ca="1">OFFSET('[1]Stock Prices'!$A$2,SUM(Q$8,252,$A29),10,1,1)-(Q$9+Q$10*OFFSET('[1]Stock Prices'!$A$2,SUM(Q$8,252,$A29),2,1,1))</f>
        <v>-1.1275211969340403E-2</v>
      </c>
      <c r="R29" s="19"/>
      <c r="S29" s="6">
        <v>4</v>
      </c>
      <c r="T29" s="19">
        <f t="shared" ca="1" si="1"/>
        <v>1.7259799753271634E-4</v>
      </c>
      <c r="U29" s="27">
        <f t="shared" ca="1" si="2"/>
        <v>3.548199541187752E-2</v>
      </c>
      <c r="V29" s="28">
        <f t="shared" ca="1" si="5"/>
        <v>9.9416143632078992E-3</v>
      </c>
      <c r="W29" s="19"/>
      <c r="X29" s="28">
        <f t="shared" ca="1" si="3"/>
        <v>2.3934460129313791E-3</v>
      </c>
      <c r="Y29" s="27">
        <f t="shared" ca="1" si="4"/>
        <v>0.4434140564968288</v>
      </c>
      <c r="Z29" s="28">
        <f t="shared" ca="1" si="6"/>
        <v>-5.2259120239266751E-2</v>
      </c>
    </row>
    <row r="30" spans="1:26" x14ac:dyDescent="0.25">
      <c r="A30" s="6">
        <v>5</v>
      </c>
      <c r="B30" s="19">
        <f ca="1">OFFSET('[1]Stock Prices'!$A$2,SUM(B$8,252,$A30),4,1,1)-(B$9+B$10*OFFSET('[1]Stock Prices'!$A$2,SUM(B$8,252,$A30),2,1,1))</f>
        <v>1.1379214198616516E-3</v>
      </c>
      <c r="C30" s="19">
        <f ca="1">OFFSET('[1]Stock Prices'!$A$2,SUM(C$8,252,$A30),4,1,1)-(C$9+C$10*OFFSET('[1]Stock Prices'!$A$2,SUM(C$8,252,$A30),2,1,1))</f>
        <v>-3.1235837270690136E-3</v>
      </c>
      <c r="D30" s="19">
        <f ca="1">OFFSET('[1]Stock Prices'!$A$2,SUM(D$8,252,$A30),4,1,1)-(D$9+D$10*OFFSET('[1]Stock Prices'!$A$2,SUM(D$8,252,$A30),2,1,1))</f>
        <v>-3.1483273603150745E-3</v>
      </c>
      <c r="E30" s="19">
        <f ca="1">OFFSET('[1]Stock Prices'!$A$2,SUM(E$8,252,$A30),4,1,1)-(E$9+E$10*OFFSET('[1]Stock Prices'!$A$2,SUM(E$8,252,$A30),2,1,1))</f>
        <v>1.1944798611931599E-2</v>
      </c>
      <c r="F30" s="19">
        <f ca="1">OFFSET('[1]Stock Prices'!$A$2,SUM(F$8,252,$A30),6,1,1)-(F$9+F$10*OFFSET('[1]Stock Prices'!$A$2,SUM(F$8,252,$A30),2,1,1))</f>
        <v>-9.8868284863617394E-3</v>
      </c>
      <c r="G30" s="19">
        <f ca="1">OFFSET('[1]Stock Prices'!$A$2,SUM(G$8,252,$A30),6,1,1)-(G$9+G$10*OFFSET('[1]Stock Prices'!$A$2,SUM(G$8,252,$A30),2,1,1))</f>
        <v>6.1598800329166706E-3</v>
      </c>
      <c r="H30" s="19">
        <f ca="1">OFFSET('[1]Stock Prices'!$A$2,SUM(H$8,252,$A30),6,1,1)-(H$9+H$10*OFFSET('[1]Stock Prices'!$A$2,SUM(H$8,252,$A30),2,1,1))</f>
        <v>-4.6697091935603849E-3</v>
      </c>
      <c r="I30" s="19">
        <f ca="1">OFFSET('[1]Stock Prices'!$A$2,SUM(I$8,252,$A30),6,1,1)-(I$9+I$10*OFFSET('[1]Stock Prices'!$A$2,SUM(I$8,252,$A30),2,1,1))</f>
        <v>-5.2948326786204994E-3</v>
      </c>
      <c r="J30" s="19">
        <f ca="1">OFFSET('[1]Stock Prices'!$A$2,SUM(J$8,252,$A30),8,1,1)-(J$9+J$10*OFFSET('[1]Stock Prices'!$A$2,SUM(J$8,252,$A30),2,1,1))</f>
        <v>5.7811396014619595E-3</v>
      </c>
      <c r="K30" s="19">
        <f ca="1">OFFSET('[1]Stock Prices'!$A$2,SUM(K$8,252,$A30),8,1,1)-(K$9+K$10*OFFSET('[1]Stock Prices'!$A$2,SUM(K$8,252,$A30),2,1,1))</f>
        <v>7.6314545839971677E-3</v>
      </c>
      <c r="L30" s="19">
        <f ca="1">OFFSET('[1]Stock Prices'!$A$2,SUM(L$8,252,$A30),8,1,1)-(L$9+L$10*OFFSET('[1]Stock Prices'!$A$2,SUM(L$8,252,$A30),2,1,1))</f>
        <v>-1.9382163014148045E-2</v>
      </c>
      <c r="M30" s="19">
        <f ca="1">OFFSET('[1]Stock Prices'!$A$2,SUM(M$8,252,$A30),8,1,1)-(M$9+M$10*OFFSET('[1]Stock Prices'!$A$2,SUM(M$8,252,$A30),2,1,1))</f>
        <v>-5.888819426095186E-3</v>
      </c>
      <c r="N30" s="19">
        <f ca="1">OFFSET('[1]Stock Prices'!$A$2,SUM(N$8,252,$A30),10,1,1)-(N$9+N$10*OFFSET('[1]Stock Prices'!$A$2,SUM(N$8,252,$A30),2,1,1))</f>
        <v>3.8529416636036602E-4</v>
      </c>
      <c r="O30" s="19">
        <f ca="1">OFFSET('[1]Stock Prices'!$A$2,SUM(O$8,252,$A30),10,1,1)-(O$9+O$10*OFFSET('[1]Stock Prices'!$A$2,SUM(O$8,252,$A30),2,1,1))</f>
        <v>-4.0010981776238581E-2</v>
      </c>
      <c r="P30" s="19">
        <f ca="1">OFFSET('[1]Stock Prices'!$A$2,SUM(P$8,252,$A30),10,1,1)-(P$9+P$10*OFFSET('[1]Stock Prices'!$A$2,SUM(P$8,252,$A30),2,1,1))</f>
        <v>4.4466009671358751E-3</v>
      </c>
      <c r="Q30" s="19">
        <f ca="1">OFFSET('[1]Stock Prices'!$A$2,SUM(Q$8,252,$A30),10,1,1)-(Q$9+Q$10*OFFSET('[1]Stock Prices'!$A$2,SUM(Q$8,252,$A30),2,1,1))</f>
        <v>-1.1310501760104254E-2</v>
      </c>
      <c r="R30" s="19"/>
      <c r="S30" s="6">
        <v>5</v>
      </c>
      <c r="T30" s="19">
        <f t="shared" ca="1" si="1"/>
        <v>-2.9611127515351762E-3</v>
      </c>
      <c r="U30" s="27">
        <f t="shared" ca="1" si="2"/>
        <v>-0.60873353437433486</v>
      </c>
      <c r="V30" s="28">
        <f t="shared" ca="1" si="5"/>
        <v>6.980501611672723E-3</v>
      </c>
      <c r="W30" s="19"/>
      <c r="X30" s="28">
        <f t="shared" ca="1" si="3"/>
        <v>-5.19246950332076E-3</v>
      </c>
      <c r="Y30" s="27">
        <f t="shared" ca="1" si="4"/>
        <v>-0.96196611632933582</v>
      </c>
      <c r="Z30" s="28">
        <f t="shared" ca="1" si="6"/>
        <v>-5.745158974258751E-2</v>
      </c>
    </row>
    <row r="31" spans="1:26" x14ac:dyDescent="0.25">
      <c r="A31" s="6">
        <v>6</v>
      </c>
      <c r="B31" s="19">
        <f ca="1">OFFSET('[1]Stock Prices'!$A$2,SUM(B$8,252,$A31),4,1,1)-(B$9+B$10*OFFSET('[1]Stock Prices'!$A$2,SUM(B$8,252,$A31),2,1,1))</f>
        <v>-1.1945488308214725E-3</v>
      </c>
      <c r="C31" s="19">
        <f ca="1">OFFSET('[1]Stock Prices'!$A$2,SUM(C$8,252,$A31),4,1,1)-(C$9+C$10*OFFSET('[1]Stock Prices'!$A$2,SUM(C$8,252,$A31),2,1,1))</f>
        <v>2.6951045661835645E-2</v>
      </c>
      <c r="D31" s="19">
        <f ca="1">OFFSET('[1]Stock Prices'!$A$2,SUM(D$8,252,$A31),4,1,1)-(D$9+D$10*OFFSET('[1]Stock Prices'!$A$2,SUM(D$8,252,$A31),2,1,1))</f>
        <v>5.0403378171043978E-3</v>
      </c>
      <c r="E31" s="19">
        <f ca="1">OFFSET('[1]Stock Prices'!$A$2,SUM(E$8,252,$A31),4,1,1)-(E$9+E$10*OFFSET('[1]Stock Prices'!$A$2,SUM(E$8,252,$A31),2,1,1))</f>
        <v>-4.1671687103757866E-3</v>
      </c>
      <c r="F31" s="19">
        <f ca="1">OFFSET('[1]Stock Prices'!$A$2,SUM(F$8,252,$A31),6,1,1)-(F$9+F$10*OFFSET('[1]Stock Prices'!$A$2,SUM(F$8,252,$A31),2,1,1))</f>
        <v>-2.2506872607903016E-3</v>
      </c>
      <c r="G31" s="19">
        <f ca="1">OFFSET('[1]Stock Prices'!$A$2,SUM(G$8,252,$A31),6,1,1)-(G$9+G$10*OFFSET('[1]Stock Prices'!$A$2,SUM(G$8,252,$A31),2,1,1))</f>
        <v>-7.587830353199535E-3</v>
      </c>
      <c r="H31" s="19">
        <f ca="1">OFFSET('[1]Stock Prices'!$A$2,SUM(H$8,252,$A31),6,1,1)-(H$9+H$10*OFFSET('[1]Stock Prices'!$A$2,SUM(H$8,252,$A31),2,1,1))</f>
        <v>8.3386480102954456E-3</v>
      </c>
      <c r="I31" s="19">
        <f ca="1">OFFSET('[1]Stock Prices'!$A$2,SUM(I$8,252,$A31),6,1,1)-(I$9+I$10*OFFSET('[1]Stock Prices'!$A$2,SUM(I$8,252,$A31),2,1,1))</f>
        <v>4.0256199024104114E-4</v>
      </c>
      <c r="J31" s="19">
        <f ca="1">OFFSET('[1]Stock Prices'!$A$2,SUM(J$8,252,$A31),8,1,1)-(J$9+J$10*OFFSET('[1]Stock Prices'!$A$2,SUM(J$8,252,$A31),2,1,1))</f>
        <v>1.0244638955524814E-2</v>
      </c>
      <c r="K31" s="19">
        <f ca="1">OFFSET('[1]Stock Prices'!$A$2,SUM(K$8,252,$A31),8,1,1)-(K$9+K$10*OFFSET('[1]Stock Prices'!$A$2,SUM(K$8,252,$A31),2,1,1))</f>
        <v>-1.1334499405057374E-2</v>
      </c>
      <c r="L31" s="19">
        <f ca="1">OFFSET('[1]Stock Prices'!$A$2,SUM(L$8,252,$A31),8,1,1)-(L$9+L$10*OFFSET('[1]Stock Prices'!$A$2,SUM(L$8,252,$A31),2,1,1))</f>
        <v>9.2511070548180162E-3</v>
      </c>
      <c r="M31" s="19">
        <f ca="1">OFFSET('[1]Stock Prices'!$A$2,SUM(M$8,252,$A31),8,1,1)-(M$9+M$10*OFFSET('[1]Stock Prices'!$A$2,SUM(M$8,252,$A31),2,1,1))</f>
        <v>-4.0405709526644146E-3</v>
      </c>
      <c r="N31" s="19">
        <f ca="1">OFFSET('[1]Stock Prices'!$A$2,SUM(N$8,252,$A31),10,1,1)-(N$9+N$10*OFFSET('[1]Stock Prices'!$A$2,SUM(N$8,252,$A31),2,1,1))</f>
        <v>-7.5857937993790616E-3</v>
      </c>
      <c r="O31" s="19">
        <f ca="1">OFFSET('[1]Stock Prices'!$A$2,SUM(O$8,252,$A31),10,1,1)-(O$9+O$10*OFFSET('[1]Stock Prices'!$A$2,SUM(O$8,252,$A31),2,1,1))</f>
        <v>-1.2404063454200788E-2</v>
      </c>
      <c r="P31" s="19">
        <f ca="1">OFFSET('[1]Stock Prices'!$A$2,SUM(P$8,252,$A31),10,1,1)-(P$9+P$10*OFFSET('[1]Stock Prices'!$A$2,SUM(P$8,252,$A31),2,1,1))</f>
        <v>8.3955415601543355E-3</v>
      </c>
      <c r="Q31" s="19">
        <f ca="1">OFFSET('[1]Stock Prices'!$A$2,SUM(Q$8,252,$A31),10,1,1)-(Q$9+Q$10*OFFSET('[1]Stock Prices'!$A$2,SUM(Q$8,252,$A31),2,1,1))</f>
        <v>4.1397411980441355E-3</v>
      </c>
      <c r="R31" s="19"/>
      <c r="S31" s="6">
        <v>6</v>
      </c>
      <c r="T31" s="19">
        <f t="shared" ca="1" si="1"/>
        <v>-2.76791977333483E-3</v>
      </c>
      <c r="U31" s="27">
        <f t="shared" ca="1" si="2"/>
        <v>-0.56901770647307381</v>
      </c>
      <c r="V31" s="28">
        <f t="shared" ca="1" si="5"/>
        <v>4.212581838337893E-3</v>
      </c>
      <c r="W31" s="19"/>
      <c r="X31" s="28">
        <f t="shared" ca="1" si="3"/>
        <v>5.5427272085259681E-3</v>
      </c>
      <c r="Y31" s="27">
        <f t="shared" ca="1" si="4"/>
        <v>1.026855480470078</v>
      </c>
      <c r="Z31" s="28">
        <f t="shared" ca="1" si="6"/>
        <v>-5.1908862534061545E-2</v>
      </c>
    </row>
    <row r="32" spans="1:26" x14ac:dyDescent="0.25">
      <c r="A32" s="6">
        <v>7</v>
      </c>
      <c r="B32" s="19">
        <f ca="1">OFFSET('[1]Stock Prices'!$A$2,SUM(B$8,252,$A32),4,1,1)-(B$9+B$10*OFFSET('[1]Stock Prices'!$A$2,SUM(B$8,252,$A32),2,1,1))</f>
        <v>-1.974689041610766E-3</v>
      </c>
      <c r="C32" s="19">
        <f ca="1">OFFSET('[1]Stock Prices'!$A$2,SUM(C$8,252,$A32),4,1,1)-(C$9+C$10*OFFSET('[1]Stock Prices'!$A$2,SUM(C$8,252,$A32),2,1,1))</f>
        <v>3.5039586208056046E-3</v>
      </c>
      <c r="D32" s="19">
        <f ca="1">OFFSET('[1]Stock Prices'!$A$2,SUM(D$8,252,$A32),4,1,1)-(D$9+D$10*OFFSET('[1]Stock Prices'!$A$2,SUM(D$8,252,$A32),2,1,1))</f>
        <v>-9.6296237225223184E-3</v>
      </c>
      <c r="E32" s="19">
        <f ca="1">OFFSET('[1]Stock Prices'!$A$2,SUM(E$8,252,$A32),4,1,1)-(E$9+E$10*OFFSET('[1]Stock Prices'!$A$2,SUM(E$8,252,$A32),2,1,1))</f>
        <v>7.4983004405950624E-3</v>
      </c>
      <c r="F32" s="19">
        <f ca="1">OFFSET('[1]Stock Prices'!$A$2,SUM(F$8,252,$A32),6,1,1)-(F$9+F$10*OFFSET('[1]Stock Prices'!$A$2,SUM(F$8,252,$A32),2,1,1))</f>
        <v>6.2823752847160977E-3</v>
      </c>
      <c r="G32" s="19">
        <f ca="1">OFFSET('[1]Stock Prices'!$A$2,SUM(G$8,252,$A32),6,1,1)-(G$9+G$10*OFFSET('[1]Stock Prices'!$A$2,SUM(G$8,252,$A32),2,1,1))</f>
        <v>1.0940229280362889E-3</v>
      </c>
      <c r="H32" s="19">
        <f ca="1">OFFSET('[1]Stock Prices'!$A$2,SUM(H$8,252,$A32),6,1,1)-(H$9+H$10*OFFSET('[1]Stock Prices'!$A$2,SUM(H$8,252,$A32),2,1,1))</f>
        <v>2.742745029015733E-3</v>
      </c>
      <c r="I32" s="19">
        <f ca="1">OFFSET('[1]Stock Prices'!$A$2,SUM(I$8,252,$A32),6,1,1)-(I$9+I$10*OFFSET('[1]Stock Prices'!$A$2,SUM(I$8,252,$A32),2,1,1))</f>
        <v>1.2552877061983266E-2</v>
      </c>
      <c r="J32" s="19">
        <f ca="1">OFFSET('[1]Stock Prices'!$A$2,SUM(J$8,252,$A32),8,1,1)-(J$9+J$10*OFFSET('[1]Stock Prices'!$A$2,SUM(J$8,252,$A32),2,1,1))</f>
        <v>-4.5003178044703959E-3</v>
      </c>
      <c r="K32" s="19">
        <f ca="1">OFFSET('[1]Stock Prices'!$A$2,SUM(K$8,252,$A32),8,1,1)-(K$9+K$10*OFFSET('[1]Stock Prices'!$A$2,SUM(K$8,252,$A32),2,1,1))</f>
        <v>-8.8310283440622204E-4</v>
      </c>
      <c r="L32" s="19">
        <f ca="1">OFFSET('[1]Stock Prices'!$A$2,SUM(L$8,252,$A32),8,1,1)-(L$9+L$10*OFFSET('[1]Stock Prices'!$A$2,SUM(L$8,252,$A32),2,1,1))</f>
        <v>1.2930362035413895E-3</v>
      </c>
      <c r="M32" s="19">
        <f ca="1">OFFSET('[1]Stock Prices'!$A$2,SUM(M$8,252,$A32),8,1,1)-(M$9+M$10*OFFSET('[1]Stock Prices'!$A$2,SUM(M$8,252,$A32),2,1,1))</f>
        <v>1.2015672150349845E-2</v>
      </c>
      <c r="N32" s="19">
        <f ca="1">OFFSET('[1]Stock Prices'!$A$2,SUM(N$8,252,$A32),10,1,1)-(N$9+N$10*OFFSET('[1]Stock Prices'!$A$2,SUM(N$8,252,$A32),2,1,1))</f>
        <v>1.2510060427670399E-2</v>
      </c>
      <c r="O32" s="19">
        <f ca="1">OFFSET('[1]Stock Prices'!$A$2,SUM(O$8,252,$A32),10,1,1)-(O$9+O$10*OFFSET('[1]Stock Prices'!$A$2,SUM(O$8,252,$A32),2,1,1))</f>
        <v>-1.7494903721488892E-4</v>
      </c>
      <c r="P32" s="19">
        <f ca="1">OFFSET('[1]Stock Prices'!$A$2,SUM(P$8,252,$A32),10,1,1)-(P$9+P$10*OFFSET('[1]Stock Prices'!$A$2,SUM(P$8,252,$A32),2,1,1))</f>
        <v>2.481883943181433E-3</v>
      </c>
      <c r="Q32" s="19">
        <f ca="1">OFFSET('[1]Stock Prices'!$A$2,SUM(Q$8,252,$A32),10,1,1)-(Q$9+Q$10*OFFSET('[1]Stock Prices'!$A$2,SUM(Q$8,252,$A32),2,1,1))</f>
        <v>1.9744652266758207E-2</v>
      </c>
      <c r="R32" s="19"/>
      <c r="S32" s="6">
        <v>7</v>
      </c>
      <c r="T32" s="19">
        <f t="shared" ca="1" si="1"/>
        <v>3.404214916241096E-3</v>
      </c>
      <c r="U32" s="27">
        <f t="shared" ca="1" si="2"/>
        <v>0.69982467795558223</v>
      </c>
      <c r="V32" s="28">
        <f t="shared" ca="1" si="5"/>
        <v>7.616796754578989E-3</v>
      </c>
      <c r="W32" s="19"/>
      <c r="X32" s="28">
        <f t="shared" ca="1" si="3"/>
        <v>4.6653978233124963E-3</v>
      </c>
      <c r="Y32" s="27">
        <f t="shared" ca="1" si="4"/>
        <v>0.86431988138843385</v>
      </c>
      <c r="Z32" s="28">
        <f t="shared" ca="1" si="6"/>
        <v>-4.7243464710749049E-2</v>
      </c>
    </row>
    <row r="33" spans="1:28" x14ac:dyDescent="0.25">
      <c r="A33" s="6">
        <v>8</v>
      </c>
      <c r="B33" s="19">
        <f ca="1">OFFSET('[1]Stock Prices'!$A$2,SUM(B$8,252,$A33),4,1,1)-(B$9+B$10*OFFSET('[1]Stock Prices'!$A$2,SUM(B$8,252,$A33),2,1,1))</f>
        <v>-1.7741148808306346E-3</v>
      </c>
      <c r="C33" s="19">
        <f ca="1">OFFSET('[1]Stock Prices'!$A$2,SUM(C$8,252,$A33),4,1,1)-(C$9+C$10*OFFSET('[1]Stock Prices'!$A$2,SUM(C$8,252,$A33),2,1,1))</f>
        <v>7.3376167083919223E-3</v>
      </c>
      <c r="D33" s="19">
        <f ca="1">OFFSET('[1]Stock Prices'!$A$2,SUM(D$8,252,$A33),4,1,1)-(D$9+D$10*OFFSET('[1]Stock Prices'!$A$2,SUM(D$8,252,$A33),2,1,1))</f>
        <v>1.895509959364472E-2</v>
      </c>
      <c r="E33" s="19">
        <f ca="1">OFFSET('[1]Stock Prices'!$A$2,SUM(E$8,252,$A33),4,1,1)-(E$9+E$10*OFFSET('[1]Stock Prices'!$A$2,SUM(E$8,252,$A33),2,1,1))</f>
        <v>3.3379921539446336E-3</v>
      </c>
      <c r="F33" s="19">
        <f ca="1">OFFSET('[1]Stock Prices'!$A$2,SUM(F$8,252,$A33),6,1,1)-(F$9+F$10*OFFSET('[1]Stock Prices'!$A$2,SUM(F$8,252,$A33),2,1,1))</f>
        <v>4.5541425511102561E-3</v>
      </c>
      <c r="G33" s="19">
        <f ca="1">OFFSET('[1]Stock Prices'!$A$2,SUM(G$8,252,$A33),6,1,1)-(G$9+G$10*OFFSET('[1]Stock Prices'!$A$2,SUM(G$8,252,$A33),2,1,1))</f>
        <v>-4.1446915022649968E-3</v>
      </c>
      <c r="H33" s="19">
        <f ca="1">OFFSET('[1]Stock Prices'!$A$2,SUM(H$8,252,$A33),6,1,1)-(H$9+H$10*OFFSET('[1]Stock Prices'!$A$2,SUM(H$8,252,$A33),2,1,1))</f>
        <v>-2.1724602084756227E-4</v>
      </c>
      <c r="I33" s="19">
        <f ca="1">OFFSET('[1]Stock Prices'!$A$2,SUM(I$8,252,$A33),6,1,1)-(I$9+I$10*OFFSET('[1]Stock Prices'!$A$2,SUM(I$8,252,$A33),2,1,1))</f>
        <v>1.7478436658651106E-2</v>
      </c>
      <c r="J33" s="19">
        <f ca="1">OFFSET('[1]Stock Prices'!$A$2,SUM(J$8,252,$A33),8,1,1)-(J$9+J$10*OFFSET('[1]Stock Prices'!$A$2,SUM(J$8,252,$A33),2,1,1))</f>
        <v>-1.4310068011677985E-2</v>
      </c>
      <c r="K33" s="19">
        <f ca="1">OFFSET('[1]Stock Prices'!$A$2,SUM(K$8,252,$A33),8,1,1)-(K$9+K$10*OFFSET('[1]Stock Prices'!$A$2,SUM(K$8,252,$A33),2,1,1))</f>
        <v>2.6400031254153839E-3</v>
      </c>
      <c r="L33" s="19">
        <f ca="1">OFFSET('[1]Stock Prices'!$A$2,SUM(L$8,252,$A33),8,1,1)-(L$9+L$10*OFFSET('[1]Stock Prices'!$A$2,SUM(L$8,252,$A33),2,1,1))</f>
        <v>-2.2845538784901451E-2</v>
      </c>
      <c r="M33" s="19">
        <f ca="1">OFFSET('[1]Stock Prices'!$A$2,SUM(M$8,252,$A33),8,1,1)-(M$9+M$10*OFFSET('[1]Stock Prices'!$A$2,SUM(M$8,252,$A33),2,1,1))</f>
        <v>-1.1605587759325536E-3</v>
      </c>
      <c r="N33" s="19">
        <f ca="1">OFFSET('[1]Stock Prices'!$A$2,SUM(N$8,252,$A33),10,1,1)-(N$9+N$10*OFFSET('[1]Stock Prices'!$A$2,SUM(N$8,252,$A33),2,1,1))</f>
        <v>-4.5541842081974898E-3</v>
      </c>
      <c r="O33" s="19">
        <f ca="1">OFFSET('[1]Stock Prices'!$A$2,SUM(O$8,252,$A33),10,1,1)-(O$9+O$10*OFFSET('[1]Stock Prices'!$A$2,SUM(O$8,252,$A33),2,1,1))</f>
        <v>-1.2472648920161852E-2</v>
      </c>
      <c r="P33" s="19">
        <f ca="1">OFFSET('[1]Stock Prices'!$A$2,SUM(P$8,252,$A33),10,1,1)-(P$9+P$10*OFFSET('[1]Stock Prices'!$A$2,SUM(P$8,252,$A33),2,1,1))</f>
        <v>-3.423965043280461E-3</v>
      </c>
      <c r="Q33" s="19">
        <f ca="1">OFFSET('[1]Stock Prices'!$A$2,SUM(Q$8,252,$A33),10,1,1)-(Q$9+Q$10*OFFSET('[1]Stock Prices'!$A$2,SUM(Q$8,252,$A33),2,1,1))</f>
        <v>-6.338538663521822E-3</v>
      </c>
      <c r="R33" s="19"/>
      <c r="S33" s="6">
        <v>8</v>
      </c>
      <c r="T33" s="19">
        <f t="shared" ca="1" si="1"/>
        <v>-3.5638531922860075E-3</v>
      </c>
      <c r="U33" s="27">
        <f t="shared" ca="1" si="2"/>
        <v>-0.7326424664534581</v>
      </c>
      <c r="V33" s="28">
        <f t="shared" ca="1" si="5"/>
        <v>4.0529435622929811E-3</v>
      </c>
      <c r="W33" s="19"/>
      <c r="X33" s="28">
        <f t="shared" ca="1" si="3"/>
        <v>1.4465701897286598E-3</v>
      </c>
      <c r="Y33" s="27">
        <f t="shared" ca="1" si="4"/>
        <v>0.26799416087492184</v>
      </c>
      <c r="Z33" s="28">
        <f t="shared" ca="1" si="6"/>
        <v>-4.5796894521020391E-2</v>
      </c>
    </row>
    <row r="34" spans="1:28" x14ac:dyDescent="0.25">
      <c r="A34" s="6">
        <v>9</v>
      </c>
      <c r="B34" s="19">
        <f ca="1">OFFSET('[1]Stock Prices'!$A$2,SUM(B$8,252,$A34),4,1,1)-(B$9+B$10*OFFSET('[1]Stock Prices'!$A$2,SUM(B$8,252,$A34),2,1,1))</f>
        <v>-1.344776477996361E-2</v>
      </c>
      <c r="C34" s="19">
        <f ca="1">OFFSET('[1]Stock Prices'!$A$2,SUM(C$8,252,$A34),4,1,1)-(C$9+C$10*OFFSET('[1]Stock Prices'!$A$2,SUM(C$8,252,$A34),2,1,1))</f>
        <v>-5.1640528993560945E-3</v>
      </c>
      <c r="D34" s="19">
        <f ca="1">OFFSET('[1]Stock Prices'!$A$2,SUM(D$8,252,$A34),4,1,1)-(D$9+D$10*OFFSET('[1]Stock Prices'!$A$2,SUM(D$8,252,$A34),2,1,1))</f>
        <v>1.4329031457559318E-3</v>
      </c>
      <c r="E34" s="19">
        <f ca="1">OFFSET('[1]Stock Prices'!$A$2,SUM(E$8,252,$A34),4,1,1)-(E$9+E$10*OFFSET('[1]Stock Prices'!$A$2,SUM(E$8,252,$A34),2,1,1))</f>
        <v>-2.8584694358468447E-2</v>
      </c>
      <c r="F34" s="19">
        <f ca="1">OFFSET('[1]Stock Prices'!$A$2,SUM(F$8,252,$A34),6,1,1)-(F$9+F$10*OFFSET('[1]Stock Prices'!$A$2,SUM(F$8,252,$A34),2,1,1))</f>
        <v>2.314395466723373E-3</v>
      </c>
      <c r="G34" s="19">
        <f ca="1">OFFSET('[1]Stock Prices'!$A$2,SUM(G$8,252,$A34),6,1,1)-(G$9+G$10*OFFSET('[1]Stock Prices'!$A$2,SUM(G$8,252,$A34),2,1,1))</f>
        <v>-1.1477361246809686E-2</v>
      </c>
      <c r="H34" s="19">
        <f ca="1">OFFSET('[1]Stock Prices'!$A$2,SUM(H$8,252,$A34),6,1,1)-(H$9+H$10*OFFSET('[1]Stock Prices'!$A$2,SUM(H$8,252,$A34),2,1,1))</f>
        <v>-2.2711829176970018E-3</v>
      </c>
      <c r="I34" s="19">
        <f ca="1">OFFSET('[1]Stock Prices'!$A$2,SUM(I$8,252,$A34),6,1,1)-(I$9+I$10*OFFSET('[1]Stock Prices'!$A$2,SUM(I$8,252,$A34),2,1,1))</f>
        <v>3.8387581409469801E-4</v>
      </c>
      <c r="J34" s="19">
        <f ca="1">OFFSET('[1]Stock Prices'!$A$2,SUM(J$8,252,$A34),8,1,1)-(J$9+J$10*OFFSET('[1]Stock Prices'!$A$2,SUM(J$8,252,$A34),2,1,1))</f>
        <v>-8.2341123101745926E-3</v>
      </c>
      <c r="K34" s="19">
        <f ca="1">OFFSET('[1]Stock Prices'!$A$2,SUM(K$8,252,$A34),8,1,1)-(K$9+K$10*OFFSET('[1]Stock Prices'!$A$2,SUM(K$8,252,$A34),2,1,1))</f>
        <v>1.0426499467174857E-2</v>
      </c>
      <c r="L34" s="19">
        <f ca="1">OFFSET('[1]Stock Prices'!$A$2,SUM(L$8,252,$A34),8,1,1)-(L$9+L$10*OFFSET('[1]Stock Prices'!$A$2,SUM(L$8,252,$A34),2,1,1))</f>
        <v>1.2658849196790769E-3</v>
      </c>
      <c r="M34" s="19">
        <f ca="1">OFFSET('[1]Stock Prices'!$A$2,SUM(M$8,252,$A34),8,1,1)-(M$9+M$10*OFFSET('[1]Stock Prices'!$A$2,SUM(M$8,252,$A34),2,1,1))</f>
        <v>-1.1605587759325536E-3</v>
      </c>
      <c r="N34" s="19">
        <f ca="1">OFFSET('[1]Stock Prices'!$A$2,SUM(N$8,252,$A34),10,1,1)-(N$9+N$10*OFFSET('[1]Stock Prices'!$A$2,SUM(N$8,252,$A34),2,1,1))</f>
        <v>-1.5850211336776301E-2</v>
      </c>
      <c r="O34" s="19">
        <f ca="1">OFFSET('[1]Stock Prices'!$A$2,SUM(O$8,252,$A34),10,1,1)-(O$9+O$10*OFFSET('[1]Stock Prices'!$A$2,SUM(O$8,252,$A34),2,1,1))</f>
        <v>7.1396740213996793E-2</v>
      </c>
      <c r="P34" s="19">
        <f ca="1">OFFSET('[1]Stock Prices'!$A$2,SUM(P$8,252,$A34),10,1,1)-(P$9+P$10*OFFSET('[1]Stock Prices'!$A$2,SUM(P$8,252,$A34),2,1,1))</f>
        <v>-9.9435591643140357E-3</v>
      </c>
      <c r="Q34" s="19">
        <f ca="1">OFFSET('[1]Stock Prices'!$A$2,SUM(Q$8,252,$A34),10,1,1)-(Q$9+Q$10*OFFSET('[1]Stock Prices'!$A$2,SUM(Q$8,252,$A34),2,1,1))</f>
        <v>-1.5008412739050736E-2</v>
      </c>
      <c r="R34" s="19"/>
      <c r="S34" s="6">
        <v>9</v>
      </c>
      <c r="T34" s="19">
        <f t="shared" ca="1" si="1"/>
        <v>1.5343394002698928E-3</v>
      </c>
      <c r="U34" s="27">
        <f t="shared" ca="1" si="2"/>
        <v>0.31542326295135459</v>
      </c>
      <c r="V34" s="28">
        <f t="shared" ca="1" si="5"/>
        <v>5.5872829625628739E-3</v>
      </c>
      <c r="W34" s="19"/>
      <c r="X34" s="28">
        <f t="shared" ca="1" si="3"/>
        <v>-4.524540837909684E-3</v>
      </c>
      <c r="Y34" s="27">
        <f t="shared" ca="1" si="4"/>
        <v>-0.83822446626483138</v>
      </c>
      <c r="Z34" s="28">
        <f t="shared" ca="1" si="6"/>
        <v>-5.0321435358930078E-2</v>
      </c>
    </row>
    <row r="35" spans="1:28" x14ac:dyDescent="0.25">
      <c r="A35" s="6">
        <v>10</v>
      </c>
      <c r="B35" s="19">
        <f ca="1">OFFSET('[1]Stock Prices'!$A$2,SUM(B$8,252,$A35),4,1,1)-(B$9+B$10*OFFSET('[1]Stock Prices'!$A$2,SUM(B$8,252,$A35),2,1,1))</f>
        <v>8.6479574579996742E-3</v>
      </c>
      <c r="C35" s="19">
        <f ca="1">OFFSET('[1]Stock Prices'!$A$2,SUM(C$8,252,$A35),4,1,1)-(C$9+C$10*OFFSET('[1]Stock Prices'!$A$2,SUM(C$8,252,$A35),2,1,1))</f>
        <v>7.6311790653579067E-4</v>
      </c>
      <c r="D35" s="19">
        <f ca="1">OFFSET('[1]Stock Prices'!$A$2,SUM(D$8,252,$A35),4,1,1)-(D$9+D$10*OFFSET('[1]Stock Prices'!$A$2,SUM(D$8,252,$A35),2,1,1))</f>
        <v>-1.3736193871016263E-3</v>
      </c>
      <c r="E35" s="19">
        <f ca="1">OFFSET('[1]Stock Prices'!$A$2,SUM(E$8,252,$A35),4,1,1)-(E$9+E$10*OFFSET('[1]Stock Prices'!$A$2,SUM(E$8,252,$A35),2,1,1))</f>
        <v>-1.1947382433328869E-2</v>
      </c>
      <c r="F35" s="19">
        <f ca="1">OFFSET('[1]Stock Prices'!$A$2,SUM(F$8,252,$A35),6,1,1)-(F$9+F$10*OFFSET('[1]Stock Prices'!$A$2,SUM(F$8,252,$A35),2,1,1))</f>
        <v>-8.8159509277067113E-3</v>
      </c>
      <c r="G35" s="19">
        <f ca="1">OFFSET('[1]Stock Prices'!$A$2,SUM(G$8,252,$A35),6,1,1)-(G$9+G$10*OFFSET('[1]Stock Prices'!$A$2,SUM(G$8,252,$A35),2,1,1))</f>
        <v>-1.2677461060654108E-2</v>
      </c>
      <c r="H35" s="19">
        <f ca="1">OFFSET('[1]Stock Prices'!$A$2,SUM(H$8,252,$A35),6,1,1)-(H$9+H$10*OFFSET('[1]Stock Prices'!$A$2,SUM(H$8,252,$A35),2,1,1))</f>
        <v>4.1760408525493985E-5</v>
      </c>
      <c r="I35" s="19">
        <f ca="1">OFFSET('[1]Stock Prices'!$A$2,SUM(I$8,252,$A35),6,1,1)-(I$9+I$10*OFFSET('[1]Stock Prices'!$A$2,SUM(I$8,252,$A35),2,1,1))</f>
        <v>4.7564195529160753E-3</v>
      </c>
      <c r="J35" s="19">
        <f ca="1">OFFSET('[1]Stock Prices'!$A$2,SUM(J$8,252,$A35),8,1,1)-(J$9+J$10*OFFSET('[1]Stock Prices'!$A$2,SUM(J$8,252,$A35),2,1,1))</f>
        <v>4.6444318540171097E-3</v>
      </c>
      <c r="K35" s="19">
        <f ca="1">OFFSET('[1]Stock Prices'!$A$2,SUM(K$8,252,$A35),8,1,1)-(K$9+K$10*OFFSET('[1]Stock Prices'!$A$2,SUM(K$8,252,$A35),2,1,1))</f>
        <v>-3.2504806639981187E-3</v>
      </c>
      <c r="L35" s="19">
        <f ca="1">OFFSET('[1]Stock Prices'!$A$2,SUM(L$8,252,$A35),8,1,1)-(L$9+L$10*OFFSET('[1]Stock Prices'!$A$2,SUM(L$8,252,$A35),2,1,1))</f>
        <v>9.2171675686620654E-3</v>
      </c>
      <c r="M35" s="19">
        <f ca="1">OFFSET('[1]Stock Prices'!$A$2,SUM(M$8,252,$A35),8,1,1)-(M$9+M$10*OFFSET('[1]Stock Prices'!$A$2,SUM(M$8,252,$A35),2,1,1))</f>
        <v>-1.1605587759325536E-3</v>
      </c>
      <c r="N35" s="19">
        <f ca="1">OFFSET('[1]Stock Prices'!$A$2,SUM(N$8,252,$A35),10,1,1)-(N$9+N$10*OFFSET('[1]Stock Prices'!$A$2,SUM(N$8,252,$A35),2,1,1))</f>
        <v>-8.5334164535447177E-3</v>
      </c>
      <c r="O35" s="19">
        <f ca="1">OFFSET('[1]Stock Prices'!$A$2,SUM(O$8,252,$A35),10,1,1)-(O$9+O$10*OFFSET('[1]Stock Prices'!$A$2,SUM(O$8,252,$A35),2,1,1))</f>
        <v>2.0996436361337245E-2</v>
      </c>
      <c r="P35" s="19">
        <f ca="1">OFFSET('[1]Stock Prices'!$A$2,SUM(P$8,252,$A35),10,1,1)-(P$9+P$10*OFFSET('[1]Stock Prices'!$A$2,SUM(P$8,252,$A35),2,1,1))</f>
        <v>-1.2207461915202892E-3</v>
      </c>
      <c r="Q35" s="19">
        <f ca="1">OFFSET('[1]Stock Prices'!$A$2,SUM(Q$8,252,$A35),10,1,1)-(Q$9+Q$10*OFFSET('[1]Stock Prices'!$A$2,SUM(Q$8,252,$A35),2,1,1))</f>
        <v>-6.2570118090342682E-3</v>
      </c>
      <c r="R35" s="19"/>
      <c r="S35" s="6">
        <v>10</v>
      </c>
      <c r="T35" s="19">
        <f t="shared" ca="1" si="1"/>
        <v>1.1798434693844079E-3</v>
      </c>
      <c r="U35" s="27">
        <f t="shared" ca="1" si="2"/>
        <v>0.2425474290887758</v>
      </c>
      <c r="V35" s="28">
        <f t="shared" ca="1" si="5"/>
        <v>6.7671264319472818E-3</v>
      </c>
      <c r="W35" s="19"/>
      <c r="X35" s="28">
        <f t="shared" ca="1" si="3"/>
        <v>-1.9510105434878838E-3</v>
      </c>
      <c r="Y35" s="27">
        <f t="shared" ca="1" si="4"/>
        <v>-0.36144767614645507</v>
      </c>
      <c r="Z35" s="28">
        <f t="shared" ca="1" si="6"/>
        <v>-5.2272445902417961E-2</v>
      </c>
    </row>
    <row r="36" spans="1:28" x14ac:dyDescent="0.25">
      <c r="B36" s="30"/>
      <c r="K36" s="12"/>
      <c r="L36" s="12"/>
      <c r="M36" s="12"/>
      <c r="N36" s="12"/>
      <c r="O36" s="12"/>
      <c r="T36" s="18"/>
      <c r="U36" s="18"/>
      <c r="V36" s="18"/>
      <c r="W36" s="18"/>
    </row>
    <row r="37" spans="1:28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T37" s="18"/>
      <c r="U37" s="18"/>
      <c r="V37" s="18"/>
      <c r="W37" s="18"/>
    </row>
    <row r="38" spans="1:28" ht="49.2" customHeight="1" x14ac:dyDescent="0.25"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7" t="str">
        <f ca="1">"Cell "&amp;CHAR(COLUMN(T35)+64)&amp;ROW(T35)&amp;" contains formula "&amp;[2]!ggetformula(T35)</f>
        <v>Cell T35 contains formula =SUMIF($B$6:$Q$6,"&gt;0",B35:Q35)/COUNTIF($B$6:$Q$6,"&gt;0")</v>
      </c>
      <c r="T38" s="7"/>
      <c r="U38" s="7"/>
      <c r="V38" s="7"/>
      <c r="W38" s="18"/>
      <c r="Y38" s="7" t="str">
        <f ca="1">"Cell "&amp;CHAR(COLUMN(X35)+64)&amp;ROW(X35)&amp;" contains formula "&amp;[2]!ggetformula(X35)</f>
        <v>Cell X35 contains formula =SUMIF($B$6:$Q$6,"&lt;=0",B35:Q35)/COUNTIF($B$6:$Q$6,"&lt;=0")</v>
      </c>
      <c r="Z38" s="7"/>
      <c r="AA38" s="7"/>
      <c r="AB38" s="7"/>
    </row>
    <row r="39" spans="1:28" x14ac:dyDescent="0.25">
      <c r="B39" s="30"/>
      <c r="T39" s="18"/>
      <c r="U39" s="18"/>
      <c r="V39" s="18"/>
      <c r="W39" s="18"/>
    </row>
    <row r="40" spans="1:28" ht="40.200000000000003" customHeight="1" x14ac:dyDescent="0.25">
      <c r="B40" s="30"/>
      <c r="T40" s="7" t="str">
        <f ca="1">"Cell "&amp;CHAR(COLUMN(U35)+64)&amp;ROW(U35)&amp;" contains formula "&amp;[2]!ggetformula(U35)</f>
        <v>Cell U35 contains formula =T35/$U$11</v>
      </c>
      <c r="U40" s="7"/>
      <c r="V40" s="7"/>
      <c r="W40" s="7"/>
      <c r="Y40" s="7" t="str">
        <f ca="1">"Cell "&amp;CHAR(COLUMN(Y35)+64)&amp;ROW(Y35)&amp;" contains formula "&amp;[2]!ggetformula(Y35)</f>
        <v>Cell Y35 contains formula =X35/$Y$11</v>
      </c>
      <c r="Z40" s="7"/>
      <c r="AA40" s="7"/>
      <c r="AB40" s="7"/>
    </row>
    <row r="41" spans="1:28" x14ac:dyDescent="0.25">
      <c r="B41" s="30"/>
      <c r="T41" s="18"/>
      <c r="U41" s="18"/>
      <c r="V41" s="18"/>
      <c r="W41" s="18"/>
    </row>
    <row r="42" spans="1:28" x14ac:dyDescent="0.25">
      <c r="B42" s="30"/>
      <c r="T42" s="18"/>
      <c r="U42" s="18"/>
      <c r="V42" s="18"/>
      <c r="W42" s="18"/>
    </row>
    <row r="43" spans="1:28" ht="34.799999999999997" customHeight="1" x14ac:dyDescent="0.25">
      <c r="B43" s="30"/>
      <c r="T43" s="7" t="str">
        <f ca="1">"Cell "&amp;CHAR(COLUMN(V35)+64)&amp;ROW(V35)&amp;" contains formula "&amp;[2]!ggetformula(V35)</f>
        <v>Cell V35 contains formula =T35+V34</v>
      </c>
      <c r="U43" s="7"/>
      <c r="V43" s="7"/>
      <c r="W43" s="7"/>
      <c r="Y43" s="7" t="str">
        <f ca="1">"Cell "&amp;CHAR(COLUMN(Z35)+64)&amp;ROW(Z35)&amp;" contains formula "&amp;[2]!ggetformula(Z35)</f>
        <v>Cell Z35 contains formula =X35+Z34</v>
      </c>
      <c r="Z43" s="7"/>
      <c r="AA43" s="7"/>
      <c r="AB43" s="7"/>
    </row>
    <row r="44" spans="1:28" x14ac:dyDescent="0.25">
      <c r="B44" s="30"/>
      <c r="T44" s="18"/>
      <c r="U44" s="18"/>
      <c r="V44" s="18"/>
      <c r="W44" s="18"/>
    </row>
    <row r="45" spans="1:28" x14ac:dyDescent="0.25">
      <c r="B45" s="30"/>
      <c r="T45" s="18"/>
      <c r="U45" s="18"/>
      <c r="V45" s="18"/>
      <c r="W45" s="18"/>
    </row>
  </sheetData>
  <mergeCells count="13">
    <mergeCell ref="B14:Q14"/>
    <mergeCell ref="S38:V38"/>
    <mergeCell ref="Y38:AB38"/>
    <mergeCell ref="T40:W40"/>
    <mergeCell ref="Y40:AB40"/>
    <mergeCell ref="T43:W43"/>
    <mergeCell ref="Y43:AB43"/>
    <mergeCell ref="A1:Q1"/>
    <mergeCell ref="V3:Z6"/>
    <mergeCell ref="T9:V9"/>
    <mergeCell ref="X9:Z9"/>
    <mergeCell ref="T13:V13"/>
    <mergeCell ref="X13:Z1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图表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2024-11-12T03:17:06Z</dcterms:modified>
</cp:coreProperties>
</file>