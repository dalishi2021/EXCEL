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25B6906D-FECC-43E2-9741-70402F330DC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B17" i="1"/>
  <c r="D17" i="1" s="1"/>
  <c r="A17" i="1"/>
  <c r="C16" i="1"/>
  <c r="B16" i="1"/>
  <c r="D16" i="1" s="1"/>
  <c r="A16" i="1"/>
  <c r="C15" i="1"/>
  <c r="B15" i="1"/>
  <c r="D15" i="1" s="1"/>
  <c r="A15" i="1"/>
  <c r="C14" i="1"/>
  <c r="B14" i="1"/>
  <c r="D14" i="1" s="1"/>
  <c r="A14" i="1"/>
  <c r="D13" i="1"/>
  <c r="C13" i="1"/>
  <c r="B13" i="1"/>
  <c r="A13" i="1"/>
  <c r="C12" i="1"/>
  <c r="B12" i="1"/>
  <c r="D12" i="1" s="1"/>
  <c r="A12" i="1"/>
  <c r="C4" i="1"/>
  <c r="D4" i="1" s="1"/>
  <c r="D3" i="1"/>
  <c r="F15" i="1" s="1"/>
  <c r="C3" i="1"/>
  <c r="I12" i="1"/>
  <c r="G8" i="1"/>
  <c r="E5" i="1"/>
  <c r="G12" i="1" l="1"/>
  <c r="G17" i="1"/>
  <c r="G13" i="1"/>
  <c r="G14" i="1"/>
  <c r="G16" i="1"/>
  <c r="G15" i="1"/>
  <c r="H15" i="1" s="1"/>
  <c r="F16" i="1"/>
  <c r="F14" i="1"/>
  <c r="H14" i="1" s="1"/>
  <c r="F12" i="1"/>
  <c r="H12" i="1" s="1"/>
  <c r="F17" i="1"/>
  <c r="H17" i="1" s="1"/>
  <c r="F13" i="1"/>
  <c r="H13" i="1" s="1"/>
  <c r="H16" i="1" l="1"/>
</calcChain>
</file>

<file path=xl/sharedStrings.xml><?xml version="1.0" encoding="utf-8"?>
<sst xmlns="http://schemas.openxmlformats.org/spreadsheetml/2006/main" count="15" uniqueCount="10">
  <si>
    <t>GILLETTE PURCHASED BY PROCTER &amp; GAMBLE
Measuring the synergies in event window</t>
  </si>
  <si>
    <t>Shares outstanding (thousands)</t>
  </si>
  <si>
    <t>Share price,
25jan05</t>
  </si>
  <si>
    <t>Market value, 25jan05
(billion $)</t>
  </si>
  <si>
    <t>Gillette</t>
  </si>
  <si>
    <t>P&amp;G</t>
  </si>
  <si>
    <t>Date</t>
  </si>
  <si>
    <t>Abnormal returns (AR)</t>
  </si>
  <si>
    <t>Cumulative abnormal valuations
(billion $)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</si>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</sst>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d\-mmm\-yy;@"/>
    <numFmt numFmtId="177" formatCode="#,###.00,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176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76" fontId="4" fillId="0" borderId="0" xfId="0" applyNumberFormat="1" applyFont="1" applyAlignment="1"/>
    <xf numFmtId="3" fontId="4" fillId="0" borderId="0" xfId="0" applyNumberFormat="1" applyFont="1" applyAlignment="1">
      <alignment horizontal="right"/>
    </xf>
    <xf numFmtId="2" fontId="4" fillId="0" borderId="0" xfId="0" applyNumberFormat="1" applyFont="1" applyAlignment="1">
      <alignment horizontal="right" vertical="center" wrapText="1"/>
    </xf>
    <xf numFmtId="177" fontId="4" fillId="0" borderId="0" xfId="0" applyNumberFormat="1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/>
    <xf numFmtId="3" fontId="4" fillId="0" borderId="0" xfId="0" applyNumberFormat="1" applyFont="1" applyAlignment="1"/>
    <xf numFmtId="0" fontId="4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176" fontId="0" fillId="0" borderId="0" xfId="0" applyNumberFormat="1" applyAlignment="1"/>
    <xf numFmtId="3" fontId="0" fillId="0" borderId="0" xfId="0" applyNumberFormat="1" applyAlignment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10" fontId="0" fillId="0" borderId="0" xfId="0" applyNumberFormat="1" applyAlignment="1"/>
    <xf numFmtId="4" fontId="0" fillId="0" borderId="0" xfId="0" applyNumberFormat="1" applyAlignment="1"/>
    <xf numFmtId="10" fontId="0" fillId="3" borderId="0" xfId="0" applyNumberFormat="1" applyFill="1" applyAlignment="1"/>
    <xf numFmtId="4" fontId="0" fillId="3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5</xdr:row>
      <xdr:rowOff>114300</xdr:rowOff>
    </xdr:from>
    <xdr:to>
      <xdr:col>5</xdr:col>
      <xdr:colOff>243840</xdr:colOff>
      <xdr:row>11</xdr:row>
      <xdr:rowOff>83820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7C0C5D2-8929-4F37-A203-48EA9D31EB2F}"/>
            </a:ext>
          </a:extLst>
        </xdr:cNvPr>
        <xdr:cNvSpPr>
          <a:spLocks noChangeShapeType="1"/>
        </xdr:cNvSpPr>
      </xdr:nvSpPr>
      <xdr:spPr bwMode="auto">
        <a:xfrm>
          <a:off x="3190875" y="1800225"/>
          <a:ext cx="457200" cy="1104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624840</xdr:colOff>
      <xdr:row>9</xdr:row>
      <xdr:rowOff>15240</xdr:rowOff>
    </xdr:from>
    <xdr:to>
      <xdr:col>7</xdr:col>
      <xdr:colOff>175260</xdr:colOff>
      <xdr:row>11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B16FC5D3-D67B-412A-BD87-DC2780D25442}"/>
            </a:ext>
          </a:extLst>
        </xdr:cNvPr>
        <xdr:cNvSpPr>
          <a:spLocks noChangeShapeType="1"/>
        </xdr:cNvSpPr>
      </xdr:nvSpPr>
      <xdr:spPr bwMode="auto">
        <a:xfrm flipH="1">
          <a:off x="5000625" y="2352675"/>
          <a:ext cx="390525" cy="466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533400</xdr:colOff>
      <xdr:row>1</xdr:row>
      <xdr:rowOff>342900</xdr:rowOff>
    </xdr:from>
    <xdr:to>
      <xdr:col>22</xdr:col>
      <xdr:colOff>171450</xdr:colOff>
      <xdr:row>24</xdr:row>
      <xdr:rowOff>155972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B62BF79A-B061-4CF6-AE73-22327EDA89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086725" y="561975"/>
          <a:ext cx="6953250" cy="4648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72"/>
      <sheetName val="Page 372（中文）"/>
      <sheetName val="Page 376"/>
      <sheetName val="Page 376（中文）"/>
      <sheetName val="Page 377"/>
      <sheetName val="Page 377（中文）"/>
      <sheetName val="Page 378"/>
      <sheetName val="Page 378（中文）"/>
      <sheetName val="Page 380"/>
      <sheetName val="Page 380（中文）"/>
      <sheetName val="Page 382"/>
      <sheetName val="Page 382（中文）"/>
      <sheetName val="Page 383"/>
      <sheetName val="Page 383（中文）"/>
      <sheetName val="Page 385"/>
      <sheetName val="Page 385（中文）"/>
      <sheetName val="Page 386"/>
      <sheetName val="Page 386（中文）"/>
      <sheetName val="Pages 387-88"/>
      <sheetName val="Pages 387-88（中文）"/>
      <sheetName val="Page 389"/>
      <sheetName val="Page 389（中文）"/>
      <sheetName val="Page 391, chart"/>
      <sheetName val="Page 391, chart（中文）"/>
      <sheetName val="Page 392"/>
      <sheetName val="Page 392（中文）"/>
      <sheetName val="Page 393"/>
      <sheetName val="Page 393（中文）"/>
      <sheetName val="Page 394"/>
      <sheetName val="Page 394（中文）"/>
      <sheetName val="Page 395"/>
      <sheetName val="Page 395（中文）"/>
      <sheetName val="Page 391 data"/>
      <sheetName val="Page 391 data (中文)"/>
      <sheetName val="Page 376 data"/>
      <sheetName val="Page 376 data (中文)"/>
      <sheetName val="Stock Prices"/>
      <sheetName val="Stock Prices（中文）"/>
      <sheetName val="More stock prices"/>
      <sheetName val="More stock prices（中文）"/>
    </sheetNames>
    <sheetDataSet>
      <sheetData sheetId="0"/>
      <sheetData sheetId="1"/>
      <sheetData sheetId="4"/>
      <sheetData sheetId="5"/>
      <sheetData sheetId="6">
        <row r="263">
          <cell r="A263">
            <v>38378</v>
          </cell>
          <cell r="D263">
            <v>-4.3564662343130237E-3</v>
          </cell>
        </row>
        <row r="264">
          <cell r="A264">
            <v>38379</v>
          </cell>
          <cell r="D264">
            <v>1.7976093994751981E-2</v>
          </cell>
        </row>
        <row r="265">
          <cell r="A265">
            <v>38380</v>
          </cell>
          <cell r="D265">
            <v>0.13026396940694712</v>
          </cell>
        </row>
        <row r="266">
          <cell r="A266">
            <v>38383</v>
          </cell>
          <cell r="D266">
            <v>-2.2969136918009669E-2</v>
          </cell>
        </row>
        <row r="267">
          <cell r="A267">
            <v>38384</v>
          </cell>
          <cell r="D267">
            <v>-1.4022458573886313E-2</v>
          </cell>
        </row>
        <row r="268">
          <cell r="A268">
            <v>38385</v>
          </cell>
          <cell r="D268">
            <v>5.207355564126325E-3</v>
          </cell>
        </row>
      </sheetData>
      <sheetData sheetId="7"/>
      <sheetData sheetId="8">
        <row r="263">
          <cell r="D263">
            <v>-9.6424945060377652E-3</v>
          </cell>
        </row>
        <row r="264">
          <cell r="D264">
            <v>-2.8085768123810094E-3</v>
          </cell>
        </row>
        <row r="265">
          <cell r="D265">
            <v>-2.0163747340409526E-2</v>
          </cell>
        </row>
        <row r="266">
          <cell r="D266">
            <v>-2.2252386904620256E-2</v>
          </cell>
        </row>
        <row r="267">
          <cell r="D267">
            <v>-1.1865074949104035E-2</v>
          </cell>
        </row>
        <row r="268">
          <cell r="D268">
            <v>7.6890478754519957E-3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482">
          <cell r="G482">
            <v>44.530999999999999</v>
          </cell>
          <cell r="J482">
            <v>53.490299999999998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17"/>
  <sheetViews>
    <sheetView tabSelected="1" zoomScale="160" zoomScaleNormal="160" workbookViewId="0">
      <selection activeCell="H21" sqref="H21"/>
    </sheetView>
  </sheetViews>
  <sheetFormatPr defaultRowHeight="13.8" x14ac:dyDescent="0.25"/>
  <cols>
    <col min="1" max="1" width="12.33203125" style="13" bestFit="1" customWidth="1"/>
    <col min="2" max="2" width="11.6640625" style="17" customWidth="1"/>
    <col min="3" max="3" width="10.44140625" style="17" customWidth="1"/>
    <col min="4" max="4" width="11.5546875" style="17" customWidth="1"/>
    <col min="5" max="5" width="3.6640625" style="17" customWidth="1"/>
    <col min="6" max="6" width="14.109375" style="17" customWidth="1"/>
    <col min="7" max="7" width="12.33203125" style="17" bestFit="1" customWidth="1"/>
    <col min="8" max="8" width="11.6640625" style="17" bestFit="1" customWidth="1"/>
    <col min="9" max="9" width="13.44140625" style="17" bestFit="1" customWidth="1"/>
  </cols>
  <sheetData>
    <row r="1" spans="1:9" ht="17.39999999999999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ht="52.8" x14ac:dyDescent="0.25">
      <c r="A2" s="2"/>
      <c r="B2" s="2" t="s">
        <v>1</v>
      </c>
      <c r="C2" s="3" t="s">
        <v>2</v>
      </c>
      <c r="D2" s="3" t="s">
        <v>3</v>
      </c>
      <c r="E2" s="3"/>
      <c r="F2" s="3"/>
      <c r="G2" s="3"/>
      <c r="H2" s="3"/>
      <c r="I2" s="3"/>
    </row>
    <row r="3" spans="1:9" x14ac:dyDescent="0.25">
      <c r="A3" s="4" t="s">
        <v>4</v>
      </c>
      <c r="B3" s="5">
        <v>1000000</v>
      </c>
      <c r="C3" s="6">
        <f>'[1]Page 376 data'!G482</f>
        <v>44.530999999999999</v>
      </c>
      <c r="D3" s="7">
        <f>B3*C3/1000</f>
        <v>44531</v>
      </c>
      <c r="E3" s="8"/>
      <c r="F3" s="8"/>
      <c r="G3" s="8"/>
      <c r="H3" s="8"/>
      <c r="I3" s="9"/>
    </row>
    <row r="4" spans="1:9" x14ac:dyDescent="0.25">
      <c r="A4" s="4" t="s">
        <v>5</v>
      </c>
      <c r="B4" s="5">
        <v>2741000</v>
      </c>
      <c r="C4" s="6">
        <f>'[1]Page 376 data'!J482</f>
        <v>53.490299999999998</v>
      </c>
      <c r="D4" s="7">
        <f>B4*C4/1000</f>
        <v>146616.9123</v>
      </c>
      <c r="E4" s="8"/>
      <c r="F4" s="8"/>
      <c r="G4" s="8"/>
      <c r="H4" s="8"/>
      <c r="I4" s="9"/>
    </row>
    <row r="5" spans="1:9" x14ac:dyDescent="0.25">
      <c r="A5" s="4"/>
      <c r="B5" s="10"/>
      <c r="C5" s="8"/>
      <c r="D5" s="8"/>
      <c r="E5" s="11" t="str">
        <f ca="1">"Cell "&amp;CHAR(COLUMN(F12)+64)&amp;ROW(F12)&amp;" contains formula "&amp;[2]!ggetformula(F12)</f>
        <v>Cell F12 contains formula =$D$3*SUM($B$12:B12)/1000</v>
      </c>
      <c r="F5" s="11"/>
      <c r="G5" s="11"/>
      <c r="H5" s="9"/>
      <c r="I5" s="12"/>
    </row>
    <row r="6" spans="1:9" ht="37.799999999999997" customHeight="1" x14ac:dyDescent="0.25">
      <c r="A6" s="4"/>
      <c r="B6" s="10"/>
      <c r="C6" s="8"/>
      <c r="D6" s="8"/>
      <c r="E6" s="11"/>
      <c r="F6" s="11"/>
      <c r="G6" s="11"/>
      <c r="H6" s="9"/>
      <c r="I6" s="12"/>
    </row>
    <row r="7" spans="1:9" x14ac:dyDescent="0.25">
      <c r="A7" s="4"/>
      <c r="B7" s="10"/>
      <c r="C7" s="8"/>
      <c r="D7" s="8"/>
      <c r="E7" s="8"/>
      <c r="F7" s="8"/>
      <c r="G7" s="8"/>
      <c r="H7" s="8"/>
      <c r="I7" s="9"/>
    </row>
    <row r="8" spans="1:9" ht="17.399999999999999" x14ac:dyDescent="0.25">
      <c r="B8" s="14"/>
      <c r="C8" s="15"/>
      <c r="D8" s="15"/>
      <c r="E8" s="15"/>
      <c r="F8" s="15"/>
      <c r="G8" s="11" t="str">
        <f ca="1">"Cell "&amp;CHAR(COLUMN(G12)+64)&amp;ROW(G12)&amp;" contains formula "&amp;[2]!ggetformula(G12)</f>
        <v>Cell G12 contains formula =$D$4*SUM($C$12:C12)/1000</v>
      </c>
      <c r="H8" s="11"/>
      <c r="I8" s="11"/>
    </row>
    <row r="9" spans="1:9" ht="17.399999999999999" x14ac:dyDescent="0.25">
      <c r="B9" s="14"/>
      <c r="C9" s="15"/>
      <c r="D9" s="15"/>
      <c r="E9" s="15"/>
      <c r="F9" s="15"/>
      <c r="G9" s="11"/>
      <c r="H9" s="11"/>
      <c r="I9" s="11"/>
    </row>
    <row r="10" spans="1:9" x14ac:dyDescent="0.25">
      <c r="A10" s="2" t="s">
        <v>6</v>
      </c>
      <c r="B10" s="16" t="s">
        <v>7</v>
      </c>
      <c r="C10" s="16"/>
      <c r="D10" s="16"/>
      <c r="E10" s="3"/>
      <c r="F10" s="16" t="s">
        <v>8</v>
      </c>
      <c r="G10" s="16"/>
      <c r="H10" s="16"/>
    </row>
    <row r="11" spans="1:9" x14ac:dyDescent="0.25">
      <c r="B11" s="18" t="s">
        <v>4</v>
      </c>
      <c r="C11" s="18" t="s">
        <v>5</v>
      </c>
      <c r="D11" s="18" t="s">
        <v>9</v>
      </c>
      <c r="E11" s="18"/>
      <c r="F11" s="18" t="s">
        <v>4</v>
      </c>
      <c r="G11" s="18" t="s">
        <v>5</v>
      </c>
      <c r="H11" s="18" t="s">
        <v>9</v>
      </c>
    </row>
    <row r="12" spans="1:9" x14ac:dyDescent="0.25">
      <c r="A12" s="19">
        <f>'[1]Page 378'!A263</f>
        <v>38378</v>
      </c>
      <c r="B12" s="20">
        <f>'[1]Page 378'!D263</f>
        <v>-4.3564662343130237E-3</v>
      </c>
      <c r="C12" s="20">
        <f>'[1]Page 380'!D263</f>
        <v>-9.6424945060377652E-3</v>
      </c>
      <c r="D12" s="20">
        <f t="shared" ref="D12:D17" si="0">B12+C12</f>
        <v>-1.3998960740350789E-2</v>
      </c>
      <c r="E12" s="20"/>
      <c r="F12" s="21">
        <f>$D$3*SUM($B$12:B12)/1000</f>
        <v>-0.19399779788019325</v>
      </c>
      <c r="G12" s="21">
        <f>$D$4*SUM($C$12:C12)/1000</f>
        <v>-1.4137527713449709</v>
      </c>
      <c r="H12" s="21">
        <f t="shared" ref="H12:H17" si="1">F12+G12</f>
        <v>-1.6077505692251641</v>
      </c>
      <c r="I12" s="17" t="str">
        <f ca="1">[2]!getformula(H12)</f>
        <v>&lt;--  =F12+G12</v>
      </c>
    </row>
    <row r="13" spans="1:9" x14ac:dyDescent="0.25">
      <c r="A13" s="19">
        <f>'[1]Page 378'!A264</f>
        <v>38379</v>
      </c>
      <c r="B13" s="20">
        <f>'[1]Page 378'!D264</f>
        <v>1.7976093994751981E-2</v>
      </c>
      <c r="C13" s="20">
        <f>'[1]Page 380'!D264</f>
        <v>-2.8085768123810094E-3</v>
      </c>
      <c r="D13" s="20">
        <f t="shared" si="0"/>
        <v>1.5167517182370971E-2</v>
      </c>
      <c r="E13" s="20"/>
      <c r="F13" s="21">
        <f>$D$3*SUM($B$12:B13)/1000</f>
        <v>0.60649564380010723</v>
      </c>
      <c r="G13" s="21">
        <f>$D$4*SUM($C$12:C13)/1000</f>
        <v>-1.8255376315336509</v>
      </c>
      <c r="H13" s="21">
        <f t="shared" si="1"/>
        <v>-1.2190419877335437</v>
      </c>
    </row>
    <row r="14" spans="1:9" x14ac:dyDescent="0.25">
      <c r="A14" s="19">
        <f>'[1]Page 378'!A265</f>
        <v>38380</v>
      </c>
      <c r="B14" s="20">
        <f>'[1]Page 378'!D265</f>
        <v>0.13026396940694712</v>
      </c>
      <c r="C14" s="22">
        <f>'[1]Page 380'!D265</f>
        <v>-2.0163747340409526E-2</v>
      </c>
      <c r="D14" s="22">
        <f t="shared" si="0"/>
        <v>0.11010022206653759</v>
      </c>
      <c r="E14" s="22"/>
      <c r="F14" s="21">
        <f>$D$3*SUM($B$12:B14)/1000</f>
        <v>6.4072804654608699</v>
      </c>
      <c r="G14" s="21">
        <f>$D$4*SUM($C$12:C14)/1000</f>
        <v>-4.7818840069818327</v>
      </c>
      <c r="H14" s="23">
        <f t="shared" si="1"/>
        <v>1.6253964584790372</v>
      </c>
    </row>
    <row r="15" spans="1:9" x14ac:dyDescent="0.25">
      <c r="A15" s="19">
        <f>'[1]Page 378'!A266</f>
        <v>38383</v>
      </c>
      <c r="B15" s="20">
        <f>'[1]Page 378'!D266</f>
        <v>-2.2969136918009669E-2</v>
      </c>
      <c r="C15" s="22">
        <f>'[1]Page 380'!D266</f>
        <v>-2.2252386904620256E-2</v>
      </c>
      <c r="D15" s="22">
        <f t="shared" si="0"/>
        <v>-4.5221523822629922E-2</v>
      </c>
      <c r="E15" s="22"/>
      <c r="F15" s="21">
        <f>$D$3*SUM($B$12:B15)/1000</f>
        <v>5.3844418293649809</v>
      </c>
      <c r="G15" s="21">
        <f>$D$4*SUM($C$12:C15)/1000</f>
        <v>-8.0444602662422078</v>
      </c>
      <c r="H15" s="23">
        <f t="shared" si="1"/>
        <v>-2.6600184368772268</v>
      </c>
    </row>
    <row r="16" spans="1:9" x14ac:dyDescent="0.25">
      <c r="A16" s="19">
        <f>'[1]Page 378'!A267</f>
        <v>38384</v>
      </c>
      <c r="B16" s="20">
        <f>'[1]Page 378'!D267</f>
        <v>-1.4022458573886313E-2</v>
      </c>
      <c r="C16" s="20">
        <f>'[1]Page 380'!D267</f>
        <v>-1.1865074949104035E-2</v>
      </c>
      <c r="D16" s="20">
        <f t="shared" si="0"/>
        <v>-2.588753352299035E-2</v>
      </c>
      <c r="E16" s="20"/>
      <c r="F16" s="21">
        <f>$D$3*SUM($B$12:B16)/1000</f>
        <v>4.7600077266112493</v>
      </c>
      <c r="G16" s="21">
        <f>$D$4*SUM($C$12:C16)/1000</f>
        <v>-9.7840809194879217</v>
      </c>
      <c r="H16" s="21">
        <f t="shared" si="1"/>
        <v>-5.0240731928766724</v>
      </c>
    </row>
    <row r="17" spans="1:8" x14ac:dyDescent="0.25">
      <c r="A17" s="19">
        <f>'[1]Page 378'!A268</f>
        <v>38385</v>
      </c>
      <c r="B17" s="20">
        <f>'[1]Page 378'!D268</f>
        <v>5.207355564126325E-3</v>
      </c>
      <c r="C17" s="20">
        <f>'[1]Page 380'!D268</f>
        <v>7.6890478754519957E-3</v>
      </c>
      <c r="D17" s="20">
        <f t="shared" si="0"/>
        <v>1.2896403439578321E-2</v>
      </c>
      <c r="E17" s="20"/>
      <c r="F17" s="21">
        <f>$D$3*SUM($B$12:B17)/1000</f>
        <v>4.9918964772373595</v>
      </c>
      <c r="G17" s="21">
        <f>$D$4*SUM($C$12:C17)/1000</f>
        <v>-8.656736461462275</v>
      </c>
      <c r="H17" s="21">
        <f t="shared" si="1"/>
        <v>-3.6648399842249155</v>
      </c>
    </row>
  </sheetData>
  <mergeCells count="5">
    <mergeCell ref="A1:I1"/>
    <mergeCell ref="E5:G6"/>
    <mergeCell ref="G8:I9"/>
    <mergeCell ref="B10:D10"/>
    <mergeCell ref="F10:H1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2024-11-11T07:46:35Z</dcterms:modified>
</cp:coreProperties>
</file>