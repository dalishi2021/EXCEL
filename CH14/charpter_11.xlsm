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4\"/>
    </mc:Choice>
  </mc:AlternateContent>
  <xr:revisionPtr revIDLastSave="0" documentId="13_ncr:1_{0CD16F7D-530B-4343-A971-679F933F77D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1" l="1"/>
  <c r="B30" i="1"/>
  <c r="B29" i="1"/>
  <c r="B27" i="1"/>
  <c r="F24" i="1"/>
  <c r="C24" i="1"/>
  <c r="F23" i="1"/>
  <c r="C23" i="1"/>
  <c r="F22" i="1"/>
  <c r="C22" i="1"/>
  <c r="F21" i="1"/>
  <c r="C21" i="1"/>
  <c r="F20" i="1"/>
  <c r="C20" i="1"/>
  <c r="F19" i="1"/>
  <c r="C19" i="1"/>
  <c r="F18" i="1"/>
  <c r="C18" i="1"/>
  <c r="F17" i="1"/>
  <c r="C17" i="1"/>
  <c r="F16" i="1"/>
  <c r="C16" i="1"/>
  <c r="F15" i="1"/>
  <c r="C15" i="1"/>
  <c r="B37" i="1" s="1"/>
  <c r="F14" i="1"/>
  <c r="C14" i="1"/>
  <c r="F13" i="1"/>
  <c r="C13" i="1"/>
  <c r="B36" i="1" s="1"/>
  <c r="F12" i="1"/>
  <c r="C12" i="1"/>
  <c r="F11" i="1"/>
  <c r="C11" i="1"/>
  <c r="F10" i="1"/>
  <c r="C10" i="1"/>
  <c r="F9" i="1"/>
  <c r="C9" i="1"/>
  <c r="F8" i="1"/>
  <c r="C8" i="1"/>
  <c r="F7" i="1"/>
  <c r="C7" i="1"/>
  <c r="F6" i="1"/>
  <c r="C6" i="1"/>
  <c r="F5" i="1"/>
  <c r="C5" i="1"/>
  <c r="F4" i="1"/>
  <c r="C4" i="1"/>
  <c r="C35" i="1"/>
  <c r="C36" i="1"/>
  <c r="C37" i="1"/>
  <c r="C29" i="1"/>
  <c r="C30" i="1"/>
  <c r="C31" i="1"/>
  <c r="C27" i="1"/>
  <c r="G4" i="1"/>
  <c r="D4" i="1"/>
  <c r="B35" i="1" l="1"/>
</calcChain>
</file>

<file path=xl/sharedStrings.xml><?xml version="1.0" encoding="utf-8"?>
<sst xmlns="http://schemas.openxmlformats.org/spreadsheetml/2006/main" count="16" uniqueCount="12">
  <si>
    <t>USING OFFSET, COUNTIF, AND TEXT 
TO LOCATE A REGRESSION IN A DATA SET</t>
  </si>
  <si>
    <t>Date</t>
  </si>
  <si>
    <t>General Mills
GIS</t>
  </si>
  <si>
    <t>Return</t>
  </si>
  <si>
    <t>SP500</t>
  </si>
  <si>
    <t>Starting date</t>
  </si>
  <si>
    <t>Rows from top of data
to starting date</t>
  </si>
  <si>
    <t>Regression</t>
  </si>
  <si>
    <t>Intercept</t>
  </si>
  <si>
    <t>Slope</t>
  </si>
  <si>
    <t>R-squared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</si>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</sst>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7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/>
    <xf numFmtId="177" fontId="0" fillId="0" borderId="0" xfId="0" applyNumberFormat="1" applyAlignment="1"/>
    <xf numFmtId="177" fontId="0" fillId="2" borderId="0" xfId="0" applyNumberFormat="1" applyFill="1" applyAlignment="1"/>
    <xf numFmtId="0" fontId="0" fillId="0" borderId="0" xfId="0" applyAlignment="1">
      <alignment wrapText="1"/>
    </xf>
    <xf numFmtId="0" fontId="4" fillId="0" borderId="0" xfId="0" applyFont="1" applyAlignment="1"/>
    <xf numFmtId="0" fontId="0" fillId="0" borderId="0" xfId="0" applyAlignment="1">
      <alignment horizontal="left" indent="1"/>
    </xf>
    <xf numFmtId="14" fontId="0" fillId="0" borderId="0" xfId="0" applyNumberFormat="1" applyAlignment="1"/>
    <xf numFmtId="43" fontId="5" fillId="0" borderId="0" xfId="1" applyFont="1" applyAlignment="1"/>
    <xf numFmtId="14" fontId="0" fillId="0" borderId="0" xfId="0" applyNumberFormat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3" borderId="0" xfId="0" applyFill="1" applyAlignment="1"/>
    <xf numFmtId="177" fontId="0" fillId="3" borderId="0" xfId="0" applyNumberFormat="1" applyFill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2</xdr:row>
      <xdr:rowOff>144780</xdr:rowOff>
    </xdr:from>
    <xdr:to>
      <xdr:col>19</xdr:col>
      <xdr:colOff>516254</xdr:colOff>
      <xdr:row>47</xdr:row>
      <xdr:rowOff>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C5C2BEA-6C74-2D2F-1ED6-A772353FB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833360" y="822960"/>
          <a:ext cx="7056120" cy="79171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7</xdr:col>
      <xdr:colOff>120162</xdr:colOff>
      <xdr:row>0</xdr:row>
      <xdr:rowOff>0</xdr:rowOff>
    </xdr:from>
    <xdr:to>
      <xdr:col>18</xdr:col>
      <xdr:colOff>466871</xdr:colOff>
      <xdr:row>42</xdr:row>
      <xdr:rowOff>21834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2C49AC7-24AC-1C1E-C091-5C3265B504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227277" y="0"/>
          <a:ext cx="7034285" cy="76236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72"/>
      <sheetName val="Page 372（中文）"/>
      <sheetName val="Page 376"/>
      <sheetName val="Page 376（中文）"/>
      <sheetName val="Page 377"/>
      <sheetName val="Page 377（中文）"/>
      <sheetName val="Page 378"/>
      <sheetName val="Page 378（中文）"/>
      <sheetName val="Page 380"/>
      <sheetName val="Page 380（中文）"/>
      <sheetName val="Page 382"/>
      <sheetName val="Page 382（中文）"/>
      <sheetName val="Page 383"/>
      <sheetName val="Page 383（中文）"/>
      <sheetName val="Page 385"/>
      <sheetName val="Page 385（中文）"/>
      <sheetName val="Page 386"/>
      <sheetName val="Page 386（中文）"/>
      <sheetName val="Pages 387-88"/>
      <sheetName val="Pages 387-88（中文）"/>
      <sheetName val="Page 389"/>
      <sheetName val="Page 389（中文）"/>
      <sheetName val="Page 391, chart"/>
      <sheetName val="Page 391, chart（中文）"/>
      <sheetName val="Page 392"/>
      <sheetName val="Page 392（中文）"/>
      <sheetName val="Page 393"/>
      <sheetName val="Page 393（中文）"/>
      <sheetName val="Page 394"/>
      <sheetName val="Page 394（中文）"/>
      <sheetName val="Page 395"/>
      <sheetName val="Page 395（中文）"/>
      <sheetName val="Page 391 data"/>
      <sheetName val="Page 391 data (中文)"/>
      <sheetName val="Page 376 data"/>
      <sheetName val="Page 376 data (中文)"/>
      <sheetName val="Stock Prices"/>
      <sheetName val="Stock Prices（中文）"/>
      <sheetName val="More stock prices"/>
      <sheetName val="More stock prices（中文）"/>
    </sheetNames>
    <sheetDataSet>
      <sheetData sheetId="0"/>
      <sheetData sheetId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37"/>
  <sheetViews>
    <sheetView tabSelected="1" view="pageBreakPreview" zoomScale="60" zoomScaleNormal="130" workbookViewId="0">
      <selection activeCell="G55" sqref="G55"/>
    </sheetView>
  </sheetViews>
  <sheetFormatPr defaultRowHeight="13.8" x14ac:dyDescent="0.25"/>
  <cols>
    <col min="1" max="1" width="20" style="5" customWidth="1"/>
    <col min="2" max="2" width="10.6640625" style="5" bestFit="1" customWidth="1"/>
    <col min="3" max="3" width="10.33203125" style="5" bestFit="1" customWidth="1"/>
    <col min="4" max="4" width="15" style="5" customWidth="1"/>
    <col min="5" max="6" width="8.88671875" style="5"/>
    <col min="7" max="7" width="30" style="5" customWidth="1"/>
  </cols>
  <sheetData>
    <row r="1" spans="1:7" x14ac:dyDescent="0.25">
      <c r="A1" s="1" t="s">
        <v>0</v>
      </c>
      <c r="B1" s="2"/>
      <c r="C1" s="2"/>
      <c r="D1" s="2"/>
      <c r="E1" s="2"/>
      <c r="F1" s="2"/>
      <c r="G1" s="2"/>
    </row>
    <row r="2" spans="1:7" ht="39.6" x14ac:dyDescent="0.25">
      <c r="A2" s="3" t="s">
        <v>1</v>
      </c>
      <c r="B2" s="4" t="s">
        <v>2</v>
      </c>
      <c r="C2" s="3" t="s">
        <v>3</v>
      </c>
      <c r="D2" s="3"/>
      <c r="E2" s="3" t="s">
        <v>4</v>
      </c>
      <c r="F2" s="3" t="s">
        <v>3</v>
      </c>
    </row>
    <row r="3" spans="1:7" x14ac:dyDescent="0.25">
      <c r="A3" s="13">
        <v>35433</v>
      </c>
      <c r="B3" s="5">
        <v>57.96</v>
      </c>
      <c r="E3" s="5">
        <v>748.03</v>
      </c>
    </row>
    <row r="4" spans="1:7" x14ac:dyDescent="0.25">
      <c r="A4" s="13">
        <v>35436</v>
      </c>
      <c r="B4" s="5">
        <v>58.19</v>
      </c>
      <c r="C4" s="6">
        <f t="shared" ref="C4:C24" si="0">LN(B4/B3)</f>
        <v>3.9604012160969143E-3</v>
      </c>
      <c r="D4" s="5" t="str">
        <f ca="1">[2]!getformula(C4)</f>
        <v>&lt;--  =LN(B4/B3)</v>
      </c>
      <c r="E4" s="5">
        <v>747.65</v>
      </c>
      <c r="F4" s="6">
        <f t="shared" ref="F4:F24" si="1">LN(E4/E3)</f>
        <v>-5.0813009223389845E-4</v>
      </c>
      <c r="G4" s="5" t="str">
        <f ca="1">[2]!getformula(F4)</f>
        <v>&lt;--  =LN(E4/E3)</v>
      </c>
    </row>
    <row r="5" spans="1:7" x14ac:dyDescent="0.25">
      <c r="A5" s="13">
        <v>35437</v>
      </c>
      <c r="B5" s="5">
        <v>59.33</v>
      </c>
      <c r="C5" s="6">
        <f t="shared" si="0"/>
        <v>1.9401561601973264E-2</v>
      </c>
      <c r="E5" s="5">
        <v>753.23</v>
      </c>
      <c r="F5" s="6">
        <f t="shared" si="1"/>
        <v>7.4356720183664151E-3</v>
      </c>
    </row>
    <row r="6" spans="1:7" x14ac:dyDescent="0.25">
      <c r="A6" s="13">
        <v>35438</v>
      </c>
      <c r="B6" s="5">
        <v>59.33</v>
      </c>
      <c r="C6" s="6">
        <f t="shared" si="0"/>
        <v>0</v>
      </c>
      <c r="E6" s="5">
        <v>748.41</v>
      </c>
      <c r="F6" s="6">
        <f t="shared" si="1"/>
        <v>-6.4196698989641273E-3</v>
      </c>
    </row>
    <row r="7" spans="1:7" x14ac:dyDescent="0.25">
      <c r="A7" s="13">
        <v>35439</v>
      </c>
      <c r="B7" s="5">
        <v>59.91</v>
      </c>
      <c r="C7" s="6">
        <f t="shared" si="0"/>
        <v>9.7283558252816964E-3</v>
      </c>
      <c r="E7" s="5">
        <v>754.85</v>
      </c>
      <c r="F7" s="6">
        <f t="shared" si="1"/>
        <v>8.5680978644900527E-3</v>
      </c>
    </row>
    <row r="8" spans="1:7" x14ac:dyDescent="0.25">
      <c r="A8" s="13">
        <v>35440</v>
      </c>
      <c r="B8" s="5">
        <v>59.91</v>
      </c>
      <c r="C8" s="6">
        <f t="shared" si="0"/>
        <v>0</v>
      </c>
      <c r="E8" s="5">
        <v>759.5</v>
      </c>
      <c r="F8" s="6">
        <f t="shared" si="1"/>
        <v>6.1412680220824288E-3</v>
      </c>
    </row>
    <row r="9" spans="1:7" x14ac:dyDescent="0.25">
      <c r="A9" s="13">
        <v>35443</v>
      </c>
      <c r="B9" s="5">
        <v>59.68</v>
      </c>
      <c r="C9" s="6">
        <f t="shared" si="0"/>
        <v>-3.8464802003280352E-3</v>
      </c>
      <c r="E9" s="5">
        <v>759.51</v>
      </c>
      <c r="F9" s="6">
        <f t="shared" si="1"/>
        <v>1.3166470267037536E-5</v>
      </c>
    </row>
    <row r="10" spans="1:7" x14ac:dyDescent="0.25">
      <c r="A10" s="13">
        <v>35444</v>
      </c>
      <c r="B10" s="5">
        <v>59.91</v>
      </c>
      <c r="C10" s="6">
        <f t="shared" si="0"/>
        <v>3.8464802003281172E-3</v>
      </c>
      <c r="E10" s="5">
        <v>768.86</v>
      </c>
      <c r="F10" s="6">
        <f t="shared" si="1"/>
        <v>1.2235409809211352E-2</v>
      </c>
    </row>
    <row r="11" spans="1:7" x14ac:dyDescent="0.25">
      <c r="A11" s="13">
        <v>35445</v>
      </c>
      <c r="B11" s="5">
        <v>59.56</v>
      </c>
      <c r="C11" s="7">
        <f t="shared" si="0"/>
        <v>-5.8592282800252341E-3</v>
      </c>
      <c r="E11" s="5">
        <v>767.2</v>
      </c>
      <c r="F11" s="7">
        <f t="shared" si="1"/>
        <v>-2.1613747460772189E-3</v>
      </c>
    </row>
    <row r="12" spans="1:7" x14ac:dyDescent="0.25">
      <c r="A12" s="13">
        <v>35446</v>
      </c>
      <c r="B12" s="5">
        <v>59.56</v>
      </c>
      <c r="C12" s="7">
        <f t="shared" si="0"/>
        <v>0</v>
      </c>
      <c r="E12" s="5">
        <v>769.75</v>
      </c>
      <c r="F12" s="7">
        <f t="shared" si="1"/>
        <v>3.3182632353811682E-3</v>
      </c>
    </row>
    <row r="13" spans="1:7" x14ac:dyDescent="0.25">
      <c r="A13" s="13">
        <v>35447</v>
      </c>
      <c r="B13" s="5">
        <v>59.56</v>
      </c>
      <c r="C13" s="7">
        <f t="shared" si="0"/>
        <v>0</v>
      </c>
      <c r="E13" s="5">
        <v>776.17</v>
      </c>
      <c r="F13" s="7">
        <f t="shared" si="1"/>
        <v>8.3057815507546207E-3</v>
      </c>
    </row>
    <row r="14" spans="1:7" x14ac:dyDescent="0.25">
      <c r="A14" s="13">
        <v>35450</v>
      </c>
      <c r="B14" s="5">
        <v>59.44</v>
      </c>
      <c r="C14" s="7">
        <f t="shared" si="0"/>
        <v>-2.016807406304535E-3</v>
      </c>
      <c r="E14" s="5">
        <v>776.7</v>
      </c>
      <c r="F14" s="7">
        <f t="shared" si="1"/>
        <v>6.8260707023733733E-4</v>
      </c>
    </row>
    <row r="15" spans="1:7" x14ac:dyDescent="0.25">
      <c r="A15" s="13">
        <v>35451</v>
      </c>
      <c r="B15" s="5">
        <v>60.71</v>
      </c>
      <c r="C15" s="7">
        <f t="shared" si="0"/>
        <v>2.1141028732839101E-2</v>
      </c>
      <c r="E15" s="5">
        <v>782.72</v>
      </c>
      <c r="F15" s="7">
        <f t="shared" si="1"/>
        <v>7.7208576331512218E-3</v>
      </c>
    </row>
    <row r="16" spans="1:7" x14ac:dyDescent="0.25">
      <c r="A16" s="13">
        <v>35452</v>
      </c>
      <c r="B16" s="5">
        <v>61.4</v>
      </c>
      <c r="C16" s="7">
        <f t="shared" si="0"/>
        <v>1.1301406010754049E-2</v>
      </c>
      <c r="E16" s="5">
        <v>786.23</v>
      </c>
      <c r="F16" s="7">
        <f t="shared" si="1"/>
        <v>4.474337430458432E-3</v>
      </c>
    </row>
    <row r="17" spans="1:6" x14ac:dyDescent="0.25">
      <c r="A17" s="13">
        <v>35453</v>
      </c>
      <c r="B17" s="5">
        <v>62.09</v>
      </c>
      <c r="C17" s="7">
        <f t="shared" si="0"/>
        <v>1.1175110223704807E-2</v>
      </c>
      <c r="E17" s="5">
        <v>777.56</v>
      </c>
      <c r="F17" s="7">
        <f t="shared" si="1"/>
        <v>-1.1088558995299421E-2</v>
      </c>
    </row>
    <row r="18" spans="1:6" x14ac:dyDescent="0.25">
      <c r="A18" s="13">
        <v>35454</v>
      </c>
      <c r="B18" s="5">
        <v>61.63</v>
      </c>
      <c r="C18" s="7">
        <f t="shared" si="0"/>
        <v>-7.4361804026496954E-3</v>
      </c>
      <c r="E18" s="5">
        <v>770.52</v>
      </c>
      <c r="F18" s="7">
        <f t="shared" si="1"/>
        <v>-9.0951998999547912E-3</v>
      </c>
    </row>
    <row r="19" spans="1:6" x14ac:dyDescent="0.25">
      <c r="A19" s="13">
        <v>35457</v>
      </c>
      <c r="B19" s="5">
        <v>61.29</v>
      </c>
      <c r="C19" s="7">
        <f t="shared" si="0"/>
        <v>-5.532067476511463E-3</v>
      </c>
      <c r="E19" s="5">
        <v>765.02</v>
      </c>
      <c r="F19" s="7">
        <f t="shared" si="1"/>
        <v>-7.1636343183147724E-3</v>
      </c>
    </row>
    <row r="20" spans="1:6" x14ac:dyDescent="0.25">
      <c r="A20" s="13">
        <v>35458</v>
      </c>
      <c r="B20" s="5">
        <v>61.06</v>
      </c>
      <c r="C20" s="7">
        <f t="shared" si="0"/>
        <v>-3.7597101909085376E-3</v>
      </c>
      <c r="E20" s="5">
        <v>765.02</v>
      </c>
      <c r="F20" s="7">
        <f t="shared" si="1"/>
        <v>0</v>
      </c>
    </row>
    <row r="21" spans="1:6" x14ac:dyDescent="0.25">
      <c r="A21" s="14">
        <v>35459</v>
      </c>
      <c r="B21" s="15">
        <v>62.09</v>
      </c>
      <c r="C21" s="16">
        <f t="shared" si="0"/>
        <v>1.6727958070069694E-2</v>
      </c>
      <c r="D21" s="15"/>
      <c r="E21" s="15">
        <v>772.5</v>
      </c>
      <c r="F21" s="16">
        <f t="shared" si="1"/>
        <v>9.7300314962579341E-3</v>
      </c>
    </row>
    <row r="22" spans="1:6" x14ac:dyDescent="0.25">
      <c r="A22" s="13">
        <v>35460</v>
      </c>
      <c r="B22" s="5">
        <v>62.21</v>
      </c>
      <c r="C22" s="6">
        <f t="shared" si="0"/>
        <v>1.9308131501269833E-3</v>
      </c>
      <c r="E22" s="5">
        <v>784.17</v>
      </c>
      <c r="F22" s="6">
        <f t="shared" si="1"/>
        <v>1.4993824807514242E-2</v>
      </c>
    </row>
    <row r="23" spans="1:6" x14ac:dyDescent="0.25">
      <c r="A23" s="13">
        <v>35461</v>
      </c>
      <c r="B23" s="5">
        <v>62.44</v>
      </c>
      <c r="C23" s="6">
        <f t="shared" si="0"/>
        <v>3.6903371203027857E-3</v>
      </c>
      <c r="E23" s="5">
        <v>786.16</v>
      </c>
      <c r="F23" s="6">
        <f t="shared" si="1"/>
        <v>2.5345004747566024E-3</v>
      </c>
    </row>
    <row r="24" spans="1:6" x14ac:dyDescent="0.25">
      <c r="A24" s="13">
        <v>35464</v>
      </c>
      <c r="B24" s="5">
        <v>62.09</v>
      </c>
      <c r="C24" s="6">
        <f t="shared" si="0"/>
        <v>-5.6211502704298479E-3</v>
      </c>
      <c r="E24" s="5">
        <v>786.73</v>
      </c>
      <c r="F24" s="6">
        <f t="shared" si="1"/>
        <v>7.2478053131763242E-4</v>
      </c>
    </row>
    <row r="26" spans="1:6" x14ac:dyDescent="0.25">
      <c r="A26" s="5" t="s">
        <v>5</v>
      </c>
      <c r="B26" s="13">
        <v>35459</v>
      </c>
    </row>
    <row r="27" spans="1:6" ht="27.6" x14ac:dyDescent="0.25">
      <c r="A27" s="8" t="s">
        <v>6</v>
      </c>
      <c r="B27" s="5">
        <f>COUNTIF(A3:A24,"&lt;="&amp;TEXT(B26,"0"))</f>
        <v>19</v>
      </c>
      <c r="C27" s="5" t="str">
        <f ca="1">[2]!getformula(B27)</f>
        <v>&lt;--  =COUNTIF(A3:A24,"&lt;="&amp;TEXT(B26,"0"))</v>
      </c>
    </row>
    <row r="28" spans="1:6" x14ac:dyDescent="0.25">
      <c r="A28" s="9" t="s">
        <v>7</v>
      </c>
    </row>
    <row r="29" spans="1:6" x14ac:dyDescent="0.25">
      <c r="A29" s="10" t="s">
        <v>8</v>
      </c>
      <c r="B29" s="6">
        <f ca="1">INTERCEPT(OFFSET($A$3,$B$27-11,2,10,1),OFFSET($A$3,$B$27-11,5,10,1))</f>
        <v>2.1616374776650196E-3</v>
      </c>
      <c r="C29" s="5" t="str">
        <f ca="1">[2]!getformula(B29)</f>
        <v>&lt;--  =INTERCEPT(OFFSET($A$3,$B$27-11,2,10,1),OFFSET($A$3,$B$27-11,5,10,1))</v>
      </c>
    </row>
    <row r="30" spans="1:6" x14ac:dyDescent="0.25">
      <c r="A30" s="10" t="s">
        <v>9</v>
      </c>
      <c r="B30" s="6">
        <f ca="1">SLOPE(OFFSET($A$3,$B$27-11,2,10,1),OFFSET($A$3,$B$27-11,5,10,1))</f>
        <v>0.51984513938463839</v>
      </c>
      <c r="C30" s="5" t="str">
        <f ca="1">[2]!getformula(B30)</f>
        <v>&lt;--  =SLOPE(OFFSET($A$3,$B$27-11,2,10,1),OFFSET($A$3,$B$27-11,5,10,1))</v>
      </c>
    </row>
    <row r="31" spans="1:6" x14ac:dyDescent="0.25">
      <c r="A31" s="10" t="s">
        <v>10</v>
      </c>
      <c r="B31" s="6">
        <f ca="1">RSQ(OFFSET($A$3,$B$27-11,2,10,1),OFFSET($A$3,$B$27-11,5,10,1))</f>
        <v>0.14130056919374348</v>
      </c>
      <c r="C31" s="5" t="str">
        <f ca="1">[2]!getformula(B31)</f>
        <v>&lt;--  =RSQ(OFFSET($A$3,$B$27-11,2,10,1),OFFSET($A$3,$B$27-11,5,10,1))</v>
      </c>
    </row>
    <row r="34" spans="1:3" x14ac:dyDescent="0.25">
      <c r="A34" s="9" t="s">
        <v>11</v>
      </c>
      <c r="B34" s="11"/>
      <c r="C34" s="12"/>
    </row>
    <row r="35" spans="1:3" x14ac:dyDescent="0.25">
      <c r="A35" s="10" t="s">
        <v>8</v>
      </c>
      <c r="B35" s="6">
        <f>INTERCEPT(C11:C20,F11:F20)</f>
        <v>2.1616374776650196E-3</v>
      </c>
      <c r="C35" s="5" t="str">
        <f ca="1">[2]!getformula(B35)</f>
        <v>&lt;--  =INTERCEPT(C11:C20,F11:F20)</v>
      </c>
    </row>
    <row r="36" spans="1:3" x14ac:dyDescent="0.25">
      <c r="A36" s="10" t="s">
        <v>9</v>
      </c>
      <c r="B36" s="6">
        <f>SLOPE(C11:C20,F11:F20)</f>
        <v>0.51984513938463839</v>
      </c>
      <c r="C36" s="5" t="str">
        <f ca="1">[2]!getformula(B36)</f>
        <v>&lt;--  =SLOPE(C11:C20,F11:F20)</v>
      </c>
    </row>
    <row r="37" spans="1:3" x14ac:dyDescent="0.25">
      <c r="A37" s="10" t="s">
        <v>10</v>
      </c>
      <c r="B37" s="6">
        <f>RSQ(C11:C20,F11:F20)</f>
        <v>0.14130056919374348</v>
      </c>
      <c r="C37" s="5" t="str">
        <f ca="1">[2]!getformula(B37)</f>
        <v>&lt;--  =RSQ(C11:C20,F11:F20)</v>
      </c>
    </row>
  </sheetData>
  <mergeCells count="1">
    <mergeCell ref="A1:G1"/>
  </mergeCells>
  <phoneticPr fontId="1" type="noConversion"/>
  <pageMargins left="0.7" right="0.7" top="0.75" bottom="0.75" header="0.3" footer="0.3"/>
  <pageSetup paperSize="9" scale="81" orientation="portrait" r:id="rId1"/>
  <colBreaks count="1" manualBreakCount="1">
    <brk id="7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2024-11-12T06:48:45Z</cp:lastPrinted>
  <dcterms:created xsi:type="dcterms:W3CDTF">2024-10-05T13:27:14Z</dcterms:created>
  <dcterms:modified xsi:type="dcterms:W3CDTF">2024-11-12T06:48:48Z</dcterms:modified>
</cp:coreProperties>
</file>