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4\"/>
    </mc:Choice>
  </mc:AlternateContent>
  <xr:revisionPtr revIDLastSave="0" documentId="13_ncr:1_{BE7D9BED-F02F-4EF1-8102-61D95C4B1482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1" l="1"/>
  <c r="B3" i="1" a="1"/>
  <c r="B3" i="1" s="1"/>
  <c r="E9" i="1"/>
  <c r="C11" i="1"/>
  <c r="H269" i="1"/>
  <c r="H268" i="1"/>
  <c r="H267" i="1"/>
  <c r="G260" i="1"/>
  <c r="F18" i="1"/>
  <c r="F5" i="1"/>
  <c r="E285" i="1" l="1"/>
  <c r="D285" i="1"/>
  <c r="C3" i="1"/>
  <c r="D3" i="1"/>
  <c r="B4" i="1"/>
  <c r="B9" i="1" s="1"/>
  <c r="C4" i="1"/>
  <c r="D4" i="1"/>
  <c r="B5" i="1"/>
  <c r="C5" i="1"/>
  <c r="D5" i="1"/>
  <c r="B6" i="1"/>
  <c r="D6" i="1"/>
  <c r="C6" i="1"/>
  <c r="B7" i="1"/>
  <c r="C7" i="1"/>
  <c r="D7" i="1"/>
  <c r="E269" i="1" l="1"/>
  <c r="F269" i="1" s="1"/>
  <c r="E268" i="1"/>
  <c r="F268" i="1" s="1"/>
  <c r="E272" i="1"/>
  <c r="F272" i="1" s="1"/>
  <c r="E267" i="1"/>
  <c r="F267" i="1" s="1"/>
  <c r="G267" i="1" s="1"/>
  <c r="E271" i="1"/>
  <c r="F271" i="1" s="1"/>
  <c r="E270" i="1"/>
  <c r="F270" i="1" s="1"/>
  <c r="D9" i="1"/>
  <c r="E286" i="1"/>
  <c r="D286" i="1"/>
  <c r="C9" i="1"/>
  <c r="G268" i="1" l="1"/>
  <c r="G269" i="1"/>
  <c r="G270" i="1" s="1"/>
  <c r="G271" i="1" s="1"/>
  <c r="G272" i="1" s="1"/>
</calcChain>
</file>

<file path=xl/sharedStrings.xml><?xml version="1.0" encoding="utf-8"?>
<sst xmlns="http://schemas.openxmlformats.org/spreadsheetml/2006/main" count="26" uniqueCount="26">
  <si>
    <t>WENDY RETURNS:  ESTIMATION WINDOW  AND EVENT WINDOW</t>
  </si>
  <si>
    <t>Industry</t>
  </si>
  <si>
    <t>Market</t>
  </si>
  <si>
    <t>Intercept</t>
  </si>
  <si>
    <t>Slope --&gt;</t>
  </si>
  <si>
    <t>Standard Error --&gt;</t>
  </si>
  <si>
    <r>
      <t>R</t>
    </r>
    <r>
      <rPr>
        <vertAlign val="superscript"/>
        <sz val="10"/>
        <rFont val="Arial"/>
        <family val="2"/>
      </rPr>
      <t xml:space="preserve">2 </t>
    </r>
    <r>
      <rPr>
        <sz val="10"/>
        <rFont val="Arial"/>
        <family val="2"/>
      </rPr>
      <t>--&gt;</t>
    </r>
  </si>
  <si>
    <t>F statistic --&gt;</t>
  </si>
  <si>
    <r>
      <t>SS</t>
    </r>
    <r>
      <rPr>
        <vertAlign val="subscript"/>
        <sz val="10"/>
        <rFont val="Arial"/>
        <family val="2"/>
      </rPr>
      <t>xy</t>
    </r>
    <r>
      <rPr>
        <sz val="11"/>
        <color theme="1"/>
        <rFont val="等线"/>
        <family val="2"/>
        <charset val="134"/>
        <scheme val="minor"/>
      </rPr>
      <t xml:space="preserve"> --&gt;</t>
    </r>
  </si>
  <si>
    <t>t-stat</t>
  </si>
  <si>
    <t>Days in estimation
window</t>
  </si>
  <si>
    <t>EVENT WINDOW</t>
  </si>
  <si>
    <t>Date</t>
  </si>
  <si>
    <t>Wendy's Intl</t>
  </si>
  <si>
    <t xml:space="preserve">S&amp;P 500 </t>
  </si>
  <si>
    <t>S&amp;P 500 Restaurant Index</t>
  </si>
  <si>
    <t>Expected return</t>
  </si>
  <si>
    <t>Abnormal return (AR)</t>
  </si>
  <si>
    <t>Cumulative abnormal return (CAR)</t>
  </si>
  <si>
    <t>x-axis for chart</t>
  </si>
  <si>
    <t>15nov06</t>
  </si>
  <si>
    <t>16nov06</t>
  </si>
  <si>
    <t>17nov06</t>
  </si>
  <si>
    <t>20nov06</t>
  </si>
  <si>
    <t>21nov06</t>
  </si>
  <si>
    <t>22nov06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</si>
</sst>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 * #,##0.00_ ;_ * \-#,##0.00_ ;_ * &quot;-&quot;??_ ;_ @_ "/>
    <numFmt numFmtId="177" formatCode="_(* #,##0.0000_);_(* \(#,##0.0000\);_(* &quot;-&quot;??_);_(@_)"/>
    <numFmt numFmtId="178" formatCode="_(* #,##0_);_(* \(#,##0\);_(* &quot;-&quot;??_);_(@_)"/>
    <numFmt numFmtId="179" formatCode="m/d/yy;@"/>
    <numFmt numFmtId="180" formatCode="[$-409]d\-mmm\-yy;@"/>
  </numFmts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vertAlign val="subscript"/>
      <sz val="10"/>
      <name val="Arial"/>
      <family val="2"/>
    </font>
    <font>
      <b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left"/>
    </xf>
    <xf numFmtId="177" fontId="4" fillId="0" borderId="0" xfId="1" applyNumberFormat="1" applyFont="1" applyAlignment="1"/>
    <xf numFmtId="10" fontId="0" fillId="0" borderId="0" xfId="0" applyNumberFormat="1" applyAlignment="1"/>
    <xf numFmtId="178" fontId="4" fillId="0" borderId="0" xfId="1" applyNumberFormat="1" applyFont="1" applyAlignment="1"/>
    <xf numFmtId="0" fontId="0" fillId="0" borderId="0" xfId="0" quotePrefix="1" applyAlignment="1"/>
    <xf numFmtId="14" fontId="0" fillId="0" borderId="0" xfId="0" applyNumberFormat="1" applyAlignment="1"/>
    <xf numFmtId="0" fontId="0" fillId="0" borderId="0" xfId="0" applyAlignment="1"/>
    <xf numFmtId="0" fontId="0" fillId="2" borderId="0" xfId="0" applyFill="1" applyAlignment="1">
      <alignment horizontal="center" vertical="center" wrapText="1"/>
    </xf>
    <xf numFmtId="0" fontId="0" fillId="0" borderId="0" xfId="0" applyAlignment="1">
      <alignment horizontal="left" wrapText="1"/>
    </xf>
    <xf numFmtId="0" fontId="7" fillId="3" borderId="0" xfId="0" applyFont="1" applyFill="1" applyAlignment="1">
      <alignment horizontal="center"/>
    </xf>
    <xf numFmtId="14" fontId="7" fillId="0" borderId="0" xfId="0" applyNumberFormat="1" applyFont="1" applyAlignment="1">
      <alignment horizontal="center" vertical="center" wrapText="1"/>
    </xf>
    <xf numFmtId="10" fontId="7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179" fontId="0" fillId="0" borderId="0" xfId="0" applyNumberFormat="1" applyAlignment="1">
      <alignment horizontal="center"/>
    </xf>
    <xf numFmtId="14" fontId="0" fillId="2" borderId="0" xfId="0" applyNumberFormat="1" applyFill="1" applyAlignment="1">
      <alignment horizontal="center" vertical="center" wrapText="1"/>
    </xf>
    <xf numFmtId="0" fontId="0" fillId="0" borderId="0" xfId="0" applyAlignment="1">
      <alignment vertical="center" wrapText="1"/>
    </xf>
    <xf numFmtId="180" fontId="0" fillId="0" borderId="0" xfId="0" applyNumberFormat="1" applyAlignment="1">
      <alignment horizontal="center"/>
    </xf>
    <xf numFmtId="10" fontId="4" fillId="0" borderId="0" xfId="2" applyNumberFormat="1" applyFont="1" applyAlignment="1"/>
    <xf numFmtId="10" fontId="0" fillId="3" borderId="0" xfId="0" applyNumberFormat="1" applyFill="1" applyAlignment="1"/>
    <xf numFmtId="14" fontId="0" fillId="0" borderId="0" xfId="0" quotePrefix="1" applyNumberFormat="1" applyAlignment="1">
      <alignment horizontal="center"/>
    </xf>
    <xf numFmtId="0" fontId="0" fillId="0" borderId="0" xfId="0" applyAlignment="1">
      <alignment horizontal="center"/>
    </xf>
    <xf numFmtId="14" fontId="0" fillId="4" borderId="0" xfId="0" applyNumberFormat="1" applyFill="1" applyAlignment="1">
      <alignment horizontal="left"/>
    </xf>
    <xf numFmtId="177" fontId="4" fillId="4" borderId="0" xfId="1" applyNumberFormat="1" applyFont="1" applyFill="1" applyAlignment="1"/>
  </cellXfs>
  <cellStyles count="3">
    <cellStyle name="百分比" xfId="2" builtinId="5"/>
    <cellStyle name="常规" xfId="0" builtinId="0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2</xdr:row>
          <xdr:rowOff>144780</xdr:rowOff>
        </xdr:from>
        <xdr:to>
          <xdr:col>24</xdr:col>
          <xdr:colOff>434340</xdr:colOff>
          <xdr:row>295</xdr:row>
          <xdr:rowOff>57150</xdr:rowOff>
        </xdr:to>
        <xdr:pic>
          <xdr:nvPicPr>
            <xdr:cNvPr id="2" name="图片 1">
              <a:extLst>
                <a:ext uri="{FF2B5EF4-FFF2-40B4-BE49-F238E27FC236}">
                  <a16:creationId xmlns:a16="http://schemas.microsoft.com/office/drawing/2014/main" id="{682E34E9-719F-0E76-FB2F-807393F7DF0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[1]Page 393'!$A$1:$H$313" spid="_x0000_s103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172700" y="586740"/>
              <a:ext cx="8161020" cy="113690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4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4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372"/>
      <sheetName val="Page 372（中文）"/>
      <sheetName val="Page 376"/>
      <sheetName val="Page 376（中文）"/>
      <sheetName val="Page 377"/>
      <sheetName val="Page 377（中文）"/>
      <sheetName val="Page 378"/>
      <sheetName val="Page 378（中文）"/>
      <sheetName val="Page 380"/>
      <sheetName val="Page 380（中文）"/>
      <sheetName val="Page 382"/>
      <sheetName val="Page 382（中文）"/>
      <sheetName val="Page 383"/>
      <sheetName val="Page 383（中文）"/>
      <sheetName val="Page 385"/>
      <sheetName val="Page 385（中文）"/>
      <sheetName val="Page 386"/>
      <sheetName val="Page 386（中文）"/>
      <sheetName val="Pages 387-88"/>
      <sheetName val="Pages 387-88（中文）"/>
      <sheetName val="Page 389"/>
      <sheetName val="Page 389（中文）"/>
      <sheetName val="Page 391, chart"/>
      <sheetName val="Page 391, chart（中文）"/>
      <sheetName val="Page 392"/>
      <sheetName val="Page 392（中文）"/>
      <sheetName val="Page 393"/>
      <sheetName val="Page 393（中文）"/>
      <sheetName val="Page 394"/>
      <sheetName val="Page 394（中文）"/>
      <sheetName val="Page 395"/>
      <sheetName val="Page 395（中文）"/>
      <sheetName val="Page 391 data"/>
      <sheetName val="Page 391 data (中文)"/>
      <sheetName val="Page 376 data"/>
      <sheetName val="Page 376 data (中文)"/>
      <sheetName val="Stock Prices"/>
      <sheetName val="Stock Prices（中文）"/>
      <sheetName val="More stock prices"/>
      <sheetName val="More stock prices（中文）"/>
    </sheetNames>
    <sheetDataSet>
      <sheetData sheetId="0"/>
      <sheetData sheetId="1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H1004"/>
  <sheetViews>
    <sheetView tabSelected="1" workbookViewId="0">
      <selection activeCell="K21" sqref="K21"/>
    </sheetView>
  </sheetViews>
  <sheetFormatPr defaultRowHeight="13.8" x14ac:dyDescent="0.25"/>
  <cols>
    <col min="1" max="1" width="18" style="24" customWidth="1"/>
    <col min="2" max="2" width="14.33203125" style="6" customWidth="1"/>
    <col min="3" max="3" width="16.88671875" style="6" bestFit="1" customWidth="1"/>
    <col min="4" max="4" width="16.88671875" style="6" customWidth="1"/>
    <col min="5" max="5" width="12.88671875" style="10" customWidth="1"/>
    <col min="6" max="6" width="10.88671875" style="10" customWidth="1"/>
    <col min="7" max="7" width="13.5546875" style="10" customWidth="1"/>
    <col min="8" max="8" width="15.44140625" style="10" bestFit="1" customWidth="1"/>
  </cols>
  <sheetData>
    <row r="1" spans="1:8" ht="17.399999999999999" x14ac:dyDescent="0.25">
      <c r="A1" s="1" t="s">
        <v>0</v>
      </c>
      <c r="B1" s="1"/>
      <c r="C1" s="1"/>
      <c r="D1" s="1"/>
      <c r="E1" s="1"/>
      <c r="F1" s="1"/>
      <c r="G1" s="1"/>
      <c r="H1" s="1"/>
    </row>
    <row r="2" spans="1:8" ht="17.399999999999999" x14ac:dyDescent="0.25">
      <c r="A2" s="2"/>
      <c r="B2" s="3" t="s">
        <v>1</v>
      </c>
      <c r="C2" s="3" t="s">
        <v>2</v>
      </c>
      <c r="D2" s="3" t="s">
        <v>3</v>
      </c>
      <c r="E2" s="2"/>
      <c r="F2" s="2"/>
      <c r="G2" s="2"/>
      <c r="H2" s="2"/>
    </row>
    <row r="3" spans="1:8" x14ac:dyDescent="0.25">
      <c r="A3" s="4" t="s">
        <v>4</v>
      </c>
      <c r="B3" s="5">
        <f t="array" ref="B3:D7">LINEST(B15:B266,C15:D266,,TRUE)</f>
        <v>0.41567051934850657</v>
      </c>
      <c r="C3" s="5">
        <v>0.50950990132802965</v>
      </c>
      <c r="D3" s="5">
        <v>1.2006019660924243E-3</v>
      </c>
      <c r="E3" s="8"/>
      <c r="F3" s="9"/>
    </row>
    <row r="4" spans="1:8" x14ac:dyDescent="0.25">
      <c r="A4" s="4" t="s">
        <v>5</v>
      </c>
      <c r="B4" s="5">
        <v>8.5147658155105471E-2</v>
      </c>
      <c r="C4" s="5">
        <v>0.14097271714160048</v>
      </c>
      <c r="D4" s="5">
        <v>6.5365969889476466E-4</v>
      </c>
      <c r="F4" s="9"/>
    </row>
    <row r="5" spans="1:8" ht="15.6" x14ac:dyDescent="0.25">
      <c r="A5" s="4" t="s">
        <v>6</v>
      </c>
      <c r="B5" s="5">
        <v>0.3139504395959688</v>
      </c>
      <c r="C5" s="5">
        <v>1.0335032555123972E-2</v>
      </c>
      <c r="D5" s="6" t="e">
        <v>#N/A</v>
      </c>
      <c r="F5" s="11" t="str">
        <f ca="1">"Cells "&amp;CHAR(COLUMN(B3)+64)&amp;ROW(B3)&amp;":"&amp;CHAR(COLUMN(D7)+64)&amp;ROW(D7)&amp;" contain the array formula"&amp;[2]!ggetformula(D4)</f>
        <v>Cells B3:D7 contain the array formula {=LINEST(B15:B266,C15:D266,,TRUE)}</v>
      </c>
      <c r="G5" s="11"/>
      <c r="H5" s="11"/>
    </row>
    <row r="6" spans="1:8" ht="43.8" customHeight="1" x14ac:dyDescent="0.25">
      <c r="A6" s="4" t="s">
        <v>7</v>
      </c>
      <c r="B6" s="5">
        <v>56.973769805608413</v>
      </c>
      <c r="C6" s="7">
        <v>249</v>
      </c>
      <c r="D6" s="6" t="e">
        <v>#N/A</v>
      </c>
      <c r="F6" s="11"/>
      <c r="G6" s="11"/>
      <c r="H6" s="11"/>
    </row>
    <row r="7" spans="1:8" ht="15.6" x14ac:dyDescent="0.35">
      <c r="A7" s="4" t="s">
        <v>8</v>
      </c>
      <c r="B7" s="5">
        <v>1.2171066916212146E-2</v>
      </c>
      <c r="C7" s="5">
        <v>2.6596411580952616E-2</v>
      </c>
      <c r="D7" s="6" t="e">
        <v>#N/A</v>
      </c>
      <c r="F7" s="9"/>
    </row>
    <row r="8" spans="1:8" x14ac:dyDescent="0.25">
      <c r="A8" s="4"/>
      <c r="B8" s="5"/>
      <c r="C8" s="5"/>
      <c r="F8" s="9"/>
    </row>
    <row r="9" spans="1:8" x14ac:dyDescent="0.25">
      <c r="A9" s="25" t="s">
        <v>9</v>
      </c>
      <c r="B9" s="26">
        <f>B3/B4</f>
        <v>4.8817610296611882</v>
      </c>
      <c r="C9" s="26">
        <f>C3/C4</f>
        <v>3.6142447394005384</v>
      </c>
      <c r="D9" s="26">
        <f>D3/D4</f>
        <v>1.8367385477832772</v>
      </c>
      <c r="E9" s="10" t="str">
        <f ca="1">[2]!getformula(D9)</f>
        <v>&lt;--  =D3/D4</v>
      </c>
      <c r="F9" s="9"/>
    </row>
    <row r="10" spans="1:8" x14ac:dyDescent="0.25">
      <c r="A10" s="4"/>
      <c r="B10" s="5"/>
      <c r="F10" s="9"/>
    </row>
    <row r="11" spans="1:8" ht="27.6" x14ac:dyDescent="0.25">
      <c r="A11" s="12" t="s">
        <v>10</v>
      </c>
      <c r="B11" s="10">
        <f>COUNT(A15:A266)</f>
        <v>252</v>
      </c>
      <c r="C11" s="10" t="str">
        <f ca="1">[2]!getformula(B11)</f>
        <v>&lt;--  =COUNT(A15:A266)</v>
      </c>
      <c r="F11" s="9"/>
    </row>
    <row r="12" spans="1:8" x14ac:dyDescent="0.25">
      <c r="A12" s="3"/>
      <c r="F12" s="9"/>
    </row>
    <row r="13" spans="1:8" x14ac:dyDescent="0.25">
      <c r="A13" s="3"/>
      <c r="E13" s="13" t="s">
        <v>11</v>
      </c>
      <c r="F13" s="13"/>
      <c r="G13" s="13"/>
    </row>
    <row r="14" spans="1:8" ht="39.6" x14ac:dyDescent="0.25">
      <c r="A14" s="14" t="s">
        <v>12</v>
      </c>
      <c r="B14" s="15" t="s">
        <v>13</v>
      </c>
      <c r="C14" s="15" t="s">
        <v>14</v>
      </c>
      <c r="D14" s="15" t="s">
        <v>15</v>
      </c>
      <c r="E14" s="16" t="s">
        <v>16</v>
      </c>
      <c r="F14" s="16" t="s">
        <v>17</v>
      </c>
      <c r="G14" s="14" t="s">
        <v>18</v>
      </c>
      <c r="H14" s="15"/>
    </row>
    <row r="15" spans="1:8" x14ac:dyDescent="0.25">
      <c r="A15" s="17">
        <v>38671</v>
      </c>
      <c r="B15" s="6">
        <v>8.2075076534574877E-4</v>
      </c>
      <c r="C15" s="6">
        <v>-3.8574498552172232E-3</v>
      </c>
      <c r="D15" s="6">
        <v>-1.2571418067004117E-2</v>
      </c>
      <c r="E15" s="16"/>
      <c r="F15" s="16"/>
      <c r="G15" s="14"/>
      <c r="H15" s="15"/>
    </row>
    <row r="16" spans="1:8" x14ac:dyDescent="0.25">
      <c r="A16" s="17">
        <v>38672</v>
      </c>
      <c r="B16" s="6">
        <v>-3.7121209062471205E-3</v>
      </c>
      <c r="C16" s="6">
        <v>1.7884584194966639E-3</v>
      </c>
      <c r="D16" s="6">
        <v>-9.3455712747073927E-3</v>
      </c>
      <c r="G16" s="9"/>
      <c r="H16" s="6"/>
    </row>
    <row r="17" spans="1:8" x14ac:dyDescent="0.25">
      <c r="A17" s="17">
        <v>38673</v>
      </c>
      <c r="B17" s="6">
        <v>8.440598613227936E-3</v>
      </c>
      <c r="C17" s="6">
        <v>9.3694728699624218E-3</v>
      </c>
      <c r="D17" s="6">
        <v>1.5989908650371764E-2</v>
      </c>
      <c r="F17" s="9"/>
    </row>
    <row r="18" spans="1:8" ht="13.8" customHeight="1" x14ac:dyDescent="0.25">
      <c r="A18" s="17">
        <v>38674</v>
      </c>
      <c r="B18" s="6">
        <v>2.6635305067613827E-3</v>
      </c>
      <c r="C18" s="6">
        <v>4.3916941648725711E-3</v>
      </c>
      <c r="D18" s="6">
        <v>1.8771257800573183E-3</v>
      </c>
      <c r="F18" s="18" t="str">
        <f ca="1">"Cell "&amp;CHAR(COLUMN(E267)+64)&amp;ROW(E267)&amp;" contains formula "&amp;[2]!ggetformula(E267)</f>
        <v>Cell E267 contains formula =$D$3+$C$3*C267+$B$3*D267</v>
      </c>
      <c r="G18" s="18"/>
      <c r="H18" s="18"/>
    </row>
    <row r="19" spans="1:8" x14ac:dyDescent="0.25">
      <c r="A19" s="17">
        <v>38677</v>
      </c>
      <c r="B19" s="6">
        <v>1.0780790743449647E-2</v>
      </c>
      <c r="C19" s="6">
        <v>5.257450826455904E-3</v>
      </c>
      <c r="D19" s="6">
        <v>9.1503706410331342E-3</v>
      </c>
      <c r="F19" s="18"/>
      <c r="G19" s="18"/>
      <c r="H19" s="18"/>
    </row>
    <row r="20" spans="1:8" x14ac:dyDescent="0.25">
      <c r="A20" s="17">
        <v>38678</v>
      </c>
      <c r="B20" s="6">
        <v>-2.0249043774697604E-3</v>
      </c>
      <c r="C20" s="6">
        <v>5.0713917474300724E-3</v>
      </c>
      <c r="D20" s="6">
        <v>-2.4400670924433435E-3</v>
      </c>
      <c r="F20" s="18"/>
      <c r="G20" s="18"/>
      <c r="H20" s="18"/>
    </row>
    <row r="21" spans="1:8" x14ac:dyDescent="0.25">
      <c r="A21" s="17">
        <v>38679</v>
      </c>
      <c r="B21" s="6">
        <v>5.6568140713385432E-3</v>
      </c>
      <c r="C21" s="6">
        <v>3.4667841151675518E-3</v>
      </c>
      <c r="D21" s="6">
        <v>1.3437678503583052E-2</v>
      </c>
      <c r="F21" s="18"/>
      <c r="G21" s="18"/>
      <c r="H21" s="18"/>
    </row>
    <row r="22" spans="1:8" x14ac:dyDescent="0.25">
      <c r="A22" s="17">
        <v>38681</v>
      </c>
      <c r="B22" s="6">
        <v>-3.8377192156940285E-3</v>
      </c>
      <c r="C22" s="6">
        <v>2.083778073981002E-3</v>
      </c>
      <c r="D22" s="6">
        <v>-5.80184747779412E-3</v>
      </c>
      <c r="F22" s="18"/>
      <c r="G22" s="18"/>
      <c r="H22" s="18"/>
    </row>
    <row r="23" spans="1:8" x14ac:dyDescent="0.25">
      <c r="A23" s="17">
        <v>38684</v>
      </c>
      <c r="B23" s="6">
        <v>7.6607666309216425E-3</v>
      </c>
      <c r="C23" s="6">
        <v>-8.54418412395592E-3</v>
      </c>
      <c r="D23" s="6">
        <v>1.9981841344252306E-3</v>
      </c>
      <c r="F23" s="18"/>
      <c r="G23" s="18"/>
      <c r="H23" s="18"/>
    </row>
    <row r="24" spans="1:8" x14ac:dyDescent="0.25">
      <c r="A24" s="17">
        <v>38685</v>
      </c>
      <c r="B24" s="6">
        <v>5.40909680814075E-3</v>
      </c>
      <c r="C24" s="6">
        <v>1.5904952007165095E-5</v>
      </c>
      <c r="D24" s="6">
        <v>-1.937574400483411E-3</v>
      </c>
      <c r="F24" s="9"/>
    </row>
    <row r="25" spans="1:8" x14ac:dyDescent="0.25">
      <c r="A25" s="17">
        <v>38686</v>
      </c>
      <c r="B25" s="6">
        <v>1.4078271207683658E-2</v>
      </c>
      <c r="C25" s="6">
        <v>-6.3822535305083942E-3</v>
      </c>
      <c r="D25" s="6">
        <v>-4.8299733928037179E-3</v>
      </c>
      <c r="F25" s="9"/>
    </row>
    <row r="26" spans="1:8" hidden="1" x14ac:dyDescent="0.25">
      <c r="A26" s="17">
        <v>38687</v>
      </c>
      <c r="B26" s="6">
        <v>-1.1812947424365207E-3</v>
      </c>
      <c r="C26" s="6">
        <v>1.2083753819677268E-2</v>
      </c>
      <c r="D26" s="6">
        <v>2.8014382112731471E-2</v>
      </c>
      <c r="F26" s="9"/>
    </row>
    <row r="27" spans="1:8" hidden="1" x14ac:dyDescent="0.25">
      <c r="A27" s="17">
        <v>38688</v>
      </c>
      <c r="B27" s="6">
        <v>1.0395955659245731E-2</v>
      </c>
      <c r="C27" s="6">
        <v>3.2414270468597968E-4</v>
      </c>
      <c r="D27" s="6">
        <v>9.4705384568229947E-4</v>
      </c>
      <c r="F27" s="9"/>
    </row>
    <row r="28" spans="1:8" hidden="1" x14ac:dyDescent="0.25">
      <c r="A28" s="17">
        <v>38691</v>
      </c>
      <c r="B28" s="6">
        <v>3.3095651257447787E-3</v>
      </c>
      <c r="C28" s="6">
        <v>-2.3662843379425973E-3</v>
      </c>
      <c r="D28" s="6">
        <v>-4.4470870799647516E-3</v>
      </c>
      <c r="F28" s="9"/>
    </row>
    <row r="29" spans="1:8" hidden="1" x14ac:dyDescent="0.25">
      <c r="A29" s="17">
        <v>38692</v>
      </c>
      <c r="B29" s="6">
        <v>-8.789100500111495E-3</v>
      </c>
      <c r="C29" s="6">
        <v>1.2748488338722962E-3</v>
      </c>
      <c r="D29" s="6">
        <v>5.3932448632129648E-3</v>
      </c>
      <c r="F29" s="9"/>
    </row>
    <row r="30" spans="1:8" hidden="1" x14ac:dyDescent="0.25">
      <c r="A30" s="17">
        <v>38693</v>
      </c>
      <c r="B30" s="6">
        <v>6.4545707491573626E-3</v>
      </c>
      <c r="C30" s="6">
        <v>-5.0216878564626815E-3</v>
      </c>
      <c r="D30" s="6">
        <v>-4.2350983618771347E-3</v>
      </c>
      <c r="F30" s="9"/>
    </row>
    <row r="31" spans="1:8" hidden="1" x14ac:dyDescent="0.25">
      <c r="A31" s="17">
        <v>38694</v>
      </c>
      <c r="B31" s="6">
        <v>-7.827032919141318E-3</v>
      </c>
      <c r="C31" s="6">
        <v>-1.2175665296690118E-3</v>
      </c>
      <c r="D31" s="6">
        <v>-1.0981906847580552E-2</v>
      </c>
      <c r="F31" s="9"/>
    </row>
    <row r="32" spans="1:8" hidden="1" x14ac:dyDescent="0.25">
      <c r="A32" s="17">
        <v>38695</v>
      </c>
      <c r="B32" s="6">
        <v>3.5272057706535881E-3</v>
      </c>
      <c r="C32" s="6">
        <v>2.8069245253377001E-3</v>
      </c>
      <c r="D32" s="6">
        <v>1.5890866097878571E-3</v>
      </c>
      <c r="F32" s="9"/>
    </row>
    <row r="33" spans="1:6" hidden="1" x14ac:dyDescent="0.25">
      <c r="A33" s="17">
        <v>38698</v>
      </c>
      <c r="B33" s="6">
        <v>5.6615962250131527E-3</v>
      </c>
      <c r="C33" s="6">
        <v>8.413366636453246E-4</v>
      </c>
      <c r="D33" s="6">
        <v>-7.4273769902019867E-3</v>
      </c>
      <c r="F33" s="9"/>
    </row>
    <row r="34" spans="1:6" hidden="1" x14ac:dyDescent="0.25">
      <c r="A34" s="17">
        <v>38699</v>
      </c>
      <c r="B34" s="6">
        <v>6.8281722532814546E-2</v>
      </c>
      <c r="C34" s="6">
        <v>5.5382955483369821E-3</v>
      </c>
      <c r="D34" s="6">
        <v>1.9369328643636309E-2</v>
      </c>
      <c r="F34" s="9"/>
    </row>
    <row r="35" spans="1:6" hidden="1" x14ac:dyDescent="0.25">
      <c r="A35" s="17">
        <v>38700</v>
      </c>
      <c r="B35" s="6">
        <v>7.2456698096510282E-3</v>
      </c>
      <c r="C35" s="6">
        <v>4.1808286332020959E-3</v>
      </c>
      <c r="D35" s="6">
        <v>6.5798446381204207E-3</v>
      </c>
      <c r="F35" s="9"/>
    </row>
    <row r="36" spans="1:6" hidden="1" x14ac:dyDescent="0.25">
      <c r="A36" s="17">
        <v>38701</v>
      </c>
      <c r="B36" s="6">
        <v>-1.4465049885450294E-3</v>
      </c>
      <c r="C36" s="6">
        <v>-1.4152725975353621E-3</v>
      </c>
      <c r="D36" s="6">
        <v>-7.675767618533791E-3</v>
      </c>
      <c r="F36" s="9"/>
    </row>
    <row r="37" spans="1:6" hidden="1" x14ac:dyDescent="0.25">
      <c r="A37" s="17">
        <v>38702</v>
      </c>
      <c r="B37" s="6">
        <v>-1.1272036145767651E-2</v>
      </c>
      <c r="C37" s="6">
        <v>-2.8523496051067001E-3</v>
      </c>
      <c r="D37" s="6">
        <v>-6.5219971480608954E-4</v>
      </c>
      <c r="F37" s="9"/>
    </row>
    <row r="38" spans="1:6" hidden="1" x14ac:dyDescent="0.25">
      <c r="A38" s="17">
        <v>38705</v>
      </c>
      <c r="B38" s="6">
        <v>2.556682054563178E-3</v>
      </c>
      <c r="C38" s="6">
        <v>-5.8562076800580199E-3</v>
      </c>
      <c r="D38" s="6">
        <v>-1.7470305828919404E-2</v>
      </c>
      <c r="F38" s="9"/>
    </row>
    <row r="39" spans="1:6" hidden="1" x14ac:dyDescent="0.25">
      <c r="A39" s="17">
        <v>38706</v>
      </c>
      <c r="B39" s="6">
        <v>9.0752211007601828E-3</v>
      </c>
      <c r="C39" s="6">
        <v>-2.3813870898492219E-4</v>
      </c>
      <c r="D39" s="6">
        <v>-1.5090011949744762E-4</v>
      </c>
      <c r="F39" s="9"/>
    </row>
    <row r="40" spans="1:6" hidden="1" x14ac:dyDescent="0.25">
      <c r="A40" s="17">
        <v>38707</v>
      </c>
      <c r="B40" s="6">
        <v>-6.5250590034099014E-3</v>
      </c>
      <c r="C40" s="6">
        <v>2.5134705847835205E-3</v>
      </c>
      <c r="D40" s="6">
        <v>6.3182807898215067E-3</v>
      </c>
      <c r="F40" s="9"/>
    </row>
    <row r="41" spans="1:6" hidden="1" x14ac:dyDescent="0.25">
      <c r="A41" s="17">
        <v>38708</v>
      </c>
      <c r="B41" s="6">
        <v>4.3560730736588614E-3</v>
      </c>
      <c r="C41" s="6">
        <v>4.2119300012023742E-3</v>
      </c>
      <c r="D41" s="6">
        <v>5.9507075708552766E-3</v>
      </c>
      <c r="F41" s="9"/>
    </row>
    <row r="42" spans="1:6" hidden="1" x14ac:dyDescent="0.25">
      <c r="A42" s="17">
        <v>38709</v>
      </c>
      <c r="B42" s="6">
        <v>9.9098943892668816E-3</v>
      </c>
      <c r="C42" s="6">
        <v>4.2573657010575353E-4</v>
      </c>
      <c r="D42" s="6">
        <v>-1.730723755006945E-3</v>
      </c>
      <c r="F42" s="9"/>
    </row>
    <row r="43" spans="1:6" hidden="1" x14ac:dyDescent="0.25">
      <c r="A43" s="17">
        <v>38713</v>
      </c>
      <c r="B43" s="6">
        <v>-3.0510283471362606E-3</v>
      </c>
      <c r="C43" s="6">
        <v>-9.5993133756871723E-3</v>
      </c>
      <c r="D43" s="6">
        <v>-9.6030507204764703E-3</v>
      </c>
      <c r="F43" s="9"/>
    </row>
    <row r="44" spans="1:6" hidden="1" x14ac:dyDescent="0.25">
      <c r="A44" s="17">
        <v>38714</v>
      </c>
      <c r="B44" s="6">
        <v>2.6939367765248102E-3</v>
      </c>
      <c r="C44" s="6">
        <v>1.2963723278462073E-3</v>
      </c>
      <c r="D44" s="6">
        <v>2.6801190476305743E-3</v>
      </c>
      <c r="F44" s="9"/>
    </row>
    <row r="45" spans="1:6" hidden="1" x14ac:dyDescent="0.25">
      <c r="A45" s="17">
        <v>38715</v>
      </c>
      <c r="B45" s="6">
        <v>-1.9740657774445815E-3</v>
      </c>
      <c r="C45" s="6">
        <v>-2.9849699189989625E-3</v>
      </c>
      <c r="D45" s="6">
        <v>-8.4240934038917195E-4</v>
      </c>
      <c r="F45" s="9"/>
    </row>
    <row r="46" spans="1:6" hidden="1" x14ac:dyDescent="0.25">
      <c r="A46" s="17">
        <v>38716</v>
      </c>
      <c r="B46" s="6">
        <v>-6.8539133669058604E-3</v>
      </c>
      <c r="C46" s="6">
        <v>-4.8986996164913496E-3</v>
      </c>
      <c r="D46" s="6">
        <v>-1.2904968407198477E-2</v>
      </c>
      <c r="F46" s="9"/>
    </row>
    <row r="47" spans="1:6" hidden="1" x14ac:dyDescent="0.25">
      <c r="A47" s="17">
        <v>38720</v>
      </c>
      <c r="B47" s="6">
        <v>1.9876288426955184E-3</v>
      </c>
      <c r="C47" s="6">
        <v>1.6296957150482658E-2</v>
      </c>
      <c r="D47" s="6">
        <v>3.7128378876150493E-3</v>
      </c>
      <c r="F47" s="9"/>
    </row>
    <row r="48" spans="1:6" hidden="1" x14ac:dyDescent="0.25">
      <c r="A48" s="17">
        <v>38721</v>
      </c>
      <c r="B48" s="6">
        <v>-1.2175369742572838E-2</v>
      </c>
      <c r="C48" s="6">
        <v>3.6660335442654265E-3</v>
      </c>
      <c r="D48" s="6">
        <v>1.219748230379371E-2</v>
      </c>
      <c r="F48" s="9"/>
    </row>
    <row r="49" spans="1:6" hidden="1" x14ac:dyDescent="0.25">
      <c r="A49" s="17">
        <v>38722</v>
      </c>
      <c r="B49" s="6">
        <v>-7.3387538233145744E-3</v>
      </c>
      <c r="C49" s="6">
        <v>1.5705120654815026E-5</v>
      </c>
      <c r="D49" s="6">
        <v>4.4015341664894745E-3</v>
      </c>
      <c r="F49" s="9"/>
    </row>
    <row r="50" spans="1:6" hidden="1" x14ac:dyDescent="0.25">
      <c r="A50" s="17">
        <v>38723</v>
      </c>
      <c r="B50" s="6">
        <v>2.5993371219221077E-2</v>
      </c>
      <c r="C50" s="6">
        <v>9.3555410325450172E-3</v>
      </c>
      <c r="D50" s="6">
        <v>7.2634499073927911E-3</v>
      </c>
      <c r="F50" s="9"/>
    </row>
    <row r="51" spans="1:6" hidden="1" x14ac:dyDescent="0.25">
      <c r="A51" s="17">
        <v>38726</v>
      </c>
      <c r="B51" s="6">
        <v>1.0711442798997859E-2</v>
      </c>
      <c r="C51" s="6">
        <v>3.6496390875495523E-3</v>
      </c>
      <c r="D51" s="6">
        <v>8.7999622925339274E-3</v>
      </c>
      <c r="F51" s="9"/>
    </row>
    <row r="52" spans="1:6" hidden="1" x14ac:dyDescent="0.25">
      <c r="A52" s="17">
        <v>38727</v>
      </c>
      <c r="B52" s="6">
        <v>2.6590708925165987E-3</v>
      </c>
      <c r="C52" s="6">
        <v>-3.566112664932262E-4</v>
      </c>
      <c r="D52" s="6">
        <v>-3.1803083432737156E-3</v>
      </c>
      <c r="F52" s="9"/>
    </row>
    <row r="53" spans="1:6" hidden="1" x14ac:dyDescent="0.25">
      <c r="A53" s="17">
        <v>38728</v>
      </c>
      <c r="B53" s="6">
        <v>1.7721896256081948E-2</v>
      </c>
      <c r="C53" s="6">
        <v>3.4754105426071948E-3</v>
      </c>
      <c r="D53" s="6">
        <v>8.6631479327539743E-3</v>
      </c>
      <c r="F53" s="9"/>
    </row>
    <row r="54" spans="1:6" hidden="1" x14ac:dyDescent="0.25">
      <c r="A54" s="17">
        <v>38729</v>
      </c>
      <c r="B54" s="6">
        <v>-5.9280129798775722E-3</v>
      </c>
      <c r="C54" s="6">
        <v>-6.2940089339184281E-3</v>
      </c>
      <c r="D54" s="6">
        <v>-1.1202869338055555E-2</v>
      </c>
      <c r="F54" s="9"/>
    </row>
    <row r="55" spans="1:6" hidden="1" x14ac:dyDescent="0.25">
      <c r="A55" s="17">
        <v>38730</v>
      </c>
      <c r="B55" s="6">
        <v>-5.2653411092947085E-4</v>
      </c>
      <c r="C55" s="6">
        <v>1.204505773777696E-3</v>
      </c>
      <c r="D55" s="6">
        <v>-1.3611080335450096E-3</v>
      </c>
      <c r="F55" s="9"/>
    </row>
    <row r="56" spans="1:6" hidden="1" x14ac:dyDescent="0.25">
      <c r="A56" s="17">
        <v>38734</v>
      </c>
      <c r="B56" s="6">
        <v>-9.6745287712355476E-3</v>
      </c>
      <c r="C56" s="6">
        <v>-3.6412622802424245E-3</v>
      </c>
      <c r="D56" s="6">
        <v>-3.5891770083918231E-3</v>
      </c>
      <c r="F56" s="9"/>
    </row>
    <row r="57" spans="1:6" hidden="1" x14ac:dyDescent="0.25">
      <c r="A57" s="17">
        <v>38735</v>
      </c>
      <c r="B57" s="6">
        <v>4.2338892228545831E-3</v>
      </c>
      <c r="C57" s="6">
        <v>-3.9049431468911296E-3</v>
      </c>
      <c r="D57" s="6">
        <v>6.663828358876688E-3</v>
      </c>
      <c r="F57" s="9"/>
    </row>
    <row r="58" spans="1:6" hidden="1" x14ac:dyDescent="0.25">
      <c r="A58" s="17">
        <v>38736</v>
      </c>
      <c r="B58" s="6">
        <v>5.0919896159055868E-3</v>
      </c>
      <c r="C58" s="6">
        <v>5.548264895072672E-3</v>
      </c>
      <c r="D58" s="6">
        <v>5.8276595351526364E-3</v>
      </c>
      <c r="F58" s="9"/>
    </row>
    <row r="59" spans="1:6" hidden="1" x14ac:dyDescent="0.25">
      <c r="A59" s="17">
        <v>38737</v>
      </c>
      <c r="B59" s="6">
        <v>-3.3334629751547796E-3</v>
      </c>
      <c r="C59" s="6">
        <v>-1.8496284270764857E-2</v>
      </c>
      <c r="D59" s="6">
        <v>-4.1170474268745561E-3</v>
      </c>
      <c r="F59" s="9"/>
    </row>
    <row r="60" spans="1:6" hidden="1" x14ac:dyDescent="0.25">
      <c r="A60" s="17">
        <v>38740</v>
      </c>
      <c r="B60" s="6">
        <v>5.083065784564543E-3</v>
      </c>
      <c r="C60" s="6">
        <v>1.8453185242020102E-3</v>
      </c>
      <c r="D60" s="6">
        <v>-9.4342410959842528E-4</v>
      </c>
      <c r="F60" s="9"/>
    </row>
    <row r="61" spans="1:6" hidden="1" x14ac:dyDescent="0.25">
      <c r="A61" s="17">
        <v>38741</v>
      </c>
      <c r="B61" s="6">
        <v>1.1470487726267223E-2</v>
      </c>
      <c r="C61" s="6">
        <v>2.4025174753526078E-3</v>
      </c>
      <c r="D61" s="6">
        <v>8.3126974879530469E-3</v>
      </c>
      <c r="F61" s="9"/>
    </row>
    <row r="62" spans="1:6" hidden="1" x14ac:dyDescent="0.25">
      <c r="A62" s="17">
        <v>38742</v>
      </c>
      <c r="B62" s="6">
        <v>-2.9406552437745812E-3</v>
      </c>
      <c r="C62" s="6">
        <v>-1.7222722444546615E-3</v>
      </c>
      <c r="D62" s="6">
        <v>-7.1040956340526693E-3</v>
      </c>
      <c r="F62" s="9"/>
    </row>
    <row r="63" spans="1:6" hidden="1" x14ac:dyDescent="0.25">
      <c r="A63" s="17">
        <v>38743</v>
      </c>
      <c r="B63" s="6">
        <v>8.4576893752182896E-3</v>
      </c>
      <c r="C63" s="6">
        <v>7.2089845040413146E-3</v>
      </c>
      <c r="D63" s="6">
        <v>6.6652232364704141E-3</v>
      </c>
      <c r="F63" s="9"/>
    </row>
    <row r="64" spans="1:6" hidden="1" x14ac:dyDescent="0.25">
      <c r="A64" s="17">
        <v>38744</v>
      </c>
      <c r="B64" s="6">
        <v>9.7470374889279954E-3</v>
      </c>
      <c r="C64" s="6">
        <v>7.7340026957935055E-3</v>
      </c>
      <c r="D64" s="6">
        <v>1.0798643785233377E-2</v>
      </c>
      <c r="F64" s="9"/>
    </row>
    <row r="65" spans="1:6" hidden="1" x14ac:dyDescent="0.25">
      <c r="A65" s="17">
        <v>38747</v>
      </c>
      <c r="B65" s="6">
        <v>0</v>
      </c>
      <c r="C65" s="6">
        <v>1.1522353080227964E-3</v>
      </c>
      <c r="D65" s="6">
        <v>-2.9863317883962975E-3</v>
      </c>
      <c r="F65" s="9"/>
    </row>
    <row r="66" spans="1:6" hidden="1" x14ac:dyDescent="0.25">
      <c r="A66" s="17">
        <v>38748</v>
      </c>
      <c r="B66" s="6">
        <v>3.3981365032488583E-3</v>
      </c>
      <c r="C66" s="6">
        <v>-3.9917722810842281E-3</v>
      </c>
      <c r="D66" s="6">
        <v>-2.0928415045172993E-3</v>
      </c>
      <c r="F66" s="9"/>
    </row>
    <row r="67" spans="1:6" hidden="1" x14ac:dyDescent="0.25">
      <c r="A67" s="17">
        <v>38749</v>
      </c>
      <c r="B67" s="6">
        <v>9.7912486321903146E-3</v>
      </c>
      <c r="C67" s="6">
        <v>1.8575325140952061E-3</v>
      </c>
      <c r="D67" s="6">
        <v>8.7779580681179217E-3</v>
      </c>
      <c r="F67" s="9"/>
    </row>
    <row r="68" spans="1:6" hidden="1" x14ac:dyDescent="0.25">
      <c r="A68" s="17">
        <v>38750</v>
      </c>
      <c r="B68" s="6">
        <v>-1.9334541298077847E-2</v>
      </c>
      <c r="C68" s="6">
        <v>-9.1020093392774372E-3</v>
      </c>
      <c r="D68" s="6">
        <v>2.010232731566991E-2</v>
      </c>
      <c r="F68" s="9"/>
    </row>
    <row r="69" spans="1:6" hidden="1" x14ac:dyDescent="0.25">
      <c r="A69" s="17">
        <v>38751</v>
      </c>
      <c r="B69" s="6">
        <v>-3.7767354444562173E-3</v>
      </c>
      <c r="C69" s="6">
        <v>-5.3730695330701933E-3</v>
      </c>
      <c r="D69" s="6">
        <v>3.9498979240409678E-3</v>
      </c>
      <c r="F69" s="9"/>
    </row>
    <row r="70" spans="1:6" hidden="1" x14ac:dyDescent="0.25">
      <c r="A70" s="17">
        <v>38754</v>
      </c>
      <c r="B70" s="6">
        <v>-5.1357819984616262E-4</v>
      </c>
      <c r="C70" s="6">
        <v>7.8290271095252757E-4</v>
      </c>
      <c r="D70" s="6">
        <v>8.6073286708411145E-3</v>
      </c>
      <c r="F70" s="9"/>
    </row>
    <row r="71" spans="1:6" hidden="1" x14ac:dyDescent="0.25">
      <c r="A71" s="17">
        <v>38755</v>
      </c>
      <c r="B71" s="6">
        <v>-1.1068573131603553E-2</v>
      </c>
      <c r="C71" s="6">
        <v>-8.1276739188473213E-3</v>
      </c>
      <c r="D71" s="6">
        <v>-2.9635450005483293E-3</v>
      </c>
      <c r="F71" s="9"/>
    </row>
    <row r="72" spans="1:6" hidden="1" x14ac:dyDescent="0.25">
      <c r="A72" s="17">
        <v>38756</v>
      </c>
      <c r="B72" s="6">
        <v>-1.0313582192658714E-2</v>
      </c>
      <c r="C72" s="6">
        <v>8.6255657917620569E-3</v>
      </c>
      <c r="D72" s="6">
        <v>3.8843682257112232E-3</v>
      </c>
      <c r="F72" s="9"/>
    </row>
    <row r="73" spans="1:6" hidden="1" x14ac:dyDescent="0.25">
      <c r="A73" s="17">
        <v>38757</v>
      </c>
      <c r="B73" s="6">
        <v>-7.25191249949387E-3</v>
      </c>
      <c r="C73" s="6">
        <v>-1.4785942609120406E-3</v>
      </c>
      <c r="D73" s="6">
        <v>1.1155734058867369E-4</v>
      </c>
      <c r="F73" s="9"/>
    </row>
    <row r="74" spans="1:6" hidden="1" x14ac:dyDescent="0.25">
      <c r="A74" s="17">
        <v>38758</v>
      </c>
      <c r="B74" s="6">
        <v>3.89585311557723E-3</v>
      </c>
      <c r="C74" s="6">
        <v>2.5367787048434379E-3</v>
      </c>
      <c r="D74" s="6">
        <v>5.5343254655259291E-3</v>
      </c>
      <c r="F74" s="9"/>
    </row>
    <row r="75" spans="1:6" hidden="1" x14ac:dyDescent="0.25">
      <c r="A75" s="17">
        <v>38761</v>
      </c>
      <c r="B75" s="6">
        <v>-4.965181322978982E-3</v>
      </c>
      <c r="C75" s="6">
        <v>-3.2650186129101217E-3</v>
      </c>
      <c r="D75" s="6">
        <v>-7.879647067707338E-3</v>
      </c>
      <c r="F75" s="9"/>
    </row>
    <row r="76" spans="1:6" hidden="1" x14ac:dyDescent="0.25">
      <c r="A76" s="17">
        <v>38762</v>
      </c>
      <c r="B76" s="6">
        <v>9.9058313724605628E-3</v>
      </c>
      <c r="C76" s="6">
        <v>9.9827884761768439E-3</v>
      </c>
      <c r="D76" s="6">
        <v>2.7077970344984246E-3</v>
      </c>
      <c r="F76" s="9"/>
    </row>
    <row r="77" spans="1:6" hidden="1" x14ac:dyDescent="0.25">
      <c r="A77" s="17">
        <v>38763</v>
      </c>
      <c r="B77" s="6">
        <v>5.2763939539673553E-4</v>
      </c>
      <c r="C77" s="6">
        <v>3.4982994202306227E-3</v>
      </c>
      <c r="D77" s="6">
        <v>-3.9036360076339142E-4</v>
      </c>
      <c r="F77" s="9"/>
    </row>
    <row r="78" spans="1:6" hidden="1" x14ac:dyDescent="0.25">
      <c r="A78" s="17">
        <v>38764</v>
      </c>
      <c r="B78" s="6">
        <v>4.9099965954868255E-3</v>
      </c>
      <c r="C78" s="6">
        <v>7.3014047521291897E-3</v>
      </c>
      <c r="D78" s="6">
        <v>1.0624675169989484E-2</v>
      </c>
      <c r="F78" s="9"/>
    </row>
    <row r="79" spans="1:6" hidden="1" x14ac:dyDescent="0.25">
      <c r="A79" s="17">
        <v>38765</v>
      </c>
      <c r="B79" s="6">
        <v>-3.8555522809215217E-3</v>
      </c>
      <c r="C79" s="6">
        <v>-1.6610912684537765E-3</v>
      </c>
      <c r="D79" s="6">
        <v>-9.8998354393411928E-3</v>
      </c>
      <c r="F79" s="9"/>
    </row>
    <row r="80" spans="1:6" hidden="1" x14ac:dyDescent="0.25">
      <c r="A80" s="17">
        <v>38769</v>
      </c>
      <c r="B80" s="6">
        <v>-1.7819128312643074E-4</v>
      </c>
      <c r="C80" s="6">
        <v>-3.2681293386197015E-3</v>
      </c>
      <c r="D80" s="6">
        <v>-8.2832431070453353E-3</v>
      </c>
      <c r="F80" s="9"/>
    </row>
    <row r="81" spans="1:6" hidden="1" x14ac:dyDescent="0.25">
      <c r="A81" s="17">
        <v>38770</v>
      </c>
      <c r="B81" s="6">
        <v>2.9833590192085021E-3</v>
      </c>
      <c r="C81" s="6">
        <v>7.4775847212323254E-3</v>
      </c>
      <c r="D81" s="6">
        <v>1.112178233137571E-2</v>
      </c>
      <c r="F81" s="9"/>
    </row>
    <row r="82" spans="1:6" hidden="1" x14ac:dyDescent="0.25">
      <c r="A82" s="17">
        <v>38771</v>
      </c>
      <c r="B82" s="6">
        <v>1.8573185028861437E-2</v>
      </c>
      <c r="C82" s="6">
        <v>-3.7822758869455603E-3</v>
      </c>
      <c r="D82" s="6">
        <v>-4.4472858392066342E-4</v>
      </c>
      <c r="F82" s="9"/>
    </row>
    <row r="83" spans="1:6" hidden="1" x14ac:dyDescent="0.25">
      <c r="A83" s="17">
        <v>38772</v>
      </c>
      <c r="B83" s="6">
        <v>1.2134549368196702E-2</v>
      </c>
      <c r="C83" s="6">
        <v>1.2726893484951744E-3</v>
      </c>
      <c r="D83" s="6">
        <v>-4.1510597432812841E-3</v>
      </c>
      <c r="F83" s="9"/>
    </row>
    <row r="84" spans="1:6" hidden="1" x14ac:dyDescent="0.25">
      <c r="A84" s="17">
        <v>38775</v>
      </c>
      <c r="B84" s="6">
        <v>-3.4041929746403115E-3</v>
      </c>
      <c r="C84" s="6">
        <v>3.6306672229017936E-3</v>
      </c>
      <c r="D84" s="6">
        <v>3.6505035593035937E-3</v>
      </c>
      <c r="F84" s="9"/>
    </row>
    <row r="85" spans="1:6" hidden="1" x14ac:dyDescent="0.25">
      <c r="A85" s="17">
        <v>38776</v>
      </c>
      <c r="B85" s="6">
        <v>-1.30404273820642E-2</v>
      </c>
      <c r="C85" s="6">
        <v>-1.0455357439630828E-2</v>
      </c>
      <c r="D85" s="6">
        <v>-1.4174700884888496E-2</v>
      </c>
      <c r="F85" s="9"/>
    </row>
    <row r="86" spans="1:6" hidden="1" x14ac:dyDescent="0.25">
      <c r="A86" s="17">
        <v>38777</v>
      </c>
      <c r="B86" s="6">
        <v>1.0310917717170534E-2</v>
      </c>
      <c r="C86" s="6">
        <v>8.2274269454006288E-3</v>
      </c>
      <c r="D86" s="6">
        <v>3.8576927056028797E-3</v>
      </c>
      <c r="F86" s="9"/>
    </row>
    <row r="87" spans="1:6" hidden="1" x14ac:dyDescent="0.25">
      <c r="A87" s="17">
        <v>38778</v>
      </c>
      <c r="B87" s="6">
        <v>-1.0259514938469009E-3</v>
      </c>
      <c r="C87" s="6">
        <v>-1.627667602157541E-3</v>
      </c>
      <c r="D87" s="6">
        <v>-9.2608940148219288E-3</v>
      </c>
      <c r="F87" s="9"/>
    </row>
    <row r="88" spans="1:6" hidden="1" x14ac:dyDescent="0.25">
      <c r="A88" s="17">
        <v>38779</v>
      </c>
      <c r="B88" s="6">
        <v>3.5303544717760552E-2</v>
      </c>
      <c r="C88" s="6">
        <v>-1.4827065599390518E-3</v>
      </c>
      <c r="D88" s="6">
        <v>4.217564313959434E-3</v>
      </c>
      <c r="F88" s="9"/>
    </row>
    <row r="89" spans="1:6" hidden="1" x14ac:dyDescent="0.25">
      <c r="A89" s="17">
        <v>38782</v>
      </c>
      <c r="B89" s="6">
        <v>-2.8126100485574641E-3</v>
      </c>
      <c r="C89" s="6">
        <v>-6.9928446827921247E-3</v>
      </c>
      <c r="D89" s="6">
        <v>-1.1870443991790825E-3</v>
      </c>
      <c r="F89" s="9"/>
    </row>
    <row r="90" spans="1:6" hidden="1" x14ac:dyDescent="0.25">
      <c r="A90" s="17">
        <v>38783</v>
      </c>
      <c r="B90" s="6">
        <v>-7.6496478256020137E-3</v>
      </c>
      <c r="C90" s="6">
        <v>-1.863641530098769E-3</v>
      </c>
      <c r="D90" s="6">
        <v>-7.7788264151378043E-3</v>
      </c>
      <c r="F90" s="9"/>
    </row>
    <row r="91" spans="1:6" hidden="1" x14ac:dyDescent="0.25">
      <c r="A91" s="17">
        <v>38784</v>
      </c>
      <c r="B91" s="6">
        <v>6.1580418551914918E-3</v>
      </c>
      <c r="C91" s="6">
        <v>2.0279138627049766E-3</v>
      </c>
      <c r="D91" s="6">
        <v>3.1017482859099525E-3</v>
      </c>
      <c r="F91" s="9"/>
    </row>
    <row r="92" spans="1:6" hidden="1" x14ac:dyDescent="0.25">
      <c r="A92" s="17">
        <v>38785</v>
      </c>
      <c r="B92" s="6">
        <v>4.6356398078947628E-3</v>
      </c>
      <c r="C92" s="6">
        <v>-4.8927842932927684E-3</v>
      </c>
      <c r="D92" s="6">
        <v>-3.2727664142482692E-3</v>
      </c>
      <c r="F92" s="9"/>
    </row>
    <row r="93" spans="1:6" hidden="1" x14ac:dyDescent="0.25">
      <c r="A93" s="17">
        <v>38786</v>
      </c>
      <c r="B93" s="6">
        <v>3.3447746535618654E-2</v>
      </c>
      <c r="C93" s="6">
        <v>7.3224255345974813E-3</v>
      </c>
      <c r="D93" s="6">
        <v>6.8463259051133336E-3</v>
      </c>
      <c r="F93" s="9"/>
    </row>
    <row r="94" spans="1:6" hidden="1" x14ac:dyDescent="0.25">
      <c r="A94" s="17">
        <v>38789</v>
      </c>
      <c r="B94" s="6">
        <v>-8.9823294970158268E-3</v>
      </c>
      <c r="C94" s="6">
        <v>1.9877545315904271E-3</v>
      </c>
      <c r="D94" s="6">
        <v>-8.8151394039877613E-3</v>
      </c>
      <c r="F94" s="9"/>
    </row>
    <row r="95" spans="1:6" hidden="1" x14ac:dyDescent="0.25">
      <c r="A95" s="17">
        <v>38790</v>
      </c>
      <c r="B95" s="6">
        <v>2.1678782244244476E-2</v>
      </c>
      <c r="C95" s="6">
        <v>1.0342475432269526E-2</v>
      </c>
      <c r="D95" s="6">
        <v>1.223491239693684E-2</v>
      </c>
      <c r="F95" s="9"/>
    </row>
    <row r="96" spans="1:6" hidden="1" x14ac:dyDescent="0.25">
      <c r="A96" s="17">
        <v>38791</v>
      </c>
      <c r="B96" s="6">
        <v>4.2474009941575637E-3</v>
      </c>
      <c r="C96" s="6">
        <v>4.2607255381606982E-3</v>
      </c>
      <c r="D96" s="6">
        <v>8.4846269516867731E-3</v>
      </c>
      <c r="F96" s="9"/>
    </row>
    <row r="97" spans="1:6" hidden="1" x14ac:dyDescent="0.25">
      <c r="A97" s="17">
        <v>38792</v>
      </c>
      <c r="B97" s="6">
        <v>1.8821684419100468E-2</v>
      </c>
      <c r="C97" s="6">
        <v>1.7712351516669849E-3</v>
      </c>
      <c r="D97" s="6">
        <v>6.3860560869639501E-3</v>
      </c>
      <c r="F97" s="9"/>
    </row>
    <row r="98" spans="1:6" hidden="1" x14ac:dyDescent="0.25">
      <c r="A98" s="17">
        <v>38793</v>
      </c>
      <c r="B98" s="6">
        <v>5.5304997381017467E-3</v>
      </c>
      <c r="C98" s="6">
        <v>1.4698117153584349E-3</v>
      </c>
      <c r="D98" s="6">
        <v>5.4888835724548196E-3</v>
      </c>
      <c r="F98" s="9"/>
    </row>
    <row r="99" spans="1:6" hidden="1" x14ac:dyDescent="0.25">
      <c r="A99" s="17">
        <v>38796</v>
      </c>
      <c r="B99" s="6">
        <v>9.7592888247322873E-3</v>
      </c>
      <c r="C99" s="6">
        <v>-1.6613525083865482E-3</v>
      </c>
      <c r="D99" s="6">
        <v>-2.9624729225979037E-3</v>
      </c>
      <c r="F99" s="9"/>
    </row>
    <row r="100" spans="1:6" hidden="1" x14ac:dyDescent="0.25">
      <c r="A100" s="17">
        <v>38797</v>
      </c>
      <c r="B100" s="6">
        <v>-2.9254723737184726E-2</v>
      </c>
      <c r="C100" s="6">
        <v>-6.0331196596042072E-3</v>
      </c>
      <c r="D100" s="6">
        <v>-5.8119488970646838E-3</v>
      </c>
      <c r="F100" s="9"/>
    </row>
    <row r="101" spans="1:6" hidden="1" x14ac:dyDescent="0.25">
      <c r="A101" s="17">
        <v>38798</v>
      </c>
      <c r="B101" s="6">
        <v>7.3164913108690428E-3</v>
      </c>
      <c r="C101" s="6">
        <v>6.0024697277979346E-3</v>
      </c>
      <c r="D101" s="6">
        <v>1.5327381879571777E-3</v>
      </c>
      <c r="F101" s="9"/>
    </row>
    <row r="102" spans="1:6" hidden="1" x14ac:dyDescent="0.25">
      <c r="A102" s="17">
        <v>38799</v>
      </c>
      <c r="B102" s="6">
        <v>8.3393533874747301E-3</v>
      </c>
      <c r="C102" s="6">
        <v>-2.5856362061871408E-3</v>
      </c>
      <c r="D102" s="6">
        <v>-8.3609955351036849E-3</v>
      </c>
      <c r="F102" s="9"/>
    </row>
    <row r="103" spans="1:6" hidden="1" x14ac:dyDescent="0.25">
      <c r="A103" s="17">
        <v>38800</v>
      </c>
      <c r="B103" s="6">
        <v>-3.2516909904025552E-2</v>
      </c>
      <c r="C103" s="6">
        <v>9.8286898130505091E-4</v>
      </c>
      <c r="D103" s="6">
        <v>3.6997631753653663E-3</v>
      </c>
      <c r="F103" s="9"/>
    </row>
    <row r="104" spans="1:6" hidden="1" x14ac:dyDescent="0.25">
      <c r="A104" s="17">
        <v>38803</v>
      </c>
      <c r="B104" s="6">
        <v>-8.9378719575816459E-3</v>
      </c>
      <c r="C104" s="6">
        <v>-1.0289646759754465E-3</v>
      </c>
      <c r="D104" s="6">
        <v>-2.6052259290093118E-3</v>
      </c>
      <c r="F104" s="9"/>
    </row>
    <row r="105" spans="1:6" hidden="1" x14ac:dyDescent="0.25">
      <c r="A105" s="17">
        <v>38804</v>
      </c>
      <c r="B105" s="6">
        <v>-1.096488482119054E-2</v>
      </c>
      <c r="C105" s="6">
        <v>-6.4589948771245614E-3</v>
      </c>
      <c r="D105" s="6">
        <v>-4.9207854435749055E-3</v>
      </c>
      <c r="F105" s="9"/>
    </row>
    <row r="106" spans="1:6" hidden="1" x14ac:dyDescent="0.25">
      <c r="A106" s="17">
        <v>38805</v>
      </c>
      <c r="B106" s="6">
        <v>9.358291906111189E-3</v>
      </c>
      <c r="C106" s="6">
        <v>7.4419091432433061E-3</v>
      </c>
      <c r="D106" s="6">
        <v>1.1072758091346573E-2</v>
      </c>
      <c r="F106" s="9"/>
    </row>
    <row r="107" spans="1:6" hidden="1" x14ac:dyDescent="0.25">
      <c r="A107" s="17">
        <v>38806</v>
      </c>
      <c r="B107" s="6">
        <v>-7.8972589267722916E-3</v>
      </c>
      <c r="C107" s="6">
        <v>-2.0283203401265074E-3</v>
      </c>
      <c r="D107" s="6">
        <v>-5.2981611043731349E-4</v>
      </c>
      <c r="F107" s="9"/>
    </row>
    <row r="108" spans="1:6" hidden="1" x14ac:dyDescent="0.25">
      <c r="A108" s="17">
        <v>38807</v>
      </c>
      <c r="B108" s="6">
        <v>4.5198565219634274E-3</v>
      </c>
      <c r="C108" s="6">
        <v>-4.1771412680208404E-3</v>
      </c>
      <c r="D108" s="6">
        <v>-1.0046325564507363E-3</v>
      </c>
      <c r="F108" s="9"/>
    </row>
    <row r="109" spans="1:6" hidden="1" x14ac:dyDescent="0.25">
      <c r="A109" s="17">
        <v>38810</v>
      </c>
      <c r="B109" s="6">
        <v>-1.0201192447911135E-2</v>
      </c>
      <c r="C109" s="6">
        <v>2.2988161197320862E-3</v>
      </c>
      <c r="D109" s="6">
        <v>3.7065464298247099E-3</v>
      </c>
      <c r="F109" s="9"/>
    </row>
    <row r="110" spans="1:6" hidden="1" x14ac:dyDescent="0.25">
      <c r="A110" s="17">
        <v>38811</v>
      </c>
      <c r="B110" s="6">
        <v>2.2736054143405143E-3</v>
      </c>
      <c r="C110" s="6">
        <v>6.2372021201325045E-3</v>
      </c>
      <c r="D110" s="6">
        <v>2.0841156307811965E-3</v>
      </c>
      <c r="F110" s="9"/>
    </row>
    <row r="111" spans="1:6" hidden="1" x14ac:dyDescent="0.25">
      <c r="A111" s="17">
        <v>38812</v>
      </c>
      <c r="B111" s="6">
        <v>1.6592843525317508E-2</v>
      </c>
      <c r="C111" s="6">
        <v>4.3018377776463043E-3</v>
      </c>
      <c r="D111" s="6">
        <v>-4.6186888260350825E-3</v>
      </c>
      <c r="F111" s="9"/>
    </row>
    <row r="112" spans="1:6" hidden="1" x14ac:dyDescent="0.25">
      <c r="A112" s="17">
        <v>38813</v>
      </c>
      <c r="B112" s="6">
        <v>6.3669642594768585E-3</v>
      </c>
      <c r="C112" s="6">
        <v>-1.9232242820317711E-3</v>
      </c>
      <c r="D112" s="6">
        <v>-1.1161338286878274E-3</v>
      </c>
      <c r="F112" s="9"/>
    </row>
    <row r="113" spans="1:6" hidden="1" x14ac:dyDescent="0.25">
      <c r="A113" s="17">
        <v>38814</v>
      </c>
      <c r="B113" s="6">
        <v>-2.2472778008539005E-2</v>
      </c>
      <c r="C113" s="6">
        <v>-1.0397323118475394E-2</v>
      </c>
      <c r="D113" s="6">
        <v>4.2346973629848956E-3</v>
      </c>
      <c r="F113" s="9"/>
    </row>
    <row r="114" spans="1:6" hidden="1" x14ac:dyDescent="0.25">
      <c r="A114" s="17">
        <v>38817</v>
      </c>
      <c r="B114" s="6">
        <v>-8.6404871853113518E-3</v>
      </c>
      <c r="C114" s="6">
        <v>8.487327387305838E-4</v>
      </c>
      <c r="D114" s="6">
        <v>4.9086999017165745E-3</v>
      </c>
      <c r="F114" s="9"/>
    </row>
    <row r="115" spans="1:6" hidden="1" x14ac:dyDescent="0.25">
      <c r="A115" s="17">
        <v>38818</v>
      </c>
      <c r="B115" s="6">
        <v>2.7804161011751728E-3</v>
      </c>
      <c r="C115" s="6">
        <v>-7.7656913061719159E-3</v>
      </c>
      <c r="D115" s="6">
        <v>-1.1072052505424798E-3</v>
      </c>
      <c r="F115" s="9"/>
    </row>
    <row r="116" spans="1:6" hidden="1" x14ac:dyDescent="0.25">
      <c r="A116" s="17">
        <v>38819</v>
      </c>
      <c r="B116" s="6">
        <v>-5.8946140408635377E-3</v>
      </c>
      <c r="C116" s="6">
        <v>1.2040285915982092E-3</v>
      </c>
      <c r="D116" s="6">
        <v>-1.1084325129660183E-3</v>
      </c>
      <c r="F116" s="9"/>
    </row>
    <row r="117" spans="1:6" hidden="1" x14ac:dyDescent="0.25">
      <c r="A117" s="17">
        <v>38820</v>
      </c>
      <c r="B117" s="6">
        <v>6.2222501492932786E-3</v>
      </c>
      <c r="C117" s="6">
        <v>7.760240025644255E-4</v>
      </c>
      <c r="D117" s="6">
        <v>-8.3213141382195094E-4</v>
      </c>
      <c r="F117" s="9"/>
    </row>
    <row r="118" spans="1:6" hidden="1" x14ac:dyDescent="0.25">
      <c r="A118" s="17">
        <v>38824</v>
      </c>
      <c r="B118" s="6">
        <v>-3.4367083799020973E-3</v>
      </c>
      <c r="C118" s="6">
        <v>-2.9443203309178156E-3</v>
      </c>
      <c r="D118" s="6">
        <v>-1.1582763915325187E-2</v>
      </c>
      <c r="F118" s="9"/>
    </row>
    <row r="119" spans="1:6" hidden="1" x14ac:dyDescent="0.25">
      <c r="A119" s="17">
        <v>38825</v>
      </c>
      <c r="B119" s="6">
        <v>1.3505677512662743E-2</v>
      </c>
      <c r="C119" s="6">
        <v>1.7216138414304433E-2</v>
      </c>
      <c r="D119" s="6">
        <v>9.1934756752759025E-3</v>
      </c>
      <c r="F119" s="9"/>
    </row>
    <row r="120" spans="1:6" hidden="1" x14ac:dyDescent="0.25">
      <c r="A120" s="17">
        <v>38826</v>
      </c>
      <c r="B120" s="6">
        <v>9.4885801682621698E-3</v>
      </c>
      <c r="C120" s="6">
        <v>1.7420675407145026E-3</v>
      </c>
      <c r="D120" s="6">
        <v>3.9697463472369897E-3</v>
      </c>
      <c r="F120" s="9"/>
    </row>
    <row r="121" spans="1:6" hidden="1" x14ac:dyDescent="0.25">
      <c r="A121" s="17">
        <v>38827</v>
      </c>
      <c r="B121" s="6">
        <v>-4.8128620308186005E-3</v>
      </c>
      <c r="C121" s="6">
        <v>1.1673197606888619E-3</v>
      </c>
      <c r="D121" s="6">
        <v>9.5678678471371199E-3</v>
      </c>
      <c r="F121" s="9"/>
    </row>
    <row r="122" spans="1:6" hidden="1" x14ac:dyDescent="0.25">
      <c r="A122" s="17">
        <v>38828</v>
      </c>
      <c r="B122" s="6">
        <v>-6.4557239125410809E-3</v>
      </c>
      <c r="C122" s="6">
        <v>-1.372610325710344E-4</v>
      </c>
      <c r="D122" s="6">
        <v>-6.3039587730496409E-3</v>
      </c>
      <c r="F122" s="9"/>
    </row>
    <row r="123" spans="1:6" hidden="1" x14ac:dyDescent="0.25">
      <c r="A123" s="17">
        <v>38831</v>
      </c>
      <c r="B123" s="6">
        <v>-6.3324287545816942E-3</v>
      </c>
      <c r="C123" s="6">
        <v>-2.4204120406601617E-3</v>
      </c>
      <c r="D123" s="6">
        <v>-4.0122357674533338E-3</v>
      </c>
      <c r="F123" s="9"/>
    </row>
    <row r="124" spans="1:6" hidden="1" x14ac:dyDescent="0.25">
      <c r="A124" s="17">
        <v>38832</v>
      </c>
      <c r="B124" s="6">
        <v>3.4147513093933791E-3</v>
      </c>
      <c r="C124" s="6">
        <v>-4.8815162935259143E-3</v>
      </c>
      <c r="D124" s="6">
        <v>-4.1397572491958974E-3</v>
      </c>
      <c r="F124" s="9"/>
    </row>
    <row r="125" spans="1:6" hidden="1" x14ac:dyDescent="0.25">
      <c r="A125" s="17">
        <v>38833</v>
      </c>
      <c r="B125" s="6">
        <v>2.7569720178900006E-3</v>
      </c>
      <c r="C125" s="6">
        <v>2.81533661206419E-3</v>
      </c>
      <c r="D125" s="6">
        <v>-1.7276455379735467E-3</v>
      </c>
      <c r="F125" s="9"/>
    </row>
    <row r="126" spans="1:6" hidden="1" x14ac:dyDescent="0.25">
      <c r="A126" s="17">
        <v>38834</v>
      </c>
      <c r="B126" s="6">
        <v>1.1909306022048066E-2</v>
      </c>
      <c r="C126" s="6">
        <v>3.2962062324521789E-3</v>
      </c>
      <c r="D126" s="6">
        <v>4.2302189320603638E-3</v>
      </c>
      <c r="F126" s="9"/>
    </row>
    <row r="127" spans="1:6" hidden="1" x14ac:dyDescent="0.25">
      <c r="A127" s="17">
        <v>38835</v>
      </c>
      <c r="B127" s="6">
        <v>-1.1584428241354694E-2</v>
      </c>
      <c r="C127" s="6">
        <v>6.793037779397684E-4</v>
      </c>
      <c r="D127" s="6">
        <v>1.6661575668206686E-4</v>
      </c>
      <c r="F127" s="9"/>
    </row>
    <row r="128" spans="1:6" hidden="1" x14ac:dyDescent="0.25">
      <c r="A128" s="17">
        <v>38838</v>
      </c>
      <c r="B128" s="6">
        <v>-6.0080650019449355E-3</v>
      </c>
      <c r="C128" s="6">
        <v>-4.1440536406077361E-3</v>
      </c>
      <c r="D128" s="6">
        <v>-4.4805061944601203E-3</v>
      </c>
      <c r="F128" s="9"/>
    </row>
    <row r="129" spans="1:6" hidden="1" x14ac:dyDescent="0.25">
      <c r="A129" s="17">
        <v>38839</v>
      </c>
      <c r="B129" s="6">
        <v>-1.9555780637386857E-3</v>
      </c>
      <c r="C129" s="6">
        <v>6.1258975559699159E-3</v>
      </c>
      <c r="D129" s="6">
        <v>3.5359829695335971E-3</v>
      </c>
      <c r="F129" s="9"/>
    </row>
    <row r="130" spans="1:6" hidden="1" x14ac:dyDescent="0.25">
      <c r="A130" s="17">
        <v>38840</v>
      </c>
      <c r="B130" s="6">
        <v>3.4197560069646809E-3</v>
      </c>
      <c r="C130" s="6">
        <v>-4.0899540428031662E-3</v>
      </c>
      <c r="D130" s="6">
        <v>4.2986962125573184E-3</v>
      </c>
      <c r="F130" s="9"/>
    </row>
    <row r="131" spans="1:6" hidden="1" x14ac:dyDescent="0.25">
      <c r="A131" s="17">
        <v>38841</v>
      </c>
      <c r="B131" s="6">
        <v>1.9695298160963763E-2</v>
      </c>
      <c r="C131" s="6">
        <v>3.358653590475547E-3</v>
      </c>
      <c r="D131" s="6">
        <v>1.3168756193878363E-2</v>
      </c>
      <c r="F131" s="9"/>
    </row>
    <row r="132" spans="1:6" hidden="1" x14ac:dyDescent="0.25">
      <c r="A132" s="17">
        <v>38842</v>
      </c>
      <c r="B132" s="6">
        <v>1.334123146695404E-2</v>
      </c>
      <c r="C132" s="6">
        <v>1.0242658756627785E-2</v>
      </c>
      <c r="D132" s="6">
        <v>1.2943671654356795E-2</v>
      </c>
      <c r="F132" s="9"/>
    </row>
    <row r="133" spans="1:6" hidden="1" x14ac:dyDescent="0.25">
      <c r="A133" s="17">
        <v>38845</v>
      </c>
      <c r="B133" s="6">
        <v>-6.3306114469452879E-3</v>
      </c>
      <c r="C133" s="6">
        <v>-8.3005717068071895E-4</v>
      </c>
      <c r="D133" s="6">
        <v>2.4261703020964545E-4</v>
      </c>
      <c r="F133" s="9"/>
    </row>
    <row r="134" spans="1:6" hidden="1" x14ac:dyDescent="0.25">
      <c r="A134" s="17">
        <v>38846</v>
      </c>
      <c r="B134" s="6">
        <v>-7.6472635194440664E-3</v>
      </c>
      <c r="C134" s="6">
        <v>3.6229149766045499E-4</v>
      </c>
      <c r="D134" s="6">
        <v>-2.5909547043171974E-3</v>
      </c>
      <c r="F134" s="9"/>
    </row>
    <row r="135" spans="1:6" hidden="1" x14ac:dyDescent="0.25">
      <c r="A135" s="17">
        <v>38847</v>
      </c>
      <c r="B135" s="6">
        <v>1.1181584924532383E-3</v>
      </c>
      <c r="C135" s="6">
        <v>-1.7296142137172002E-3</v>
      </c>
      <c r="D135" s="6">
        <v>2.5100889010735874E-3</v>
      </c>
      <c r="F135" s="9"/>
    </row>
    <row r="136" spans="1:6" hidden="1" x14ac:dyDescent="0.25">
      <c r="A136" s="17">
        <v>38848</v>
      </c>
      <c r="B136" s="6">
        <v>-8.9908814998790401E-3</v>
      </c>
      <c r="C136" s="6">
        <v>-1.288072678485847E-2</v>
      </c>
      <c r="D136" s="6">
        <v>-2.3455407518894852E-2</v>
      </c>
      <c r="F136" s="9"/>
    </row>
    <row r="137" spans="1:6" hidden="1" x14ac:dyDescent="0.25">
      <c r="A137" s="17">
        <v>38849</v>
      </c>
      <c r="B137" s="6">
        <v>-1.6910859454810998E-2</v>
      </c>
      <c r="C137" s="6">
        <v>-1.1304776247269171E-2</v>
      </c>
      <c r="D137" s="6">
        <v>-1.5070073336827186E-2</v>
      </c>
      <c r="F137" s="9"/>
    </row>
    <row r="138" spans="1:6" hidden="1" x14ac:dyDescent="0.25">
      <c r="A138" s="17">
        <v>38852</v>
      </c>
      <c r="B138" s="6">
        <v>6.3773236246635256E-3</v>
      </c>
      <c r="C138" s="6">
        <v>2.5215232214206291E-3</v>
      </c>
      <c r="D138" s="6">
        <v>8.6194204404150682E-3</v>
      </c>
      <c r="F138" s="9"/>
    </row>
    <row r="139" spans="1:6" hidden="1" x14ac:dyDescent="0.25">
      <c r="A139" s="17">
        <v>38853</v>
      </c>
      <c r="B139" s="6">
        <v>-1.1801648668760503E-2</v>
      </c>
      <c r="C139" s="6">
        <v>-1.8711972613347089E-3</v>
      </c>
      <c r="D139" s="6">
        <v>-1.667871626980058E-3</v>
      </c>
      <c r="F139" s="9"/>
    </row>
    <row r="140" spans="1:6" hidden="1" x14ac:dyDescent="0.25">
      <c r="A140" s="17">
        <v>38854</v>
      </c>
      <c r="B140" s="6">
        <v>-9.4430619838895731E-3</v>
      </c>
      <c r="C140" s="6">
        <v>-1.6984485712415863E-2</v>
      </c>
      <c r="D140" s="6">
        <v>-8.3813420173854715E-3</v>
      </c>
      <c r="F140" s="9"/>
    </row>
    <row r="141" spans="1:6" hidden="1" x14ac:dyDescent="0.25">
      <c r="A141" s="17">
        <v>38855</v>
      </c>
      <c r="B141" s="6">
        <v>6.3052721712821194E-3</v>
      </c>
      <c r="C141" s="6">
        <v>-6.7216391262949508E-3</v>
      </c>
      <c r="D141" s="6">
        <v>-5.260135052260132E-3</v>
      </c>
      <c r="F141" s="9"/>
    </row>
    <row r="142" spans="1:6" hidden="1" x14ac:dyDescent="0.25">
      <c r="A142" s="17">
        <v>38856</v>
      </c>
      <c r="B142" s="6">
        <v>-1.0975887966518523E-2</v>
      </c>
      <c r="C142" s="6">
        <v>4.1283809287524179E-3</v>
      </c>
      <c r="D142" s="6">
        <v>-2.0044330074021439E-3</v>
      </c>
      <c r="F142" s="9"/>
    </row>
    <row r="143" spans="1:6" hidden="1" x14ac:dyDescent="0.25">
      <c r="A143" s="17">
        <v>38859</v>
      </c>
      <c r="B143" s="6">
        <v>-1.2113373834497173E-2</v>
      </c>
      <c r="C143" s="6">
        <v>-3.9223489455204067E-3</v>
      </c>
      <c r="D143" s="6">
        <v>-1.130454443890845E-4</v>
      </c>
      <c r="F143" s="9"/>
    </row>
    <row r="144" spans="1:6" hidden="1" x14ac:dyDescent="0.25">
      <c r="A144" s="17">
        <v>38860</v>
      </c>
      <c r="B144" s="6">
        <v>-4.5815289694354786E-3</v>
      </c>
      <c r="C144" s="6">
        <v>-4.3594851963040335E-3</v>
      </c>
      <c r="D144" s="6">
        <v>-1.6901971387608013E-2</v>
      </c>
      <c r="F144" s="9"/>
    </row>
    <row r="145" spans="1:6" hidden="1" x14ac:dyDescent="0.25">
      <c r="A145" s="17">
        <v>38861</v>
      </c>
      <c r="B145" s="6">
        <v>6.8034180654318662E-4</v>
      </c>
      <c r="C145" s="6">
        <v>1.5824109220131163E-3</v>
      </c>
      <c r="D145" s="6">
        <v>-1.424335806893098E-2</v>
      </c>
      <c r="F145" s="9"/>
    </row>
    <row r="146" spans="1:6" hidden="1" x14ac:dyDescent="0.25">
      <c r="A146" s="17">
        <v>38862</v>
      </c>
      <c r="B146" s="6">
        <v>1.3838751955950898E-2</v>
      </c>
      <c r="C146" s="6">
        <v>1.130589379911337E-2</v>
      </c>
      <c r="D146" s="6">
        <v>1.0730339021767845E-2</v>
      </c>
      <c r="F146" s="9"/>
    </row>
    <row r="147" spans="1:6" hidden="1" x14ac:dyDescent="0.25">
      <c r="A147" s="17">
        <v>38863</v>
      </c>
      <c r="B147" s="6">
        <v>1.6587395780844879E-4</v>
      </c>
      <c r="C147" s="6">
        <v>5.7030205022127606E-3</v>
      </c>
      <c r="D147" s="6">
        <v>-5.5538021322853875E-3</v>
      </c>
      <c r="F147" s="9"/>
    </row>
    <row r="148" spans="1:6" hidden="1" x14ac:dyDescent="0.25">
      <c r="A148" s="17">
        <v>38867</v>
      </c>
      <c r="B148" s="6">
        <v>-1.5534215345314328E-2</v>
      </c>
      <c r="C148" s="6">
        <v>-1.6000341346441301E-2</v>
      </c>
      <c r="D148" s="6">
        <v>-1.0497253411978595E-2</v>
      </c>
      <c r="F148" s="9"/>
    </row>
    <row r="149" spans="1:6" hidden="1" x14ac:dyDescent="0.25">
      <c r="A149" s="17">
        <v>38868</v>
      </c>
      <c r="B149" s="6">
        <v>2.5536594816758549E-2</v>
      </c>
      <c r="C149" s="6">
        <v>8.103035328110058E-3</v>
      </c>
      <c r="D149" s="6">
        <v>1.1917564090024311E-2</v>
      </c>
      <c r="F149" s="9"/>
    </row>
    <row r="150" spans="1:6" hidden="1" x14ac:dyDescent="0.25">
      <c r="A150" s="17">
        <v>38869</v>
      </c>
      <c r="B150" s="6">
        <v>1.0235518434846136E-2</v>
      </c>
      <c r="C150" s="6">
        <v>1.2223330840671421E-2</v>
      </c>
      <c r="D150" s="6">
        <v>1.343615120796646E-2</v>
      </c>
      <c r="F150" s="9"/>
    </row>
    <row r="151" spans="1:6" hidden="1" x14ac:dyDescent="0.25">
      <c r="A151" s="17">
        <v>38870</v>
      </c>
      <c r="B151" s="6">
        <v>-1.5891723104293834E-2</v>
      </c>
      <c r="C151" s="6">
        <v>1.9503256076287478E-3</v>
      </c>
      <c r="D151" s="6">
        <v>-5.10000532392536E-3</v>
      </c>
      <c r="F151" s="9"/>
    </row>
    <row r="152" spans="1:6" hidden="1" x14ac:dyDescent="0.25">
      <c r="A152" s="17">
        <v>38873</v>
      </c>
      <c r="B152" s="6">
        <v>-1.9031142522299083E-2</v>
      </c>
      <c r="C152" s="6">
        <v>-1.7960075631843979E-2</v>
      </c>
      <c r="D152" s="6">
        <v>-1.4087795727005649E-2</v>
      </c>
      <c r="F152" s="9"/>
    </row>
    <row r="153" spans="1:6" hidden="1" x14ac:dyDescent="0.25">
      <c r="A153" s="17">
        <v>38874</v>
      </c>
      <c r="B153" s="6">
        <v>1.188467255002949E-3</v>
      </c>
      <c r="C153" s="6">
        <v>-1.1387271211589062E-3</v>
      </c>
      <c r="D153" s="6">
        <v>3.0832800248725943E-3</v>
      </c>
      <c r="F153" s="9"/>
    </row>
    <row r="154" spans="1:6" hidden="1" x14ac:dyDescent="0.25">
      <c r="A154" s="17">
        <v>38875</v>
      </c>
      <c r="B154" s="6">
        <v>6.0956136866070799E-3</v>
      </c>
      <c r="C154" s="6">
        <v>-6.1111301298503642E-3</v>
      </c>
      <c r="D154" s="6">
        <v>7.0902784409206058E-3</v>
      </c>
      <c r="F154" s="9"/>
    </row>
    <row r="155" spans="1:6" hidden="1" x14ac:dyDescent="0.25">
      <c r="A155" s="17">
        <v>38876</v>
      </c>
      <c r="B155" s="6">
        <v>-3.8869911329908399E-3</v>
      </c>
      <c r="C155" s="6">
        <v>1.416025184104818E-3</v>
      </c>
      <c r="D155" s="6">
        <v>9.042820954172217E-3</v>
      </c>
      <c r="F155" s="9"/>
    </row>
    <row r="156" spans="1:6" hidden="1" x14ac:dyDescent="0.25">
      <c r="A156" s="17">
        <v>38877</v>
      </c>
      <c r="B156" s="6">
        <v>1.0952495617806557E-2</v>
      </c>
      <c r="C156" s="6">
        <v>-4.4856522630477777E-3</v>
      </c>
      <c r="D156" s="6">
        <v>-5.3871412306340568E-3</v>
      </c>
      <c r="F156" s="9"/>
    </row>
    <row r="157" spans="1:6" hidden="1" x14ac:dyDescent="0.25">
      <c r="A157" s="17">
        <v>38880</v>
      </c>
      <c r="B157" s="6">
        <v>-2.7872788158857076E-2</v>
      </c>
      <c r="C157" s="6">
        <v>-1.2777929312025479E-2</v>
      </c>
      <c r="D157" s="6">
        <v>-1.6366977464205474E-2</v>
      </c>
      <c r="F157" s="9"/>
    </row>
    <row r="158" spans="1:6" hidden="1" x14ac:dyDescent="0.25">
      <c r="A158" s="17">
        <v>38881</v>
      </c>
      <c r="B158" s="6">
        <v>-2.0196803509177106E-2</v>
      </c>
      <c r="C158" s="6">
        <v>-1.033304723729569E-2</v>
      </c>
      <c r="D158" s="6">
        <v>-2.0716038283274181E-2</v>
      </c>
      <c r="F158" s="9"/>
    </row>
    <row r="159" spans="1:6" hidden="1" x14ac:dyDescent="0.25">
      <c r="A159" s="17">
        <v>38882</v>
      </c>
      <c r="B159" s="6">
        <v>2.7410327567731967E-2</v>
      </c>
      <c r="C159" s="6">
        <v>5.1758051422264792E-3</v>
      </c>
      <c r="D159" s="6">
        <v>2.2612658492038435E-2</v>
      </c>
      <c r="F159" s="9"/>
    </row>
    <row r="160" spans="1:6" hidden="1" x14ac:dyDescent="0.25">
      <c r="A160" s="17">
        <v>38883</v>
      </c>
      <c r="B160" s="6">
        <v>2.4672854483484986E-2</v>
      </c>
      <c r="C160" s="6">
        <v>2.101275928705346E-2</v>
      </c>
      <c r="D160" s="6">
        <v>2.1599236380887236E-2</v>
      </c>
      <c r="F160" s="9"/>
    </row>
    <row r="161" spans="1:6" hidden="1" x14ac:dyDescent="0.25">
      <c r="A161" s="17">
        <v>38884</v>
      </c>
      <c r="B161" s="6">
        <v>-1.0908384731578402E-2</v>
      </c>
      <c r="C161" s="6">
        <v>-3.6846554428543524E-3</v>
      </c>
      <c r="D161" s="6">
        <v>-3.8587462666415224E-3</v>
      </c>
      <c r="F161" s="9"/>
    </row>
    <row r="162" spans="1:6" hidden="1" x14ac:dyDescent="0.25">
      <c r="A162" s="17">
        <v>38887</v>
      </c>
      <c r="B162" s="6">
        <v>-1.3595104906488948E-2</v>
      </c>
      <c r="C162" s="6">
        <v>-9.150516555291496E-3</v>
      </c>
      <c r="D162" s="6">
        <v>-1.0594905348903666E-2</v>
      </c>
      <c r="F162" s="9"/>
    </row>
    <row r="163" spans="1:6" hidden="1" x14ac:dyDescent="0.25">
      <c r="A163" s="17">
        <v>38888</v>
      </c>
      <c r="B163" s="6">
        <v>-8.0729662868029902E-3</v>
      </c>
      <c r="C163" s="6">
        <v>-1.612734148893403E-5</v>
      </c>
      <c r="D163" s="6">
        <v>-1.0425113882918081E-3</v>
      </c>
      <c r="F163" s="9"/>
    </row>
    <row r="164" spans="1:6" hidden="1" x14ac:dyDescent="0.25">
      <c r="A164" s="17">
        <v>38889</v>
      </c>
      <c r="B164" s="6">
        <v>9.6106640901172258E-3</v>
      </c>
      <c r="C164" s="6">
        <v>9.6938552008995257E-3</v>
      </c>
      <c r="D164" s="6">
        <v>1.4125869603773747E-2</v>
      </c>
      <c r="F164" s="9"/>
    </row>
    <row r="165" spans="1:6" hidden="1" x14ac:dyDescent="0.25">
      <c r="A165" s="17">
        <v>38890</v>
      </c>
      <c r="B165" s="6">
        <v>-2.222697443405806E-3</v>
      </c>
      <c r="C165" s="6">
        <v>-5.2846627914215983E-3</v>
      </c>
      <c r="D165" s="6">
        <v>-1.7754162628178697E-2</v>
      </c>
      <c r="F165" s="9"/>
    </row>
    <row r="166" spans="1:6" hidden="1" x14ac:dyDescent="0.25">
      <c r="A166" s="17">
        <v>38891</v>
      </c>
      <c r="B166" s="6">
        <v>7.3337846457157147E-3</v>
      </c>
      <c r="C166" s="6">
        <v>-8.8349871214176692E-4</v>
      </c>
      <c r="D166" s="6">
        <v>2.5266839841706448E-3</v>
      </c>
      <c r="F166" s="9"/>
    </row>
    <row r="167" spans="1:6" hidden="1" x14ac:dyDescent="0.25">
      <c r="A167" s="17">
        <v>38894</v>
      </c>
      <c r="B167" s="6">
        <v>1.5311672200957053E-3</v>
      </c>
      <c r="C167" s="6">
        <v>4.8576081666618417E-3</v>
      </c>
      <c r="D167" s="6">
        <v>8.9877222175892952E-4</v>
      </c>
      <c r="F167" s="9"/>
    </row>
    <row r="168" spans="1:6" hidden="1" x14ac:dyDescent="0.25">
      <c r="A168" s="17">
        <v>38895</v>
      </c>
      <c r="B168" s="6">
        <v>-2.0399686354347631E-2</v>
      </c>
      <c r="C168" s="6">
        <v>-9.1254408716495896E-3</v>
      </c>
      <c r="D168" s="6">
        <v>-1.1307788136494513E-2</v>
      </c>
      <c r="F168" s="9"/>
    </row>
    <row r="169" spans="1:6" hidden="1" x14ac:dyDescent="0.25">
      <c r="A169" s="17">
        <v>38896</v>
      </c>
      <c r="B169" s="6">
        <v>-2.3304785525132477E-2</v>
      </c>
      <c r="C169" s="6">
        <v>5.472410244739624E-3</v>
      </c>
      <c r="D169" s="6">
        <v>-1.0311191993116574E-2</v>
      </c>
      <c r="F169" s="9"/>
    </row>
    <row r="170" spans="1:6" hidden="1" x14ac:dyDescent="0.25">
      <c r="A170" s="17">
        <v>38897</v>
      </c>
      <c r="B170" s="6">
        <v>2.3304785525132536E-2</v>
      </c>
      <c r="C170" s="6">
        <v>2.1335773021229378E-2</v>
      </c>
      <c r="D170" s="6">
        <v>4.7451044246511795E-2</v>
      </c>
      <c r="F170" s="9"/>
    </row>
    <row r="171" spans="1:6" hidden="1" x14ac:dyDescent="0.25">
      <c r="A171" s="17">
        <v>38898</v>
      </c>
      <c r="B171" s="6">
        <v>9.48060735082586E-3</v>
      </c>
      <c r="C171" s="6">
        <v>-2.0998249997532443E-3</v>
      </c>
      <c r="D171" s="6">
        <v>-8.4725419088597362E-5</v>
      </c>
      <c r="F171" s="9"/>
    </row>
    <row r="172" spans="1:6" hidden="1" x14ac:dyDescent="0.25">
      <c r="A172" s="17">
        <v>38901</v>
      </c>
      <c r="B172" s="6">
        <v>-6.8687915843617905E-4</v>
      </c>
      <c r="C172" s="6">
        <v>7.8341360290327192E-3</v>
      </c>
      <c r="D172" s="6">
        <v>8.4932171491284153E-3</v>
      </c>
      <c r="F172" s="9"/>
    </row>
    <row r="173" spans="1:6" hidden="1" x14ac:dyDescent="0.25">
      <c r="A173" s="17">
        <v>38903</v>
      </c>
      <c r="B173" s="6">
        <v>6.6715269010098601E-3</v>
      </c>
      <c r="C173" s="6">
        <v>-7.2753251011500354E-3</v>
      </c>
      <c r="D173" s="6">
        <v>-7.1666762622596856E-3</v>
      </c>
      <c r="F173" s="9"/>
    </row>
    <row r="174" spans="1:6" hidden="1" x14ac:dyDescent="0.25">
      <c r="A174" s="17">
        <v>38904</v>
      </c>
      <c r="B174" s="6">
        <v>1.1191811538152482E-2</v>
      </c>
      <c r="C174" s="6">
        <v>2.4911702123773917E-3</v>
      </c>
      <c r="D174" s="6">
        <v>3.3789523616931053E-3</v>
      </c>
      <c r="F174" s="9"/>
    </row>
    <row r="175" spans="1:6" hidden="1" x14ac:dyDescent="0.25">
      <c r="A175" s="17">
        <v>38905</v>
      </c>
      <c r="B175" s="6">
        <v>-6.0894235074213775E-3</v>
      </c>
      <c r="C175" s="6">
        <v>-6.7728526788685952E-3</v>
      </c>
      <c r="D175" s="6">
        <v>-2.4760079868767087E-2</v>
      </c>
      <c r="F175" s="9"/>
    </row>
    <row r="176" spans="1:6" hidden="1" x14ac:dyDescent="0.25">
      <c r="A176" s="17">
        <v>38908</v>
      </c>
      <c r="B176" s="6">
        <v>3.2185837961773303E-3</v>
      </c>
      <c r="C176" s="6">
        <v>1.4687189254316208E-3</v>
      </c>
      <c r="D176" s="6">
        <v>4.1120962028685032E-3</v>
      </c>
      <c r="F176" s="9"/>
    </row>
    <row r="177" spans="1:6" hidden="1" x14ac:dyDescent="0.25">
      <c r="A177" s="17">
        <v>38909</v>
      </c>
      <c r="B177" s="6">
        <v>1.7102698616826742E-2</v>
      </c>
      <c r="C177" s="6">
        <v>4.0789706378056931E-3</v>
      </c>
      <c r="D177" s="6">
        <v>9.6528051311251875E-3</v>
      </c>
      <c r="F177" s="9"/>
    </row>
    <row r="178" spans="1:6" hidden="1" x14ac:dyDescent="0.25">
      <c r="A178" s="17">
        <v>38910</v>
      </c>
      <c r="B178" s="6">
        <v>0</v>
      </c>
      <c r="C178" s="6">
        <v>-1.0999194300670369E-2</v>
      </c>
      <c r="D178" s="6">
        <v>-2.4629377414824856E-2</v>
      </c>
      <c r="F178" s="9"/>
    </row>
    <row r="179" spans="1:6" hidden="1" x14ac:dyDescent="0.25">
      <c r="A179" s="17">
        <v>38911</v>
      </c>
      <c r="B179" s="6">
        <v>-1.3386714355517913E-2</v>
      </c>
      <c r="C179" s="6">
        <v>-1.3043541491046341E-2</v>
      </c>
      <c r="D179" s="6">
        <v>-1.5559261751199231E-2</v>
      </c>
      <c r="F179" s="9"/>
    </row>
    <row r="180" spans="1:6" hidden="1" x14ac:dyDescent="0.25">
      <c r="A180" s="17">
        <v>38912</v>
      </c>
      <c r="B180" s="6">
        <v>-1.6652945879336276E-2</v>
      </c>
      <c r="C180" s="6">
        <v>-4.9142923766137808E-3</v>
      </c>
      <c r="D180" s="6">
        <v>-8.3187740191776622E-3</v>
      </c>
      <c r="F180" s="9"/>
    </row>
    <row r="181" spans="1:6" hidden="1" x14ac:dyDescent="0.25">
      <c r="A181" s="17">
        <v>38915</v>
      </c>
      <c r="B181" s="6">
        <v>6.8299776681510519E-3</v>
      </c>
      <c r="C181" s="6">
        <v>-1.3842289182720163E-3</v>
      </c>
      <c r="D181" s="6">
        <v>2.9107717348672232E-2</v>
      </c>
      <c r="F181" s="9"/>
    </row>
    <row r="182" spans="1:6" hidden="1" x14ac:dyDescent="0.25">
      <c r="A182" s="17">
        <v>38916</v>
      </c>
      <c r="B182" s="6">
        <v>-2.8967671823076032E-3</v>
      </c>
      <c r="C182" s="6">
        <v>1.9179806393535091E-3</v>
      </c>
      <c r="D182" s="6">
        <v>-7.7964031274402306E-3</v>
      </c>
      <c r="F182" s="9"/>
    </row>
    <row r="183" spans="1:6" hidden="1" x14ac:dyDescent="0.25">
      <c r="A183" s="17">
        <v>38917</v>
      </c>
      <c r="B183" s="6">
        <v>1.5243658770557585E-2</v>
      </c>
      <c r="C183" s="6">
        <v>1.8385005977969826E-2</v>
      </c>
      <c r="D183" s="6">
        <v>1.403613218586483E-2</v>
      </c>
      <c r="F183" s="9"/>
    </row>
    <row r="184" spans="1:6" hidden="1" x14ac:dyDescent="0.25">
      <c r="A184" s="17">
        <v>38918</v>
      </c>
      <c r="B184" s="6">
        <v>-1.31967178279618E-2</v>
      </c>
      <c r="C184" s="6">
        <v>-8.5136069483206893E-3</v>
      </c>
      <c r="D184" s="6">
        <v>-2.0805289621303347E-2</v>
      </c>
      <c r="F184" s="9"/>
    </row>
    <row r="185" spans="1:6" hidden="1" x14ac:dyDescent="0.25">
      <c r="A185" s="17">
        <v>38919</v>
      </c>
      <c r="B185" s="6">
        <v>-1.2166900940918005E-2</v>
      </c>
      <c r="C185" s="6">
        <v>-7.1020857526307964E-3</v>
      </c>
      <c r="D185" s="6">
        <v>-1.5890301433827661E-3</v>
      </c>
      <c r="F185" s="9"/>
    </row>
    <row r="186" spans="1:6" hidden="1" x14ac:dyDescent="0.25">
      <c r="A186" s="17">
        <v>38922</v>
      </c>
      <c r="B186" s="6">
        <v>5.5008101358981999E-3</v>
      </c>
      <c r="C186" s="6">
        <v>1.6488459267507475E-2</v>
      </c>
      <c r="D186" s="6">
        <v>1.2874709672928582E-2</v>
      </c>
      <c r="F186" s="9"/>
    </row>
    <row r="187" spans="1:6" hidden="1" x14ac:dyDescent="0.25">
      <c r="A187" s="17">
        <v>38923</v>
      </c>
      <c r="B187" s="6">
        <v>1.9862808632981625E-2</v>
      </c>
      <c r="C187" s="6">
        <v>6.3009391045240337E-3</v>
      </c>
      <c r="D187" s="6">
        <v>7.1265401994383857E-3</v>
      </c>
      <c r="F187" s="9"/>
    </row>
    <row r="188" spans="1:6" hidden="1" x14ac:dyDescent="0.25">
      <c r="A188" s="17">
        <v>38924</v>
      </c>
      <c r="B188" s="6">
        <v>8.3661701474758796E-3</v>
      </c>
      <c r="C188" s="6">
        <v>-3.7835793111217603E-4</v>
      </c>
      <c r="D188" s="6">
        <v>-1.5798760401815076E-2</v>
      </c>
      <c r="F188" s="9"/>
    </row>
    <row r="189" spans="1:6" hidden="1" x14ac:dyDescent="0.25">
      <c r="A189" s="17">
        <v>38925</v>
      </c>
      <c r="B189" s="6">
        <v>-7.863594890717026E-3</v>
      </c>
      <c r="C189" s="6">
        <v>-4.1080797227599939E-3</v>
      </c>
      <c r="D189" s="6">
        <v>-1.8786514463585669E-3</v>
      </c>
      <c r="F189" s="9"/>
    </row>
    <row r="190" spans="1:6" hidden="1" x14ac:dyDescent="0.25">
      <c r="A190" s="17">
        <v>38926</v>
      </c>
      <c r="B190" s="6">
        <v>6.528553080040302E-3</v>
      </c>
      <c r="C190" s="6">
        <v>1.2078439355172445E-2</v>
      </c>
      <c r="D190" s="6">
        <v>1.0957812909474339E-2</v>
      </c>
      <c r="F190" s="9"/>
    </row>
    <row r="191" spans="1:6" hidden="1" x14ac:dyDescent="0.25">
      <c r="A191" s="17">
        <v>38929</v>
      </c>
      <c r="B191" s="6">
        <v>3.9997902902839224E-3</v>
      </c>
      <c r="C191" s="6">
        <v>-1.4793307357719727E-3</v>
      </c>
      <c r="D191" s="6">
        <v>3.4233692663349631E-3</v>
      </c>
      <c r="F191" s="9"/>
    </row>
    <row r="192" spans="1:6" hidden="1" x14ac:dyDescent="0.25">
      <c r="A192" s="17">
        <v>38930</v>
      </c>
      <c r="B192" s="6">
        <v>-1.4399986554212691E-2</v>
      </c>
      <c r="C192" s="6">
        <v>-4.5062449172545678E-3</v>
      </c>
      <c r="D192" s="6">
        <v>-1.6057332716001179E-2</v>
      </c>
      <c r="F192" s="9"/>
    </row>
    <row r="193" spans="1:6" hidden="1" x14ac:dyDescent="0.25">
      <c r="A193" s="17">
        <v>38931</v>
      </c>
      <c r="B193" s="6">
        <v>2.0228025240267861E-3</v>
      </c>
      <c r="C193" s="6">
        <v>5.9855756530265416E-3</v>
      </c>
      <c r="D193" s="6">
        <v>1.4260074499662604E-2</v>
      </c>
      <c r="F193" s="9"/>
    </row>
    <row r="194" spans="1:6" hidden="1" x14ac:dyDescent="0.25">
      <c r="A194" s="17">
        <v>38932</v>
      </c>
      <c r="B194" s="6">
        <v>5.049986710487459E-3</v>
      </c>
      <c r="C194" s="6">
        <v>1.3443698728716753E-3</v>
      </c>
      <c r="D194" s="6">
        <v>-1.5821125138452512E-2</v>
      </c>
      <c r="F194" s="9"/>
    </row>
    <row r="195" spans="1:6" hidden="1" x14ac:dyDescent="0.25">
      <c r="A195" s="17">
        <v>38933</v>
      </c>
      <c r="B195" s="6">
        <v>1.5332327413453964E-2</v>
      </c>
      <c r="C195" s="6">
        <v>-7.110402974959398E-4</v>
      </c>
      <c r="D195" s="6">
        <v>-4.0464958556826278E-3</v>
      </c>
      <c r="F195" s="9"/>
    </row>
    <row r="196" spans="1:6" hidden="1" x14ac:dyDescent="0.25">
      <c r="A196" s="17">
        <v>38936</v>
      </c>
      <c r="B196" s="6">
        <v>-4.8089328084885167E-3</v>
      </c>
      <c r="C196" s="6">
        <v>-2.810034998069286E-3</v>
      </c>
      <c r="D196" s="6">
        <v>2.2467933533724194E-3</v>
      </c>
      <c r="F196" s="9"/>
    </row>
    <row r="197" spans="1:6" hidden="1" x14ac:dyDescent="0.25">
      <c r="A197" s="17">
        <v>38937</v>
      </c>
      <c r="B197" s="6">
        <v>-4.8285877030606007E-3</v>
      </c>
      <c r="C197" s="6">
        <v>-3.3683415888475427E-3</v>
      </c>
      <c r="D197" s="6">
        <v>-1.1852386666017126E-2</v>
      </c>
      <c r="F197" s="9"/>
    </row>
    <row r="198" spans="1:6" hidden="1" x14ac:dyDescent="0.25">
      <c r="A198" s="17">
        <v>38938</v>
      </c>
      <c r="B198" s="6">
        <v>-2.4341119288744689E-2</v>
      </c>
      <c r="C198" s="6">
        <v>-4.3587478316434065E-3</v>
      </c>
      <c r="D198" s="6">
        <v>-2.2208028039516246E-2</v>
      </c>
      <c r="F198" s="9"/>
    </row>
    <row r="199" spans="1:6" hidden="1" x14ac:dyDescent="0.25">
      <c r="A199" s="17">
        <v>38939</v>
      </c>
      <c r="B199" s="6">
        <v>7.8398219277808177E-3</v>
      </c>
      <c r="C199" s="6">
        <v>4.6182542204956153E-3</v>
      </c>
      <c r="D199" s="6">
        <v>1.4257787409353602E-2</v>
      </c>
      <c r="F199" s="9"/>
    </row>
    <row r="200" spans="1:6" hidden="1" x14ac:dyDescent="0.25">
      <c r="A200" s="17">
        <v>38940</v>
      </c>
      <c r="B200" s="6">
        <v>-4.5925898478806227E-3</v>
      </c>
      <c r="C200" s="6">
        <v>-3.9944115665418644E-3</v>
      </c>
      <c r="D200" s="6">
        <v>-4.3467829852147947E-3</v>
      </c>
      <c r="F200" s="9"/>
    </row>
    <row r="201" spans="1:6" hidden="1" x14ac:dyDescent="0.25">
      <c r="A201" s="17">
        <v>38943</v>
      </c>
      <c r="B201" s="6">
        <v>2.3828940033500468E-3</v>
      </c>
      <c r="C201" s="6">
        <v>1.1597863190795001E-3</v>
      </c>
      <c r="D201" s="6">
        <v>2.7792900495679758E-3</v>
      </c>
      <c r="F201" s="9"/>
    </row>
    <row r="202" spans="1:6" hidden="1" x14ac:dyDescent="0.25">
      <c r="A202" s="17">
        <v>38944</v>
      </c>
      <c r="B202" s="6">
        <v>3.2968440687383284E-2</v>
      </c>
      <c r="C202" s="6">
        <v>1.360352093744435E-2</v>
      </c>
      <c r="D202" s="6">
        <v>1.9715077886904787E-2</v>
      </c>
      <c r="F202" s="9"/>
    </row>
    <row r="203" spans="1:6" hidden="1" x14ac:dyDescent="0.25">
      <c r="A203" s="17">
        <v>38945</v>
      </c>
      <c r="B203" s="6">
        <v>9.0118100172109066E-3</v>
      </c>
      <c r="C203" s="6">
        <v>7.6327079866035869E-3</v>
      </c>
      <c r="D203" s="6">
        <v>1.4389582560254499E-2</v>
      </c>
      <c r="F203" s="9"/>
    </row>
    <row r="204" spans="1:6" hidden="1" x14ac:dyDescent="0.25">
      <c r="A204" s="17">
        <v>38946</v>
      </c>
      <c r="B204" s="6">
        <v>1.280583981900141E-2</v>
      </c>
      <c r="C204" s="6">
        <v>1.5812353125527147E-3</v>
      </c>
      <c r="D204" s="6">
        <v>1.2315248155405214E-2</v>
      </c>
      <c r="F204" s="9"/>
    </row>
    <row r="205" spans="1:6" hidden="1" x14ac:dyDescent="0.25">
      <c r="A205" s="17">
        <v>38947</v>
      </c>
      <c r="B205" s="6">
        <v>6.5788577936670128E-3</v>
      </c>
      <c r="C205" s="6">
        <v>3.7080103106034829E-3</v>
      </c>
      <c r="D205" s="6">
        <v>-1.6717591949068952E-3</v>
      </c>
      <c r="F205" s="9"/>
    </row>
    <row r="206" spans="1:6" hidden="1" x14ac:dyDescent="0.25">
      <c r="A206" s="17">
        <v>38950</v>
      </c>
      <c r="B206" s="6">
        <v>-8.6752583580420924E-3</v>
      </c>
      <c r="C206" s="6">
        <v>-3.6771817942234893E-3</v>
      </c>
      <c r="D206" s="6">
        <v>-1.2861820284674924E-2</v>
      </c>
      <c r="F206" s="9"/>
    </row>
    <row r="207" spans="1:6" hidden="1" x14ac:dyDescent="0.25">
      <c r="A207" s="17">
        <v>38951</v>
      </c>
      <c r="B207" s="6">
        <v>-4.2060320614411431E-3</v>
      </c>
      <c r="C207" s="6">
        <v>1.0014097603849917E-3</v>
      </c>
      <c r="D207" s="6">
        <v>-7.2437520725713543E-3</v>
      </c>
      <c r="F207" s="9"/>
    </row>
    <row r="208" spans="1:6" hidden="1" x14ac:dyDescent="0.25">
      <c r="A208" s="17">
        <v>38952</v>
      </c>
      <c r="B208" s="6">
        <v>2.8124314255942071E-2</v>
      </c>
      <c r="C208" s="6">
        <v>-4.4987941499181824E-3</v>
      </c>
      <c r="D208" s="6">
        <v>-5.0458213549714791E-3</v>
      </c>
      <c r="F208" s="9"/>
    </row>
    <row r="209" spans="1:6" hidden="1" x14ac:dyDescent="0.25">
      <c r="A209" s="17">
        <v>38953</v>
      </c>
      <c r="B209" s="6">
        <v>-1.1887632273878733E-2</v>
      </c>
      <c r="C209" s="6">
        <v>2.3715273469748798E-3</v>
      </c>
      <c r="D209" s="6">
        <v>2.8948710140585493E-3</v>
      </c>
      <c r="F209" s="9"/>
    </row>
    <row r="210" spans="1:6" hidden="1" x14ac:dyDescent="0.25">
      <c r="A210" s="17">
        <v>38954</v>
      </c>
      <c r="B210" s="6">
        <v>-5.4345908750862808E-3</v>
      </c>
      <c r="C210" s="6">
        <v>-7.4870234861861527E-4</v>
      </c>
      <c r="D210" s="6">
        <v>-8.1744324395580624E-3</v>
      </c>
      <c r="F210" s="9"/>
    </row>
    <row r="211" spans="1:6" hidden="1" x14ac:dyDescent="0.25">
      <c r="A211" s="17">
        <v>38957</v>
      </c>
      <c r="B211" s="6">
        <v>1.3694397742937042E-2</v>
      </c>
      <c r="C211" s="6">
        <v>5.1523678889489957E-3</v>
      </c>
      <c r="D211" s="6">
        <v>1.5843609821556998E-2</v>
      </c>
      <c r="F211" s="9"/>
    </row>
    <row r="212" spans="1:6" hidden="1" x14ac:dyDescent="0.25">
      <c r="A212" s="17">
        <v>38958</v>
      </c>
      <c r="B212" s="6">
        <v>1.0068490790962023E-2</v>
      </c>
      <c r="C212" s="6">
        <v>1.9186056858898387E-3</v>
      </c>
      <c r="D212" s="6">
        <v>7.7560454123510782E-3</v>
      </c>
      <c r="F212" s="9"/>
    </row>
    <row r="213" spans="1:6" hidden="1" x14ac:dyDescent="0.25">
      <c r="A213" s="17">
        <v>38959</v>
      </c>
      <c r="B213" s="6">
        <v>-3.1359485186266177E-3</v>
      </c>
      <c r="C213" s="6">
        <v>-7.667094746140295E-6</v>
      </c>
      <c r="D213" s="6">
        <v>2.233989469027572E-3</v>
      </c>
      <c r="F213" s="9"/>
    </row>
    <row r="214" spans="1:6" hidden="1" x14ac:dyDescent="0.25">
      <c r="A214" s="17">
        <v>38960</v>
      </c>
      <c r="B214" s="6">
        <v>3.6061653308238732E-3</v>
      </c>
      <c r="C214" s="6">
        <v>-3.4508011952464696E-4</v>
      </c>
      <c r="D214" s="6">
        <v>-1.0728525856891812E-3</v>
      </c>
      <c r="F214" s="9"/>
    </row>
    <row r="215" spans="1:6" hidden="1" x14ac:dyDescent="0.25">
      <c r="A215" s="17">
        <v>38961</v>
      </c>
      <c r="B215" s="6">
        <v>-4.7021681219717467E-4</v>
      </c>
      <c r="C215" s="6">
        <v>5.4994153508484958E-3</v>
      </c>
      <c r="D215" s="6">
        <v>1.953579897586261E-2</v>
      </c>
      <c r="F215" s="9"/>
    </row>
    <row r="216" spans="1:6" hidden="1" x14ac:dyDescent="0.25">
      <c r="A216" s="17">
        <v>38965</v>
      </c>
      <c r="B216" s="6">
        <v>-8.1733340598196536E-3</v>
      </c>
      <c r="C216" s="6">
        <v>1.7071483343975733E-3</v>
      </c>
      <c r="D216" s="6">
        <v>1.1373654159059575E-3</v>
      </c>
      <c r="F216" s="9"/>
    </row>
    <row r="217" spans="1:6" hidden="1" x14ac:dyDescent="0.25">
      <c r="A217" s="17">
        <v>38966</v>
      </c>
      <c r="B217" s="6">
        <v>6.7647197653068853E-3</v>
      </c>
      <c r="C217" s="6">
        <v>-9.9407363817765708E-3</v>
      </c>
      <c r="D217" s="6">
        <v>-1.1461034038232752E-2</v>
      </c>
      <c r="F217" s="9"/>
    </row>
    <row r="218" spans="1:6" hidden="1" x14ac:dyDescent="0.25">
      <c r="A218" s="17">
        <v>38967</v>
      </c>
      <c r="B218" s="6">
        <v>-5.6611499777766191E-3</v>
      </c>
      <c r="C218" s="6">
        <v>-4.8105925603495496E-3</v>
      </c>
      <c r="D218" s="6">
        <v>-1.2943868571684434E-3</v>
      </c>
      <c r="F218" s="9"/>
    </row>
    <row r="219" spans="1:6" hidden="1" x14ac:dyDescent="0.25">
      <c r="A219" s="17">
        <v>38968</v>
      </c>
      <c r="B219" s="6">
        <v>2.6760027321746202E-3</v>
      </c>
      <c r="C219" s="6">
        <v>3.7794980469114722E-3</v>
      </c>
      <c r="D219" s="6">
        <v>1.777279376243535E-2</v>
      </c>
      <c r="F219" s="9"/>
    </row>
    <row r="220" spans="1:6" hidden="1" x14ac:dyDescent="0.25">
      <c r="A220" s="17">
        <v>38971</v>
      </c>
      <c r="B220" s="6">
        <v>-3.4646262865506493E-3</v>
      </c>
      <c r="C220" s="6">
        <v>4.7720573860330517E-4</v>
      </c>
      <c r="D220" s="6">
        <v>3.4718826773877547E-3</v>
      </c>
      <c r="F220" s="9"/>
    </row>
    <row r="221" spans="1:6" hidden="1" x14ac:dyDescent="0.25">
      <c r="A221" s="17">
        <v>38972</v>
      </c>
      <c r="B221" s="6">
        <v>8.3286046388626848E-3</v>
      </c>
      <c r="C221" s="6">
        <v>1.0388013724718743E-2</v>
      </c>
      <c r="D221" s="6">
        <v>2.6224720011210241E-2</v>
      </c>
      <c r="F221" s="9"/>
    </row>
    <row r="222" spans="1:6" hidden="1" x14ac:dyDescent="0.25">
      <c r="A222" s="17">
        <v>38973</v>
      </c>
      <c r="B222" s="6">
        <v>6.8634495185555663E-3</v>
      </c>
      <c r="C222" s="6">
        <v>3.7701760238468707E-3</v>
      </c>
      <c r="D222" s="6">
        <v>1.6181455198984948E-3</v>
      </c>
      <c r="F222" s="9"/>
    </row>
    <row r="223" spans="1:6" hidden="1" x14ac:dyDescent="0.25">
      <c r="A223" s="17">
        <v>38974</v>
      </c>
      <c r="B223" s="6">
        <v>-7.8041043508202835E-3</v>
      </c>
      <c r="C223" s="6">
        <v>-1.3589692147820348E-3</v>
      </c>
      <c r="D223" s="6">
        <v>-6.1022729218710384E-3</v>
      </c>
      <c r="F223" s="9"/>
    </row>
    <row r="224" spans="1:6" hidden="1" x14ac:dyDescent="0.25">
      <c r="A224" s="17">
        <v>38975</v>
      </c>
      <c r="B224" s="6">
        <v>5.7810893695790094E-3</v>
      </c>
      <c r="C224" s="6">
        <v>2.7236706707375268E-3</v>
      </c>
      <c r="D224" s="6">
        <v>1.1322789609429553E-2</v>
      </c>
      <c r="F224" s="9"/>
    </row>
    <row r="225" spans="1:6" hidden="1" x14ac:dyDescent="0.25">
      <c r="A225" s="17">
        <v>38978</v>
      </c>
      <c r="B225" s="6">
        <v>-8.760062060592131E-3</v>
      </c>
      <c r="C225" s="6">
        <v>9.9202976651982131E-4</v>
      </c>
      <c r="D225" s="6">
        <v>-8.7618982317597335E-3</v>
      </c>
      <c r="F225" s="9"/>
    </row>
    <row r="226" spans="1:6" hidden="1" x14ac:dyDescent="0.25">
      <c r="A226" s="17">
        <v>38979</v>
      </c>
      <c r="B226" s="6">
        <v>-5.9880924615839963E-3</v>
      </c>
      <c r="C226" s="6">
        <v>-2.1746633865312331E-3</v>
      </c>
      <c r="D226" s="6">
        <v>3.5413815442012727E-3</v>
      </c>
      <c r="F226" s="9"/>
    </row>
    <row r="227" spans="1:6" hidden="1" x14ac:dyDescent="0.25">
      <c r="A227" s="17">
        <v>38980</v>
      </c>
      <c r="B227" s="6">
        <v>1.1940541005043296E-2</v>
      </c>
      <c r="C227" s="6">
        <v>5.1976859883098624E-3</v>
      </c>
      <c r="D227" s="6">
        <v>1.5742362321358595E-2</v>
      </c>
      <c r="F227" s="9"/>
    </row>
    <row r="228" spans="1:6" hidden="1" x14ac:dyDescent="0.25">
      <c r="A228" s="17">
        <v>38981</v>
      </c>
      <c r="B228" s="6">
        <v>1.5748849445076365E-4</v>
      </c>
      <c r="C228" s="6">
        <v>-5.4101016866285262E-3</v>
      </c>
      <c r="D228" s="6">
        <v>2.828475183577912E-3</v>
      </c>
      <c r="F228" s="9"/>
    </row>
    <row r="229" spans="1:6" hidden="1" x14ac:dyDescent="0.25">
      <c r="A229" s="17">
        <v>38982</v>
      </c>
      <c r="B229" s="6">
        <v>9.3436823917895896E-4</v>
      </c>
      <c r="C229" s="6">
        <v>-2.4688463282833209E-3</v>
      </c>
      <c r="D229" s="6">
        <v>-2.2351794082391928E-3</v>
      </c>
      <c r="F229" s="9"/>
    </row>
    <row r="230" spans="1:6" hidden="1" x14ac:dyDescent="0.25">
      <c r="A230" s="17">
        <v>38985</v>
      </c>
      <c r="B230" s="6">
        <v>-8.1438847818955523E-3</v>
      </c>
      <c r="C230" s="6">
        <v>8.7765362783010972E-3</v>
      </c>
      <c r="D230" s="6">
        <v>1.2165534964190691E-2</v>
      </c>
      <c r="F230" s="9"/>
    </row>
    <row r="231" spans="1:6" hidden="1" x14ac:dyDescent="0.25">
      <c r="A231" s="17">
        <v>38986</v>
      </c>
      <c r="B231" s="6">
        <v>1.0637951803057216E-2</v>
      </c>
      <c r="C231" s="6">
        <v>7.4886462235406763E-3</v>
      </c>
      <c r="D231" s="6">
        <v>3.9606117614947095E-3</v>
      </c>
      <c r="F231" s="9"/>
    </row>
    <row r="232" spans="1:6" hidden="1" x14ac:dyDescent="0.25">
      <c r="A232" s="17">
        <v>38987</v>
      </c>
      <c r="B232" s="6">
        <v>2.0942308796243623E-2</v>
      </c>
      <c r="C232" s="6">
        <v>1.8706064186407945E-4</v>
      </c>
      <c r="D232" s="6">
        <v>1.0004174819931733E-2</v>
      </c>
      <c r="F232" s="9"/>
    </row>
    <row r="233" spans="1:6" hidden="1" x14ac:dyDescent="0.25">
      <c r="A233" s="17">
        <v>38988</v>
      </c>
      <c r="B233" s="6">
        <v>1.437523740044652E-2</v>
      </c>
      <c r="C233" s="6">
        <v>1.913489936322644E-3</v>
      </c>
      <c r="D233" s="6">
        <v>-3.604745322395176E-3</v>
      </c>
      <c r="F233" s="9"/>
    </row>
    <row r="234" spans="1:6" hidden="1" x14ac:dyDescent="0.25">
      <c r="A234" s="17">
        <v>38989</v>
      </c>
      <c r="B234" s="6">
        <v>6.4385557732515091E-3</v>
      </c>
      <c r="C234" s="6">
        <v>-2.46729097126682E-3</v>
      </c>
      <c r="D234" s="6">
        <v>-8.869648690608415E-3</v>
      </c>
      <c r="F234" s="9"/>
    </row>
    <row r="235" spans="1:6" hidden="1" x14ac:dyDescent="0.25">
      <c r="A235" s="17">
        <v>38992</v>
      </c>
      <c r="B235" s="6">
        <v>3.5601717195354904E-2</v>
      </c>
      <c r="C235" s="6">
        <v>-3.3968621091628026E-3</v>
      </c>
      <c r="D235" s="6">
        <v>3.6632994698108036E-3</v>
      </c>
      <c r="F235" s="9"/>
    </row>
    <row r="236" spans="1:6" hidden="1" x14ac:dyDescent="0.25">
      <c r="A236" s="17">
        <v>38993</v>
      </c>
      <c r="B236" s="6">
        <v>1.0706763433454539E-2</v>
      </c>
      <c r="C236" s="6">
        <v>2.0934716116798356E-3</v>
      </c>
      <c r="D236" s="6">
        <v>8.2593848861022157E-3</v>
      </c>
      <c r="F236" s="9"/>
    </row>
    <row r="237" spans="1:6" hidden="1" x14ac:dyDescent="0.25">
      <c r="A237" s="17">
        <v>38994</v>
      </c>
      <c r="B237" s="6">
        <v>3.497480760047398E-2</v>
      </c>
      <c r="C237" s="6">
        <v>1.2003139271770753E-2</v>
      </c>
      <c r="D237" s="6">
        <v>2.5350656366017452E-2</v>
      </c>
      <c r="F237" s="9"/>
    </row>
    <row r="238" spans="1:6" hidden="1" x14ac:dyDescent="0.25">
      <c r="A238" s="17">
        <v>38995</v>
      </c>
      <c r="B238" s="6">
        <v>2.9520818295297735E-4</v>
      </c>
      <c r="C238" s="6">
        <v>2.2193954601757888E-3</v>
      </c>
      <c r="D238" s="6">
        <v>1.7146543154650678E-2</v>
      </c>
      <c r="F238" s="9"/>
    </row>
    <row r="239" spans="1:6" hidden="1" x14ac:dyDescent="0.25">
      <c r="A239" s="17">
        <v>38996</v>
      </c>
      <c r="B239" s="6">
        <v>-7.370793257645023E-3</v>
      </c>
      <c r="C239" s="6">
        <v>-2.6935046623303631E-3</v>
      </c>
      <c r="D239" s="6">
        <v>0</v>
      </c>
      <c r="F239" s="9"/>
    </row>
    <row r="240" spans="1:6" hidden="1" x14ac:dyDescent="0.25">
      <c r="A240" s="17">
        <v>38999</v>
      </c>
      <c r="B240" s="6">
        <v>1.0594691777253964E-2</v>
      </c>
      <c r="C240" s="6">
        <v>7.9992893786475395E-4</v>
      </c>
      <c r="D240" s="6">
        <v>6.3267515398287982E-3</v>
      </c>
      <c r="F240" s="9"/>
    </row>
    <row r="241" spans="1:6" hidden="1" x14ac:dyDescent="0.25">
      <c r="A241" s="17">
        <v>39000</v>
      </c>
      <c r="B241" s="6">
        <v>4.0900332865550634E-3</v>
      </c>
      <c r="C241" s="6">
        <v>2.0413604319730922E-3</v>
      </c>
      <c r="D241" s="6">
        <v>2.4995638779503758E-3</v>
      </c>
      <c r="F241" s="9"/>
    </row>
    <row r="242" spans="1:6" hidden="1" x14ac:dyDescent="0.25">
      <c r="A242" s="17">
        <v>39001</v>
      </c>
      <c r="B242" s="6">
        <v>-1.7054422637229592E-2</v>
      </c>
      <c r="C242" s="6">
        <v>-2.5671675765501045E-3</v>
      </c>
      <c r="D242" s="6">
        <v>-2.1742670417213934E-3</v>
      </c>
      <c r="F242" s="9"/>
    </row>
    <row r="243" spans="1:6" hidden="1" x14ac:dyDescent="0.25">
      <c r="A243" s="17">
        <v>39002</v>
      </c>
      <c r="B243" s="6">
        <v>4.0393897773393465E-2</v>
      </c>
      <c r="C243" s="6">
        <v>9.4958653365821172E-3</v>
      </c>
      <c r="D243" s="6">
        <v>2.9702103340471804E-2</v>
      </c>
      <c r="F243" s="9"/>
    </row>
    <row r="244" spans="1:6" hidden="1" x14ac:dyDescent="0.25">
      <c r="A244" s="17">
        <v>39003</v>
      </c>
      <c r="B244" s="6">
        <v>-5.137120453751704E-3</v>
      </c>
      <c r="C244" s="6">
        <v>2.0451179038888179E-3</v>
      </c>
      <c r="D244" s="6">
        <v>-4.8691514338105937E-3</v>
      </c>
      <c r="F244" s="9"/>
    </row>
    <row r="245" spans="1:6" hidden="1" x14ac:dyDescent="0.25">
      <c r="A245" s="17">
        <v>39006</v>
      </c>
      <c r="B245" s="6">
        <v>7.6986734227767056E-3</v>
      </c>
      <c r="C245" s="6">
        <v>2.5085306809748912E-3</v>
      </c>
      <c r="D245" s="6">
        <v>2.7539834376025026E-3</v>
      </c>
      <c r="F245" s="9"/>
    </row>
    <row r="246" spans="1:6" hidden="1" x14ac:dyDescent="0.25">
      <c r="A246" s="17">
        <v>39007</v>
      </c>
      <c r="B246" s="6">
        <v>-1.8058583178618796E-2</v>
      </c>
      <c r="C246" s="6">
        <v>-3.6588530079404041E-3</v>
      </c>
      <c r="D246" s="6">
        <v>-1.1160174568552146E-2</v>
      </c>
      <c r="F246" s="9"/>
    </row>
    <row r="247" spans="1:6" hidden="1" x14ac:dyDescent="0.25">
      <c r="A247" s="17">
        <v>39008</v>
      </c>
      <c r="B247" s="6">
        <v>3.175481239700571E-3</v>
      </c>
      <c r="C247" s="6">
        <v>1.3992625020701071E-3</v>
      </c>
      <c r="D247" s="6">
        <v>-2.118801452941878E-3</v>
      </c>
      <c r="F247" s="9"/>
    </row>
    <row r="248" spans="1:6" hidden="1" x14ac:dyDescent="0.25">
      <c r="A248" s="17">
        <v>39009</v>
      </c>
      <c r="B248" s="6">
        <v>4.6030533078707725E-3</v>
      </c>
      <c r="C248" s="6">
        <v>7.3181801489242135E-4</v>
      </c>
      <c r="D248" s="6">
        <v>-9.6652632167219272E-3</v>
      </c>
      <c r="F248" s="9"/>
    </row>
    <row r="249" spans="1:6" hidden="1" x14ac:dyDescent="0.25">
      <c r="A249" s="17">
        <v>39010</v>
      </c>
      <c r="B249" s="6">
        <v>5.1532341823386594E-3</v>
      </c>
      <c r="C249" s="6">
        <v>1.1990233783792819E-3</v>
      </c>
      <c r="D249" s="6">
        <v>6.7260097452644472E-3</v>
      </c>
      <c r="F249" s="9"/>
    </row>
    <row r="250" spans="1:6" hidden="1" x14ac:dyDescent="0.25">
      <c r="A250" s="17">
        <v>39013</v>
      </c>
      <c r="B250" s="6">
        <v>4.8412519171409018E-3</v>
      </c>
      <c r="C250" s="6">
        <v>6.1334244330303279E-3</v>
      </c>
      <c r="D250" s="6">
        <v>1.9668268144264155E-2</v>
      </c>
      <c r="F250" s="9"/>
    </row>
    <row r="251" spans="1:6" hidden="1" x14ac:dyDescent="0.25">
      <c r="A251" s="17">
        <v>39014</v>
      </c>
      <c r="B251" s="6">
        <v>1.1585246109880466E-2</v>
      </c>
      <c r="C251" s="6">
        <v>2.6139994339974563E-4</v>
      </c>
      <c r="D251" s="6">
        <v>2.1320936506284451E-3</v>
      </c>
      <c r="F251" s="9"/>
    </row>
    <row r="252" spans="1:6" hidden="1" x14ac:dyDescent="0.25">
      <c r="A252" s="17">
        <v>39015</v>
      </c>
      <c r="B252" s="6">
        <v>-8.4447418145731728E-4</v>
      </c>
      <c r="C252" s="6">
        <v>3.5077583437895556E-3</v>
      </c>
      <c r="D252" s="6">
        <v>-1.9380790019138923E-3</v>
      </c>
      <c r="F252" s="9"/>
    </row>
    <row r="253" spans="1:6" hidden="1" x14ac:dyDescent="0.25">
      <c r="A253" s="17">
        <v>39016</v>
      </c>
      <c r="B253" s="6">
        <v>-1.9684990051427576E-3</v>
      </c>
      <c r="C253" s="6">
        <v>4.9507552495445641E-3</v>
      </c>
      <c r="D253" s="6">
        <v>4.4036945999149577E-3</v>
      </c>
      <c r="F253" s="9"/>
    </row>
    <row r="254" spans="1:6" hidden="1" x14ac:dyDescent="0.25">
      <c r="A254" s="17">
        <v>39017</v>
      </c>
      <c r="B254" s="6">
        <v>-1.5040880038936744E-2</v>
      </c>
      <c r="C254" s="6">
        <v>-8.4875546574008798E-3</v>
      </c>
      <c r="D254" s="6">
        <v>-1.8617429389629757E-2</v>
      </c>
      <c r="F254" s="9"/>
    </row>
    <row r="255" spans="1:6" hidden="1" x14ac:dyDescent="0.25">
      <c r="A255" s="17">
        <v>39020</v>
      </c>
      <c r="B255" s="6">
        <v>-1.7172472467518228E-3</v>
      </c>
      <c r="C255" s="6">
        <v>4.2827019422270283E-4</v>
      </c>
      <c r="D255" s="6">
        <v>1.0326271805648603E-2</v>
      </c>
      <c r="F255" s="9"/>
    </row>
    <row r="256" spans="1:6" hidden="1" x14ac:dyDescent="0.25">
      <c r="A256" s="17">
        <v>39021</v>
      </c>
      <c r="B256" s="6">
        <v>-8.9211816961938806E-3</v>
      </c>
      <c r="C256" s="6">
        <v>7.2572363718697017E-6</v>
      </c>
      <c r="D256" s="6">
        <v>-4.9296046334942889E-3</v>
      </c>
      <c r="F256" s="9"/>
    </row>
    <row r="257" spans="1:8" hidden="1" x14ac:dyDescent="0.25">
      <c r="A257" s="17">
        <v>39022</v>
      </c>
      <c r="B257" s="6">
        <v>0</v>
      </c>
      <c r="C257" s="6">
        <v>-7.3787096137031575E-3</v>
      </c>
      <c r="D257" s="6">
        <v>-2.2042084798071788E-3</v>
      </c>
      <c r="F257" s="9"/>
    </row>
    <row r="258" spans="1:8" hidden="1" x14ac:dyDescent="0.25">
      <c r="A258" s="17">
        <v>39023</v>
      </c>
      <c r="B258" s="6">
        <v>8.2242372795375916E-3</v>
      </c>
      <c r="C258" s="6">
        <v>-3.4367402491713804E-4</v>
      </c>
      <c r="D258" s="6">
        <v>1.9612650222216357E-4</v>
      </c>
      <c r="F258" s="9"/>
    </row>
    <row r="259" spans="1:8" x14ac:dyDescent="0.25">
      <c r="A259" s="17">
        <v>39024</v>
      </c>
      <c r="B259" s="6">
        <v>-8.3694843596003616E-3</v>
      </c>
      <c r="C259" s="6">
        <v>-2.2257700539063956E-3</v>
      </c>
      <c r="D259" s="6">
        <v>-2.1732713453640827E-2</v>
      </c>
      <c r="F259" s="9"/>
    </row>
    <row r="260" spans="1:8" x14ac:dyDescent="0.25">
      <c r="A260" s="17">
        <v>39027</v>
      </c>
      <c r="B260" s="6">
        <v>1.0665835380784432E-2</v>
      </c>
      <c r="C260" s="6">
        <v>1.1282589583801694E-2</v>
      </c>
      <c r="D260" s="6">
        <v>1.8786769358146858E-2</v>
      </c>
      <c r="F260" s="9"/>
      <c r="G260" s="11" t="str">
        <f ca="1">"Cell "&amp;CHAR(COLUMN(F267)+64)&amp;ROW(F267)&amp;" contains formula "&amp;[2]!ggetformula(F267)</f>
        <v>Cell F267 contains formula =B267-E267</v>
      </c>
      <c r="H260" s="11"/>
    </row>
    <row r="261" spans="1:8" x14ac:dyDescent="0.25">
      <c r="A261" s="17">
        <v>39028</v>
      </c>
      <c r="B261" s="6">
        <v>-2.0082985706024979E-3</v>
      </c>
      <c r="C261" s="6">
        <v>2.2152892916247491E-3</v>
      </c>
      <c r="D261" s="6">
        <v>-4.3611703820838014E-3</v>
      </c>
      <c r="F261" s="9"/>
      <c r="G261" s="11"/>
      <c r="H261" s="11"/>
    </row>
    <row r="262" spans="1:8" x14ac:dyDescent="0.25">
      <c r="A262" s="17">
        <v>39029</v>
      </c>
      <c r="B262" s="6">
        <v>7.4403760118231287E-3</v>
      </c>
      <c r="C262" s="6">
        <v>2.0805046947438271E-3</v>
      </c>
      <c r="D262" s="6">
        <v>6.8657757429407829E-3</v>
      </c>
      <c r="F262" s="9"/>
      <c r="G262" s="11"/>
      <c r="H262" s="11"/>
    </row>
    <row r="263" spans="1:8" x14ac:dyDescent="0.25">
      <c r="A263" s="17">
        <v>39030</v>
      </c>
      <c r="B263" s="6">
        <v>-8.8785844655843871E-3</v>
      </c>
      <c r="C263" s="6">
        <v>-5.3472387319265409E-3</v>
      </c>
      <c r="D263" s="6">
        <v>-3.5377395387967045E-3</v>
      </c>
      <c r="F263" s="9"/>
      <c r="G263" s="11"/>
      <c r="H263" s="11"/>
    </row>
    <row r="264" spans="1:8" x14ac:dyDescent="0.25">
      <c r="A264" s="17">
        <v>39031</v>
      </c>
      <c r="B264" s="6">
        <v>1.4565609039153812E-2</v>
      </c>
      <c r="C264" s="6">
        <v>1.8628390842335412E-3</v>
      </c>
      <c r="D264" s="6">
        <v>9.503819145290764E-3</v>
      </c>
      <c r="F264" s="9"/>
    </row>
    <row r="265" spans="1:8" x14ac:dyDescent="0.25">
      <c r="A265" s="17">
        <v>39034</v>
      </c>
      <c r="B265" s="6">
        <v>8.4956099288890008E-4</v>
      </c>
      <c r="C265" s="6">
        <v>2.5458188572388411E-3</v>
      </c>
      <c r="D265" s="6">
        <v>-4.632959934614487E-4</v>
      </c>
      <c r="F265" s="9"/>
      <c r="H265" s="19"/>
    </row>
    <row r="266" spans="1:8" x14ac:dyDescent="0.25">
      <c r="A266" s="20">
        <v>39035</v>
      </c>
      <c r="B266" s="6">
        <v>7.3374834882672015E-3</v>
      </c>
      <c r="C266" s="6">
        <v>6.3363354809753787E-3</v>
      </c>
      <c r="D266" s="6">
        <v>3.413968039401582E-4</v>
      </c>
      <c r="F266" s="9"/>
    </row>
    <row r="267" spans="1:8" x14ac:dyDescent="0.25">
      <c r="A267" s="20">
        <v>39036</v>
      </c>
      <c r="B267" s="6">
        <v>2.5285958654639577E-3</v>
      </c>
      <c r="C267" s="6">
        <v>2.4016156127632912E-3</v>
      </c>
      <c r="D267" s="6">
        <v>2.0945986517275305E-3</v>
      </c>
      <c r="E267" s="21">
        <f t="shared" ref="E267:E272" si="0">$D$3+$C$3*C267+$B$3*D267</f>
        <v>3.2949118093695685E-3</v>
      </c>
      <c r="F267" s="6">
        <f t="shared" ref="F267:F272" si="1">B267-E267</f>
        <v>-7.6631594390561084E-4</v>
      </c>
      <c r="G267" s="6">
        <f>F267</f>
        <v>-7.6631594390561084E-4</v>
      </c>
      <c r="H267" s="10" t="str">
        <f ca="1">[2]!getformula(G267)</f>
        <v>&lt;--  =F267</v>
      </c>
    </row>
    <row r="268" spans="1:8" x14ac:dyDescent="0.25">
      <c r="A268" s="20">
        <v>39037</v>
      </c>
      <c r="B268" s="6">
        <v>3.0802906965988323E-3</v>
      </c>
      <c r="C268" s="6">
        <v>2.2815628940812743E-3</v>
      </c>
      <c r="D268" s="6">
        <v>1.2572395480545394E-2</v>
      </c>
      <c r="E268" s="21">
        <f t="shared" si="0"/>
        <v>7.5890550099825885E-3</v>
      </c>
      <c r="F268" s="6">
        <f t="shared" si="1"/>
        <v>-4.5087643133837566E-3</v>
      </c>
      <c r="G268" s="6">
        <f>G267+F268</f>
        <v>-5.2750802572893675E-3</v>
      </c>
      <c r="H268" s="10" t="str">
        <f ca="1">[2]!getformula(G268)</f>
        <v>&lt;--  =G267+F268</v>
      </c>
    </row>
    <row r="269" spans="1:8" x14ac:dyDescent="0.25">
      <c r="A269" s="20">
        <v>39038</v>
      </c>
      <c r="B269" s="22">
        <v>-6.4389754387487758E-2</v>
      </c>
      <c r="C269" s="22">
        <v>1.0282189869673484E-3</v>
      </c>
      <c r="D269" s="22">
        <v>-1.7817141424169982E-2</v>
      </c>
      <c r="E269" s="21">
        <f t="shared" si="0"/>
        <v>-5.6815707084047614E-3</v>
      </c>
      <c r="F269" s="22">
        <f t="shared" si="1"/>
        <v>-5.8708183679082995E-2</v>
      </c>
      <c r="G269" s="6">
        <f>G268+F269</f>
        <v>-6.3983263936372367E-2</v>
      </c>
      <c r="H269" s="10" t="str">
        <f ca="1">[2]!getformula(G269)</f>
        <v>&lt;--  =G268+F269</v>
      </c>
    </row>
    <row r="270" spans="1:8" x14ac:dyDescent="0.25">
      <c r="A270" s="20">
        <v>39041</v>
      </c>
      <c r="B270" s="6">
        <v>-1.593171690927132E-2</v>
      </c>
      <c r="C270" s="6">
        <v>-4.996966231685479E-4</v>
      </c>
      <c r="D270" s="6">
        <v>-1.8605567451017162E-3</v>
      </c>
      <c r="E270" s="21">
        <f t="shared" si="0"/>
        <v>1.7262300041407058E-4</v>
      </c>
      <c r="F270" s="6">
        <f t="shared" si="1"/>
        <v>-1.6104339909685392E-2</v>
      </c>
      <c r="G270" s="6">
        <f>G269+F270</f>
        <v>-8.0087603846057759E-2</v>
      </c>
    </row>
    <row r="271" spans="1:8" x14ac:dyDescent="0.25">
      <c r="A271" s="20">
        <v>39042</v>
      </c>
      <c r="B271" s="6">
        <v>1.5148551262198714E-3</v>
      </c>
      <c r="C271" s="6">
        <v>1.648052140394323E-3</v>
      </c>
      <c r="D271" s="6">
        <v>6.8587108312854474E-4</v>
      </c>
      <c r="E271" s="21">
        <f t="shared" si="0"/>
        <v>2.3253972388583488E-3</v>
      </c>
      <c r="F271" s="6">
        <f t="shared" si="1"/>
        <v>-8.1054211263847735E-4</v>
      </c>
      <c r="G271" s="6">
        <f>G270+F271</f>
        <v>-8.0898145958696238E-2</v>
      </c>
    </row>
    <row r="272" spans="1:8" x14ac:dyDescent="0.25">
      <c r="A272" s="20">
        <v>39043</v>
      </c>
      <c r="B272" s="6">
        <v>2.8044979472876045E-2</v>
      </c>
      <c r="C272" s="6">
        <v>2.3354348612123553E-3</v>
      </c>
      <c r="D272" s="6">
        <v>2.6899485566814173E-3</v>
      </c>
      <c r="E272" s="21">
        <f t="shared" si="0"/>
        <v>3.5086614653633023E-3</v>
      </c>
      <c r="F272" s="6">
        <f t="shared" si="1"/>
        <v>2.4536318007512742E-2</v>
      </c>
      <c r="G272" s="6">
        <f>G271+F272</f>
        <v>-5.6361827951183496E-2</v>
      </c>
    </row>
    <row r="273" spans="1:6" x14ac:dyDescent="0.25">
      <c r="A273" s="20"/>
      <c r="F273" s="9"/>
    </row>
    <row r="274" spans="1:6" x14ac:dyDescent="0.25">
      <c r="A274" s="20">
        <v>38390</v>
      </c>
      <c r="F274" s="9"/>
    </row>
    <row r="275" spans="1:6" x14ac:dyDescent="0.25">
      <c r="A275" s="20">
        <v>38391</v>
      </c>
      <c r="F275" s="9"/>
    </row>
    <row r="276" spans="1:6" x14ac:dyDescent="0.25">
      <c r="A276" s="20">
        <v>38392</v>
      </c>
      <c r="F276" s="9"/>
    </row>
    <row r="277" spans="1:6" x14ac:dyDescent="0.25">
      <c r="A277" s="20">
        <v>38393</v>
      </c>
      <c r="F277" s="9"/>
    </row>
    <row r="278" spans="1:6" x14ac:dyDescent="0.25">
      <c r="A278" s="20">
        <v>38394</v>
      </c>
      <c r="F278" s="9"/>
    </row>
    <row r="279" spans="1:6" x14ac:dyDescent="0.25">
      <c r="A279" s="20">
        <v>38397</v>
      </c>
      <c r="F279" s="9"/>
    </row>
    <row r="280" spans="1:6" x14ac:dyDescent="0.25">
      <c r="A280" s="20">
        <v>38398</v>
      </c>
      <c r="F280" s="9"/>
    </row>
    <row r="281" spans="1:6" x14ac:dyDescent="0.25">
      <c r="A281" s="20">
        <v>38399</v>
      </c>
      <c r="F281" s="9"/>
    </row>
    <row r="282" spans="1:6" x14ac:dyDescent="0.25">
      <c r="A282" s="20">
        <v>38400</v>
      </c>
      <c r="F282" s="9"/>
    </row>
    <row r="283" spans="1:6" x14ac:dyDescent="0.25">
      <c r="A283" s="20">
        <v>38401</v>
      </c>
      <c r="F283" s="9"/>
    </row>
    <row r="284" spans="1:6" x14ac:dyDescent="0.25">
      <c r="A284" s="20">
        <v>38405</v>
      </c>
      <c r="F284" s="9"/>
    </row>
    <row r="285" spans="1:6" x14ac:dyDescent="0.25">
      <c r="A285" s="20">
        <v>38406</v>
      </c>
      <c r="D285" s="6">
        <f>-1.78%*B3</f>
        <v>-7.3989352444034174E-3</v>
      </c>
      <c r="E285" s="21">
        <f>B3*D270</f>
        <v>-7.7337858851379729E-4</v>
      </c>
      <c r="F285" s="9"/>
    </row>
    <row r="286" spans="1:6" x14ac:dyDescent="0.25">
      <c r="A286" s="20">
        <v>38407</v>
      </c>
      <c r="D286" s="6">
        <f>+C269*C3</f>
        <v>5.2388775459334029E-4</v>
      </c>
      <c r="E286" s="21">
        <f>C3*C270</f>
        <v>-2.5460037716455643E-4</v>
      </c>
      <c r="F286" s="9"/>
    </row>
    <row r="287" spans="1:6" x14ac:dyDescent="0.25">
      <c r="A287" s="20">
        <v>38408</v>
      </c>
      <c r="F287" s="9"/>
    </row>
    <row r="288" spans="1:6" x14ac:dyDescent="0.25">
      <c r="A288" s="20">
        <v>38411</v>
      </c>
      <c r="F288" s="9"/>
    </row>
    <row r="289" spans="1:6" x14ac:dyDescent="0.25">
      <c r="A289" s="20">
        <v>38412</v>
      </c>
      <c r="F289" s="9"/>
    </row>
    <row r="290" spans="1:6" x14ac:dyDescent="0.25">
      <c r="A290" s="3"/>
      <c r="F290" s="9"/>
    </row>
    <row r="291" spans="1:6" x14ac:dyDescent="0.25">
      <c r="A291" s="3"/>
      <c r="F291" s="9"/>
    </row>
    <row r="292" spans="1:6" x14ac:dyDescent="0.25">
      <c r="A292" s="3"/>
      <c r="F292" s="9"/>
    </row>
    <row r="293" spans="1:6" x14ac:dyDescent="0.25">
      <c r="A293" s="3"/>
      <c r="F293" s="9"/>
    </row>
    <row r="294" spans="1:6" x14ac:dyDescent="0.25">
      <c r="A294" s="3"/>
      <c r="F294" s="9"/>
    </row>
    <row r="295" spans="1:6" x14ac:dyDescent="0.25">
      <c r="A295" s="3"/>
      <c r="F295" s="9"/>
    </row>
    <row r="296" spans="1:6" x14ac:dyDescent="0.25">
      <c r="A296" s="3"/>
      <c r="F296" s="9"/>
    </row>
    <row r="297" spans="1:6" x14ac:dyDescent="0.25">
      <c r="A297" s="3"/>
      <c r="F297" s="9"/>
    </row>
    <row r="298" spans="1:6" x14ac:dyDescent="0.25">
      <c r="A298" s="3"/>
      <c r="F298" s="9"/>
    </row>
    <row r="299" spans="1:6" x14ac:dyDescent="0.25">
      <c r="A299" s="3"/>
      <c r="F299" s="9"/>
    </row>
    <row r="300" spans="1:6" x14ac:dyDescent="0.25">
      <c r="A300" s="3"/>
      <c r="F300" s="9"/>
    </row>
    <row r="301" spans="1:6" x14ac:dyDescent="0.25">
      <c r="A301" s="3"/>
      <c r="F301" s="9"/>
    </row>
    <row r="302" spans="1:6" x14ac:dyDescent="0.25">
      <c r="A302" s="3" t="s">
        <v>19</v>
      </c>
      <c r="F302" s="9"/>
    </row>
    <row r="303" spans="1:6" x14ac:dyDescent="0.25">
      <c r="A303" s="23" t="s">
        <v>20</v>
      </c>
      <c r="B303" s="17">
        <v>39036</v>
      </c>
      <c r="F303" s="9"/>
    </row>
    <row r="304" spans="1:6" x14ac:dyDescent="0.25">
      <c r="A304" s="23" t="s">
        <v>21</v>
      </c>
      <c r="B304" s="17">
        <v>39037</v>
      </c>
      <c r="F304" s="9"/>
    </row>
    <row r="305" spans="1:6" x14ac:dyDescent="0.25">
      <c r="A305" s="23" t="s">
        <v>22</v>
      </c>
      <c r="B305" s="17">
        <v>39038</v>
      </c>
      <c r="F305" s="9"/>
    </row>
    <row r="306" spans="1:6" x14ac:dyDescent="0.25">
      <c r="A306" s="23" t="s">
        <v>23</v>
      </c>
      <c r="B306" s="17">
        <v>39041</v>
      </c>
      <c r="F306" s="9"/>
    </row>
    <row r="307" spans="1:6" x14ac:dyDescent="0.25">
      <c r="A307" s="23" t="s">
        <v>24</v>
      </c>
      <c r="B307" s="17">
        <v>39042</v>
      </c>
      <c r="F307" s="9"/>
    </row>
    <row r="308" spans="1:6" x14ac:dyDescent="0.25">
      <c r="A308" s="23" t="s">
        <v>25</v>
      </c>
      <c r="B308" s="17">
        <v>39043</v>
      </c>
      <c r="F308" s="9"/>
    </row>
    <row r="309" spans="1:6" x14ac:dyDescent="0.25">
      <c r="A309" s="3"/>
      <c r="F309" s="9"/>
    </row>
    <row r="310" spans="1:6" x14ac:dyDescent="0.25">
      <c r="A310" s="3"/>
      <c r="F310" s="9"/>
    </row>
    <row r="311" spans="1:6" x14ac:dyDescent="0.25">
      <c r="A311" s="3"/>
      <c r="F311" s="9"/>
    </row>
    <row r="312" spans="1:6" x14ac:dyDescent="0.25">
      <c r="A312" s="3"/>
      <c r="F312" s="9"/>
    </row>
    <row r="313" spans="1:6" x14ac:dyDescent="0.25">
      <c r="A313" s="3"/>
      <c r="F313" s="9"/>
    </row>
    <row r="314" spans="1:6" x14ac:dyDescent="0.25">
      <c r="A314" s="3"/>
      <c r="F314" s="9"/>
    </row>
    <row r="315" spans="1:6" x14ac:dyDescent="0.25">
      <c r="A315" s="3"/>
      <c r="F315" s="9"/>
    </row>
    <row r="316" spans="1:6" x14ac:dyDescent="0.25">
      <c r="A316" s="3"/>
      <c r="F316" s="9"/>
    </row>
    <row r="317" spans="1:6" x14ac:dyDescent="0.25">
      <c r="A317" s="3"/>
      <c r="F317" s="9"/>
    </row>
    <row r="318" spans="1:6" x14ac:dyDescent="0.25">
      <c r="A318" s="3"/>
      <c r="F318" s="9"/>
    </row>
    <row r="319" spans="1:6" x14ac:dyDescent="0.25">
      <c r="A319" s="3"/>
      <c r="F319" s="9"/>
    </row>
    <row r="320" spans="1:6" x14ac:dyDescent="0.25">
      <c r="A320" s="3"/>
      <c r="F320" s="9"/>
    </row>
    <row r="321" spans="1:6" x14ac:dyDescent="0.25">
      <c r="A321" s="3"/>
      <c r="F321" s="9"/>
    </row>
    <row r="322" spans="1:6" x14ac:dyDescent="0.25">
      <c r="A322" s="3"/>
      <c r="F322" s="9"/>
    </row>
    <row r="323" spans="1:6" x14ac:dyDescent="0.25">
      <c r="A323" s="3"/>
      <c r="F323" s="9"/>
    </row>
    <row r="324" spans="1:6" x14ac:dyDescent="0.25">
      <c r="A324" s="3"/>
      <c r="F324" s="9"/>
    </row>
    <row r="325" spans="1:6" x14ac:dyDescent="0.25">
      <c r="A325" s="3"/>
      <c r="F325" s="9"/>
    </row>
    <row r="326" spans="1:6" x14ac:dyDescent="0.25">
      <c r="A326" s="3"/>
      <c r="F326" s="9"/>
    </row>
    <row r="327" spans="1:6" x14ac:dyDescent="0.25">
      <c r="A327" s="3"/>
      <c r="F327" s="9"/>
    </row>
    <row r="328" spans="1:6" x14ac:dyDescent="0.25">
      <c r="A328" s="3"/>
      <c r="F328" s="9"/>
    </row>
    <row r="329" spans="1:6" x14ac:dyDescent="0.25">
      <c r="A329" s="3"/>
      <c r="F329" s="9"/>
    </row>
    <row r="330" spans="1:6" x14ac:dyDescent="0.25">
      <c r="A330" s="3"/>
      <c r="F330" s="9"/>
    </row>
    <row r="331" spans="1:6" x14ac:dyDescent="0.25">
      <c r="A331" s="3"/>
      <c r="F331" s="9"/>
    </row>
    <row r="332" spans="1:6" x14ac:dyDescent="0.25">
      <c r="A332" s="3"/>
      <c r="F332" s="9"/>
    </row>
    <row r="333" spans="1:6" x14ac:dyDescent="0.25">
      <c r="A333" s="3"/>
      <c r="F333" s="9"/>
    </row>
    <row r="334" spans="1:6" x14ac:dyDescent="0.25">
      <c r="A334" s="3"/>
      <c r="F334" s="9"/>
    </row>
    <row r="335" spans="1:6" x14ac:dyDescent="0.25">
      <c r="A335" s="3"/>
      <c r="F335" s="9"/>
    </row>
    <row r="336" spans="1:6" x14ac:dyDescent="0.25">
      <c r="A336" s="3"/>
      <c r="F336" s="9"/>
    </row>
    <row r="337" spans="1:6" x14ac:dyDescent="0.25">
      <c r="A337" s="3"/>
      <c r="F337" s="9"/>
    </row>
    <row r="338" spans="1:6" x14ac:dyDescent="0.25">
      <c r="A338" s="3"/>
      <c r="F338" s="9"/>
    </row>
    <row r="339" spans="1:6" x14ac:dyDescent="0.25">
      <c r="A339" s="3"/>
      <c r="F339" s="9"/>
    </row>
    <row r="340" spans="1:6" x14ac:dyDescent="0.25">
      <c r="A340" s="3"/>
      <c r="F340" s="9"/>
    </row>
    <row r="341" spans="1:6" x14ac:dyDescent="0.25">
      <c r="A341" s="3"/>
      <c r="F341" s="9"/>
    </row>
    <row r="342" spans="1:6" x14ac:dyDescent="0.25">
      <c r="A342" s="3"/>
      <c r="F342" s="9"/>
    </row>
    <row r="343" spans="1:6" x14ac:dyDescent="0.25">
      <c r="A343" s="3"/>
      <c r="F343" s="9"/>
    </row>
    <row r="344" spans="1:6" x14ac:dyDescent="0.25">
      <c r="A344" s="3"/>
      <c r="F344" s="9"/>
    </row>
    <row r="345" spans="1:6" x14ac:dyDescent="0.25">
      <c r="A345" s="3"/>
      <c r="F345" s="9"/>
    </row>
    <row r="346" spans="1:6" x14ac:dyDescent="0.25">
      <c r="A346" s="3"/>
      <c r="F346" s="9"/>
    </row>
    <row r="347" spans="1:6" x14ac:dyDescent="0.25">
      <c r="A347" s="3"/>
      <c r="F347" s="9"/>
    </row>
    <row r="348" spans="1:6" x14ac:dyDescent="0.25">
      <c r="A348" s="3"/>
      <c r="F348" s="9"/>
    </row>
    <row r="349" spans="1:6" x14ac:dyDescent="0.25">
      <c r="A349" s="3"/>
      <c r="F349" s="9"/>
    </row>
    <row r="350" spans="1:6" x14ac:dyDescent="0.25">
      <c r="A350" s="3"/>
      <c r="F350" s="9"/>
    </row>
    <row r="351" spans="1:6" x14ac:dyDescent="0.25">
      <c r="A351" s="3"/>
      <c r="F351" s="9"/>
    </row>
    <row r="352" spans="1:6" x14ac:dyDescent="0.25">
      <c r="A352" s="3"/>
      <c r="F352" s="9"/>
    </row>
    <row r="353" spans="1:6" x14ac:dyDescent="0.25">
      <c r="A353" s="3"/>
      <c r="F353" s="9"/>
    </row>
    <row r="354" spans="1:6" x14ac:dyDescent="0.25">
      <c r="A354" s="3"/>
      <c r="F354" s="9"/>
    </row>
    <row r="355" spans="1:6" x14ac:dyDescent="0.25">
      <c r="A355" s="3"/>
      <c r="F355" s="9"/>
    </row>
    <row r="356" spans="1:6" x14ac:dyDescent="0.25">
      <c r="A356" s="3"/>
      <c r="F356" s="9"/>
    </row>
    <row r="357" spans="1:6" x14ac:dyDescent="0.25">
      <c r="A357" s="3"/>
      <c r="F357" s="9"/>
    </row>
    <row r="358" spans="1:6" x14ac:dyDescent="0.25">
      <c r="A358" s="3"/>
      <c r="F358" s="9"/>
    </row>
    <row r="359" spans="1:6" x14ac:dyDescent="0.25">
      <c r="A359" s="3"/>
      <c r="F359" s="9"/>
    </row>
    <row r="360" spans="1:6" x14ac:dyDescent="0.25">
      <c r="A360" s="3"/>
      <c r="F360" s="9"/>
    </row>
    <row r="361" spans="1:6" x14ac:dyDescent="0.25">
      <c r="A361" s="3"/>
      <c r="F361" s="9"/>
    </row>
    <row r="362" spans="1:6" x14ac:dyDescent="0.25">
      <c r="A362" s="3"/>
      <c r="F362" s="9"/>
    </row>
    <row r="363" spans="1:6" x14ac:dyDescent="0.25">
      <c r="A363" s="3"/>
      <c r="F363" s="9"/>
    </row>
    <row r="364" spans="1:6" x14ac:dyDescent="0.25">
      <c r="A364" s="3"/>
      <c r="F364" s="9"/>
    </row>
    <row r="365" spans="1:6" x14ac:dyDescent="0.25">
      <c r="A365" s="3"/>
      <c r="F365" s="9"/>
    </row>
    <row r="366" spans="1:6" x14ac:dyDescent="0.25">
      <c r="A366" s="3"/>
      <c r="F366" s="9"/>
    </row>
    <row r="367" spans="1:6" x14ac:dyDescent="0.25">
      <c r="A367" s="3"/>
      <c r="F367" s="9"/>
    </row>
    <row r="368" spans="1:6" x14ac:dyDescent="0.25">
      <c r="A368" s="3"/>
      <c r="F368" s="9"/>
    </row>
    <row r="369" spans="1:6" x14ac:dyDescent="0.25">
      <c r="A369" s="3"/>
      <c r="F369" s="9"/>
    </row>
    <row r="370" spans="1:6" x14ac:dyDescent="0.25">
      <c r="A370" s="3"/>
      <c r="F370" s="9"/>
    </row>
    <row r="371" spans="1:6" x14ac:dyDescent="0.25">
      <c r="A371" s="3"/>
      <c r="F371" s="9"/>
    </row>
    <row r="372" spans="1:6" x14ac:dyDescent="0.25">
      <c r="A372" s="3"/>
      <c r="F372" s="9"/>
    </row>
    <row r="373" spans="1:6" x14ac:dyDescent="0.25">
      <c r="A373" s="3"/>
      <c r="F373" s="9"/>
    </row>
    <row r="374" spans="1:6" x14ac:dyDescent="0.25">
      <c r="A374" s="3"/>
      <c r="F374" s="9"/>
    </row>
    <row r="375" spans="1:6" x14ac:dyDescent="0.25">
      <c r="A375" s="3"/>
      <c r="F375" s="9"/>
    </row>
    <row r="376" spans="1:6" x14ac:dyDescent="0.25">
      <c r="A376" s="3"/>
      <c r="F376" s="9"/>
    </row>
    <row r="377" spans="1:6" x14ac:dyDescent="0.25">
      <c r="A377" s="3"/>
      <c r="F377" s="9"/>
    </row>
    <row r="378" spans="1:6" x14ac:dyDescent="0.25">
      <c r="A378" s="3"/>
      <c r="F378" s="9"/>
    </row>
    <row r="379" spans="1:6" x14ac:dyDescent="0.25">
      <c r="A379" s="3"/>
      <c r="F379" s="9"/>
    </row>
    <row r="380" spans="1:6" x14ac:dyDescent="0.25">
      <c r="A380" s="3"/>
      <c r="F380" s="9"/>
    </row>
    <row r="381" spans="1:6" x14ac:dyDescent="0.25">
      <c r="A381" s="3"/>
      <c r="F381" s="9"/>
    </row>
    <row r="382" spans="1:6" x14ac:dyDescent="0.25">
      <c r="A382" s="3"/>
      <c r="F382" s="9"/>
    </row>
    <row r="383" spans="1:6" x14ac:dyDescent="0.25">
      <c r="A383" s="3"/>
      <c r="F383" s="9"/>
    </row>
    <row r="384" spans="1:6" x14ac:dyDescent="0.25">
      <c r="A384" s="3"/>
      <c r="F384" s="9"/>
    </row>
    <row r="385" spans="1:6" x14ac:dyDescent="0.25">
      <c r="A385" s="3"/>
      <c r="F385" s="9"/>
    </row>
    <row r="386" spans="1:6" x14ac:dyDescent="0.25">
      <c r="A386" s="3"/>
      <c r="F386" s="9"/>
    </row>
    <row r="387" spans="1:6" x14ac:dyDescent="0.25">
      <c r="A387" s="3"/>
      <c r="F387" s="9"/>
    </row>
    <row r="388" spans="1:6" x14ac:dyDescent="0.25">
      <c r="A388" s="3"/>
      <c r="F388" s="9"/>
    </row>
    <row r="389" spans="1:6" x14ac:dyDescent="0.25">
      <c r="A389" s="3"/>
      <c r="F389" s="9"/>
    </row>
    <row r="390" spans="1:6" x14ac:dyDescent="0.25">
      <c r="A390" s="3"/>
      <c r="F390" s="9"/>
    </row>
    <row r="391" spans="1:6" x14ac:dyDescent="0.25">
      <c r="A391" s="3"/>
      <c r="F391" s="9"/>
    </row>
    <row r="392" spans="1:6" x14ac:dyDescent="0.25">
      <c r="A392" s="3"/>
      <c r="F392" s="9"/>
    </row>
    <row r="393" spans="1:6" x14ac:dyDescent="0.25">
      <c r="A393" s="3"/>
      <c r="F393" s="9"/>
    </row>
    <row r="394" spans="1:6" x14ac:dyDescent="0.25">
      <c r="A394" s="3"/>
      <c r="F394" s="9"/>
    </row>
    <row r="395" spans="1:6" x14ac:dyDescent="0.25">
      <c r="A395" s="3"/>
      <c r="F395" s="9"/>
    </row>
    <row r="396" spans="1:6" x14ac:dyDescent="0.25">
      <c r="A396" s="3"/>
      <c r="F396" s="9"/>
    </row>
    <row r="397" spans="1:6" x14ac:dyDescent="0.25">
      <c r="A397" s="3"/>
      <c r="F397" s="9"/>
    </row>
    <row r="398" spans="1:6" x14ac:dyDescent="0.25">
      <c r="A398" s="3"/>
      <c r="F398" s="9"/>
    </row>
    <row r="399" spans="1:6" x14ac:dyDescent="0.25">
      <c r="A399" s="3"/>
      <c r="F399" s="9"/>
    </row>
    <row r="400" spans="1:6" x14ac:dyDescent="0.25">
      <c r="A400" s="3"/>
      <c r="F400" s="9"/>
    </row>
    <row r="401" spans="1:6" x14ac:dyDescent="0.25">
      <c r="A401" s="3"/>
      <c r="F401" s="9"/>
    </row>
    <row r="402" spans="1:6" x14ac:dyDescent="0.25">
      <c r="A402" s="3"/>
      <c r="F402" s="9"/>
    </row>
    <row r="403" spans="1:6" x14ac:dyDescent="0.25">
      <c r="A403" s="3"/>
      <c r="F403" s="9"/>
    </row>
    <row r="404" spans="1:6" x14ac:dyDescent="0.25">
      <c r="A404" s="3"/>
      <c r="F404" s="9"/>
    </row>
    <row r="405" spans="1:6" x14ac:dyDescent="0.25">
      <c r="A405" s="3"/>
      <c r="F405" s="9"/>
    </row>
    <row r="406" spans="1:6" x14ac:dyDescent="0.25">
      <c r="A406" s="3"/>
      <c r="F406" s="9"/>
    </row>
    <row r="407" spans="1:6" x14ac:dyDescent="0.25">
      <c r="A407" s="3"/>
      <c r="F407" s="9"/>
    </row>
    <row r="408" spans="1:6" x14ac:dyDescent="0.25">
      <c r="A408" s="3"/>
      <c r="F408" s="9"/>
    </row>
    <row r="409" spans="1:6" x14ac:dyDescent="0.25">
      <c r="A409" s="3"/>
      <c r="F409" s="9"/>
    </row>
    <row r="410" spans="1:6" x14ac:dyDescent="0.25">
      <c r="A410" s="3"/>
      <c r="F410" s="9"/>
    </row>
    <row r="411" spans="1:6" x14ac:dyDescent="0.25">
      <c r="A411" s="3"/>
      <c r="F411" s="9"/>
    </row>
    <row r="412" spans="1:6" x14ac:dyDescent="0.25">
      <c r="A412" s="3"/>
      <c r="F412" s="9"/>
    </row>
    <row r="413" spans="1:6" x14ac:dyDescent="0.25">
      <c r="A413" s="3"/>
      <c r="F413" s="9"/>
    </row>
    <row r="414" spans="1:6" x14ac:dyDescent="0.25">
      <c r="A414" s="3"/>
      <c r="F414" s="9"/>
    </row>
    <row r="415" spans="1:6" x14ac:dyDescent="0.25">
      <c r="A415" s="3"/>
      <c r="F415" s="9"/>
    </row>
    <row r="416" spans="1:6" x14ac:dyDescent="0.25">
      <c r="A416" s="3"/>
      <c r="F416" s="9"/>
    </row>
    <row r="417" spans="1:6" x14ac:dyDescent="0.25">
      <c r="A417" s="3"/>
      <c r="F417" s="9"/>
    </row>
    <row r="418" spans="1:6" x14ac:dyDescent="0.25">
      <c r="A418" s="3"/>
      <c r="F418" s="9"/>
    </row>
    <row r="419" spans="1:6" x14ac:dyDescent="0.25">
      <c r="A419" s="3"/>
      <c r="F419" s="9"/>
    </row>
    <row r="420" spans="1:6" x14ac:dyDescent="0.25">
      <c r="A420" s="3"/>
      <c r="F420" s="9"/>
    </row>
    <row r="421" spans="1:6" x14ac:dyDescent="0.25">
      <c r="A421" s="3"/>
      <c r="F421" s="9"/>
    </row>
    <row r="422" spans="1:6" x14ac:dyDescent="0.25">
      <c r="A422" s="3"/>
      <c r="F422" s="9"/>
    </row>
    <row r="423" spans="1:6" x14ac:dyDescent="0.25">
      <c r="A423" s="3"/>
      <c r="F423" s="9"/>
    </row>
    <row r="424" spans="1:6" x14ac:dyDescent="0.25">
      <c r="A424" s="3"/>
      <c r="F424" s="9"/>
    </row>
    <row r="425" spans="1:6" x14ac:dyDescent="0.25">
      <c r="A425" s="3"/>
      <c r="F425" s="9"/>
    </row>
    <row r="426" spans="1:6" x14ac:dyDescent="0.25">
      <c r="A426" s="3"/>
      <c r="F426" s="9"/>
    </row>
    <row r="427" spans="1:6" x14ac:dyDescent="0.25">
      <c r="A427" s="3"/>
      <c r="F427" s="9"/>
    </row>
    <row r="428" spans="1:6" x14ac:dyDescent="0.25">
      <c r="A428" s="3"/>
      <c r="F428" s="9"/>
    </row>
    <row r="429" spans="1:6" x14ac:dyDescent="0.25">
      <c r="A429" s="3"/>
      <c r="F429" s="9"/>
    </row>
    <row r="430" spans="1:6" x14ac:dyDescent="0.25">
      <c r="A430" s="3"/>
      <c r="F430" s="9"/>
    </row>
    <row r="431" spans="1:6" x14ac:dyDescent="0.25">
      <c r="A431" s="3"/>
      <c r="F431" s="9"/>
    </row>
    <row r="432" spans="1:6" x14ac:dyDescent="0.25">
      <c r="A432" s="3"/>
      <c r="F432" s="9"/>
    </row>
    <row r="433" spans="1:6" x14ac:dyDescent="0.25">
      <c r="A433" s="3"/>
      <c r="F433" s="9"/>
    </row>
    <row r="434" spans="1:6" x14ac:dyDescent="0.25">
      <c r="A434" s="3"/>
      <c r="F434" s="9"/>
    </row>
    <row r="435" spans="1:6" x14ac:dyDescent="0.25">
      <c r="A435" s="3"/>
      <c r="F435" s="9"/>
    </row>
    <row r="436" spans="1:6" x14ac:dyDescent="0.25">
      <c r="A436" s="3"/>
      <c r="F436" s="9"/>
    </row>
    <row r="437" spans="1:6" x14ac:dyDescent="0.25">
      <c r="A437" s="3"/>
      <c r="F437" s="9"/>
    </row>
    <row r="438" spans="1:6" x14ac:dyDescent="0.25">
      <c r="A438" s="3"/>
      <c r="F438" s="9"/>
    </row>
    <row r="439" spans="1:6" x14ac:dyDescent="0.25">
      <c r="A439" s="3"/>
      <c r="F439" s="9"/>
    </row>
    <row r="440" spans="1:6" x14ac:dyDescent="0.25">
      <c r="A440" s="3"/>
      <c r="F440" s="9"/>
    </row>
    <row r="441" spans="1:6" x14ac:dyDescent="0.25">
      <c r="A441" s="3"/>
      <c r="F441" s="9"/>
    </row>
    <row r="442" spans="1:6" x14ac:dyDescent="0.25">
      <c r="A442" s="3"/>
      <c r="F442" s="9"/>
    </row>
    <row r="443" spans="1:6" x14ac:dyDescent="0.25">
      <c r="A443" s="3"/>
      <c r="F443" s="9"/>
    </row>
    <row r="444" spans="1:6" x14ac:dyDescent="0.25">
      <c r="A444" s="3"/>
      <c r="F444" s="9"/>
    </row>
    <row r="445" spans="1:6" x14ac:dyDescent="0.25">
      <c r="A445" s="3"/>
      <c r="F445" s="9"/>
    </row>
    <row r="446" spans="1:6" x14ac:dyDescent="0.25">
      <c r="A446" s="3"/>
      <c r="F446" s="9"/>
    </row>
    <row r="447" spans="1:6" x14ac:dyDescent="0.25">
      <c r="A447" s="3"/>
      <c r="F447" s="9"/>
    </row>
    <row r="448" spans="1:6" x14ac:dyDescent="0.25">
      <c r="A448" s="3"/>
      <c r="F448" s="9"/>
    </row>
    <row r="449" spans="1:6" x14ac:dyDescent="0.25">
      <c r="A449" s="3"/>
      <c r="F449" s="9"/>
    </row>
    <row r="450" spans="1:6" x14ac:dyDescent="0.25">
      <c r="A450" s="3"/>
      <c r="F450" s="9"/>
    </row>
    <row r="451" spans="1:6" x14ac:dyDescent="0.25">
      <c r="A451" s="3"/>
      <c r="F451" s="9"/>
    </row>
    <row r="452" spans="1:6" x14ac:dyDescent="0.25">
      <c r="A452" s="3"/>
      <c r="F452" s="9"/>
    </row>
    <row r="453" spans="1:6" x14ac:dyDescent="0.25">
      <c r="A453" s="3"/>
      <c r="F453" s="9"/>
    </row>
    <row r="454" spans="1:6" x14ac:dyDescent="0.25">
      <c r="A454" s="3"/>
      <c r="F454" s="9"/>
    </row>
    <row r="455" spans="1:6" x14ac:dyDescent="0.25">
      <c r="A455" s="3"/>
      <c r="F455" s="9"/>
    </row>
    <row r="456" spans="1:6" x14ac:dyDescent="0.25">
      <c r="A456" s="3"/>
      <c r="F456" s="9"/>
    </row>
    <row r="457" spans="1:6" x14ac:dyDescent="0.25">
      <c r="A457" s="3"/>
      <c r="F457" s="9"/>
    </row>
    <row r="458" spans="1:6" x14ac:dyDescent="0.25">
      <c r="A458" s="3"/>
      <c r="F458" s="9"/>
    </row>
    <row r="459" spans="1:6" x14ac:dyDescent="0.25">
      <c r="A459" s="3"/>
      <c r="F459" s="9"/>
    </row>
    <row r="460" spans="1:6" x14ac:dyDescent="0.25">
      <c r="A460" s="3"/>
      <c r="F460" s="9"/>
    </row>
    <row r="461" spans="1:6" x14ac:dyDescent="0.25">
      <c r="A461" s="3"/>
      <c r="F461" s="9"/>
    </row>
    <row r="462" spans="1:6" x14ac:dyDescent="0.25">
      <c r="A462" s="3"/>
      <c r="F462" s="9"/>
    </row>
    <row r="463" spans="1:6" x14ac:dyDescent="0.25">
      <c r="A463" s="3"/>
      <c r="F463" s="9"/>
    </row>
    <row r="464" spans="1:6" x14ac:dyDescent="0.25">
      <c r="A464" s="3"/>
      <c r="F464" s="9"/>
    </row>
    <row r="465" spans="1:6" x14ac:dyDescent="0.25">
      <c r="A465" s="3"/>
      <c r="F465" s="9"/>
    </row>
    <row r="466" spans="1:6" x14ac:dyDescent="0.25">
      <c r="A466" s="3"/>
      <c r="F466" s="9"/>
    </row>
    <row r="467" spans="1:6" x14ac:dyDescent="0.25">
      <c r="A467" s="3"/>
      <c r="F467" s="9"/>
    </row>
    <row r="468" spans="1:6" x14ac:dyDescent="0.25">
      <c r="A468" s="3"/>
      <c r="F468" s="9"/>
    </row>
    <row r="469" spans="1:6" x14ac:dyDescent="0.25">
      <c r="A469" s="3"/>
      <c r="F469" s="9"/>
    </row>
    <row r="470" spans="1:6" x14ac:dyDescent="0.25">
      <c r="A470" s="3"/>
      <c r="F470" s="9"/>
    </row>
    <row r="471" spans="1:6" x14ac:dyDescent="0.25">
      <c r="A471" s="3"/>
      <c r="F471" s="9"/>
    </row>
    <row r="472" spans="1:6" x14ac:dyDescent="0.25">
      <c r="A472" s="3"/>
      <c r="F472" s="9"/>
    </row>
    <row r="473" spans="1:6" x14ac:dyDescent="0.25">
      <c r="A473" s="3"/>
      <c r="F473" s="9"/>
    </row>
    <row r="474" spans="1:6" x14ac:dyDescent="0.25">
      <c r="A474" s="3"/>
      <c r="F474" s="9"/>
    </row>
    <row r="475" spans="1:6" x14ac:dyDescent="0.25">
      <c r="A475" s="3"/>
      <c r="F475" s="9"/>
    </row>
    <row r="476" spans="1:6" x14ac:dyDescent="0.25">
      <c r="A476" s="3"/>
      <c r="F476" s="9"/>
    </row>
    <row r="477" spans="1:6" x14ac:dyDescent="0.25">
      <c r="A477" s="3"/>
      <c r="F477" s="9"/>
    </row>
    <row r="478" spans="1:6" x14ac:dyDescent="0.25">
      <c r="A478" s="3"/>
      <c r="F478" s="9"/>
    </row>
    <row r="479" spans="1:6" x14ac:dyDescent="0.25">
      <c r="A479" s="3"/>
      <c r="F479" s="9"/>
    </row>
    <row r="480" spans="1:6" x14ac:dyDescent="0.25">
      <c r="A480" s="3"/>
      <c r="F480" s="9"/>
    </row>
    <row r="481" spans="1:6" x14ac:dyDescent="0.25">
      <c r="A481" s="3"/>
      <c r="F481" s="9"/>
    </row>
    <row r="482" spans="1:6" x14ac:dyDescent="0.25">
      <c r="A482" s="3"/>
      <c r="F482" s="9"/>
    </row>
    <row r="483" spans="1:6" x14ac:dyDescent="0.25">
      <c r="A483" s="3"/>
      <c r="F483" s="9"/>
    </row>
    <row r="484" spans="1:6" x14ac:dyDescent="0.25">
      <c r="A484" s="3"/>
      <c r="F484" s="9"/>
    </row>
    <row r="485" spans="1:6" x14ac:dyDescent="0.25">
      <c r="A485" s="3"/>
      <c r="F485" s="9"/>
    </row>
    <row r="486" spans="1:6" x14ac:dyDescent="0.25">
      <c r="A486" s="3"/>
      <c r="F486" s="9"/>
    </row>
    <row r="487" spans="1:6" x14ac:dyDescent="0.25">
      <c r="A487" s="3"/>
      <c r="F487" s="9"/>
    </row>
    <row r="488" spans="1:6" x14ac:dyDescent="0.25">
      <c r="A488" s="3"/>
      <c r="F488" s="9"/>
    </row>
    <row r="489" spans="1:6" x14ac:dyDescent="0.25">
      <c r="A489" s="3"/>
      <c r="F489" s="9"/>
    </row>
    <row r="490" spans="1:6" x14ac:dyDescent="0.25">
      <c r="A490" s="3"/>
      <c r="F490" s="9"/>
    </row>
    <row r="491" spans="1:6" x14ac:dyDescent="0.25">
      <c r="A491" s="3"/>
      <c r="F491" s="9"/>
    </row>
    <row r="492" spans="1:6" x14ac:dyDescent="0.25">
      <c r="A492" s="3"/>
      <c r="F492" s="9"/>
    </row>
    <row r="493" spans="1:6" x14ac:dyDescent="0.25">
      <c r="A493" s="3"/>
      <c r="F493" s="9"/>
    </row>
    <row r="494" spans="1:6" x14ac:dyDescent="0.25">
      <c r="A494" s="3"/>
      <c r="F494" s="9"/>
    </row>
    <row r="495" spans="1:6" x14ac:dyDescent="0.25">
      <c r="A495" s="3"/>
      <c r="F495" s="9"/>
    </row>
    <row r="496" spans="1:6" x14ac:dyDescent="0.25">
      <c r="A496" s="3"/>
      <c r="F496" s="9"/>
    </row>
    <row r="497" spans="1:6" x14ac:dyDescent="0.25">
      <c r="A497" s="3"/>
      <c r="F497" s="9"/>
    </row>
    <row r="498" spans="1:6" x14ac:dyDescent="0.25">
      <c r="A498" s="3"/>
      <c r="F498" s="9"/>
    </row>
    <row r="499" spans="1:6" x14ac:dyDescent="0.25">
      <c r="A499" s="3"/>
      <c r="F499" s="9"/>
    </row>
    <row r="500" spans="1:6" x14ac:dyDescent="0.25">
      <c r="A500" s="3"/>
      <c r="F500" s="9"/>
    </row>
    <row r="501" spans="1:6" x14ac:dyDescent="0.25">
      <c r="A501" s="3"/>
      <c r="F501" s="9"/>
    </row>
    <row r="502" spans="1:6" x14ac:dyDescent="0.25">
      <c r="A502" s="3"/>
      <c r="F502" s="9"/>
    </row>
    <row r="503" spans="1:6" x14ac:dyDescent="0.25">
      <c r="A503" s="3"/>
      <c r="F503" s="9"/>
    </row>
    <row r="504" spans="1:6" x14ac:dyDescent="0.25">
      <c r="A504" s="3"/>
      <c r="F504" s="9"/>
    </row>
    <row r="505" spans="1:6" x14ac:dyDescent="0.25">
      <c r="A505" s="3"/>
      <c r="F505" s="9"/>
    </row>
    <row r="506" spans="1:6" x14ac:dyDescent="0.25">
      <c r="A506" s="3"/>
      <c r="F506" s="9"/>
    </row>
    <row r="507" spans="1:6" x14ac:dyDescent="0.25">
      <c r="A507" s="3"/>
      <c r="F507" s="9"/>
    </row>
    <row r="508" spans="1:6" x14ac:dyDescent="0.25">
      <c r="A508" s="3"/>
      <c r="F508" s="9"/>
    </row>
    <row r="509" spans="1:6" x14ac:dyDescent="0.25">
      <c r="A509" s="3"/>
      <c r="F509" s="9"/>
    </row>
    <row r="510" spans="1:6" x14ac:dyDescent="0.25">
      <c r="A510" s="3"/>
      <c r="F510" s="9"/>
    </row>
    <row r="511" spans="1:6" x14ac:dyDescent="0.25">
      <c r="A511" s="3"/>
      <c r="F511" s="9"/>
    </row>
    <row r="512" spans="1:6" x14ac:dyDescent="0.25">
      <c r="A512" s="3"/>
      <c r="F512" s="9"/>
    </row>
    <row r="513" spans="1:6" x14ac:dyDescent="0.25">
      <c r="A513" s="3"/>
      <c r="F513" s="9"/>
    </row>
    <row r="514" spans="1:6" x14ac:dyDescent="0.25">
      <c r="A514" s="3"/>
      <c r="F514" s="9"/>
    </row>
    <row r="515" spans="1:6" x14ac:dyDescent="0.25">
      <c r="A515" s="3"/>
      <c r="F515" s="9"/>
    </row>
    <row r="516" spans="1:6" x14ac:dyDescent="0.25">
      <c r="A516" s="3"/>
      <c r="F516" s="9"/>
    </row>
    <row r="517" spans="1:6" x14ac:dyDescent="0.25">
      <c r="A517" s="3"/>
      <c r="F517" s="9"/>
    </row>
    <row r="518" spans="1:6" x14ac:dyDescent="0.25">
      <c r="A518" s="3"/>
      <c r="F518" s="9"/>
    </row>
    <row r="519" spans="1:6" x14ac:dyDescent="0.25">
      <c r="A519" s="3"/>
      <c r="F519" s="9"/>
    </row>
    <row r="520" spans="1:6" x14ac:dyDescent="0.25">
      <c r="A520" s="3"/>
      <c r="F520" s="9"/>
    </row>
    <row r="521" spans="1:6" x14ac:dyDescent="0.25">
      <c r="A521" s="3"/>
      <c r="F521" s="9"/>
    </row>
    <row r="522" spans="1:6" x14ac:dyDescent="0.25">
      <c r="A522" s="3"/>
      <c r="F522" s="9"/>
    </row>
    <row r="523" spans="1:6" x14ac:dyDescent="0.25">
      <c r="A523" s="3"/>
      <c r="F523" s="9"/>
    </row>
    <row r="524" spans="1:6" x14ac:dyDescent="0.25">
      <c r="A524" s="3"/>
      <c r="F524" s="9"/>
    </row>
    <row r="525" spans="1:6" x14ac:dyDescent="0.25">
      <c r="A525" s="3"/>
      <c r="F525" s="9"/>
    </row>
    <row r="526" spans="1:6" x14ac:dyDescent="0.25">
      <c r="A526" s="3"/>
      <c r="F526" s="9"/>
    </row>
    <row r="527" spans="1:6" x14ac:dyDescent="0.25">
      <c r="A527" s="3"/>
      <c r="F527" s="9"/>
    </row>
    <row r="528" spans="1:6" x14ac:dyDescent="0.25">
      <c r="A528" s="3"/>
      <c r="F528" s="9"/>
    </row>
    <row r="529" spans="1:6" x14ac:dyDescent="0.25">
      <c r="A529" s="3"/>
      <c r="F529" s="9"/>
    </row>
    <row r="530" spans="1:6" x14ac:dyDescent="0.25">
      <c r="A530" s="3"/>
      <c r="F530" s="9"/>
    </row>
    <row r="531" spans="1:6" x14ac:dyDescent="0.25">
      <c r="A531" s="3"/>
      <c r="F531" s="9"/>
    </row>
    <row r="532" spans="1:6" x14ac:dyDescent="0.25">
      <c r="A532" s="3"/>
      <c r="F532" s="9"/>
    </row>
    <row r="533" spans="1:6" x14ac:dyDescent="0.25">
      <c r="A533" s="3"/>
      <c r="F533" s="9"/>
    </row>
    <row r="534" spans="1:6" x14ac:dyDescent="0.25">
      <c r="A534" s="3"/>
      <c r="F534" s="9"/>
    </row>
    <row r="535" spans="1:6" x14ac:dyDescent="0.25">
      <c r="A535" s="3"/>
      <c r="F535" s="9"/>
    </row>
    <row r="536" spans="1:6" x14ac:dyDescent="0.25">
      <c r="A536" s="3"/>
      <c r="F536" s="9"/>
    </row>
    <row r="537" spans="1:6" x14ac:dyDescent="0.25">
      <c r="A537" s="3"/>
      <c r="F537" s="9"/>
    </row>
    <row r="538" spans="1:6" x14ac:dyDescent="0.25">
      <c r="A538" s="3"/>
      <c r="F538" s="9"/>
    </row>
    <row r="539" spans="1:6" x14ac:dyDescent="0.25">
      <c r="A539" s="3"/>
      <c r="F539" s="9"/>
    </row>
    <row r="540" spans="1:6" x14ac:dyDescent="0.25">
      <c r="A540" s="3"/>
      <c r="F540" s="9"/>
    </row>
    <row r="541" spans="1:6" x14ac:dyDescent="0.25">
      <c r="A541" s="3"/>
      <c r="F541" s="9"/>
    </row>
    <row r="542" spans="1:6" x14ac:dyDescent="0.25">
      <c r="A542" s="3"/>
      <c r="F542" s="9"/>
    </row>
    <row r="543" spans="1:6" x14ac:dyDescent="0.25">
      <c r="A543" s="3"/>
      <c r="F543" s="9"/>
    </row>
    <row r="544" spans="1:6" x14ac:dyDescent="0.25">
      <c r="A544" s="3"/>
      <c r="F544" s="9"/>
    </row>
    <row r="545" spans="1:6" x14ac:dyDescent="0.25">
      <c r="A545" s="3"/>
      <c r="F545" s="9"/>
    </row>
    <row r="546" spans="1:6" x14ac:dyDescent="0.25">
      <c r="A546" s="3"/>
      <c r="F546" s="9"/>
    </row>
    <row r="547" spans="1:6" x14ac:dyDescent="0.25">
      <c r="A547" s="3"/>
      <c r="F547" s="9"/>
    </row>
    <row r="548" spans="1:6" x14ac:dyDescent="0.25">
      <c r="A548" s="3"/>
      <c r="F548" s="9"/>
    </row>
    <row r="549" spans="1:6" x14ac:dyDescent="0.25">
      <c r="A549" s="3"/>
      <c r="F549" s="9"/>
    </row>
    <row r="550" spans="1:6" x14ac:dyDescent="0.25">
      <c r="A550" s="3"/>
      <c r="F550" s="9"/>
    </row>
    <row r="551" spans="1:6" x14ac:dyDescent="0.25">
      <c r="A551" s="3"/>
      <c r="F551" s="9"/>
    </row>
    <row r="552" spans="1:6" x14ac:dyDescent="0.25">
      <c r="A552" s="3"/>
      <c r="F552" s="9"/>
    </row>
    <row r="553" spans="1:6" x14ac:dyDescent="0.25">
      <c r="A553" s="3"/>
      <c r="F553" s="9"/>
    </row>
    <row r="554" spans="1:6" x14ac:dyDescent="0.25">
      <c r="A554" s="3"/>
      <c r="F554" s="9"/>
    </row>
    <row r="555" spans="1:6" x14ac:dyDescent="0.25">
      <c r="A555" s="3"/>
      <c r="F555" s="9"/>
    </row>
    <row r="556" spans="1:6" x14ac:dyDescent="0.25">
      <c r="A556" s="3"/>
      <c r="F556" s="9"/>
    </row>
    <row r="557" spans="1:6" x14ac:dyDescent="0.25">
      <c r="A557" s="3"/>
      <c r="F557" s="9"/>
    </row>
    <row r="558" spans="1:6" x14ac:dyDescent="0.25">
      <c r="A558" s="3"/>
      <c r="F558" s="9"/>
    </row>
    <row r="559" spans="1:6" x14ac:dyDescent="0.25">
      <c r="A559" s="3"/>
      <c r="F559" s="9"/>
    </row>
    <row r="560" spans="1:6" x14ac:dyDescent="0.25">
      <c r="A560" s="3"/>
      <c r="F560" s="9"/>
    </row>
    <row r="561" spans="1:6" x14ac:dyDescent="0.25">
      <c r="A561" s="3"/>
      <c r="F561" s="9"/>
    </row>
    <row r="562" spans="1:6" x14ac:dyDescent="0.25">
      <c r="A562" s="3"/>
      <c r="F562" s="9"/>
    </row>
    <row r="563" spans="1:6" x14ac:dyDescent="0.25">
      <c r="A563" s="3"/>
      <c r="F563" s="9"/>
    </row>
    <row r="564" spans="1:6" x14ac:dyDescent="0.25">
      <c r="A564" s="3"/>
      <c r="F564" s="9"/>
    </row>
    <row r="565" spans="1:6" x14ac:dyDescent="0.25">
      <c r="A565" s="3"/>
      <c r="F565" s="9"/>
    </row>
    <row r="566" spans="1:6" x14ac:dyDescent="0.25">
      <c r="A566" s="3"/>
      <c r="F566" s="9"/>
    </row>
    <row r="567" spans="1:6" x14ac:dyDescent="0.25">
      <c r="A567" s="3"/>
      <c r="F567" s="9"/>
    </row>
    <row r="568" spans="1:6" x14ac:dyDescent="0.25">
      <c r="A568" s="3"/>
      <c r="F568" s="9"/>
    </row>
    <row r="569" spans="1:6" x14ac:dyDescent="0.25">
      <c r="A569" s="3"/>
      <c r="F569" s="9"/>
    </row>
    <row r="570" spans="1:6" x14ac:dyDescent="0.25">
      <c r="A570" s="3"/>
      <c r="F570" s="9"/>
    </row>
    <row r="571" spans="1:6" x14ac:dyDescent="0.25">
      <c r="A571" s="3"/>
      <c r="F571" s="9"/>
    </row>
    <row r="572" spans="1:6" x14ac:dyDescent="0.25">
      <c r="A572" s="3"/>
      <c r="F572" s="9"/>
    </row>
    <row r="573" spans="1:6" x14ac:dyDescent="0.25">
      <c r="A573" s="3"/>
      <c r="F573" s="9"/>
    </row>
    <row r="574" spans="1:6" x14ac:dyDescent="0.25">
      <c r="A574" s="3"/>
      <c r="F574" s="9"/>
    </row>
    <row r="575" spans="1:6" x14ac:dyDescent="0.25">
      <c r="A575" s="3"/>
      <c r="F575" s="9"/>
    </row>
    <row r="576" spans="1:6" x14ac:dyDescent="0.25">
      <c r="A576" s="3"/>
      <c r="F576" s="9"/>
    </row>
    <row r="577" spans="1:6" x14ac:dyDescent="0.25">
      <c r="A577" s="3"/>
      <c r="F577" s="9"/>
    </row>
    <row r="578" spans="1:6" x14ac:dyDescent="0.25">
      <c r="A578" s="3"/>
      <c r="F578" s="9"/>
    </row>
    <row r="579" spans="1:6" x14ac:dyDescent="0.25">
      <c r="A579" s="3"/>
      <c r="F579" s="9"/>
    </row>
    <row r="580" spans="1:6" x14ac:dyDescent="0.25">
      <c r="A580" s="3"/>
      <c r="F580" s="9"/>
    </row>
    <row r="581" spans="1:6" x14ac:dyDescent="0.25">
      <c r="A581" s="3"/>
      <c r="F581" s="9"/>
    </row>
    <row r="582" spans="1:6" x14ac:dyDescent="0.25">
      <c r="A582" s="3"/>
      <c r="F582" s="9"/>
    </row>
    <row r="583" spans="1:6" x14ac:dyDescent="0.25">
      <c r="A583" s="3"/>
      <c r="F583" s="9"/>
    </row>
    <row r="584" spans="1:6" x14ac:dyDescent="0.25">
      <c r="A584" s="3"/>
      <c r="F584" s="9"/>
    </row>
    <row r="585" spans="1:6" x14ac:dyDescent="0.25">
      <c r="A585" s="3"/>
      <c r="F585" s="9"/>
    </row>
    <row r="586" spans="1:6" x14ac:dyDescent="0.25">
      <c r="A586" s="3"/>
      <c r="F586" s="9"/>
    </row>
    <row r="587" spans="1:6" x14ac:dyDescent="0.25">
      <c r="A587" s="3"/>
      <c r="F587" s="9"/>
    </row>
    <row r="588" spans="1:6" x14ac:dyDescent="0.25">
      <c r="A588" s="3"/>
      <c r="F588" s="9"/>
    </row>
    <row r="589" spans="1:6" x14ac:dyDescent="0.25">
      <c r="A589" s="3"/>
      <c r="F589" s="9"/>
    </row>
    <row r="590" spans="1:6" x14ac:dyDescent="0.25">
      <c r="A590" s="3"/>
      <c r="F590" s="9"/>
    </row>
    <row r="591" spans="1:6" x14ac:dyDescent="0.25">
      <c r="A591" s="3"/>
      <c r="F591" s="9"/>
    </row>
    <row r="592" spans="1:6" x14ac:dyDescent="0.25">
      <c r="A592" s="3"/>
      <c r="F592" s="9"/>
    </row>
    <row r="593" spans="1:6" x14ac:dyDescent="0.25">
      <c r="A593" s="3"/>
      <c r="F593" s="9"/>
    </row>
    <row r="594" spans="1:6" x14ac:dyDescent="0.25">
      <c r="A594" s="3"/>
      <c r="F594" s="9"/>
    </row>
    <row r="595" spans="1:6" x14ac:dyDescent="0.25">
      <c r="A595" s="3"/>
      <c r="F595" s="9"/>
    </row>
    <row r="596" spans="1:6" x14ac:dyDescent="0.25">
      <c r="A596" s="3"/>
      <c r="F596" s="9"/>
    </row>
    <row r="597" spans="1:6" x14ac:dyDescent="0.25">
      <c r="A597" s="3"/>
      <c r="F597" s="9"/>
    </row>
    <row r="598" spans="1:6" x14ac:dyDescent="0.25">
      <c r="A598" s="3"/>
      <c r="F598" s="9"/>
    </row>
    <row r="599" spans="1:6" x14ac:dyDescent="0.25">
      <c r="A599" s="3"/>
      <c r="F599" s="9"/>
    </row>
    <row r="600" spans="1:6" x14ac:dyDescent="0.25">
      <c r="A600" s="3"/>
      <c r="F600" s="9"/>
    </row>
    <row r="601" spans="1:6" x14ac:dyDescent="0.25">
      <c r="A601" s="3"/>
      <c r="F601" s="9"/>
    </row>
    <row r="602" spans="1:6" x14ac:dyDescent="0.25">
      <c r="A602" s="3"/>
      <c r="F602" s="9"/>
    </row>
    <row r="603" spans="1:6" x14ac:dyDescent="0.25">
      <c r="A603" s="3"/>
      <c r="F603" s="9"/>
    </row>
    <row r="604" spans="1:6" x14ac:dyDescent="0.25">
      <c r="A604" s="3"/>
      <c r="F604" s="9"/>
    </row>
    <row r="605" spans="1:6" x14ac:dyDescent="0.25">
      <c r="A605" s="3"/>
      <c r="F605" s="9"/>
    </row>
    <row r="606" spans="1:6" x14ac:dyDescent="0.25">
      <c r="A606" s="3"/>
      <c r="F606" s="9"/>
    </row>
    <row r="607" spans="1:6" x14ac:dyDescent="0.25">
      <c r="A607" s="3"/>
      <c r="F607" s="9"/>
    </row>
    <row r="608" spans="1:6" x14ac:dyDescent="0.25">
      <c r="A608" s="3"/>
      <c r="F608" s="9"/>
    </row>
    <row r="609" spans="1:6" x14ac:dyDescent="0.25">
      <c r="A609" s="3"/>
      <c r="F609" s="9"/>
    </row>
    <row r="610" spans="1:6" x14ac:dyDescent="0.25">
      <c r="A610" s="3"/>
      <c r="F610" s="9"/>
    </row>
    <row r="611" spans="1:6" x14ac:dyDescent="0.25">
      <c r="A611" s="3"/>
      <c r="F611" s="9"/>
    </row>
    <row r="612" spans="1:6" x14ac:dyDescent="0.25">
      <c r="A612" s="3"/>
      <c r="F612" s="9"/>
    </row>
    <row r="613" spans="1:6" x14ac:dyDescent="0.25">
      <c r="A613" s="3"/>
      <c r="F613" s="9"/>
    </row>
    <row r="614" spans="1:6" x14ac:dyDescent="0.25">
      <c r="A614" s="3"/>
      <c r="F614" s="9"/>
    </row>
    <row r="615" spans="1:6" x14ac:dyDescent="0.25">
      <c r="A615" s="3"/>
      <c r="F615" s="9"/>
    </row>
    <row r="616" spans="1:6" x14ac:dyDescent="0.25">
      <c r="A616" s="3"/>
      <c r="F616" s="9"/>
    </row>
    <row r="617" spans="1:6" x14ac:dyDescent="0.25">
      <c r="A617" s="3"/>
      <c r="F617" s="9"/>
    </row>
    <row r="618" spans="1:6" x14ac:dyDescent="0.25">
      <c r="A618" s="3"/>
      <c r="F618" s="9"/>
    </row>
    <row r="619" spans="1:6" x14ac:dyDescent="0.25">
      <c r="A619" s="3"/>
      <c r="F619" s="9"/>
    </row>
    <row r="620" spans="1:6" x14ac:dyDescent="0.25">
      <c r="A620" s="3"/>
      <c r="F620" s="9"/>
    </row>
    <row r="621" spans="1:6" x14ac:dyDescent="0.25">
      <c r="A621" s="3"/>
      <c r="F621" s="9"/>
    </row>
    <row r="622" spans="1:6" x14ac:dyDescent="0.25">
      <c r="A622" s="3"/>
      <c r="F622" s="9"/>
    </row>
    <row r="623" spans="1:6" x14ac:dyDescent="0.25">
      <c r="A623" s="3"/>
      <c r="F623" s="9"/>
    </row>
    <row r="624" spans="1:6" x14ac:dyDescent="0.25">
      <c r="A624" s="3"/>
      <c r="F624" s="9"/>
    </row>
    <row r="625" spans="1:6" x14ac:dyDescent="0.25">
      <c r="A625" s="3"/>
      <c r="F625" s="9"/>
    </row>
    <row r="626" spans="1:6" x14ac:dyDescent="0.25">
      <c r="A626" s="3"/>
      <c r="F626" s="9"/>
    </row>
    <row r="627" spans="1:6" x14ac:dyDescent="0.25">
      <c r="A627" s="3"/>
      <c r="F627" s="9"/>
    </row>
    <row r="628" spans="1:6" x14ac:dyDescent="0.25">
      <c r="A628" s="3"/>
      <c r="F628" s="9"/>
    </row>
    <row r="629" spans="1:6" x14ac:dyDescent="0.25">
      <c r="A629" s="3"/>
      <c r="F629" s="9"/>
    </row>
    <row r="630" spans="1:6" x14ac:dyDescent="0.25">
      <c r="A630" s="3"/>
      <c r="F630" s="9"/>
    </row>
    <row r="631" spans="1:6" x14ac:dyDescent="0.25">
      <c r="A631" s="3"/>
      <c r="F631" s="9"/>
    </row>
    <row r="632" spans="1:6" x14ac:dyDescent="0.25">
      <c r="A632" s="3"/>
      <c r="F632" s="9"/>
    </row>
    <row r="633" spans="1:6" x14ac:dyDescent="0.25">
      <c r="A633" s="3"/>
      <c r="F633" s="9"/>
    </row>
    <row r="634" spans="1:6" x14ac:dyDescent="0.25">
      <c r="A634" s="3"/>
      <c r="F634" s="9"/>
    </row>
    <row r="635" spans="1:6" x14ac:dyDescent="0.25">
      <c r="A635" s="3"/>
      <c r="F635" s="9"/>
    </row>
    <row r="636" spans="1:6" x14ac:dyDescent="0.25">
      <c r="A636" s="3"/>
      <c r="F636" s="9"/>
    </row>
    <row r="637" spans="1:6" x14ac:dyDescent="0.25">
      <c r="A637" s="3"/>
      <c r="F637" s="9"/>
    </row>
    <row r="638" spans="1:6" x14ac:dyDescent="0.25">
      <c r="A638" s="3"/>
      <c r="F638" s="9"/>
    </row>
    <row r="639" spans="1:6" x14ac:dyDescent="0.25">
      <c r="A639" s="3"/>
      <c r="F639" s="9"/>
    </row>
    <row r="640" spans="1:6" x14ac:dyDescent="0.25">
      <c r="A640" s="3"/>
      <c r="F640" s="9"/>
    </row>
    <row r="641" spans="1:6" x14ac:dyDescent="0.25">
      <c r="A641" s="3"/>
      <c r="F641" s="9"/>
    </row>
    <row r="642" spans="1:6" x14ac:dyDescent="0.25">
      <c r="A642" s="3"/>
      <c r="F642" s="9"/>
    </row>
    <row r="643" spans="1:6" x14ac:dyDescent="0.25">
      <c r="A643" s="3"/>
      <c r="F643" s="9"/>
    </row>
    <row r="644" spans="1:6" x14ac:dyDescent="0.25">
      <c r="A644" s="3"/>
      <c r="F644" s="9"/>
    </row>
    <row r="645" spans="1:6" x14ac:dyDescent="0.25">
      <c r="A645" s="3"/>
      <c r="F645" s="9"/>
    </row>
    <row r="646" spans="1:6" x14ac:dyDescent="0.25">
      <c r="A646" s="3"/>
      <c r="F646" s="9"/>
    </row>
    <row r="647" spans="1:6" x14ac:dyDescent="0.25">
      <c r="A647" s="3"/>
      <c r="F647" s="9"/>
    </row>
    <row r="648" spans="1:6" x14ac:dyDescent="0.25">
      <c r="A648" s="3"/>
      <c r="F648" s="9"/>
    </row>
    <row r="649" spans="1:6" x14ac:dyDescent="0.25">
      <c r="A649" s="3"/>
      <c r="F649" s="9"/>
    </row>
    <row r="650" spans="1:6" x14ac:dyDescent="0.25">
      <c r="A650" s="3"/>
      <c r="F650" s="9"/>
    </row>
    <row r="651" spans="1:6" x14ac:dyDescent="0.25">
      <c r="A651" s="3"/>
      <c r="F651" s="9"/>
    </row>
    <row r="652" spans="1:6" x14ac:dyDescent="0.25">
      <c r="A652" s="3"/>
      <c r="F652" s="9"/>
    </row>
    <row r="653" spans="1:6" x14ac:dyDescent="0.25">
      <c r="A653" s="3"/>
      <c r="F653" s="9"/>
    </row>
    <row r="654" spans="1:6" x14ac:dyDescent="0.25">
      <c r="A654" s="3"/>
      <c r="F654" s="9"/>
    </row>
    <row r="655" spans="1:6" x14ac:dyDescent="0.25">
      <c r="A655" s="3"/>
      <c r="F655" s="9"/>
    </row>
    <row r="656" spans="1:6" x14ac:dyDescent="0.25">
      <c r="A656" s="3"/>
      <c r="F656" s="9"/>
    </row>
    <row r="657" spans="1:6" x14ac:dyDescent="0.25">
      <c r="A657" s="3"/>
      <c r="F657" s="9"/>
    </row>
    <row r="658" spans="1:6" x14ac:dyDescent="0.25">
      <c r="A658" s="3"/>
      <c r="F658" s="9"/>
    </row>
    <row r="659" spans="1:6" x14ac:dyDescent="0.25">
      <c r="A659" s="3"/>
      <c r="F659" s="9"/>
    </row>
    <row r="660" spans="1:6" x14ac:dyDescent="0.25">
      <c r="A660" s="3"/>
      <c r="F660" s="9"/>
    </row>
    <row r="661" spans="1:6" x14ac:dyDescent="0.25">
      <c r="A661" s="3"/>
      <c r="F661" s="9"/>
    </row>
    <row r="662" spans="1:6" x14ac:dyDescent="0.25">
      <c r="A662" s="3"/>
      <c r="F662" s="9"/>
    </row>
    <row r="663" spans="1:6" x14ac:dyDescent="0.25">
      <c r="A663" s="3"/>
      <c r="F663" s="9"/>
    </row>
    <row r="664" spans="1:6" x14ac:dyDescent="0.25">
      <c r="A664" s="3"/>
      <c r="F664" s="9"/>
    </row>
    <row r="665" spans="1:6" x14ac:dyDescent="0.25">
      <c r="A665" s="3"/>
      <c r="F665" s="9"/>
    </row>
    <row r="666" spans="1:6" x14ac:dyDescent="0.25">
      <c r="A666" s="3"/>
      <c r="F666" s="9"/>
    </row>
    <row r="667" spans="1:6" x14ac:dyDescent="0.25">
      <c r="A667" s="3"/>
      <c r="F667" s="9"/>
    </row>
    <row r="668" spans="1:6" x14ac:dyDescent="0.25">
      <c r="A668" s="3"/>
      <c r="F668" s="9"/>
    </row>
    <row r="669" spans="1:6" x14ac:dyDescent="0.25">
      <c r="A669" s="3"/>
      <c r="F669" s="9"/>
    </row>
    <row r="670" spans="1:6" x14ac:dyDescent="0.25">
      <c r="A670" s="3"/>
      <c r="F670" s="9"/>
    </row>
    <row r="671" spans="1:6" x14ac:dyDescent="0.25">
      <c r="A671" s="3"/>
      <c r="F671" s="9"/>
    </row>
    <row r="672" spans="1:6" x14ac:dyDescent="0.25">
      <c r="A672" s="3"/>
      <c r="F672" s="9"/>
    </row>
    <row r="673" spans="1:6" x14ac:dyDescent="0.25">
      <c r="A673" s="3"/>
      <c r="F673" s="9"/>
    </row>
    <row r="674" spans="1:6" x14ac:dyDescent="0.25">
      <c r="A674" s="3"/>
      <c r="F674" s="9"/>
    </row>
    <row r="675" spans="1:6" x14ac:dyDescent="0.25">
      <c r="A675" s="3"/>
      <c r="F675" s="9"/>
    </row>
    <row r="676" spans="1:6" x14ac:dyDescent="0.25">
      <c r="A676" s="3"/>
      <c r="F676" s="9"/>
    </row>
    <row r="677" spans="1:6" x14ac:dyDescent="0.25">
      <c r="A677" s="3"/>
      <c r="F677" s="9"/>
    </row>
    <row r="678" spans="1:6" x14ac:dyDescent="0.25">
      <c r="A678" s="3"/>
      <c r="F678" s="9"/>
    </row>
    <row r="679" spans="1:6" x14ac:dyDescent="0.25">
      <c r="A679" s="3"/>
      <c r="F679" s="9"/>
    </row>
    <row r="680" spans="1:6" x14ac:dyDescent="0.25">
      <c r="A680" s="3"/>
      <c r="F680" s="9"/>
    </row>
    <row r="681" spans="1:6" x14ac:dyDescent="0.25">
      <c r="A681" s="3"/>
      <c r="F681" s="9"/>
    </row>
    <row r="682" spans="1:6" x14ac:dyDescent="0.25">
      <c r="A682" s="3"/>
      <c r="F682" s="9"/>
    </row>
    <row r="683" spans="1:6" x14ac:dyDescent="0.25">
      <c r="A683" s="3"/>
      <c r="F683" s="9"/>
    </row>
    <row r="684" spans="1:6" x14ac:dyDescent="0.25">
      <c r="A684" s="3"/>
      <c r="F684" s="9"/>
    </row>
    <row r="685" spans="1:6" x14ac:dyDescent="0.25">
      <c r="A685" s="3"/>
      <c r="F685" s="9"/>
    </row>
    <row r="686" spans="1:6" x14ac:dyDescent="0.25">
      <c r="A686" s="3"/>
      <c r="F686" s="9"/>
    </row>
    <row r="687" spans="1:6" x14ac:dyDescent="0.25">
      <c r="A687" s="3"/>
      <c r="F687" s="9"/>
    </row>
    <row r="688" spans="1:6" x14ac:dyDescent="0.25">
      <c r="A688" s="3"/>
      <c r="F688" s="9"/>
    </row>
    <row r="689" spans="1:6" x14ac:dyDescent="0.25">
      <c r="A689" s="3"/>
      <c r="F689" s="9"/>
    </row>
    <row r="690" spans="1:6" x14ac:dyDescent="0.25">
      <c r="A690" s="3"/>
      <c r="F690" s="9"/>
    </row>
    <row r="691" spans="1:6" x14ac:dyDescent="0.25">
      <c r="A691" s="3"/>
      <c r="F691" s="9"/>
    </row>
    <row r="692" spans="1:6" x14ac:dyDescent="0.25">
      <c r="A692" s="3"/>
      <c r="F692" s="9"/>
    </row>
    <row r="693" spans="1:6" x14ac:dyDescent="0.25">
      <c r="A693" s="3"/>
      <c r="F693" s="9"/>
    </row>
    <row r="694" spans="1:6" x14ac:dyDescent="0.25">
      <c r="A694" s="3"/>
      <c r="F694" s="9"/>
    </row>
    <row r="695" spans="1:6" x14ac:dyDescent="0.25">
      <c r="A695" s="3"/>
      <c r="F695" s="9"/>
    </row>
    <row r="696" spans="1:6" x14ac:dyDescent="0.25">
      <c r="A696" s="3"/>
      <c r="F696" s="9"/>
    </row>
    <row r="697" spans="1:6" x14ac:dyDescent="0.25">
      <c r="A697" s="3"/>
      <c r="F697" s="9"/>
    </row>
    <row r="698" spans="1:6" x14ac:dyDescent="0.25">
      <c r="A698" s="3"/>
      <c r="F698" s="9"/>
    </row>
    <row r="699" spans="1:6" x14ac:dyDescent="0.25">
      <c r="A699" s="3"/>
      <c r="F699" s="9"/>
    </row>
    <row r="700" spans="1:6" x14ac:dyDescent="0.25">
      <c r="A700" s="3"/>
      <c r="F700" s="9"/>
    </row>
    <row r="701" spans="1:6" x14ac:dyDescent="0.25">
      <c r="A701" s="3"/>
      <c r="F701" s="9"/>
    </row>
    <row r="702" spans="1:6" x14ac:dyDescent="0.25">
      <c r="A702" s="3"/>
      <c r="F702" s="9"/>
    </row>
    <row r="703" spans="1:6" x14ac:dyDescent="0.25">
      <c r="A703" s="3"/>
      <c r="F703" s="9"/>
    </row>
    <row r="704" spans="1:6" x14ac:dyDescent="0.25">
      <c r="A704" s="3"/>
      <c r="F704" s="9"/>
    </row>
    <row r="705" spans="1:6" x14ac:dyDescent="0.25">
      <c r="A705" s="3"/>
      <c r="F705" s="9"/>
    </row>
    <row r="706" spans="1:6" x14ac:dyDescent="0.25">
      <c r="A706" s="3"/>
      <c r="F706" s="9"/>
    </row>
    <row r="707" spans="1:6" x14ac:dyDescent="0.25">
      <c r="A707" s="3"/>
      <c r="F707" s="9"/>
    </row>
    <row r="708" spans="1:6" x14ac:dyDescent="0.25">
      <c r="A708" s="3"/>
      <c r="F708" s="9"/>
    </row>
    <row r="709" spans="1:6" x14ac:dyDescent="0.25">
      <c r="A709" s="3"/>
      <c r="F709" s="9"/>
    </row>
    <row r="710" spans="1:6" x14ac:dyDescent="0.25">
      <c r="A710" s="3"/>
      <c r="F710" s="9"/>
    </row>
    <row r="711" spans="1:6" x14ac:dyDescent="0.25">
      <c r="A711" s="3"/>
      <c r="F711" s="9"/>
    </row>
    <row r="712" spans="1:6" x14ac:dyDescent="0.25">
      <c r="A712" s="3"/>
      <c r="F712" s="9"/>
    </row>
    <row r="713" spans="1:6" x14ac:dyDescent="0.25">
      <c r="A713" s="3"/>
      <c r="F713" s="9"/>
    </row>
    <row r="714" spans="1:6" x14ac:dyDescent="0.25">
      <c r="A714" s="3"/>
      <c r="F714" s="9"/>
    </row>
    <row r="715" spans="1:6" x14ac:dyDescent="0.25">
      <c r="A715" s="3"/>
      <c r="F715" s="9"/>
    </row>
    <row r="716" spans="1:6" x14ac:dyDescent="0.25">
      <c r="A716" s="3"/>
      <c r="F716" s="9"/>
    </row>
    <row r="717" spans="1:6" x14ac:dyDescent="0.25">
      <c r="A717" s="3"/>
      <c r="F717" s="9"/>
    </row>
    <row r="718" spans="1:6" x14ac:dyDescent="0.25">
      <c r="A718" s="3"/>
      <c r="F718" s="9"/>
    </row>
    <row r="719" spans="1:6" x14ac:dyDescent="0.25">
      <c r="A719" s="3"/>
      <c r="F719" s="9"/>
    </row>
    <row r="720" spans="1:6" x14ac:dyDescent="0.25">
      <c r="A720" s="3"/>
      <c r="F720" s="9"/>
    </row>
    <row r="721" spans="1:6" x14ac:dyDescent="0.25">
      <c r="A721" s="3"/>
      <c r="F721" s="9"/>
    </row>
    <row r="722" spans="1:6" x14ac:dyDescent="0.25">
      <c r="A722" s="3"/>
      <c r="F722" s="9"/>
    </row>
    <row r="723" spans="1:6" x14ac:dyDescent="0.25">
      <c r="A723" s="3"/>
      <c r="F723" s="9"/>
    </row>
    <row r="724" spans="1:6" x14ac:dyDescent="0.25">
      <c r="A724" s="3"/>
      <c r="F724" s="9"/>
    </row>
    <row r="725" spans="1:6" x14ac:dyDescent="0.25">
      <c r="A725" s="3"/>
      <c r="F725" s="9"/>
    </row>
    <row r="726" spans="1:6" x14ac:dyDescent="0.25">
      <c r="A726" s="3"/>
      <c r="F726" s="9"/>
    </row>
    <row r="727" spans="1:6" x14ac:dyDescent="0.25">
      <c r="A727" s="3"/>
      <c r="F727" s="9"/>
    </row>
    <row r="728" spans="1:6" x14ac:dyDescent="0.25">
      <c r="A728" s="3"/>
      <c r="F728" s="9"/>
    </row>
    <row r="729" spans="1:6" x14ac:dyDescent="0.25">
      <c r="A729" s="3"/>
      <c r="F729" s="9"/>
    </row>
    <row r="730" spans="1:6" x14ac:dyDescent="0.25">
      <c r="A730" s="3"/>
      <c r="F730" s="9"/>
    </row>
    <row r="731" spans="1:6" x14ac:dyDescent="0.25">
      <c r="A731" s="3"/>
      <c r="F731" s="9"/>
    </row>
    <row r="732" spans="1:6" x14ac:dyDescent="0.25">
      <c r="A732" s="3"/>
      <c r="F732" s="9"/>
    </row>
    <row r="733" spans="1:6" x14ac:dyDescent="0.25">
      <c r="A733" s="3"/>
      <c r="F733" s="9"/>
    </row>
    <row r="734" spans="1:6" x14ac:dyDescent="0.25">
      <c r="A734" s="3"/>
      <c r="F734" s="9"/>
    </row>
    <row r="735" spans="1:6" x14ac:dyDescent="0.25">
      <c r="A735" s="3"/>
      <c r="F735" s="9"/>
    </row>
    <row r="736" spans="1:6" x14ac:dyDescent="0.25">
      <c r="A736" s="3"/>
      <c r="F736" s="9"/>
    </row>
    <row r="737" spans="1:6" x14ac:dyDescent="0.25">
      <c r="A737" s="3"/>
      <c r="F737" s="9"/>
    </row>
    <row r="738" spans="1:6" x14ac:dyDescent="0.25">
      <c r="A738" s="3"/>
      <c r="F738" s="9"/>
    </row>
    <row r="739" spans="1:6" x14ac:dyDescent="0.25">
      <c r="A739" s="3"/>
      <c r="F739" s="9"/>
    </row>
    <row r="740" spans="1:6" x14ac:dyDescent="0.25">
      <c r="A740" s="3"/>
      <c r="F740" s="9"/>
    </row>
    <row r="741" spans="1:6" x14ac:dyDescent="0.25">
      <c r="A741" s="3"/>
      <c r="F741" s="9"/>
    </row>
    <row r="742" spans="1:6" x14ac:dyDescent="0.25">
      <c r="A742" s="3"/>
      <c r="F742" s="9"/>
    </row>
    <row r="743" spans="1:6" x14ac:dyDescent="0.25">
      <c r="A743" s="3"/>
      <c r="F743" s="9"/>
    </row>
    <row r="744" spans="1:6" x14ac:dyDescent="0.25">
      <c r="A744" s="3"/>
      <c r="F744" s="9"/>
    </row>
    <row r="745" spans="1:6" x14ac:dyDescent="0.25">
      <c r="A745" s="3"/>
      <c r="F745" s="9"/>
    </row>
    <row r="746" spans="1:6" x14ac:dyDescent="0.25">
      <c r="A746" s="3"/>
      <c r="F746" s="9"/>
    </row>
    <row r="747" spans="1:6" x14ac:dyDescent="0.25">
      <c r="A747" s="3"/>
      <c r="F747" s="9"/>
    </row>
    <row r="748" spans="1:6" x14ac:dyDescent="0.25">
      <c r="A748" s="3"/>
      <c r="F748" s="9"/>
    </row>
    <row r="749" spans="1:6" x14ac:dyDescent="0.25">
      <c r="A749" s="3"/>
      <c r="F749" s="9"/>
    </row>
    <row r="750" spans="1:6" x14ac:dyDescent="0.25">
      <c r="A750" s="3"/>
      <c r="F750" s="9"/>
    </row>
    <row r="751" spans="1:6" x14ac:dyDescent="0.25">
      <c r="A751" s="3"/>
      <c r="F751" s="9"/>
    </row>
    <row r="752" spans="1:6" x14ac:dyDescent="0.25">
      <c r="A752" s="3"/>
      <c r="F752" s="9"/>
    </row>
    <row r="753" spans="1:6" x14ac:dyDescent="0.25">
      <c r="A753" s="3"/>
      <c r="F753" s="9"/>
    </row>
    <row r="754" spans="1:6" x14ac:dyDescent="0.25">
      <c r="A754" s="3"/>
      <c r="F754" s="9"/>
    </row>
    <row r="755" spans="1:6" x14ac:dyDescent="0.25">
      <c r="A755" s="3"/>
      <c r="F755" s="9"/>
    </row>
    <row r="756" spans="1:6" x14ac:dyDescent="0.25">
      <c r="A756" s="3"/>
      <c r="F756" s="9"/>
    </row>
    <row r="757" spans="1:6" x14ac:dyDescent="0.25">
      <c r="A757" s="3"/>
      <c r="F757" s="9"/>
    </row>
    <row r="758" spans="1:6" x14ac:dyDescent="0.25">
      <c r="A758" s="3"/>
      <c r="F758" s="9"/>
    </row>
    <row r="759" spans="1:6" x14ac:dyDescent="0.25">
      <c r="A759" s="3"/>
      <c r="F759" s="9"/>
    </row>
    <row r="760" spans="1:6" x14ac:dyDescent="0.25">
      <c r="A760" s="3"/>
      <c r="F760" s="9"/>
    </row>
    <row r="761" spans="1:6" x14ac:dyDescent="0.25">
      <c r="A761" s="3"/>
      <c r="F761" s="9"/>
    </row>
    <row r="762" spans="1:6" x14ac:dyDescent="0.25">
      <c r="A762" s="3"/>
      <c r="F762" s="9"/>
    </row>
    <row r="763" spans="1:6" x14ac:dyDescent="0.25">
      <c r="A763" s="3"/>
      <c r="F763" s="9"/>
    </row>
    <row r="764" spans="1:6" x14ac:dyDescent="0.25">
      <c r="A764" s="3"/>
      <c r="F764" s="9"/>
    </row>
    <row r="765" spans="1:6" x14ac:dyDescent="0.25">
      <c r="A765" s="3"/>
      <c r="F765" s="9"/>
    </row>
    <row r="766" spans="1:6" x14ac:dyDescent="0.25">
      <c r="A766" s="3"/>
      <c r="F766" s="9"/>
    </row>
    <row r="767" spans="1:6" x14ac:dyDescent="0.25">
      <c r="A767" s="3"/>
      <c r="F767" s="9"/>
    </row>
    <row r="768" spans="1:6" x14ac:dyDescent="0.25">
      <c r="A768" s="3"/>
      <c r="F768" s="9"/>
    </row>
    <row r="769" spans="1:6" x14ac:dyDescent="0.25">
      <c r="A769" s="3"/>
      <c r="F769" s="9"/>
    </row>
    <row r="770" spans="1:6" x14ac:dyDescent="0.25">
      <c r="A770" s="3"/>
      <c r="F770" s="9"/>
    </row>
    <row r="771" spans="1:6" x14ac:dyDescent="0.25">
      <c r="A771" s="3"/>
      <c r="F771" s="9"/>
    </row>
    <row r="772" spans="1:6" x14ac:dyDescent="0.25">
      <c r="A772" s="3"/>
      <c r="F772" s="9"/>
    </row>
    <row r="773" spans="1:6" x14ac:dyDescent="0.25">
      <c r="A773" s="3"/>
      <c r="F773" s="9"/>
    </row>
    <row r="774" spans="1:6" x14ac:dyDescent="0.25">
      <c r="A774" s="3"/>
      <c r="F774" s="9"/>
    </row>
    <row r="775" spans="1:6" x14ac:dyDescent="0.25">
      <c r="A775" s="3"/>
      <c r="F775" s="9"/>
    </row>
    <row r="776" spans="1:6" x14ac:dyDescent="0.25">
      <c r="A776" s="3"/>
      <c r="F776" s="9"/>
    </row>
    <row r="777" spans="1:6" x14ac:dyDescent="0.25">
      <c r="A777" s="3"/>
      <c r="F777" s="9"/>
    </row>
    <row r="778" spans="1:6" x14ac:dyDescent="0.25">
      <c r="A778" s="3"/>
      <c r="F778" s="9"/>
    </row>
    <row r="779" spans="1:6" x14ac:dyDescent="0.25">
      <c r="A779" s="3"/>
      <c r="F779" s="9"/>
    </row>
    <row r="780" spans="1:6" x14ac:dyDescent="0.25">
      <c r="A780" s="3"/>
      <c r="F780" s="9"/>
    </row>
    <row r="781" spans="1:6" x14ac:dyDescent="0.25">
      <c r="A781" s="3"/>
      <c r="F781" s="9"/>
    </row>
    <row r="782" spans="1:6" x14ac:dyDescent="0.25">
      <c r="A782" s="3"/>
      <c r="F782" s="9"/>
    </row>
    <row r="783" spans="1:6" x14ac:dyDescent="0.25">
      <c r="A783" s="3"/>
      <c r="F783" s="9"/>
    </row>
    <row r="784" spans="1:6" x14ac:dyDescent="0.25">
      <c r="A784" s="3"/>
      <c r="F784" s="9"/>
    </row>
    <row r="785" spans="1:6" x14ac:dyDescent="0.25">
      <c r="A785" s="3"/>
      <c r="F785" s="9"/>
    </row>
    <row r="786" spans="1:6" x14ac:dyDescent="0.25">
      <c r="A786" s="3"/>
      <c r="F786" s="9"/>
    </row>
    <row r="787" spans="1:6" x14ac:dyDescent="0.25">
      <c r="A787" s="3"/>
      <c r="F787" s="9"/>
    </row>
    <row r="788" spans="1:6" x14ac:dyDescent="0.25">
      <c r="A788" s="3"/>
      <c r="F788" s="9"/>
    </row>
    <row r="789" spans="1:6" x14ac:dyDescent="0.25">
      <c r="A789" s="3"/>
      <c r="F789" s="9"/>
    </row>
    <row r="790" spans="1:6" x14ac:dyDescent="0.25">
      <c r="A790" s="3"/>
      <c r="F790" s="9"/>
    </row>
    <row r="791" spans="1:6" x14ac:dyDescent="0.25">
      <c r="A791" s="3"/>
      <c r="F791" s="9"/>
    </row>
    <row r="792" spans="1:6" x14ac:dyDescent="0.25">
      <c r="A792" s="3"/>
      <c r="F792" s="9"/>
    </row>
    <row r="793" spans="1:6" x14ac:dyDescent="0.25">
      <c r="A793" s="3"/>
      <c r="F793" s="9"/>
    </row>
    <row r="794" spans="1:6" x14ac:dyDescent="0.25">
      <c r="A794" s="3"/>
      <c r="F794" s="9"/>
    </row>
    <row r="795" spans="1:6" x14ac:dyDescent="0.25">
      <c r="A795" s="3"/>
      <c r="F795" s="9"/>
    </row>
    <row r="796" spans="1:6" x14ac:dyDescent="0.25">
      <c r="A796" s="3"/>
      <c r="F796" s="9"/>
    </row>
    <row r="797" spans="1:6" x14ac:dyDescent="0.25">
      <c r="A797" s="3"/>
      <c r="F797" s="9"/>
    </row>
    <row r="798" spans="1:6" x14ac:dyDescent="0.25">
      <c r="A798" s="3"/>
      <c r="F798" s="9"/>
    </row>
    <row r="799" spans="1:6" x14ac:dyDescent="0.25">
      <c r="A799" s="3"/>
      <c r="F799" s="9"/>
    </row>
    <row r="800" spans="1:6" x14ac:dyDescent="0.25">
      <c r="A800" s="3"/>
      <c r="F800" s="9"/>
    </row>
    <row r="801" spans="1:6" x14ac:dyDescent="0.25">
      <c r="A801" s="3"/>
      <c r="F801" s="9"/>
    </row>
    <row r="802" spans="1:6" x14ac:dyDescent="0.25">
      <c r="A802" s="3"/>
      <c r="F802" s="9"/>
    </row>
    <row r="803" spans="1:6" x14ac:dyDescent="0.25">
      <c r="A803" s="3"/>
      <c r="F803" s="9"/>
    </row>
    <row r="804" spans="1:6" x14ac:dyDescent="0.25">
      <c r="A804" s="3"/>
      <c r="F804" s="9"/>
    </row>
    <row r="805" spans="1:6" x14ac:dyDescent="0.25">
      <c r="A805" s="3"/>
      <c r="F805" s="9"/>
    </row>
    <row r="806" spans="1:6" x14ac:dyDescent="0.25">
      <c r="A806" s="3"/>
      <c r="F806" s="9"/>
    </row>
    <row r="807" spans="1:6" x14ac:dyDescent="0.25">
      <c r="A807" s="3"/>
      <c r="F807" s="9"/>
    </row>
    <row r="808" spans="1:6" x14ac:dyDescent="0.25">
      <c r="A808" s="3"/>
      <c r="F808" s="9"/>
    </row>
    <row r="809" spans="1:6" x14ac:dyDescent="0.25">
      <c r="A809" s="3"/>
      <c r="F809" s="9"/>
    </row>
    <row r="810" spans="1:6" x14ac:dyDescent="0.25">
      <c r="A810" s="3"/>
      <c r="F810" s="9"/>
    </row>
    <row r="811" spans="1:6" x14ac:dyDescent="0.25">
      <c r="A811" s="3"/>
      <c r="F811" s="9"/>
    </row>
    <row r="812" spans="1:6" x14ac:dyDescent="0.25">
      <c r="A812" s="3"/>
      <c r="F812" s="9"/>
    </row>
    <row r="813" spans="1:6" x14ac:dyDescent="0.25">
      <c r="A813" s="3"/>
      <c r="F813" s="9"/>
    </row>
    <row r="814" spans="1:6" x14ac:dyDescent="0.25">
      <c r="A814" s="3"/>
      <c r="F814" s="9"/>
    </row>
    <row r="815" spans="1:6" x14ac:dyDescent="0.25">
      <c r="A815" s="3"/>
      <c r="F815" s="9"/>
    </row>
    <row r="816" spans="1:6" x14ac:dyDescent="0.25">
      <c r="A816" s="3"/>
      <c r="F816" s="9"/>
    </row>
    <row r="817" spans="1:6" x14ac:dyDescent="0.25">
      <c r="A817" s="3"/>
      <c r="F817" s="9"/>
    </row>
    <row r="818" spans="1:6" x14ac:dyDescent="0.25">
      <c r="A818" s="3"/>
      <c r="F818" s="9"/>
    </row>
    <row r="819" spans="1:6" x14ac:dyDescent="0.25">
      <c r="A819" s="3"/>
      <c r="F819" s="9"/>
    </row>
    <row r="820" spans="1:6" x14ac:dyDescent="0.25">
      <c r="A820" s="3"/>
      <c r="F820" s="9"/>
    </row>
    <row r="821" spans="1:6" x14ac:dyDescent="0.25">
      <c r="A821" s="3"/>
      <c r="F821" s="9"/>
    </row>
    <row r="822" spans="1:6" x14ac:dyDescent="0.25">
      <c r="A822" s="3"/>
      <c r="F822" s="9"/>
    </row>
    <row r="823" spans="1:6" x14ac:dyDescent="0.25">
      <c r="A823" s="3"/>
      <c r="F823" s="9"/>
    </row>
    <row r="824" spans="1:6" x14ac:dyDescent="0.25">
      <c r="A824" s="3"/>
      <c r="F824" s="9"/>
    </row>
    <row r="825" spans="1:6" x14ac:dyDescent="0.25">
      <c r="A825" s="3"/>
      <c r="F825" s="9"/>
    </row>
    <row r="826" spans="1:6" x14ac:dyDescent="0.25">
      <c r="A826" s="3"/>
      <c r="F826" s="9"/>
    </row>
    <row r="827" spans="1:6" x14ac:dyDescent="0.25">
      <c r="A827" s="3"/>
      <c r="F827" s="9"/>
    </row>
    <row r="828" spans="1:6" x14ac:dyDescent="0.25">
      <c r="A828" s="3"/>
      <c r="F828" s="9"/>
    </row>
    <row r="829" spans="1:6" x14ac:dyDescent="0.25">
      <c r="A829" s="3"/>
      <c r="F829" s="9"/>
    </row>
    <row r="830" spans="1:6" x14ac:dyDescent="0.25">
      <c r="A830" s="3"/>
      <c r="F830" s="9"/>
    </row>
    <row r="831" spans="1:6" x14ac:dyDescent="0.25">
      <c r="A831" s="3"/>
      <c r="F831" s="9"/>
    </row>
    <row r="832" spans="1:6" x14ac:dyDescent="0.25">
      <c r="A832" s="3"/>
      <c r="F832" s="9"/>
    </row>
    <row r="833" spans="1:6" x14ac:dyDescent="0.25">
      <c r="A833" s="3"/>
      <c r="F833" s="9"/>
    </row>
    <row r="834" spans="1:6" x14ac:dyDescent="0.25">
      <c r="A834" s="3"/>
      <c r="F834" s="9"/>
    </row>
    <row r="835" spans="1:6" x14ac:dyDescent="0.25">
      <c r="A835" s="3"/>
      <c r="F835" s="9"/>
    </row>
    <row r="836" spans="1:6" x14ac:dyDescent="0.25">
      <c r="A836" s="3"/>
      <c r="F836" s="9"/>
    </row>
    <row r="837" spans="1:6" x14ac:dyDescent="0.25">
      <c r="A837" s="3"/>
      <c r="F837" s="9"/>
    </row>
    <row r="838" spans="1:6" x14ac:dyDescent="0.25">
      <c r="A838" s="3"/>
      <c r="F838" s="9"/>
    </row>
    <row r="839" spans="1:6" x14ac:dyDescent="0.25">
      <c r="A839" s="3"/>
      <c r="F839" s="9"/>
    </row>
    <row r="840" spans="1:6" x14ac:dyDescent="0.25">
      <c r="A840" s="3"/>
      <c r="F840" s="9"/>
    </row>
    <row r="841" spans="1:6" x14ac:dyDescent="0.25">
      <c r="A841" s="3"/>
      <c r="F841" s="9"/>
    </row>
    <row r="842" spans="1:6" x14ac:dyDescent="0.25">
      <c r="A842" s="3"/>
      <c r="F842" s="9"/>
    </row>
    <row r="843" spans="1:6" x14ac:dyDescent="0.25">
      <c r="A843" s="3"/>
      <c r="F843" s="9"/>
    </row>
    <row r="844" spans="1:6" x14ac:dyDescent="0.25">
      <c r="A844" s="3"/>
      <c r="F844" s="9"/>
    </row>
    <row r="845" spans="1:6" x14ac:dyDescent="0.25">
      <c r="A845" s="3"/>
      <c r="F845" s="9"/>
    </row>
    <row r="846" spans="1:6" x14ac:dyDescent="0.25">
      <c r="A846" s="3"/>
      <c r="F846" s="9"/>
    </row>
    <row r="847" spans="1:6" x14ac:dyDescent="0.25">
      <c r="A847" s="3"/>
      <c r="F847" s="9"/>
    </row>
    <row r="848" spans="1:6" x14ac:dyDescent="0.25">
      <c r="A848" s="3"/>
      <c r="F848" s="9"/>
    </row>
    <row r="849" spans="1:6" x14ac:dyDescent="0.25">
      <c r="A849" s="3"/>
      <c r="F849" s="9"/>
    </row>
    <row r="850" spans="1:6" x14ac:dyDescent="0.25">
      <c r="A850" s="3"/>
      <c r="F850" s="9"/>
    </row>
    <row r="851" spans="1:6" x14ac:dyDescent="0.25">
      <c r="A851" s="3"/>
      <c r="F851" s="9"/>
    </row>
    <row r="852" spans="1:6" x14ac:dyDescent="0.25">
      <c r="A852" s="3"/>
      <c r="F852" s="9"/>
    </row>
    <row r="853" spans="1:6" x14ac:dyDescent="0.25">
      <c r="A853" s="3"/>
      <c r="F853" s="9"/>
    </row>
    <row r="854" spans="1:6" x14ac:dyDescent="0.25">
      <c r="A854" s="3"/>
      <c r="F854" s="9"/>
    </row>
    <row r="855" spans="1:6" x14ac:dyDescent="0.25">
      <c r="A855" s="3"/>
      <c r="F855" s="9"/>
    </row>
    <row r="856" spans="1:6" x14ac:dyDescent="0.25">
      <c r="A856" s="3"/>
      <c r="F856" s="9"/>
    </row>
    <row r="857" spans="1:6" x14ac:dyDescent="0.25">
      <c r="A857" s="3"/>
      <c r="F857" s="9"/>
    </row>
    <row r="858" spans="1:6" x14ac:dyDescent="0.25">
      <c r="A858" s="3"/>
      <c r="F858" s="9"/>
    </row>
    <row r="859" spans="1:6" x14ac:dyDescent="0.25">
      <c r="A859" s="3"/>
      <c r="F859" s="9"/>
    </row>
    <row r="860" spans="1:6" x14ac:dyDescent="0.25">
      <c r="A860" s="3"/>
      <c r="F860" s="9"/>
    </row>
    <row r="861" spans="1:6" x14ac:dyDescent="0.25">
      <c r="A861" s="3"/>
      <c r="F861" s="9"/>
    </row>
    <row r="862" spans="1:6" x14ac:dyDescent="0.25">
      <c r="A862" s="3"/>
      <c r="F862" s="9"/>
    </row>
    <row r="863" spans="1:6" x14ac:dyDescent="0.25">
      <c r="A863" s="3"/>
      <c r="F863" s="9"/>
    </row>
    <row r="864" spans="1:6" x14ac:dyDescent="0.25">
      <c r="A864" s="3"/>
      <c r="F864" s="9"/>
    </row>
    <row r="865" spans="1:6" x14ac:dyDescent="0.25">
      <c r="A865" s="3"/>
      <c r="F865" s="9"/>
    </row>
    <row r="866" spans="1:6" x14ac:dyDescent="0.25">
      <c r="A866" s="3"/>
      <c r="F866" s="9"/>
    </row>
    <row r="867" spans="1:6" x14ac:dyDescent="0.25">
      <c r="A867" s="3"/>
      <c r="F867" s="9"/>
    </row>
    <row r="868" spans="1:6" x14ac:dyDescent="0.25">
      <c r="A868" s="3"/>
      <c r="F868" s="9"/>
    </row>
    <row r="869" spans="1:6" x14ac:dyDescent="0.25">
      <c r="A869" s="3"/>
      <c r="F869" s="9"/>
    </row>
    <row r="870" spans="1:6" x14ac:dyDescent="0.25">
      <c r="A870" s="3"/>
      <c r="F870" s="9"/>
    </row>
    <row r="871" spans="1:6" x14ac:dyDescent="0.25">
      <c r="A871" s="3"/>
      <c r="F871" s="9"/>
    </row>
    <row r="872" spans="1:6" x14ac:dyDescent="0.25">
      <c r="A872" s="3"/>
      <c r="F872" s="9"/>
    </row>
    <row r="873" spans="1:6" x14ac:dyDescent="0.25">
      <c r="A873" s="3"/>
      <c r="F873" s="9"/>
    </row>
    <row r="874" spans="1:6" x14ac:dyDescent="0.25">
      <c r="A874" s="3"/>
      <c r="F874" s="9"/>
    </row>
    <row r="875" spans="1:6" x14ac:dyDescent="0.25">
      <c r="A875" s="3"/>
      <c r="F875" s="9"/>
    </row>
    <row r="876" spans="1:6" x14ac:dyDescent="0.25">
      <c r="A876" s="3"/>
      <c r="F876" s="9"/>
    </row>
    <row r="877" spans="1:6" x14ac:dyDescent="0.25">
      <c r="A877" s="3"/>
      <c r="F877" s="9"/>
    </row>
    <row r="878" spans="1:6" x14ac:dyDescent="0.25">
      <c r="A878" s="3"/>
      <c r="F878" s="9"/>
    </row>
    <row r="879" spans="1:6" x14ac:dyDescent="0.25">
      <c r="A879" s="3"/>
      <c r="F879" s="9"/>
    </row>
    <row r="880" spans="1:6" x14ac:dyDescent="0.25">
      <c r="A880" s="3"/>
      <c r="F880" s="9"/>
    </row>
    <row r="881" spans="1:6" x14ac:dyDescent="0.25">
      <c r="A881" s="3"/>
      <c r="F881" s="9"/>
    </row>
    <row r="882" spans="1:6" x14ac:dyDescent="0.25">
      <c r="A882" s="3"/>
      <c r="F882" s="9"/>
    </row>
    <row r="883" spans="1:6" x14ac:dyDescent="0.25">
      <c r="A883" s="3"/>
      <c r="F883" s="9"/>
    </row>
    <row r="884" spans="1:6" x14ac:dyDescent="0.25">
      <c r="A884" s="3"/>
      <c r="F884" s="9"/>
    </row>
    <row r="885" spans="1:6" x14ac:dyDescent="0.25">
      <c r="A885" s="3"/>
      <c r="F885" s="9"/>
    </row>
    <row r="886" spans="1:6" x14ac:dyDescent="0.25">
      <c r="A886" s="3"/>
      <c r="F886" s="9"/>
    </row>
    <row r="887" spans="1:6" x14ac:dyDescent="0.25">
      <c r="A887" s="3"/>
      <c r="F887" s="9"/>
    </row>
    <row r="888" spans="1:6" x14ac:dyDescent="0.25">
      <c r="A888" s="3"/>
      <c r="F888" s="9"/>
    </row>
    <row r="889" spans="1:6" x14ac:dyDescent="0.25">
      <c r="A889" s="3"/>
      <c r="F889" s="9"/>
    </row>
    <row r="890" spans="1:6" x14ac:dyDescent="0.25">
      <c r="A890" s="3"/>
      <c r="F890" s="9"/>
    </row>
    <row r="891" spans="1:6" x14ac:dyDescent="0.25">
      <c r="A891" s="3"/>
      <c r="F891" s="9"/>
    </row>
    <row r="892" spans="1:6" x14ac:dyDescent="0.25">
      <c r="A892" s="3"/>
      <c r="F892" s="9"/>
    </row>
    <row r="893" spans="1:6" x14ac:dyDescent="0.25">
      <c r="A893" s="3"/>
      <c r="F893" s="9"/>
    </row>
    <row r="894" spans="1:6" x14ac:dyDescent="0.25">
      <c r="A894" s="3"/>
      <c r="F894" s="9"/>
    </row>
    <row r="895" spans="1:6" x14ac:dyDescent="0.25">
      <c r="A895" s="3"/>
      <c r="F895" s="9"/>
    </row>
    <row r="896" spans="1:6" x14ac:dyDescent="0.25">
      <c r="A896" s="3"/>
      <c r="F896" s="9"/>
    </row>
    <row r="897" spans="1:6" x14ac:dyDescent="0.25">
      <c r="A897" s="3"/>
      <c r="F897" s="9"/>
    </row>
    <row r="898" spans="1:6" x14ac:dyDescent="0.25">
      <c r="A898" s="3"/>
      <c r="F898" s="9"/>
    </row>
    <row r="899" spans="1:6" x14ac:dyDescent="0.25">
      <c r="A899" s="3"/>
      <c r="F899" s="9"/>
    </row>
    <row r="900" spans="1:6" x14ac:dyDescent="0.25">
      <c r="A900" s="3"/>
      <c r="F900" s="9"/>
    </row>
    <row r="901" spans="1:6" x14ac:dyDescent="0.25">
      <c r="A901" s="3"/>
      <c r="F901" s="9"/>
    </row>
    <row r="902" spans="1:6" x14ac:dyDescent="0.25">
      <c r="A902" s="3"/>
      <c r="F902" s="9"/>
    </row>
    <row r="903" spans="1:6" x14ac:dyDescent="0.25">
      <c r="A903" s="3"/>
      <c r="F903" s="9"/>
    </row>
    <row r="904" spans="1:6" x14ac:dyDescent="0.25">
      <c r="A904" s="3"/>
      <c r="F904" s="9"/>
    </row>
    <row r="905" spans="1:6" x14ac:dyDescent="0.25">
      <c r="A905" s="3"/>
      <c r="F905" s="9"/>
    </row>
    <row r="906" spans="1:6" x14ac:dyDescent="0.25">
      <c r="A906" s="3"/>
      <c r="F906" s="9"/>
    </row>
    <row r="907" spans="1:6" x14ac:dyDescent="0.25">
      <c r="A907" s="3"/>
      <c r="F907" s="9"/>
    </row>
    <row r="908" spans="1:6" x14ac:dyDescent="0.25">
      <c r="A908" s="3"/>
      <c r="F908" s="9"/>
    </row>
    <row r="909" spans="1:6" x14ac:dyDescent="0.25">
      <c r="A909" s="3"/>
      <c r="F909" s="9"/>
    </row>
    <row r="910" spans="1:6" x14ac:dyDescent="0.25">
      <c r="A910" s="3"/>
      <c r="F910" s="9"/>
    </row>
    <row r="911" spans="1:6" x14ac:dyDescent="0.25">
      <c r="A911" s="3"/>
      <c r="F911" s="9"/>
    </row>
    <row r="912" spans="1:6" x14ac:dyDescent="0.25">
      <c r="A912" s="3"/>
      <c r="F912" s="9"/>
    </row>
    <row r="913" spans="1:6" x14ac:dyDescent="0.25">
      <c r="A913" s="3"/>
      <c r="F913" s="9"/>
    </row>
    <row r="914" spans="1:6" x14ac:dyDescent="0.25">
      <c r="A914" s="3"/>
      <c r="F914" s="9"/>
    </row>
    <row r="915" spans="1:6" x14ac:dyDescent="0.25">
      <c r="A915" s="3"/>
      <c r="F915" s="9"/>
    </row>
    <row r="916" spans="1:6" x14ac:dyDescent="0.25">
      <c r="A916" s="3"/>
      <c r="F916" s="9"/>
    </row>
    <row r="917" spans="1:6" x14ac:dyDescent="0.25">
      <c r="A917" s="3"/>
      <c r="F917" s="9"/>
    </row>
    <row r="918" spans="1:6" x14ac:dyDescent="0.25">
      <c r="A918" s="3"/>
      <c r="F918" s="9"/>
    </row>
    <row r="919" spans="1:6" x14ac:dyDescent="0.25">
      <c r="A919" s="3"/>
      <c r="F919" s="9"/>
    </row>
    <row r="920" spans="1:6" x14ac:dyDescent="0.25">
      <c r="A920" s="3"/>
      <c r="F920" s="9"/>
    </row>
    <row r="921" spans="1:6" x14ac:dyDescent="0.25">
      <c r="A921" s="3"/>
      <c r="F921" s="9"/>
    </row>
    <row r="922" spans="1:6" x14ac:dyDescent="0.25">
      <c r="A922" s="3"/>
      <c r="F922" s="9"/>
    </row>
    <row r="923" spans="1:6" x14ac:dyDescent="0.25">
      <c r="A923" s="3"/>
      <c r="F923" s="9"/>
    </row>
    <row r="924" spans="1:6" x14ac:dyDescent="0.25">
      <c r="A924" s="3"/>
      <c r="F924" s="9"/>
    </row>
    <row r="925" spans="1:6" x14ac:dyDescent="0.25">
      <c r="A925" s="3"/>
      <c r="F925" s="9"/>
    </row>
    <row r="926" spans="1:6" x14ac:dyDescent="0.25">
      <c r="A926" s="3"/>
      <c r="F926" s="9"/>
    </row>
    <row r="927" spans="1:6" x14ac:dyDescent="0.25">
      <c r="A927" s="3"/>
      <c r="F927" s="9"/>
    </row>
    <row r="928" spans="1:6" x14ac:dyDescent="0.25">
      <c r="A928" s="3"/>
      <c r="F928" s="9"/>
    </row>
    <row r="929" spans="1:6" x14ac:dyDescent="0.25">
      <c r="A929" s="3"/>
      <c r="F929" s="9"/>
    </row>
    <row r="930" spans="1:6" x14ac:dyDescent="0.25">
      <c r="A930" s="3"/>
      <c r="F930" s="9"/>
    </row>
    <row r="931" spans="1:6" x14ac:dyDescent="0.25">
      <c r="A931" s="3"/>
      <c r="F931" s="9"/>
    </row>
    <row r="932" spans="1:6" x14ac:dyDescent="0.25">
      <c r="A932" s="3"/>
      <c r="F932" s="9"/>
    </row>
    <row r="933" spans="1:6" x14ac:dyDescent="0.25">
      <c r="A933" s="3"/>
      <c r="F933" s="9"/>
    </row>
    <row r="934" spans="1:6" x14ac:dyDescent="0.25">
      <c r="A934" s="3"/>
      <c r="F934" s="9"/>
    </row>
    <row r="935" spans="1:6" x14ac:dyDescent="0.25">
      <c r="A935" s="3"/>
      <c r="F935" s="9"/>
    </row>
    <row r="936" spans="1:6" x14ac:dyDescent="0.25">
      <c r="A936" s="3"/>
      <c r="F936" s="9"/>
    </row>
    <row r="937" spans="1:6" x14ac:dyDescent="0.25">
      <c r="A937" s="3"/>
      <c r="F937" s="9"/>
    </row>
    <row r="938" spans="1:6" x14ac:dyDescent="0.25">
      <c r="A938" s="3"/>
      <c r="F938" s="9"/>
    </row>
    <row r="939" spans="1:6" x14ac:dyDescent="0.25">
      <c r="A939" s="3"/>
      <c r="F939" s="9"/>
    </row>
    <row r="940" spans="1:6" x14ac:dyDescent="0.25">
      <c r="A940" s="3"/>
      <c r="F940" s="9"/>
    </row>
    <row r="941" spans="1:6" x14ac:dyDescent="0.25">
      <c r="A941" s="3"/>
      <c r="F941" s="9"/>
    </row>
    <row r="942" spans="1:6" x14ac:dyDescent="0.25">
      <c r="A942" s="3"/>
      <c r="F942" s="9"/>
    </row>
    <row r="943" spans="1:6" x14ac:dyDescent="0.25">
      <c r="A943" s="3"/>
      <c r="F943" s="9"/>
    </row>
    <row r="944" spans="1:6" x14ac:dyDescent="0.25">
      <c r="A944" s="3"/>
      <c r="F944" s="9"/>
    </row>
    <row r="945" spans="1:6" x14ac:dyDescent="0.25">
      <c r="A945" s="3"/>
      <c r="F945" s="9"/>
    </row>
    <row r="946" spans="1:6" x14ac:dyDescent="0.25">
      <c r="A946" s="3"/>
      <c r="F946" s="9"/>
    </row>
    <row r="947" spans="1:6" x14ac:dyDescent="0.25">
      <c r="A947" s="3"/>
      <c r="F947" s="9"/>
    </row>
    <row r="948" spans="1:6" x14ac:dyDescent="0.25">
      <c r="A948" s="3"/>
      <c r="F948" s="9"/>
    </row>
    <row r="949" spans="1:6" x14ac:dyDescent="0.25">
      <c r="A949" s="3"/>
      <c r="F949" s="9"/>
    </row>
    <row r="950" spans="1:6" x14ac:dyDescent="0.25">
      <c r="A950" s="3"/>
      <c r="F950" s="9"/>
    </row>
    <row r="951" spans="1:6" x14ac:dyDescent="0.25">
      <c r="A951" s="3"/>
      <c r="F951" s="9"/>
    </row>
    <row r="952" spans="1:6" x14ac:dyDescent="0.25">
      <c r="A952" s="3"/>
      <c r="F952" s="9"/>
    </row>
    <row r="953" spans="1:6" x14ac:dyDescent="0.25">
      <c r="A953" s="3"/>
      <c r="F953" s="9"/>
    </row>
    <row r="954" spans="1:6" x14ac:dyDescent="0.25">
      <c r="A954" s="3"/>
      <c r="F954" s="9"/>
    </row>
    <row r="955" spans="1:6" x14ac:dyDescent="0.25">
      <c r="A955" s="3"/>
      <c r="F955" s="9"/>
    </row>
    <row r="956" spans="1:6" x14ac:dyDescent="0.25">
      <c r="A956" s="3"/>
      <c r="F956" s="9"/>
    </row>
    <row r="957" spans="1:6" x14ac:dyDescent="0.25">
      <c r="A957" s="3"/>
      <c r="F957" s="9"/>
    </row>
    <row r="958" spans="1:6" x14ac:dyDescent="0.25">
      <c r="A958" s="3"/>
      <c r="F958" s="9"/>
    </row>
    <row r="959" spans="1:6" x14ac:dyDescent="0.25">
      <c r="A959" s="3"/>
      <c r="F959" s="9"/>
    </row>
    <row r="960" spans="1:6" x14ac:dyDescent="0.25">
      <c r="A960" s="3"/>
      <c r="F960" s="9"/>
    </row>
    <row r="961" spans="1:6" x14ac:dyDescent="0.25">
      <c r="A961" s="3"/>
      <c r="F961" s="9"/>
    </row>
    <row r="962" spans="1:6" x14ac:dyDescent="0.25">
      <c r="A962" s="3"/>
      <c r="F962" s="9"/>
    </row>
    <row r="963" spans="1:6" x14ac:dyDescent="0.25">
      <c r="A963" s="3"/>
      <c r="F963" s="9"/>
    </row>
    <row r="964" spans="1:6" x14ac:dyDescent="0.25">
      <c r="A964" s="3"/>
      <c r="F964" s="9"/>
    </row>
    <row r="965" spans="1:6" x14ac:dyDescent="0.25">
      <c r="A965" s="3"/>
      <c r="F965" s="9"/>
    </row>
    <row r="966" spans="1:6" x14ac:dyDescent="0.25">
      <c r="A966" s="3"/>
      <c r="F966" s="9"/>
    </row>
    <row r="967" spans="1:6" x14ac:dyDescent="0.25">
      <c r="A967" s="3"/>
      <c r="F967" s="9"/>
    </row>
    <row r="968" spans="1:6" x14ac:dyDescent="0.25">
      <c r="A968" s="3"/>
      <c r="F968" s="9"/>
    </row>
    <row r="969" spans="1:6" x14ac:dyDescent="0.25">
      <c r="A969" s="3"/>
      <c r="F969" s="9"/>
    </row>
    <row r="970" spans="1:6" x14ac:dyDescent="0.25">
      <c r="A970" s="3"/>
      <c r="F970" s="9"/>
    </row>
    <row r="971" spans="1:6" x14ac:dyDescent="0.25">
      <c r="A971" s="3"/>
      <c r="F971" s="9"/>
    </row>
    <row r="972" spans="1:6" x14ac:dyDescent="0.25">
      <c r="A972" s="3"/>
      <c r="F972" s="9"/>
    </row>
    <row r="973" spans="1:6" x14ac:dyDescent="0.25">
      <c r="A973" s="3"/>
      <c r="F973" s="9"/>
    </row>
    <row r="974" spans="1:6" x14ac:dyDescent="0.25">
      <c r="A974" s="3"/>
      <c r="F974" s="9"/>
    </row>
    <row r="975" spans="1:6" x14ac:dyDescent="0.25">
      <c r="A975" s="3"/>
      <c r="F975" s="9"/>
    </row>
    <row r="976" spans="1:6" x14ac:dyDescent="0.25">
      <c r="A976" s="3"/>
      <c r="F976" s="9"/>
    </row>
    <row r="977" spans="1:6" x14ac:dyDescent="0.25">
      <c r="A977" s="3"/>
      <c r="F977" s="9"/>
    </row>
    <row r="978" spans="1:6" x14ac:dyDescent="0.25">
      <c r="A978" s="3"/>
      <c r="F978" s="9"/>
    </row>
    <row r="979" spans="1:6" x14ac:dyDescent="0.25">
      <c r="A979" s="3"/>
      <c r="F979" s="9"/>
    </row>
    <row r="980" spans="1:6" x14ac:dyDescent="0.25">
      <c r="A980" s="3"/>
      <c r="F980" s="9"/>
    </row>
    <row r="981" spans="1:6" x14ac:dyDescent="0.25">
      <c r="A981" s="3"/>
      <c r="F981" s="9"/>
    </row>
    <row r="982" spans="1:6" x14ac:dyDescent="0.25">
      <c r="A982" s="3"/>
      <c r="F982" s="9"/>
    </row>
    <row r="983" spans="1:6" x14ac:dyDescent="0.25">
      <c r="A983" s="3"/>
      <c r="F983" s="9"/>
    </row>
    <row r="984" spans="1:6" x14ac:dyDescent="0.25">
      <c r="A984" s="3"/>
      <c r="F984" s="9"/>
    </row>
    <row r="985" spans="1:6" x14ac:dyDescent="0.25">
      <c r="A985" s="3"/>
      <c r="F985" s="9"/>
    </row>
    <row r="986" spans="1:6" x14ac:dyDescent="0.25">
      <c r="A986" s="3"/>
      <c r="F986" s="9"/>
    </row>
    <row r="987" spans="1:6" x14ac:dyDescent="0.25">
      <c r="A987" s="3"/>
      <c r="F987" s="9"/>
    </row>
    <row r="988" spans="1:6" x14ac:dyDescent="0.25">
      <c r="A988" s="3"/>
      <c r="F988" s="9"/>
    </row>
    <row r="989" spans="1:6" x14ac:dyDescent="0.25">
      <c r="A989" s="3"/>
      <c r="F989" s="9"/>
    </row>
    <row r="990" spans="1:6" x14ac:dyDescent="0.25">
      <c r="A990" s="3"/>
      <c r="F990" s="9"/>
    </row>
    <row r="991" spans="1:6" x14ac:dyDescent="0.25">
      <c r="A991" s="3"/>
      <c r="F991" s="9"/>
    </row>
    <row r="992" spans="1:6" x14ac:dyDescent="0.25">
      <c r="A992" s="3"/>
      <c r="F992" s="9"/>
    </row>
    <row r="993" spans="1:6" x14ac:dyDescent="0.25">
      <c r="A993" s="3"/>
      <c r="F993" s="9"/>
    </row>
    <row r="994" spans="1:6" x14ac:dyDescent="0.25">
      <c r="A994" s="3"/>
      <c r="F994" s="9"/>
    </row>
    <row r="995" spans="1:6" x14ac:dyDescent="0.25">
      <c r="A995" s="3"/>
      <c r="F995" s="9"/>
    </row>
    <row r="996" spans="1:6" x14ac:dyDescent="0.25">
      <c r="A996" s="3"/>
      <c r="F996" s="9"/>
    </row>
    <row r="997" spans="1:6" x14ac:dyDescent="0.25">
      <c r="A997" s="3"/>
      <c r="F997" s="9"/>
    </row>
    <row r="998" spans="1:6" x14ac:dyDescent="0.25">
      <c r="A998" s="3"/>
      <c r="F998" s="9"/>
    </row>
    <row r="999" spans="1:6" x14ac:dyDescent="0.25">
      <c r="A999" s="3"/>
      <c r="F999" s="9"/>
    </row>
    <row r="1000" spans="1:6" x14ac:dyDescent="0.25">
      <c r="A1000" s="3"/>
      <c r="F1000" s="9"/>
    </row>
    <row r="1001" spans="1:6" x14ac:dyDescent="0.25">
      <c r="A1001" s="3"/>
      <c r="F1001" s="9"/>
    </row>
    <row r="1002" spans="1:6" x14ac:dyDescent="0.25">
      <c r="A1002" s="3"/>
      <c r="F1002" s="9"/>
    </row>
    <row r="1003" spans="1:6" x14ac:dyDescent="0.25">
      <c r="A1003" s="3"/>
      <c r="F1003" s="9"/>
    </row>
    <row r="1004" spans="1:6" x14ac:dyDescent="0.25">
      <c r="A1004" s="3"/>
      <c r="F1004" s="9"/>
    </row>
  </sheetData>
  <mergeCells count="5">
    <mergeCell ref="G260:H263"/>
    <mergeCell ref="A1:H1"/>
    <mergeCell ref="F5:H6"/>
    <mergeCell ref="E13:G13"/>
    <mergeCell ref="F18:H23"/>
  </mergeCells>
  <phoneticPr fontId="1" type="noConversion"/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2024-11-12T06:29:32Z</dcterms:modified>
</cp:coreProperties>
</file>