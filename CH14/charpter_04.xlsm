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BE4444E6-B08D-4700-92AD-84664CD24CF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6" i="1" l="1"/>
  <c r="B286" i="1"/>
  <c r="A286" i="1"/>
  <c r="C285" i="1"/>
  <c r="B285" i="1"/>
  <c r="A285" i="1"/>
  <c r="C284" i="1"/>
  <c r="B284" i="1"/>
  <c r="A284" i="1"/>
  <c r="C283" i="1"/>
  <c r="B283" i="1"/>
  <c r="A283" i="1"/>
  <c r="C282" i="1"/>
  <c r="B282" i="1"/>
  <c r="A282" i="1"/>
  <c r="C281" i="1"/>
  <c r="B281" i="1"/>
  <c r="A281" i="1"/>
  <c r="C280" i="1"/>
  <c r="B280" i="1"/>
  <c r="A280" i="1"/>
  <c r="C279" i="1"/>
  <c r="B279" i="1"/>
  <c r="A279" i="1"/>
  <c r="C278" i="1"/>
  <c r="B278" i="1"/>
  <c r="A278" i="1"/>
  <c r="C277" i="1"/>
  <c r="B277" i="1"/>
  <c r="A277" i="1"/>
  <c r="C276" i="1"/>
  <c r="B276" i="1"/>
  <c r="A276" i="1"/>
  <c r="C275" i="1"/>
  <c r="B275" i="1"/>
  <c r="A275" i="1"/>
  <c r="C274" i="1"/>
  <c r="B274" i="1"/>
  <c r="A274" i="1"/>
  <c r="C273" i="1"/>
  <c r="B273" i="1"/>
  <c r="A273" i="1"/>
  <c r="C272" i="1"/>
  <c r="B272" i="1"/>
  <c r="A272" i="1"/>
  <c r="C271" i="1"/>
  <c r="B271" i="1"/>
  <c r="A271" i="1"/>
  <c r="C270" i="1"/>
  <c r="B270" i="1"/>
  <c r="A270" i="1"/>
  <c r="C269" i="1"/>
  <c r="B269" i="1"/>
  <c r="A269" i="1"/>
  <c r="C268" i="1"/>
  <c r="B268" i="1"/>
  <c r="A268" i="1"/>
  <c r="M268" i="1" s="1"/>
  <c r="C267" i="1"/>
  <c r="B267" i="1"/>
  <c r="A267" i="1"/>
  <c r="M267" i="1" s="1"/>
  <c r="C266" i="1"/>
  <c r="B266" i="1"/>
  <c r="A266" i="1"/>
  <c r="M266" i="1" s="1"/>
  <c r="M265" i="1"/>
  <c r="C265" i="1"/>
  <c r="B265" i="1"/>
  <c r="A265" i="1"/>
  <c r="C264" i="1"/>
  <c r="B264" i="1"/>
  <c r="A264" i="1"/>
  <c r="M264" i="1" s="1"/>
  <c r="C263" i="1"/>
  <c r="B263" i="1"/>
  <c r="A263" i="1"/>
  <c r="M263" i="1" s="1"/>
  <c r="C262" i="1"/>
  <c r="B262" i="1"/>
  <c r="A262" i="1"/>
  <c r="C261" i="1"/>
  <c r="B261" i="1"/>
  <c r="A261" i="1"/>
  <c r="C260" i="1"/>
  <c r="B260" i="1"/>
  <c r="A260" i="1"/>
  <c r="C259" i="1"/>
  <c r="B259" i="1"/>
  <c r="A259" i="1"/>
  <c r="C258" i="1"/>
  <c r="B258" i="1"/>
  <c r="A258" i="1"/>
  <c r="C257" i="1"/>
  <c r="B257" i="1"/>
  <c r="A257" i="1"/>
  <c r="C256" i="1"/>
  <c r="B256" i="1"/>
  <c r="A256" i="1"/>
  <c r="C255" i="1"/>
  <c r="B255" i="1"/>
  <c r="A255" i="1"/>
  <c r="C254" i="1"/>
  <c r="B254" i="1"/>
  <c r="A254" i="1"/>
  <c r="C253" i="1"/>
  <c r="B253" i="1"/>
  <c r="A253" i="1"/>
  <c r="C252" i="1"/>
  <c r="B252" i="1"/>
  <c r="A252" i="1"/>
  <c r="C251" i="1"/>
  <c r="B251" i="1"/>
  <c r="A251" i="1"/>
  <c r="C250" i="1"/>
  <c r="B250" i="1"/>
  <c r="A250" i="1"/>
  <c r="C249" i="1"/>
  <c r="B249" i="1"/>
  <c r="A249" i="1"/>
  <c r="C248" i="1"/>
  <c r="B248" i="1"/>
  <c r="A248" i="1"/>
  <c r="C247" i="1"/>
  <c r="B247" i="1"/>
  <c r="A247" i="1"/>
  <c r="C246" i="1"/>
  <c r="B246" i="1"/>
  <c r="A246" i="1"/>
  <c r="C245" i="1"/>
  <c r="B245" i="1"/>
  <c r="A245" i="1"/>
  <c r="C244" i="1"/>
  <c r="B244" i="1"/>
  <c r="A244" i="1"/>
  <c r="C243" i="1"/>
  <c r="B243" i="1"/>
  <c r="A243" i="1"/>
  <c r="C242" i="1"/>
  <c r="B242" i="1"/>
  <c r="A242" i="1"/>
  <c r="C241" i="1"/>
  <c r="B241" i="1"/>
  <c r="A241" i="1"/>
  <c r="C240" i="1"/>
  <c r="B240" i="1"/>
  <c r="A240" i="1"/>
  <c r="C239" i="1"/>
  <c r="B239" i="1"/>
  <c r="A239" i="1"/>
  <c r="C238" i="1"/>
  <c r="B238" i="1"/>
  <c r="A238" i="1"/>
  <c r="C237" i="1"/>
  <c r="B237" i="1"/>
  <c r="A237" i="1"/>
  <c r="C236" i="1"/>
  <c r="B236" i="1"/>
  <c r="A236" i="1"/>
  <c r="C235" i="1"/>
  <c r="B235" i="1"/>
  <c r="A235" i="1"/>
  <c r="C234" i="1"/>
  <c r="B234" i="1"/>
  <c r="A234" i="1"/>
  <c r="C233" i="1"/>
  <c r="B233" i="1"/>
  <c r="A233" i="1"/>
  <c r="C232" i="1"/>
  <c r="B232" i="1"/>
  <c r="A232" i="1"/>
  <c r="C231" i="1"/>
  <c r="B231" i="1"/>
  <c r="A231" i="1"/>
  <c r="C230" i="1"/>
  <c r="B230" i="1"/>
  <c r="A230" i="1"/>
  <c r="C229" i="1"/>
  <c r="B229" i="1"/>
  <c r="A229" i="1"/>
  <c r="C228" i="1"/>
  <c r="B228" i="1"/>
  <c r="A228" i="1"/>
  <c r="C227" i="1"/>
  <c r="B227" i="1"/>
  <c r="A227" i="1"/>
  <c r="C226" i="1"/>
  <c r="B226" i="1"/>
  <c r="A226" i="1"/>
  <c r="C225" i="1"/>
  <c r="B225" i="1"/>
  <c r="A225" i="1"/>
  <c r="C224" i="1"/>
  <c r="B224" i="1"/>
  <c r="A224" i="1"/>
  <c r="C223" i="1"/>
  <c r="B223" i="1"/>
  <c r="A223" i="1"/>
  <c r="C222" i="1"/>
  <c r="B222" i="1"/>
  <c r="A222" i="1"/>
  <c r="C221" i="1"/>
  <c r="B221" i="1"/>
  <c r="A221" i="1"/>
  <c r="C220" i="1"/>
  <c r="B220" i="1"/>
  <c r="A220" i="1"/>
  <c r="C219" i="1"/>
  <c r="B219" i="1"/>
  <c r="A219" i="1"/>
  <c r="C218" i="1"/>
  <c r="B218" i="1"/>
  <c r="A218" i="1"/>
  <c r="C217" i="1"/>
  <c r="B217" i="1"/>
  <c r="A217" i="1"/>
  <c r="C216" i="1"/>
  <c r="B216" i="1"/>
  <c r="A216" i="1"/>
  <c r="C215" i="1"/>
  <c r="B215" i="1"/>
  <c r="A215" i="1"/>
  <c r="C214" i="1"/>
  <c r="B214" i="1"/>
  <c r="A214" i="1"/>
  <c r="C213" i="1"/>
  <c r="B213" i="1"/>
  <c r="A213" i="1"/>
  <c r="C212" i="1"/>
  <c r="B212" i="1"/>
  <c r="A212" i="1"/>
  <c r="C211" i="1"/>
  <c r="B211" i="1"/>
  <c r="A211" i="1"/>
  <c r="C210" i="1"/>
  <c r="B210" i="1"/>
  <c r="A210" i="1"/>
  <c r="C209" i="1"/>
  <c r="B209" i="1"/>
  <c r="A209" i="1"/>
  <c r="C208" i="1"/>
  <c r="B208" i="1"/>
  <c r="A208" i="1"/>
  <c r="C207" i="1"/>
  <c r="B207" i="1"/>
  <c r="A207" i="1"/>
  <c r="C206" i="1"/>
  <c r="B206" i="1"/>
  <c r="A206" i="1"/>
  <c r="C205" i="1"/>
  <c r="B205" i="1"/>
  <c r="A205" i="1"/>
  <c r="C204" i="1"/>
  <c r="B204" i="1"/>
  <c r="A204" i="1"/>
  <c r="C203" i="1"/>
  <c r="B203" i="1"/>
  <c r="A203" i="1"/>
  <c r="C202" i="1"/>
  <c r="B202" i="1"/>
  <c r="A202" i="1"/>
  <c r="C201" i="1"/>
  <c r="B201" i="1"/>
  <c r="A201" i="1"/>
  <c r="C200" i="1"/>
  <c r="B200" i="1"/>
  <c r="A200" i="1"/>
  <c r="C199" i="1"/>
  <c r="B199" i="1"/>
  <c r="A199" i="1"/>
  <c r="C198" i="1"/>
  <c r="B198" i="1"/>
  <c r="A198" i="1"/>
  <c r="C197" i="1"/>
  <c r="B197" i="1"/>
  <c r="A197" i="1"/>
  <c r="C196" i="1"/>
  <c r="B196" i="1"/>
  <c r="A196" i="1"/>
  <c r="C195" i="1"/>
  <c r="B195" i="1"/>
  <c r="A195" i="1"/>
  <c r="C194" i="1"/>
  <c r="B194" i="1"/>
  <c r="A194" i="1"/>
  <c r="C193" i="1"/>
  <c r="B193" i="1"/>
  <c r="A193" i="1"/>
  <c r="C192" i="1"/>
  <c r="B192" i="1"/>
  <c r="A192" i="1"/>
  <c r="C191" i="1"/>
  <c r="B191" i="1"/>
  <c r="A191" i="1"/>
  <c r="C190" i="1"/>
  <c r="B190" i="1"/>
  <c r="A190" i="1"/>
  <c r="C189" i="1"/>
  <c r="B189" i="1"/>
  <c r="A189" i="1"/>
  <c r="C188" i="1"/>
  <c r="B188" i="1"/>
  <c r="A188" i="1"/>
  <c r="C187" i="1"/>
  <c r="B187" i="1"/>
  <c r="A187" i="1"/>
  <c r="C186" i="1"/>
  <c r="B186" i="1"/>
  <c r="A186" i="1"/>
  <c r="C185" i="1"/>
  <c r="B185" i="1"/>
  <c r="A185" i="1"/>
  <c r="C184" i="1"/>
  <c r="B184" i="1"/>
  <c r="A184" i="1"/>
  <c r="C183" i="1"/>
  <c r="B183" i="1"/>
  <c r="A183" i="1"/>
  <c r="C182" i="1"/>
  <c r="B182" i="1"/>
  <c r="A182" i="1"/>
  <c r="C181" i="1"/>
  <c r="B181" i="1"/>
  <c r="A181" i="1"/>
  <c r="C180" i="1"/>
  <c r="B180" i="1"/>
  <c r="A180" i="1"/>
  <c r="C179" i="1"/>
  <c r="B179" i="1"/>
  <c r="A179" i="1"/>
  <c r="C178" i="1"/>
  <c r="B178" i="1"/>
  <c r="A178" i="1"/>
  <c r="C177" i="1"/>
  <c r="B177" i="1"/>
  <c r="A177" i="1"/>
  <c r="C176" i="1"/>
  <c r="B176" i="1"/>
  <c r="A176" i="1"/>
  <c r="C175" i="1"/>
  <c r="B175" i="1"/>
  <c r="A175" i="1"/>
  <c r="C174" i="1"/>
  <c r="B174" i="1"/>
  <c r="A174" i="1"/>
  <c r="C173" i="1"/>
  <c r="B173" i="1"/>
  <c r="A173" i="1"/>
  <c r="C172" i="1"/>
  <c r="B172" i="1"/>
  <c r="A172" i="1"/>
  <c r="C171" i="1"/>
  <c r="B171" i="1"/>
  <c r="A171" i="1"/>
  <c r="C170" i="1"/>
  <c r="B170" i="1"/>
  <c r="A170" i="1"/>
  <c r="C169" i="1"/>
  <c r="B169" i="1"/>
  <c r="A169" i="1"/>
  <c r="C168" i="1"/>
  <c r="B168" i="1"/>
  <c r="A168" i="1"/>
  <c r="C167" i="1"/>
  <c r="B167" i="1"/>
  <c r="A167" i="1"/>
  <c r="C166" i="1"/>
  <c r="B166" i="1"/>
  <c r="A166" i="1"/>
  <c r="C165" i="1"/>
  <c r="B165" i="1"/>
  <c r="A165" i="1"/>
  <c r="C164" i="1"/>
  <c r="B164" i="1"/>
  <c r="A164" i="1"/>
  <c r="C163" i="1"/>
  <c r="B163" i="1"/>
  <c r="A163" i="1"/>
  <c r="C162" i="1"/>
  <c r="B162" i="1"/>
  <c r="A162" i="1"/>
  <c r="C161" i="1"/>
  <c r="B161" i="1"/>
  <c r="A161" i="1"/>
  <c r="C160" i="1"/>
  <c r="B160" i="1"/>
  <c r="A160" i="1"/>
  <c r="C159" i="1"/>
  <c r="B159" i="1"/>
  <c r="A159" i="1"/>
  <c r="C158" i="1"/>
  <c r="B158" i="1"/>
  <c r="A158" i="1"/>
  <c r="C157" i="1"/>
  <c r="B157" i="1"/>
  <c r="A157" i="1"/>
  <c r="C156" i="1"/>
  <c r="B156" i="1"/>
  <c r="A156" i="1"/>
  <c r="C155" i="1"/>
  <c r="B155" i="1"/>
  <c r="A155" i="1"/>
  <c r="C154" i="1"/>
  <c r="B154" i="1"/>
  <c r="A154" i="1"/>
  <c r="C153" i="1"/>
  <c r="B153" i="1"/>
  <c r="A153" i="1"/>
  <c r="C152" i="1"/>
  <c r="B152" i="1"/>
  <c r="A152" i="1"/>
  <c r="C151" i="1"/>
  <c r="B151" i="1"/>
  <c r="A151" i="1"/>
  <c r="C150" i="1"/>
  <c r="B150" i="1"/>
  <c r="A150" i="1"/>
  <c r="C149" i="1"/>
  <c r="B149" i="1"/>
  <c r="A149" i="1"/>
  <c r="C148" i="1"/>
  <c r="B148" i="1"/>
  <c r="A148" i="1"/>
  <c r="C147" i="1"/>
  <c r="B147" i="1"/>
  <c r="A147" i="1"/>
  <c r="C146" i="1"/>
  <c r="B146" i="1"/>
  <c r="A146" i="1"/>
  <c r="C145" i="1"/>
  <c r="B145" i="1"/>
  <c r="A145" i="1"/>
  <c r="C144" i="1"/>
  <c r="B144" i="1"/>
  <c r="A144" i="1"/>
  <c r="C143" i="1"/>
  <c r="B143" i="1"/>
  <c r="A143" i="1"/>
  <c r="C142" i="1"/>
  <c r="B142" i="1"/>
  <c r="A142" i="1"/>
  <c r="C141" i="1"/>
  <c r="B141" i="1"/>
  <c r="A141" i="1"/>
  <c r="C140" i="1"/>
  <c r="B140" i="1"/>
  <c r="A140" i="1"/>
  <c r="C139" i="1"/>
  <c r="B139" i="1"/>
  <c r="A139" i="1"/>
  <c r="C138" i="1"/>
  <c r="B138" i="1"/>
  <c r="A138" i="1"/>
  <c r="C137" i="1"/>
  <c r="B137" i="1"/>
  <c r="A137" i="1"/>
  <c r="C136" i="1"/>
  <c r="B136" i="1"/>
  <c r="A136" i="1"/>
  <c r="C135" i="1"/>
  <c r="B135" i="1"/>
  <c r="A135" i="1"/>
  <c r="C134" i="1"/>
  <c r="B134" i="1"/>
  <c r="A134" i="1"/>
  <c r="C133" i="1"/>
  <c r="B133" i="1"/>
  <c r="A133" i="1"/>
  <c r="C132" i="1"/>
  <c r="B132" i="1"/>
  <c r="A132" i="1"/>
  <c r="C131" i="1"/>
  <c r="B131" i="1"/>
  <c r="A131" i="1"/>
  <c r="C130" i="1"/>
  <c r="B130" i="1"/>
  <c r="A130" i="1"/>
  <c r="C129" i="1"/>
  <c r="B129" i="1"/>
  <c r="A129" i="1"/>
  <c r="C128" i="1"/>
  <c r="B128" i="1"/>
  <c r="A128" i="1"/>
  <c r="C127" i="1"/>
  <c r="B127" i="1"/>
  <c r="A127" i="1"/>
  <c r="C126" i="1"/>
  <c r="B126" i="1"/>
  <c r="A126" i="1"/>
  <c r="C125" i="1"/>
  <c r="B125" i="1"/>
  <c r="A125" i="1"/>
  <c r="C124" i="1"/>
  <c r="B124" i="1"/>
  <c r="A124" i="1"/>
  <c r="C123" i="1"/>
  <c r="B123" i="1"/>
  <c r="A123" i="1"/>
  <c r="C122" i="1"/>
  <c r="B122" i="1"/>
  <c r="A122" i="1"/>
  <c r="C121" i="1"/>
  <c r="B121" i="1"/>
  <c r="A121" i="1"/>
  <c r="C120" i="1"/>
  <c r="B120" i="1"/>
  <c r="A120" i="1"/>
  <c r="C119" i="1"/>
  <c r="B119" i="1"/>
  <c r="A119" i="1"/>
  <c r="C118" i="1"/>
  <c r="B118" i="1"/>
  <c r="A118" i="1"/>
  <c r="C117" i="1"/>
  <c r="B117" i="1"/>
  <c r="A117" i="1"/>
  <c r="C116" i="1"/>
  <c r="B116" i="1"/>
  <c r="A116" i="1"/>
  <c r="C115" i="1"/>
  <c r="B115" i="1"/>
  <c r="A115" i="1"/>
  <c r="C114" i="1"/>
  <c r="B114" i="1"/>
  <c r="A114" i="1"/>
  <c r="C113" i="1"/>
  <c r="B113" i="1"/>
  <c r="A113" i="1"/>
  <c r="C112" i="1"/>
  <c r="B112" i="1"/>
  <c r="A112" i="1"/>
  <c r="C111" i="1"/>
  <c r="B111" i="1"/>
  <c r="A111" i="1"/>
  <c r="C110" i="1"/>
  <c r="B110" i="1"/>
  <c r="A110" i="1"/>
  <c r="C109" i="1"/>
  <c r="B109" i="1"/>
  <c r="A109" i="1"/>
  <c r="C108" i="1"/>
  <c r="B108" i="1"/>
  <c r="A108" i="1"/>
  <c r="C107" i="1"/>
  <c r="B107" i="1"/>
  <c r="A107" i="1"/>
  <c r="C106" i="1"/>
  <c r="B106" i="1"/>
  <c r="A106" i="1"/>
  <c r="C105" i="1"/>
  <c r="B105" i="1"/>
  <c r="A105" i="1"/>
  <c r="C104" i="1"/>
  <c r="B104" i="1"/>
  <c r="A104" i="1"/>
  <c r="C103" i="1"/>
  <c r="B103" i="1"/>
  <c r="A103" i="1"/>
  <c r="C102" i="1"/>
  <c r="B102" i="1"/>
  <c r="A102" i="1"/>
  <c r="C101" i="1"/>
  <c r="B101" i="1"/>
  <c r="A101" i="1"/>
  <c r="C100" i="1"/>
  <c r="B100" i="1"/>
  <c r="A100" i="1"/>
  <c r="C99" i="1"/>
  <c r="B99" i="1"/>
  <c r="A99" i="1"/>
  <c r="C98" i="1"/>
  <c r="B98" i="1"/>
  <c r="A98" i="1"/>
  <c r="C97" i="1"/>
  <c r="B97" i="1"/>
  <c r="A97" i="1"/>
  <c r="C96" i="1"/>
  <c r="B96" i="1"/>
  <c r="A96" i="1"/>
  <c r="C95" i="1"/>
  <c r="B95" i="1"/>
  <c r="A95" i="1"/>
  <c r="C94" i="1"/>
  <c r="B94" i="1"/>
  <c r="A94" i="1"/>
  <c r="C93" i="1"/>
  <c r="B93" i="1"/>
  <c r="A93" i="1"/>
  <c r="C92" i="1"/>
  <c r="B92" i="1"/>
  <c r="A92" i="1"/>
  <c r="C91" i="1"/>
  <c r="B91" i="1"/>
  <c r="A91" i="1"/>
  <c r="C90" i="1"/>
  <c r="B90" i="1"/>
  <c r="A90" i="1"/>
  <c r="C89" i="1"/>
  <c r="B89" i="1"/>
  <c r="A89" i="1"/>
  <c r="C88" i="1"/>
  <c r="B88" i="1"/>
  <c r="A88" i="1"/>
  <c r="C87" i="1"/>
  <c r="B87" i="1"/>
  <c r="A87" i="1"/>
  <c r="C86" i="1"/>
  <c r="B86" i="1"/>
  <c r="A86" i="1"/>
  <c r="C85" i="1"/>
  <c r="B85" i="1"/>
  <c r="A85" i="1"/>
  <c r="C84" i="1"/>
  <c r="B84" i="1"/>
  <c r="A84" i="1"/>
  <c r="C83" i="1"/>
  <c r="B83" i="1"/>
  <c r="A83" i="1"/>
  <c r="C82" i="1"/>
  <c r="B82" i="1"/>
  <c r="A82" i="1"/>
  <c r="C81" i="1"/>
  <c r="B81" i="1"/>
  <c r="A81" i="1"/>
  <c r="C80" i="1"/>
  <c r="B80" i="1"/>
  <c r="A80" i="1"/>
  <c r="C79" i="1"/>
  <c r="B79" i="1"/>
  <c r="A79" i="1"/>
  <c r="C78" i="1"/>
  <c r="B78" i="1"/>
  <c r="A78" i="1"/>
  <c r="C77" i="1"/>
  <c r="B77" i="1"/>
  <c r="A77" i="1"/>
  <c r="C76" i="1"/>
  <c r="B76" i="1"/>
  <c r="A76" i="1"/>
  <c r="C75" i="1"/>
  <c r="B75" i="1"/>
  <c r="A75" i="1"/>
  <c r="C74" i="1"/>
  <c r="B74" i="1"/>
  <c r="A74" i="1"/>
  <c r="C73" i="1"/>
  <c r="B73" i="1"/>
  <c r="A73" i="1"/>
  <c r="C72" i="1"/>
  <c r="B72" i="1"/>
  <c r="A72" i="1"/>
  <c r="C71" i="1"/>
  <c r="B71" i="1"/>
  <c r="A71" i="1"/>
  <c r="C70" i="1"/>
  <c r="B70" i="1"/>
  <c r="A70" i="1"/>
  <c r="C69" i="1"/>
  <c r="B69" i="1"/>
  <c r="A69" i="1"/>
  <c r="C68" i="1"/>
  <c r="B68" i="1"/>
  <c r="A68" i="1"/>
  <c r="C67" i="1"/>
  <c r="B67" i="1"/>
  <c r="A67" i="1"/>
  <c r="C66" i="1"/>
  <c r="B66" i="1"/>
  <c r="A66" i="1"/>
  <c r="C65" i="1"/>
  <c r="B65" i="1"/>
  <c r="A65" i="1"/>
  <c r="C64" i="1"/>
  <c r="B64" i="1"/>
  <c r="A64" i="1"/>
  <c r="C63" i="1"/>
  <c r="B63" i="1"/>
  <c r="A63" i="1"/>
  <c r="C62" i="1"/>
  <c r="B62" i="1"/>
  <c r="A62" i="1"/>
  <c r="C61" i="1"/>
  <c r="B61" i="1"/>
  <c r="A61" i="1"/>
  <c r="C60" i="1"/>
  <c r="B60" i="1"/>
  <c r="A60" i="1"/>
  <c r="C59" i="1"/>
  <c r="B59" i="1"/>
  <c r="A59" i="1"/>
  <c r="C58" i="1"/>
  <c r="B58" i="1"/>
  <c r="A58" i="1"/>
  <c r="C57" i="1"/>
  <c r="B57" i="1"/>
  <c r="A57" i="1"/>
  <c r="C56" i="1"/>
  <c r="B56" i="1"/>
  <c r="A56" i="1"/>
  <c r="C55" i="1"/>
  <c r="B55" i="1"/>
  <c r="A55" i="1"/>
  <c r="C54" i="1"/>
  <c r="B54" i="1"/>
  <c r="A54" i="1"/>
  <c r="C53" i="1"/>
  <c r="B53" i="1"/>
  <c r="A53" i="1"/>
  <c r="C52" i="1"/>
  <c r="B52" i="1"/>
  <c r="A52" i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C41" i="1"/>
  <c r="B41" i="1"/>
  <c r="A41" i="1"/>
  <c r="C40" i="1"/>
  <c r="B40" i="1"/>
  <c r="A40" i="1"/>
  <c r="C39" i="1"/>
  <c r="B39" i="1"/>
  <c r="A39" i="1"/>
  <c r="C38" i="1"/>
  <c r="B38" i="1"/>
  <c r="A38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3" i="1" s="1"/>
  <c r="B11" i="1"/>
  <c r="A11" i="1"/>
  <c r="B7" i="1" s="1"/>
  <c r="B5" i="1"/>
  <c r="B4" i="1"/>
  <c r="H265" i="1"/>
  <c r="H264" i="1"/>
  <c r="H263" i="1"/>
  <c r="G261" i="1"/>
  <c r="F259" i="1"/>
  <c r="E14" i="1"/>
  <c r="C7" i="1"/>
  <c r="C5" i="1"/>
  <c r="C4" i="1"/>
  <c r="C3" i="1"/>
  <c r="C2" i="1"/>
  <c r="B2" i="1" l="1"/>
  <c r="D263" i="1" l="1"/>
  <c r="D268" i="1"/>
  <c r="E268" i="1" s="1"/>
  <c r="F268" i="1" s="1"/>
  <c r="D266" i="1"/>
  <c r="E266" i="1" s="1"/>
  <c r="F266" i="1" s="1"/>
  <c r="D265" i="1"/>
  <c r="E265" i="1" s="1"/>
  <c r="F265" i="1" s="1"/>
  <c r="D264" i="1"/>
  <c r="E264" i="1" s="1"/>
  <c r="F264" i="1" s="1"/>
  <c r="D267" i="1"/>
  <c r="E267" i="1" s="1"/>
  <c r="F267" i="1" s="1"/>
  <c r="G263" i="1" l="1"/>
  <c r="G264" i="1" s="1"/>
  <c r="G265" i="1" s="1"/>
  <c r="G266" i="1" s="1"/>
  <c r="G267" i="1" s="1"/>
  <c r="G268" i="1" s="1"/>
  <c r="E263" i="1"/>
  <c r="F263" i="1" s="1"/>
</calcChain>
</file>

<file path=xl/sharedStrings.xml><?xml version="1.0" encoding="utf-8"?>
<sst xmlns="http://schemas.openxmlformats.org/spreadsheetml/2006/main" count="22" uniqueCount="22">
  <si>
    <t>PROCTER &amp; GAMBLE RETURNS:  ESTIMATION WINDOW 
AND EVENT WINDOW</t>
  </si>
  <si>
    <t>Intercept</t>
  </si>
  <si>
    <t>Slope</t>
  </si>
  <si>
    <t>R-squared</t>
  </si>
  <si>
    <t>Steyx</t>
  </si>
  <si>
    <t>Days in estimation
window</t>
  </si>
  <si>
    <t>EVENT WINDOW</t>
  </si>
  <si>
    <t>Date</t>
  </si>
  <si>
    <t>Procter-Gamble</t>
  </si>
  <si>
    <t>Abnormal return (AR)</t>
  </si>
  <si>
    <t>AR
t-test</t>
  </si>
  <si>
    <t>AR
signicant?</t>
  </si>
  <si>
    <t>Cumulative abnormal return</t>
  </si>
  <si>
    <t>Column for x-axis on graph</t>
  </si>
  <si>
    <t>x-axis for chart</t>
  </si>
  <si>
    <t>26jan05</t>
  </si>
  <si>
    <t>27jan05</t>
  </si>
  <si>
    <t>28jan05</t>
  </si>
  <si>
    <t>31jan05</t>
  </si>
  <si>
    <t>1feb05</t>
  </si>
  <si>
    <t>2feb05</t>
  </si>
  <si>
    <t>NYSE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</si>
</sst>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[$-409]d\-mmm\-yy;@"/>
    <numFmt numFmtId="178" formatCode="_(* #,##0.0000_);_(* \(#,##0.0000\);_(* &quot;-&quot;??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178" fontId="4" fillId="0" borderId="0" xfId="1" applyNumberFormat="1" applyFont="1" applyAlignment="1"/>
    <xf numFmtId="10" fontId="0" fillId="0" borderId="0" xfId="0" applyNumberFormat="1" applyAlignment="1"/>
    <xf numFmtId="14" fontId="0" fillId="0" borderId="0" xfId="0" applyNumberFormat="1" applyAlignment="1"/>
    <xf numFmtId="176" fontId="0" fillId="0" borderId="0" xfId="0" applyNumberFormat="1" applyAlignment="1">
      <alignment horizontal="left" wrapText="1"/>
    </xf>
    <xf numFmtId="0" fontId="5" fillId="2" borderId="0" xfId="0" applyFont="1" applyFill="1" applyAlignment="1">
      <alignment horizontal="center"/>
    </xf>
    <xf numFmtId="176" fontId="5" fillId="0" borderId="0" xfId="0" applyNumberFormat="1" applyFont="1" applyAlignment="1">
      <alignment horizontal="center" vertical="center" wrapText="1"/>
    </xf>
    <xf numFmtId="10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4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76" fontId="0" fillId="2" borderId="0" xfId="0" applyNumberFormat="1" applyFill="1" applyAlignment="1">
      <alignment horizontal="center"/>
    </xf>
    <xf numFmtId="10" fontId="0" fillId="2" borderId="0" xfId="0" applyNumberFormat="1" applyFill="1" applyAlignment="1"/>
    <xf numFmtId="10" fontId="4" fillId="0" borderId="0" xfId="2" applyNumberFormat="1" applyFont="1" applyAlignment="1"/>
    <xf numFmtId="2" fontId="0" fillId="0" borderId="0" xfId="0" applyNumberFormat="1" applyAlignment="1"/>
    <xf numFmtId="10" fontId="0" fillId="0" borderId="0" xfId="0" applyNumberFormat="1" applyAlignment="1">
      <alignment horizontal="center"/>
    </xf>
    <xf numFmtId="176" fontId="0" fillId="0" borderId="0" xfId="0" quotePrefix="1" applyNumberFormat="1" applyAlignment="1"/>
    <xf numFmtId="10" fontId="4" fillId="4" borderId="0" xfId="2" applyNumberFormat="1" applyFont="1" applyFill="1" applyAlignment="1"/>
    <xf numFmtId="2" fontId="0" fillId="4" borderId="0" xfId="0" applyNumberFormat="1" applyFill="1" applyAlignment="1"/>
    <xf numFmtId="176" fontId="0" fillId="4" borderId="0" xfId="0" applyNumberFormat="1" applyFill="1" applyAlignment="1"/>
    <xf numFmtId="178" fontId="4" fillId="4" borderId="0" xfId="1" applyNumberFormat="1" applyFon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738587539122358E-2"/>
          <c:y val="8.0311109410414527E-2"/>
          <c:w val="0.8915035524865812"/>
          <c:h val="0.821245860745206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'[1]Page 380'!$D$10</c:f>
              <c:strCache>
                <c:ptCount val="1"/>
                <c:pt idx="0">
                  <c:v>Abnormal return (AR)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'[1]Page 380'!$M$263:$M$268</c:f>
              <c:strCache>
                <c:ptCount val="6"/>
                <c:pt idx="0">
                  <c:v>26-Jan</c:v>
                </c:pt>
                <c:pt idx="1">
                  <c:v>27-Jan</c:v>
                </c:pt>
                <c:pt idx="2">
                  <c:v>28-Jan</c:v>
                </c:pt>
                <c:pt idx="3">
                  <c:v>31-Jan</c:v>
                </c:pt>
                <c:pt idx="4">
                  <c:v>01-Feb</c:v>
                </c:pt>
                <c:pt idx="5">
                  <c:v>02-Feb</c:v>
                </c:pt>
              </c:strCache>
            </c:strRef>
          </c:cat>
          <c:val>
            <c:numRef>
              <c:f>'[1]Page 380'!$D$263:$D$268</c:f>
              <c:numCache>
                <c:formatCode>0.00%</c:formatCode>
                <c:ptCount val="6"/>
                <c:pt idx="0">
                  <c:v>-9.6424945060377652E-3</c:v>
                </c:pt>
                <c:pt idx="1">
                  <c:v>-2.8085768123810094E-3</c:v>
                </c:pt>
                <c:pt idx="2">
                  <c:v>-2.0163747340409526E-2</c:v>
                </c:pt>
                <c:pt idx="3">
                  <c:v>-2.2252386904620256E-2</c:v>
                </c:pt>
                <c:pt idx="4">
                  <c:v>-1.1865074949104035E-2</c:v>
                </c:pt>
                <c:pt idx="5">
                  <c:v>7.6890478754519957E-3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6-402E-8B38-A504D7FC1548}"/>
            </c:ext>
          </c:extLst>
        </c:ser>
        <c:ser>
          <c:idx val="1"/>
          <c:order val="1"/>
          <c:tx>
            <c:strRef>
              <c:f>'[1]Page 380'!$G$10</c:f>
              <c:strCache>
                <c:ptCount val="1"/>
                <c:pt idx="0">
                  <c:v>Cumulative abnormal return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</c:spPr>
          <c:invertIfNegative val="0"/>
          <c:cat>
            <c:strRef>
              <c:f>'[1]Page 380'!$M$263:$M$268</c:f>
              <c:strCache>
                <c:ptCount val="6"/>
                <c:pt idx="0">
                  <c:v>26-Jan</c:v>
                </c:pt>
                <c:pt idx="1">
                  <c:v>27-Jan</c:v>
                </c:pt>
                <c:pt idx="2">
                  <c:v>28-Jan</c:v>
                </c:pt>
                <c:pt idx="3">
                  <c:v>31-Jan</c:v>
                </c:pt>
                <c:pt idx="4">
                  <c:v>01-Feb</c:v>
                </c:pt>
                <c:pt idx="5">
                  <c:v>02-Feb</c:v>
                </c:pt>
              </c:strCache>
            </c:strRef>
          </c:cat>
          <c:val>
            <c:numRef>
              <c:f>'[1]Page 380'!$G$263:$G$268</c:f>
              <c:numCache>
                <c:formatCode>0.00%</c:formatCode>
                <c:ptCount val="6"/>
                <c:pt idx="0">
                  <c:v>-9.6424945060377652E-3</c:v>
                </c:pt>
                <c:pt idx="1">
                  <c:v>-1.2451071318418775E-2</c:v>
                </c:pt>
                <c:pt idx="2">
                  <c:v>-3.2614818658828301E-2</c:v>
                </c:pt>
                <c:pt idx="3">
                  <c:v>-5.4867205563448554E-2</c:v>
                </c:pt>
                <c:pt idx="4">
                  <c:v>-6.6732280512552589E-2</c:v>
                </c:pt>
                <c:pt idx="5">
                  <c:v>-5.9043232637100596E-2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6-402E-8B38-A504D7FC1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0190784"/>
        <c:axId val="1"/>
      </c:barChart>
      <c:catAx>
        <c:axId val="95019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01"/>
          <c:min val="-7.0000000000000007E-2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501907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0130725378729253"/>
          <c:y val="0.64248887528331611"/>
          <c:w val="0.23137262285942062"/>
          <c:h val="0.1113992807950911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269</xdr:row>
      <xdr:rowOff>15240</xdr:rowOff>
    </xdr:from>
    <xdr:to>
      <xdr:col>7</xdr:col>
      <xdr:colOff>495300</xdr:colOff>
      <xdr:row>290</xdr:row>
      <xdr:rowOff>99060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839EFA1-403A-42C7-ACB7-365796986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541020</xdr:colOff>
      <xdr:row>14</xdr:row>
      <xdr:rowOff>7620</xdr:rowOff>
    </xdr:from>
    <xdr:to>
      <xdr:col>4</xdr:col>
      <xdr:colOff>236220</xdr:colOff>
      <xdr:row>261</xdr:row>
      <xdr:rowOff>106680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501318F8-006A-42F4-A500-D7B6AA05D123}"/>
            </a:ext>
          </a:extLst>
        </xdr:cNvPr>
        <xdr:cNvSpPr>
          <a:spLocks noChangeShapeType="1"/>
        </xdr:cNvSpPr>
      </xdr:nvSpPr>
      <xdr:spPr bwMode="auto">
        <a:xfrm flipH="1">
          <a:off x="3924300" y="3514725"/>
          <a:ext cx="58102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533400</xdr:colOff>
      <xdr:row>259</xdr:row>
      <xdr:rowOff>7620</xdr:rowOff>
    </xdr:from>
    <xdr:to>
      <xdr:col>5</xdr:col>
      <xdr:colOff>266700</xdr:colOff>
      <xdr:row>261</xdr:row>
      <xdr:rowOff>114300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7F2BAE41-C090-405B-84AE-78AED4E9F6E9}"/>
            </a:ext>
          </a:extLst>
        </xdr:cNvPr>
        <xdr:cNvSpPr>
          <a:spLocks noChangeShapeType="1"/>
        </xdr:cNvSpPr>
      </xdr:nvSpPr>
      <xdr:spPr bwMode="auto">
        <a:xfrm flipH="1">
          <a:off x="4800600" y="4219575"/>
          <a:ext cx="476250" cy="600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260</xdr:row>
      <xdr:rowOff>152400</xdr:rowOff>
    </xdr:from>
    <xdr:to>
      <xdr:col>6</xdr:col>
      <xdr:colOff>7620</xdr:colOff>
      <xdr:row>262</xdr:row>
      <xdr:rowOff>7620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750E62C-40A3-4FCB-8D31-1CD9738652D1}"/>
            </a:ext>
          </a:extLst>
        </xdr:cNvPr>
        <xdr:cNvSpPr>
          <a:spLocks noChangeShapeType="1"/>
        </xdr:cNvSpPr>
      </xdr:nvSpPr>
      <xdr:spPr bwMode="auto">
        <a:xfrm flipH="1">
          <a:off x="5505450" y="4533900"/>
          <a:ext cx="447675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16</xdr:col>
      <xdr:colOff>209550</xdr:colOff>
      <xdr:row>1</xdr:row>
      <xdr:rowOff>123825</xdr:rowOff>
    </xdr:from>
    <xdr:to>
      <xdr:col>35</xdr:col>
      <xdr:colOff>495300</xdr:colOff>
      <xdr:row>290</xdr:row>
      <xdr:rowOff>85725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95B398D3-5D8E-B443-21DA-7011B3993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3296900" y="342900"/>
          <a:ext cx="11868150" cy="9858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/>
      <sheetData sheetId="7"/>
      <sheetData sheetId="8">
        <row r="10">
          <cell r="D10" t="str">
            <v>Abnormal return (AR)</v>
          </cell>
          <cell r="G10" t="str">
            <v>Cumulative abnormal return</v>
          </cell>
        </row>
        <row r="263">
          <cell r="D263">
            <v>-9.6424945060377652E-3</v>
          </cell>
          <cell r="G263">
            <v>-9.6424945060377652E-3</v>
          </cell>
          <cell r="M263" t="str">
            <v>26-Jan</v>
          </cell>
        </row>
        <row r="264">
          <cell r="D264">
            <v>-2.8085768123810094E-3</v>
          </cell>
          <cell r="G264">
            <v>-1.2451071318418775E-2</v>
          </cell>
          <cell r="M264" t="str">
            <v>27-Jan</v>
          </cell>
        </row>
        <row r="265">
          <cell r="D265">
            <v>-2.0163747340409526E-2</v>
          </cell>
          <cell r="G265">
            <v>-3.2614818658828301E-2</v>
          </cell>
          <cell r="M265" t="str">
            <v>28-Jan</v>
          </cell>
        </row>
        <row r="266">
          <cell r="D266">
            <v>-2.2252386904620256E-2</v>
          </cell>
          <cell r="G266">
            <v>-5.4867205563448554E-2</v>
          </cell>
          <cell r="M266" t="str">
            <v>31-Jan</v>
          </cell>
        </row>
        <row r="267">
          <cell r="D267">
            <v>-1.1865074949104035E-2</v>
          </cell>
          <cell r="G267">
            <v>-6.6732280512552589E-2</v>
          </cell>
          <cell r="M267" t="str">
            <v>01-Feb</v>
          </cell>
        </row>
        <row r="268">
          <cell r="D268">
            <v>7.6890478754519957E-3</v>
          </cell>
          <cell r="G268">
            <v>-5.9043232637100596E-2</v>
          </cell>
          <cell r="M268" t="str">
            <v>02-Feb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231">
          <cell r="A231">
            <v>38013</v>
          </cell>
          <cell r="C231">
            <v>-4.8351029070569096E-3</v>
          </cell>
          <cell r="K231">
            <v>-6.5112223958830873E-3</v>
          </cell>
        </row>
        <row r="232">
          <cell r="A232">
            <v>38014</v>
          </cell>
          <cell r="C232">
            <v>-1.262240616405963E-2</v>
          </cell>
          <cell r="K232">
            <v>-5.6463678529462547E-3</v>
          </cell>
        </row>
        <row r="233">
          <cell r="A233">
            <v>38015</v>
          </cell>
          <cell r="C233">
            <v>-3.9658509724760371E-5</v>
          </cell>
          <cell r="K233">
            <v>2.4134405303886552E-2</v>
          </cell>
        </row>
        <row r="234">
          <cell r="A234">
            <v>38016</v>
          </cell>
          <cell r="C234">
            <v>-6.2235821901823751E-4</v>
          </cell>
          <cell r="K234">
            <v>7.9238803052694706E-4</v>
          </cell>
        </row>
        <row r="235">
          <cell r="A235">
            <v>38019</v>
          </cell>
          <cell r="C235">
            <v>2.6054584889561028E-3</v>
          </cell>
          <cell r="K235">
            <v>5.9350546251843994E-3</v>
          </cell>
        </row>
        <row r="236">
          <cell r="A236">
            <v>38020</v>
          </cell>
          <cell r="C236">
            <v>9.3169120221658908E-4</v>
          </cell>
          <cell r="K236">
            <v>3.3446072904921298E-3</v>
          </cell>
        </row>
        <row r="237">
          <cell r="A237">
            <v>38021</v>
          </cell>
          <cell r="C237">
            <v>-7.4100887933052917E-3</v>
          </cell>
          <cell r="K237">
            <v>1.1565143929652022E-2</v>
          </cell>
        </row>
        <row r="238">
          <cell r="A238">
            <v>38022</v>
          </cell>
          <cell r="C238">
            <v>2.7857372703450345E-3</v>
          </cell>
          <cell r="K238">
            <v>-4.9409635084541881E-3</v>
          </cell>
        </row>
        <row r="239">
          <cell r="A239">
            <v>38023</v>
          </cell>
          <cell r="C239">
            <v>1.3506451435452149E-2</v>
          </cell>
          <cell r="K239">
            <v>-3.214550025013585E-3</v>
          </cell>
        </row>
        <row r="240">
          <cell r="A240">
            <v>38026</v>
          </cell>
          <cell r="C240">
            <v>1.3795349384184696E-3</v>
          </cell>
          <cell r="K240">
            <v>1.8561417553086823E-3</v>
          </cell>
        </row>
        <row r="241">
          <cell r="A241">
            <v>38027</v>
          </cell>
          <cell r="C241">
            <v>5.3027633991888923E-3</v>
          </cell>
          <cell r="K241">
            <v>-1.9499956528759022E-3</v>
          </cell>
        </row>
        <row r="242">
          <cell r="A242">
            <v>38028</v>
          </cell>
          <cell r="C242">
            <v>1.1084252902483716E-2</v>
          </cell>
          <cell r="K242">
            <v>8.3047107040337131E-3</v>
          </cell>
        </row>
        <row r="243">
          <cell r="A243">
            <v>38029</v>
          </cell>
          <cell r="C243">
            <v>-5.1636412113672536E-3</v>
          </cell>
          <cell r="K243">
            <v>-7.8475336322868516E-3</v>
          </cell>
        </row>
        <row r="244">
          <cell r="A244">
            <v>38030</v>
          </cell>
          <cell r="C244">
            <v>-3.6910808062309286E-3</v>
          </cell>
          <cell r="K244">
            <v>-3.3214119110558382E-3</v>
          </cell>
        </row>
        <row r="245">
          <cell r="A245">
            <v>38034</v>
          </cell>
          <cell r="C245">
            <v>1.1786771079296043E-2</v>
          </cell>
          <cell r="K245">
            <v>1.0484208161456898E-2</v>
          </cell>
        </row>
        <row r="246">
          <cell r="A246">
            <v>38035</v>
          </cell>
          <cell r="C246">
            <v>-7.5521360300253582E-3</v>
          </cell>
          <cell r="K246">
            <v>-1.646893649784098E-3</v>
          </cell>
        </row>
        <row r="247">
          <cell r="A247">
            <v>38036</v>
          </cell>
          <cell r="C247">
            <v>-5.7298999574351139E-4</v>
          </cell>
          <cell r="K247">
            <v>-5.0519317968586996E-3</v>
          </cell>
        </row>
        <row r="248">
          <cell r="A248">
            <v>38037</v>
          </cell>
          <cell r="C248">
            <v>-5.7450981268121204E-3</v>
          </cell>
          <cell r="K248">
            <v>6.8391939699030679E-4</v>
          </cell>
        </row>
        <row r="249">
          <cell r="A249">
            <v>38040</v>
          </cell>
          <cell r="C249">
            <v>-1.6789706307447361E-3</v>
          </cell>
          <cell r="K249">
            <v>1.0438175556029661E-2</v>
          </cell>
        </row>
        <row r="250">
          <cell r="A250">
            <v>38041</v>
          </cell>
          <cell r="C250">
            <v>-1.5932788237941198E-3</v>
          </cell>
          <cell r="K250">
            <v>-1.7282832154430494E-2</v>
          </cell>
        </row>
        <row r="251">
          <cell r="A251">
            <v>38042</v>
          </cell>
          <cell r="C251">
            <v>2.3125886567452181E-3</v>
          </cell>
          <cell r="K251">
            <v>8.9414768141062861E-3</v>
          </cell>
        </row>
        <row r="252">
          <cell r="A252">
            <v>38043</v>
          </cell>
          <cell r="C252">
            <v>1.1079011794123961E-3</v>
          </cell>
          <cell r="K252">
            <v>3.7003501895653823E-3</v>
          </cell>
        </row>
        <row r="253">
          <cell r="A253">
            <v>38044</v>
          </cell>
          <cell r="C253">
            <v>2.2028674715395269E-3</v>
          </cell>
          <cell r="K253">
            <v>-5.4332602857094514E-3</v>
          </cell>
        </row>
        <row r="254">
          <cell r="A254">
            <v>38047</v>
          </cell>
          <cell r="C254">
            <v>1.1085758856727912E-2</v>
          </cell>
          <cell r="K254">
            <v>1.3168630536975368E-2</v>
          </cell>
        </row>
        <row r="255">
          <cell r="A255">
            <v>38048</v>
          </cell>
          <cell r="C255">
            <v>-7.3050412617342575E-3</v>
          </cell>
          <cell r="K255">
            <v>-1.6752205931948816E-2</v>
          </cell>
        </row>
        <row r="256">
          <cell r="A256">
            <v>38049</v>
          </cell>
          <cell r="C256">
            <v>1.7864772603770618E-4</v>
          </cell>
          <cell r="K256">
            <v>3.3281156130404721E-3</v>
          </cell>
        </row>
        <row r="257">
          <cell r="A257">
            <v>38050</v>
          </cell>
          <cell r="C257">
            <v>3.6348318704202409E-3</v>
          </cell>
          <cell r="K257">
            <v>-3.5118324928415934E-3</v>
          </cell>
        </row>
        <row r="258">
          <cell r="A258">
            <v>38051</v>
          </cell>
          <cell r="C258">
            <v>5.5289014126282954E-3</v>
          </cell>
          <cell r="K258">
            <v>-3.330845248763481E-3</v>
          </cell>
        </row>
        <row r="259">
          <cell r="A259">
            <v>38054</v>
          </cell>
          <cell r="C259">
            <v>-5.7005647467636145E-3</v>
          </cell>
          <cell r="K259">
            <v>6.9780977434354963E-3</v>
          </cell>
        </row>
        <row r="260">
          <cell r="A260">
            <v>38055</v>
          </cell>
          <cell r="C260">
            <v>-6.4245006215345457E-3</v>
          </cell>
          <cell r="K260">
            <v>1.947371255972552E-4</v>
          </cell>
        </row>
        <row r="261">
          <cell r="A261">
            <v>38056</v>
          </cell>
          <cell r="C261">
            <v>-1.5877708056201145E-2</v>
          </cell>
          <cell r="K261">
            <v>2.9660560568024463E-2</v>
          </cell>
        </row>
        <row r="262">
          <cell r="A262">
            <v>38057</v>
          </cell>
          <cell r="C262">
            <v>-1.6865097425254771E-2</v>
          </cell>
          <cell r="K262">
            <v>-1.4972360575801091E-2</v>
          </cell>
        </row>
        <row r="263">
          <cell r="A263">
            <v>38058</v>
          </cell>
          <cell r="C263">
            <v>1.0093279119827825E-2</v>
          </cell>
          <cell r="K263">
            <v>1.6357855140063382E-3</v>
          </cell>
        </row>
        <row r="264">
          <cell r="A264">
            <v>38061</v>
          </cell>
          <cell r="C264">
            <v>-1.5404921508839098E-2</v>
          </cell>
          <cell r="K264">
            <v>-1.5366767657408964E-2</v>
          </cell>
        </row>
        <row r="265">
          <cell r="A265">
            <v>38062</v>
          </cell>
          <cell r="C265">
            <v>6.9184126905317278E-3</v>
          </cell>
          <cell r="K265">
            <v>5.2677678454953192E-3</v>
          </cell>
        </row>
        <row r="266">
          <cell r="A266">
            <v>38063</v>
          </cell>
          <cell r="C266">
            <v>1.2020567945254967E-2</v>
          </cell>
          <cell r="K266">
            <v>1.1254817387292171E-2</v>
          </cell>
        </row>
        <row r="267">
          <cell r="A267">
            <v>38064</v>
          </cell>
          <cell r="C267">
            <v>-9.9730195562541812E-4</v>
          </cell>
          <cell r="K267">
            <v>2.0144822739818213E-3</v>
          </cell>
        </row>
        <row r="268">
          <cell r="A268">
            <v>38065</v>
          </cell>
          <cell r="C268">
            <v>-9.0898422080208929E-3</v>
          </cell>
          <cell r="K268">
            <v>-3.8297820439325836E-3</v>
          </cell>
        </row>
        <row r="269">
          <cell r="A269">
            <v>38068</v>
          </cell>
          <cell r="C269">
            <v>-1.4959555673818237E-2</v>
          </cell>
          <cell r="K269">
            <v>-5.7545148454252182E-4</v>
          </cell>
        </row>
        <row r="270">
          <cell r="A270">
            <v>38069</v>
          </cell>
          <cell r="C270">
            <v>2.1938487915094118E-3</v>
          </cell>
          <cell r="K270">
            <v>-5.8680844808153276E-3</v>
          </cell>
        </row>
        <row r="271">
          <cell r="A271">
            <v>38070</v>
          </cell>
          <cell r="C271">
            <v>-6.6450410699372409E-3</v>
          </cell>
          <cell r="K271">
            <v>-3.2902438723828586E-3</v>
          </cell>
        </row>
        <row r="272">
          <cell r="A272">
            <v>38071</v>
          </cell>
          <cell r="C272">
            <v>1.3920105651641368E-2</v>
          </cell>
          <cell r="K272">
            <v>1.4756064390099022E-2</v>
          </cell>
        </row>
        <row r="273">
          <cell r="A273">
            <v>38072</v>
          </cell>
          <cell r="C273">
            <v>7.9666853329452003E-4</v>
          </cell>
          <cell r="K273">
            <v>-5.6452087813455565E-3</v>
          </cell>
        </row>
        <row r="274">
          <cell r="A274">
            <v>38075</v>
          </cell>
          <cell r="C274">
            <v>1.2982315671675293E-2</v>
          </cell>
          <cell r="K274">
            <v>8.9467869374051379E-3</v>
          </cell>
        </row>
        <row r="275">
          <cell r="A275">
            <v>38076</v>
          </cell>
          <cell r="C275">
            <v>5.0461123419942577E-3</v>
          </cell>
          <cell r="K275">
            <v>1.0488732000955459E-2</v>
          </cell>
        </row>
        <row r="276">
          <cell r="A276">
            <v>38077</v>
          </cell>
          <cell r="C276">
            <v>1.887156254412492E-3</v>
          </cell>
          <cell r="K276">
            <v>-1.0379860426732002E-2</v>
          </cell>
        </row>
        <row r="277">
          <cell r="A277">
            <v>38078</v>
          </cell>
          <cell r="C277">
            <v>6.8615833164116236E-3</v>
          </cell>
          <cell r="K277">
            <v>1.0488732000955459E-2</v>
          </cell>
        </row>
        <row r="278">
          <cell r="A278">
            <v>38079</v>
          </cell>
          <cell r="C278">
            <v>5.4166403284598985E-3</v>
          </cell>
          <cell r="K278">
            <v>1.2258731341490137E-3</v>
          </cell>
        </row>
        <row r="279">
          <cell r="A279">
            <v>38082</v>
          </cell>
          <cell r="C279">
            <v>5.2033357633529675E-3</v>
          </cell>
          <cell r="K279">
            <v>2.2626878571085918E-3</v>
          </cell>
        </row>
        <row r="280">
          <cell r="A280">
            <v>38083</v>
          </cell>
          <cell r="C280">
            <v>-3.1198390490670969E-3</v>
          </cell>
          <cell r="K280">
            <v>6.1120326400907476E-3</v>
          </cell>
        </row>
        <row r="281">
          <cell r="A281">
            <v>38084</v>
          </cell>
          <cell r="C281">
            <v>-2.7994634112822325E-3</v>
          </cell>
          <cell r="K281">
            <v>-5.1404548439510922E-3</v>
          </cell>
        </row>
        <row r="282">
          <cell r="A282">
            <v>38085</v>
          </cell>
          <cell r="C282">
            <v>-2.9496359768702574E-3</v>
          </cell>
          <cell r="K282">
            <v>-4.7063515804168787E-4</v>
          </cell>
        </row>
        <row r="283">
          <cell r="A283">
            <v>38089</v>
          </cell>
          <cell r="C283">
            <v>4.1978992474129839E-3</v>
          </cell>
          <cell r="K283">
            <v>6.7675683440606704E-3</v>
          </cell>
        </row>
        <row r="284">
          <cell r="A284">
            <v>38090</v>
          </cell>
          <cell r="C284">
            <v>-1.4964876975903763E-2</v>
          </cell>
          <cell r="K284">
            <v>-1.1109657832051201E-2</v>
          </cell>
        </row>
        <row r="285">
          <cell r="A285">
            <v>38091</v>
          </cell>
          <cell r="C285">
            <v>-4.9304107308582035E-3</v>
          </cell>
          <cell r="K285">
            <v>-1.1322645290581246E-3</v>
          </cell>
        </row>
        <row r="286">
          <cell r="A286">
            <v>38092</v>
          </cell>
          <cell r="C286">
            <v>2.791867712179652E-3</v>
          </cell>
          <cell r="K286">
            <v>2.9291682967689248E-3</v>
          </cell>
        </row>
        <row r="287">
          <cell r="A287">
            <v>38093</v>
          </cell>
          <cell r="C287">
            <v>7.2258602685761897E-3</v>
          </cell>
          <cell r="K287">
            <v>-1.4122965822822575E-3</v>
          </cell>
        </row>
        <row r="288">
          <cell r="A288">
            <v>38096</v>
          </cell>
          <cell r="C288">
            <v>4.7151775823528475E-4</v>
          </cell>
          <cell r="K288">
            <v>4.7076357852438022E-4</v>
          </cell>
        </row>
        <row r="289">
          <cell r="A289">
            <v>38097</v>
          </cell>
          <cell r="C289">
            <v>-1.4037658325843472E-2</v>
          </cell>
          <cell r="K289">
            <v>-1.3299320817581894E-2</v>
          </cell>
        </row>
        <row r="290">
          <cell r="A290">
            <v>38098</v>
          </cell>
          <cell r="C290">
            <v>3.0105161234972311E-3</v>
          </cell>
          <cell r="K290">
            <v>-5.4750376434203885E-3</v>
          </cell>
        </row>
        <row r="291">
          <cell r="A291">
            <v>38099</v>
          </cell>
          <cell r="C291">
            <v>1.3217204820086703E-2</v>
          </cell>
          <cell r="K291">
            <v>1.052880730650263E-2</v>
          </cell>
        </row>
        <row r="292">
          <cell r="A292">
            <v>38100</v>
          </cell>
          <cell r="C292">
            <v>-2.475389323564503E-3</v>
          </cell>
          <cell r="K292">
            <v>3.4407282067021594E-3</v>
          </cell>
        </row>
        <row r="293">
          <cell r="A293">
            <v>38103</v>
          </cell>
          <cell r="C293">
            <v>-2.898647096516882E-3</v>
          </cell>
          <cell r="K293">
            <v>2.3805307597575265E-3</v>
          </cell>
        </row>
        <row r="294">
          <cell r="A294">
            <v>38104</v>
          </cell>
          <cell r="C294">
            <v>2.2735195598466706E-3</v>
          </cell>
          <cell r="K294">
            <v>3.7058524765574141E-3</v>
          </cell>
        </row>
        <row r="295">
          <cell r="A295">
            <v>38105</v>
          </cell>
          <cell r="C295">
            <v>-1.7011205710224186E-2</v>
          </cell>
          <cell r="K295">
            <v>-1.3822635841248654E-2</v>
          </cell>
        </row>
        <row r="296">
          <cell r="A296">
            <v>38106</v>
          </cell>
          <cell r="C296">
            <v>-7.3812999887696851E-3</v>
          </cell>
          <cell r="K296">
            <v>1.7279633963810159E-2</v>
          </cell>
        </row>
        <row r="297">
          <cell r="A297">
            <v>38107</v>
          </cell>
          <cell r="C297">
            <v>-1.9853601003063659E-3</v>
          </cell>
          <cell r="K297">
            <v>-2.0754167779802879E-3</v>
          </cell>
        </row>
        <row r="298">
          <cell r="A298">
            <v>38110</v>
          </cell>
          <cell r="C298">
            <v>7.6606278205180178E-3</v>
          </cell>
          <cell r="K298">
            <v>9.8352795452956165E-3</v>
          </cell>
        </row>
        <row r="299">
          <cell r="A299">
            <v>38111</v>
          </cell>
          <cell r="C299">
            <v>6.548256597957991E-3</v>
          </cell>
          <cell r="K299">
            <v>-4.5898058828649502E-3</v>
          </cell>
        </row>
        <row r="300">
          <cell r="A300">
            <v>38112</v>
          </cell>
          <cell r="C300">
            <v>3.4878522302044246E-3</v>
          </cell>
          <cell r="K300">
            <v>4.7977930946758729E-3</v>
          </cell>
        </row>
        <row r="301">
          <cell r="A301">
            <v>38113</v>
          </cell>
          <cell r="C301">
            <v>-1.0822365510022913E-2</v>
          </cell>
          <cell r="K301">
            <v>9.0809831435116894E-3</v>
          </cell>
        </row>
        <row r="302">
          <cell r="A302">
            <v>38114</v>
          </cell>
          <cell r="C302">
            <v>-1.8358529651755662E-2</v>
          </cell>
          <cell r="K302">
            <v>-9.8343046105777709E-3</v>
          </cell>
        </row>
        <row r="303">
          <cell r="A303">
            <v>38117</v>
          </cell>
          <cell r="C303">
            <v>-1.763808380486076E-2</v>
          </cell>
          <cell r="K303">
            <v>-9.8389344651736987E-3</v>
          </cell>
        </row>
        <row r="304">
          <cell r="A304">
            <v>38118</v>
          </cell>
          <cell r="C304">
            <v>7.8601111356373377E-3</v>
          </cell>
          <cell r="K304">
            <v>3.8807116037475886E-3</v>
          </cell>
        </row>
        <row r="305">
          <cell r="A305">
            <v>38119</v>
          </cell>
          <cell r="C305">
            <v>1.6156268251188433E-3</v>
          </cell>
          <cell r="K305">
            <v>5.6561649210218334E-4</v>
          </cell>
        </row>
        <row r="306">
          <cell r="A306">
            <v>38120</v>
          </cell>
          <cell r="C306">
            <v>-2.6239316510171529E-3</v>
          </cell>
          <cell r="K306">
            <v>-7.8206018818012257E-3</v>
          </cell>
        </row>
        <row r="307">
          <cell r="A307">
            <v>38121</v>
          </cell>
          <cell r="C307">
            <v>-1.969948749558359E-4</v>
          </cell>
          <cell r="K307">
            <v>1.0446132302963873E-2</v>
          </cell>
        </row>
        <row r="308">
          <cell r="A308">
            <v>38124</v>
          </cell>
          <cell r="C308">
            <v>-9.8755191996618974E-3</v>
          </cell>
          <cell r="K308">
            <v>-1.2210400084182726E-3</v>
          </cell>
        </row>
        <row r="309">
          <cell r="A309">
            <v>38125</v>
          </cell>
          <cell r="C309">
            <v>7.2762987487140496E-3</v>
          </cell>
          <cell r="K309">
            <v>-2.0713482051628596E-3</v>
          </cell>
        </row>
        <row r="310">
          <cell r="A310">
            <v>38126</v>
          </cell>
          <cell r="C310">
            <v>1.6936109601961569E-3</v>
          </cell>
          <cell r="K310">
            <v>-5.4679967809535546E-3</v>
          </cell>
        </row>
        <row r="311">
          <cell r="A311">
            <v>38127</v>
          </cell>
          <cell r="C311">
            <v>-1.5969054390218007E-3</v>
          </cell>
          <cell r="K311">
            <v>1.1470816216573532E-2</v>
          </cell>
        </row>
        <row r="312">
          <cell r="A312">
            <v>38128</v>
          </cell>
          <cell r="C312">
            <v>4.9385705546491909E-3</v>
          </cell>
          <cell r="K312">
            <v>2.0633908521685562E-3</v>
          </cell>
        </row>
        <row r="313">
          <cell r="A313">
            <v>38131</v>
          </cell>
          <cell r="C313">
            <v>4.1232570084273057E-3</v>
          </cell>
          <cell r="K313">
            <v>-6.9224323961140088E-3</v>
          </cell>
        </row>
        <row r="314">
          <cell r="A314">
            <v>38132</v>
          </cell>
          <cell r="C314">
            <v>1.5028109622000185E-2</v>
          </cell>
          <cell r="K314">
            <v>1.4976130920755226E-2</v>
          </cell>
        </row>
        <row r="315">
          <cell r="A315">
            <v>38133</v>
          </cell>
          <cell r="C315">
            <v>9.0522792457070622E-4</v>
          </cell>
          <cell r="K315">
            <v>-1.4861025881318657E-3</v>
          </cell>
        </row>
        <row r="316">
          <cell r="A316">
            <v>38134</v>
          </cell>
          <cell r="C316">
            <v>8.8824796352526825E-3</v>
          </cell>
          <cell r="K316">
            <v>9.1085625200029163E-3</v>
          </cell>
        </row>
        <row r="317">
          <cell r="A317">
            <v>38135</v>
          </cell>
          <cell r="C317">
            <v>-1.1675369283612458E-3</v>
          </cell>
          <cell r="K317">
            <v>-6.9988714635949023E-3</v>
          </cell>
        </row>
        <row r="318">
          <cell r="A318">
            <v>38139</v>
          </cell>
          <cell r="C318">
            <v>3.9014791694924611E-4</v>
          </cell>
          <cell r="K318">
            <v>7.2343502311189578E-3</v>
          </cell>
        </row>
        <row r="319">
          <cell r="A319">
            <v>38140</v>
          </cell>
          <cell r="C319">
            <v>2.9426952869089362E-3</v>
          </cell>
          <cell r="K319">
            <v>1.9337204665050844E-3</v>
          </cell>
        </row>
        <row r="320">
          <cell r="A320">
            <v>38141</v>
          </cell>
          <cell r="C320">
            <v>-7.6279444357350012E-3</v>
          </cell>
          <cell r="K320">
            <v>-7.904409266274337E-3</v>
          </cell>
        </row>
        <row r="321">
          <cell r="A321">
            <v>38142</v>
          </cell>
          <cell r="C321">
            <v>7.3055782279209946E-3</v>
          </cell>
          <cell r="K321">
            <v>-7.4174393981507603E-4</v>
          </cell>
        </row>
        <row r="322">
          <cell r="A322">
            <v>38145</v>
          </cell>
          <cell r="C322">
            <v>1.6453255595121785E-2</v>
          </cell>
          <cell r="K322">
            <v>1.511225491060153E-2</v>
          </cell>
        </row>
        <row r="323">
          <cell r="A323">
            <v>38146</v>
          </cell>
          <cell r="C323">
            <v>-1.129953758117308E-3</v>
          </cell>
          <cell r="K323">
            <v>7.2140383372403249E-3</v>
          </cell>
        </row>
        <row r="324">
          <cell r="A324">
            <v>38147</v>
          </cell>
          <cell r="C324">
            <v>-1.1796917354946368E-2</v>
          </cell>
          <cell r="K324">
            <v>4.2621744943815987E-3</v>
          </cell>
        </row>
        <row r="325">
          <cell r="A325">
            <v>38148</v>
          </cell>
          <cell r="C325">
            <v>4.8195392857579566E-3</v>
          </cell>
          <cell r="K325">
            <v>-2.1668679030784066E-3</v>
          </cell>
        </row>
        <row r="326">
          <cell r="A326">
            <v>38152</v>
          </cell>
          <cell r="C326">
            <v>-1.3994268694229262E-2</v>
          </cell>
          <cell r="K326">
            <v>1.7969005377316272E-4</v>
          </cell>
        </row>
        <row r="327">
          <cell r="A327">
            <v>38153</v>
          </cell>
          <cell r="C327">
            <v>9.4072737003128015E-3</v>
          </cell>
          <cell r="K327">
            <v>4.523935575487803E-3</v>
          </cell>
        </row>
        <row r="328">
          <cell r="A328">
            <v>38154</v>
          </cell>
          <cell r="C328">
            <v>1.4311917046045952E-3</v>
          </cell>
          <cell r="K328">
            <v>1.2614539255380031E-3</v>
          </cell>
        </row>
        <row r="329">
          <cell r="A329">
            <v>38155</v>
          </cell>
          <cell r="C329">
            <v>1.6280639045684886E-3</v>
          </cell>
          <cell r="K329">
            <v>-7.2855522216752622E-3</v>
          </cell>
        </row>
        <row r="330">
          <cell r="A330">
            <v>38156</v>
          </cell>
          <cell r="C330">
            <v>3.1423722236905149E-3</v>
          </cell>
          <cell r="K330">
            <v>-1.630893565052971E-3</v>
          </cell>
        </row>
        <row r="331">
          <cell r="A331">
            <v>38159</v>
          </cell>
          <cell r="C331">
            <v>-3.2619719854171114E-3</v>
          </cell>
          <cell r="K331">
            <v>7.3510097572477839E-3</v>
          </cell>
        </row>
        <row r="332">
          <cell r="A332">
            <v>38160</v>
          </cell>
          <cell r="C332">
            <v>1.3215872492040592E-3</v>
          </cell>
          <cell r="K332">
            <v>6.846277562595926E-3</v>
          </cell>
        </row>
        <row r="333">
          <cell r="A333">
            <v>38161</v>
          </cell>
          <cell r="C333">
            <v>7.4048530549404301E-3</v>
          </cell>
          <cell r="K333">
            <v>1.4310235315466713E-3</v>
          </cell>
        </row>
        <row r="334">
          <cell r="A334">
            <v>38162</v>
          </cell>
          <cell r="C334">
            <v>-7.239857383897208E-4</v>
          </cell>
          <cell r="K334">
            <v>-1.1971707355747707E-2</v>
          </cell>
        </row>
        <row r="335">
          <cell r="A335">
            <v>38163</v>
          </cell>
          <cell r="C335">
            <v>-3.9954164873075015E-3</v>
          </cell>
          <cell r="K335">
            <v>-9.7667780522613379E-3</v>
          </cell>
        </row>
        <row r="336">
          <cell r="A336">
            <v>38166</v>
          </cell>
          <cell r="C336">
            <v>5.7828098368739589E-5</v>
          </cell>
          <cell r="K336">
            <v>-2.7397524575772936E-3</v>
          </cell>
        </row>
        <row r="337">
          <cell r="A337">
            <v>38167</v>
          </cell>
          <cell r="C337">
            <v>4.473809951337504E-4</v>
          </cell>
          <cell r="K337">
            <v>4.5775090689239573E-3</v>
          </cell>
        </row>
        <row r="338">
          <cell r="A338">
            <v>38168</v>
          </cell>
          <cell r="C338">
            <v>4.3303541551320546E-3</v>
          </cell>
          <cell r="K338">
            <v>-7.4743712457221445E-3</v>
          </cell>
        </row>
        <row r="339">
          <cell r="A339">
            <v>38169</v>
          </cell>
          <cell r="C339">
            <v>-8.8187321198426316E-3</v>
          </cell>
          <cell r="K339">
            <v>-3.4907637379696377E-3</v>
          </cell>
        </row>
        <row r="340">
          <cell r="A340">
            <v>38170</v>
          </cell>
          <cell r="C340">
            <v>-3.6670557820306371E-4</v>
          </cell>
          <cell r="K340">
            <v>1.4759687748875372E-3</v>
          </cell>
        </row>
        <row r="341">
          <cell r="A341">
            <v>38174</v>
          </cell>
          <cell r="C341">
            <v>-6.852267377521204E-3</v>
          </cell>
          <cell r="K341">
            <v>-3.3131189009155682E-3</v>
          </cell>
        </row>
        <row r="342">
          <cell r="A342">
            <v>38175</v>
          </cell>
          <cell r="C342">
            <v>3.2597002245469131E-3</v>
          </cell>
          <cell r="K342">
            <v>4.9861982189363108E-3</v>
          </cell>
        </row>
        <row r="343">
          <cell r="A343">
            <v>38176</v>
          </cell>
          <cell r="C343">
            <v>-6.9231489052281603E-3</v>
          </cell>
          <cell r="K343">
            <v>2.3875567530005082E-3</v>
          </cell>
        </row>
        <row r="344">
          <cell r="A344">
            <v>38177</v>
          </cell>
          <cell r="C344">
            <v>4.1429935213590507E-3</v>
          </cell>
          <cell r="K344">
            <v>3.1177321500153177E-3</v>
          </cell>
        </row>
        <row r="345">
          <cell r="A345">
            <v>38180</v>
          </cell>
          <cell r="C345">
            <v>5.1996800196918436E-4</v>
          </cell>
          <cell r="K345">
            <v>2.9227178573427715E-3</v>
          </cell>
        </row>
        <row r="346">
          <cell r="A346">
            <v>38181</v>
          </cell>
          <cell r="C346">
            <v>1.2608052547902204E-4</v>
          </cell>
          <cell r="K346">
            <v>3.6571868533763485E-4</v>
          </cell>
        </row>
        <row r="347">
          <cell r="A347">
            <v>38182</v>
          </cell>
          <cell r="C347">
            <v>-2.4290502106202316E-3</v>
          </cell>
          <cell r="K347">
            <v>3.2787200677293349E-3</v>
          </cell>
        </row>
        <row r="348">
          <cell r="A348">
            <v>38183</v>
          </cell>
          <cell r="C348">
            <v>-4.8822586610776098E-3</v>
          </cell>
          <cell r="K348">
            <v>-1.2715301897322506E-3</v>
          </cell>
        </row>
        <row r="349">
          <cell r="A349">
            <v>38184</v>
          </cell>
          <cell r="C349">
            <v>-1.7035458532588255E-4</v>
          </cell>
          <cell r="K349">
            <v>1.6360829255928078E-3</v>
          </cell>
        </row>
        <row r="350">
          <cell r="A350">
            <v>38187</v>
          </cell>
          <cell r="C350">
            <v>-1.4498096350383793E-3</v>
          </cell>
          <cell r="K350">
            <v>-7.6225824757290006E-3</v>
          </cell>
        </row>
        <row r="351">
          <cell r="A351">
            <v>38188</v>
          </cell>
          <cell r="C351">
            <v>4.0904902693796874E-3</v>
          </cell>
          <cell r="K351">
            <v>-3.2919139465875658E-3</v>
          </cell>
        </row>
        <row r="352">
          <cell r="A352">
            <v>38189</v>
          </cell>
          <cell r="C352">
            <v>-1.2794626318740954E-2</v>
          </cell>
          <cell r="K352">
            <v>-1.8616938797661575E-2</v>
          </cell>
        </row>
        <row r="353">
          <cell r="A353">
            <v>38190</v>
          </cell>
          <cell r="C353">
            <v>6.5725539536209965E-5</v>
          </cell>
          <cell r="K353">
            <v>2.6287567422376146E-3</v>
          </cell>
        </row>
        <row r="354">
          <cell r="A354">
            <v>38191</v>
          </cell>
          <cell r="C354">
            <v>-1.0410554202011313E-2</v>
          </cell>
          <cell r="K354">
            <v>-1.6672773188037615E-2</v>
          </cell>
        </row>
        <row r="355">
          <cell r="A355">
            <v>38194</v>
          </cell>
          <cell r="C355">
            <v>-4.1839945604907891E-3</v>
          </cell>
          <cell r="K355">
            <v>1.2003445581842742E-2</v>
          </cell>
        </row>
        <row r="356">
          <cell r="A356">
            <v>38195</v>
          </cell>
          <cell r="C356">
            <v>7.9331305060308388E-3</v>
          </cell>
          <cell r="K356">
            <v>1.4493786397773434E-2</v>
          </cell>
        </row>
        <row r="357">
          <cell r="A357">
            <v>38196</v>
          </cell>
          <cell r="C357">
            <v>1.6021803516290678E-3</v>
          </cell>
          <cell r="K357">
            <v>-8.349203128170779E-3</v>
          </cell>
        </row>
        <row r="358">
          <cell r="A358">
            <v>38197</v>
          </cell>
          <cell r="C358">
            <v>5.709549102908662E-3</v>
          </cell>
          <cell r="K358">
            <v>-9.72994244675085E-3</v>
          </cell>
        </row>
        <row r="359">
          <cell r="A359">
            <v>38198</v>
          </cell>
          <cell r="C359">
            <v>1.4200657796989979E-3</v>
          </cell>
          <cell r="K359">
            <v>-1.4550548402479824E-2</v>
          </cell>
        </row>
        <row r="360">
          <cell r="A360">
            <v>38201</v>
          </cell>
          <cell r="C360">
            <v>3.6310253547082727E-3</v>
          </cell>
          <cell r="K360">
            <v>2.2818510475706599E-2</v>
          </cell>
        </row>
        <row r="361">
          <cell r="A361">
            <v>38202</v>
          </cell>
          <cell r="C361">
            <v>-3.6863562803435279E-3</v>
          </cell>
          <cell r="K361">
            <v>5.9987304691349053E-3</v>
          </cell>
        </row>
        <row r="362">
          <cell r="A362">
            <v>38203</v>
          </cell>
          <cell r="C362">
            <v>-2.756645233034094E-3</v>
          </cell>
          <cell r="K362">
            <v>7.4541902386164871E-3</v>
          </cell>
        </row>
        <row r="363">
          <cell r="A363">
            <v>38204</v>
          </cell>
          <cell r="C363">
            <v>-1.4089139334634293E-2</v>
          </cell>
          <cell r="K363">
            <v>-1.6832613334215152E-2</v>
          </cell>
        </row>
        <row r="364">
          <cell r="A364">
            <v>38205</v>
          </cell>
          <cell r="C364">
            <v>-1.1003796603707761E-2</v>
          </cell>
          <cell r="K364">
            <v>-3.0110768853357506E-3</v>
          </cell>
        </row>
        <row r="365">
          <cell r="A365">
            <v>38208</v>
          </cell>
          <cell r="C365">
            <v>2.7626838509897667E-4</v>
          </cell>
          <cell r="K365">
            <v>1.8871106966038553E-3</v>
          </cell>
        </row>
        <row r="366">
          <cell r="A366">
            <v>38209</v>
          </cell>
          <cell r="C366">
            <v>1.0848568056458729E-2</v>
          </cell>
          <cell r="K366">
            <v>2.0909256559766609E-2</v>
          </cell>
        </row>
        <row r="367">
          <cell r="A367">
            <v>38210</v>
          </cell>
          <cell r="C367">
            <v>-2.6226706125864752E-3</v>
          </cell>
          <cell r="K367">
            <v>8.6700436315241269E-3</v>
          </cell>
        </row>
        <row r="368">
          <cell r="A368">
            <v>38211</v>
          </cell>
          <cell r="C368">
            <v>-9.8015481158220119E-3</v>
          </cell>
          <cell r="K368">
            <v>-6.9491192909705291E-3</v>
          </cell>
        </row>
        <row r="369">
          <cell r="A369">
            <v>38212</v>
          </cell>
          <cell r="C369">
            <v>2.8598726729354151E-3</v>
          </cell>
          <cell r="K369">
            <v>3.1299086399811937E-3</v>
          </cell>
        </row>
        <row r="370">
          <cell r="A370">
            <v>38215</v>
          </cell>
          <cell r="C370">
            <v>1.3009155006383333E-2</v>
          </cell>
          <cell r="K370">
            <v>9.3642901964572367E-3</v>
          </cell>
        </row>
        <row r="371">
          <cell r="A371">
            <v>38216</v>
          </cell>
          <cell r="C371">
            <v>6.8081602925929019E-4</v>
          </cell>
          <cell r="K371">
            <v>-2.3643058677251805E-3</v>
          </cell>
        </row>
        <row r="372">
          <cell r="A372">
            <v>38217</v>
          </cell>
          <cell r="C372">
            <v>1.0518571259048315E-2</v>
          </cell>
          <cell r="K372">
            <v>6.5651849621983782E-3</v>
          </cell>
        </row>
        <row r="373">
          <cell r="A373">
            <v>38218</v>
          </cell>
          <cell r="C373">
            <v>-2.207702533221112E-3</v>
          </cell>
          <cell r="K373">
            <v>-1.3044728866605793E-2</v>
          </cell>
        </row>
        <row r="374">
          <cell r="A374">
            <v>38219</v>
          </cell>
          <cell r="C374">
            <v>6.5969623216788342E-3</v>
          </cell>
          <cell r="K374">
            <v>6.7919284328767926E-3</v>
          </cell>
        </row>
        <row r="375">
          <cell r="A375">
            <v>38222</v>
          </cell>
          <cell r="C375">
            <v>-4.5567425915908899E-3</v>
          </cell>
          <cell r="K375">
            <v>-1.8231173581476634E-3</v>
          </cell>
        </row>
        <row r="376">
          <cell r="A376">
            <v>38223</v>
          </cell>
          <cell r="C376">
            <v>-4.5885639830600677E-4</v>
          </cell>
          <cell r="K376">
            <v>3.6528943714313478E-3</v>
          </cell>
        </row>
        <row r="377">
          <cell r="A377">
            <v>38224</v>
          </cell>
          <cell r="C377">
            <v>7.7211003194668226E-3</v>
          </cell>
          <cell r="K377">
            <v>6.3702555565123831E-3</v>
          </cell>
        </row>
        <row r="378">
          <cell r="A378">
            <v>38225</v>
          </cell>
          <cell r="C378">
            <v>1.2453764815083535E-3</v>
          </cell>
          <cell r="K378">
            <v>7.233121765155559E-3</v>
          </cell>
        </row>
        <row r="379">
          <cell r="A379">
            <v>38226</v>
          </cell>
          <cell r="C379">
            <v>2.4410695984347086E-3</v>
          </cell>
          <cell r="K379">
            <v>5.0272031533760142E-3</v>
          </cell>
        </row>
        <row r="380">
          <cell r="A380">
            <v>38229</v>
          </cell>
          <cell r="C380">
            <v>-6.3480556175180558E-3</v>
          </cell>
          <cell r="K380">
            <v>-8.3962425405865737E-3</v>
          </cell>
        </row>
        <row r="381">
          <cell r="A381">
            <v>38230</v>
          </cell>
          <cell r="C381">
            <v>6.1859463032423179E-3</v>
          </cell>
          <cell r="K381">
            <v>8.2873817745794387E-3</v>
          </cell>
        </row>
        <row r="382">
          <cell r="A382">
            <v>38231</v>
          </cell>
          <cell r="C382">
            <v>2.4232207764840474E-3</v>
          </cell>
          <cell r="K382">
            <v>4.1086934467560177E-3</v>
          </cell>
        </row>
        <row r="383">
          <cell r="A383">
            <v>38232</v>
          </cell>
          <cell r="C383">
            <v>1.0075952184436909E-2</v>
          </cell>
          <cell r="K383">
            <v>5.1602232479470711E-3</v>
          </cell>
        </row>
        <row r="384">
          <cell r="A384">
            <v>38233</v>
          </cell>
          <cell r="C384">
            <v>-3.7658472391184361E-3</v>
          </cell>
          <cell r="K384">
            <v>1.06285750449997E-3</v>
          </cell>
        </row>
        <row r="385">
          <cell r="A385">
            <v>38237</v>
          </cell>
          <cell r="C385">
            <v>6.9426951173807705E-3</v>
          </cell>
          <cell r="K385">
            <v>1.7683087827862209E-3</v>
          </cell>
        </row>
        <row r="386">
          <cell r="A386">
            <v>38238</v>
          </cell>
          <cell r="C386">
            <v>-3.2872457914101538E-3</v>
          </cell>
          <cell r="K386">
            <v>1.4106649986171949E-3</v>
          </cell>
        </row>
        <row r="387">
          <cell r="A387">
            <v>38239</v>
          </cell>
          <cell r="C387">
            <v>1.5641045654406494E-3</v>
          </cell>
          <cell r="K387">
            <v>-1.1280543749640937E-2</v>
          </cell>
        </row>
        <row r="388">
          <cell r="A388">
            <v>38240</v>
          </cell>
          <cell r="C388">
            <v>3.6657798912336226E-3</v>
          </cell>
          <cell r="K388">
            <v>1.6047181713712E-3</v>
          </cell>
        </row>
        <row r="389">
          <cell r="A389">
            <v>38243</v>
          </cell>
          <cell r="C389">
            <v>2.0568488041046162E-3</v>
          </cell>
          <cell r="K389">
            <v>1.6021471766836104E-3</v>
          </cell>
        </row>
        <row r="390">
          <cell r="A390">
            <v>38244</v>
          </cell>
          <cell r="C390">
            <v>1.8839802425167917E-3</v>
          </cell>
          <cell r="K390">
            <v>6.7533855689829725E-3</v>
          </cell>
        </row>
        <row r="391">
          <cell r="A391">
            <v>38245</v>
          </cell>
          <cell r="C391">
            <v>-7.2624317393592541E-3</v>
          </cell>
          <cell r="K391">
            <v>-6.179083921574513E-3</v>
          </cell>
        </row>
        <row r="392">
          <cell r="A392">
            <v>38246</v>
          </cell>
          <cell r="C392">
            <v>4.3215119334221175E-3</v>
          </cell>
          <cell r="K392">
            <v>-6.927220296437997E-3</v>
          </cell>
        </row>
        <row r="393">
          <cell r="A393">
            <v>38247</v>
          </cell>
          <cell r="C393">
            <v>4.4702271313432629E-3</v>
          </cell>
          <cell r="K393">
            <v>6.2608728360116217E-3</v>
          </cell>
        </row>
        <row r="394">
          <cell r="A394">
            <v>38250</v>
          </cell>
          <cell r="C394">
            <v>-5.7692307692308598E-3</v>
          </cell>
          <cell r="K394">
            <v>-3.3417812366833277E-2</v>
          </cell>
        </row>
        <row r="395">
          <cell r="A395">
            <v>38251</v>
          </cell>
          <cell r="C395">
            <v>1.0252973697436829E-2</v>
          </cell>
          <cell r="K395">
            <v>9.1963091011748599E-3</v>
          </cell>
        </row>
        <row r="396">
          <cell r="A396">
            <v>38252</v>
          </cell>
          <cell r="C396">
            <v>-1.2763032132207308E-2</v>
          </cell>
          <cell r="K396">
            <v>-1.0568669527897034E-2</v>
          </cell>
        </row>
        <row r="397">
          <cell r="A397">
            <v>38253</v>
          </cell>
          <cell r="C397">
            <v>-4.142895537339486E-3</v>
          </cell>
          <cell r="K397">
            <v>-3.6986545417927452E-4</v>
          </cell>
        </row>
        <row r="398">
          <cell r="A398">
            <v>38254</v>
          </cell>
          <cell r="C398">
            <v>1.5242055806778954E-3</v>
          </cell>
          <cell r="K398">
            <v>-3.6845255737456561E-3</v>
          </cell>
        </row>
        <row r="399">
          <cell r="A399">
            <v>38257</v>
          </cell>
          <cell r="C399">
            <v>-5.3587532171657237E-3</v>
          </cell>
          <cell r="K399">
            <v>-8.3198687175658481E-3</v>
          </cell>
        </row>
        <row r="400">
          <cell r="A400">
            <v>38258</v>
          </cell>
          <cell r="C400">
            <v>7.2378882360457641E-3</v>
          </cell>
          <cell r="K400">
            <v>2.609640179439765E-3</v>
          </cell>
        </row>
        <row r="401">
          <cell r="A401">
            <v>38259</v>
          </cell>
          <cell r="C401">
            <v>2.6423612225467963E-3</v>
          </cell>
          <cell r="K401">
            <v>1.2832371524728936E-2</v>
          </cell>
        </row>
        <row r="402">
          <cell r="A402">
            <v>38260</v>
          </cell>
          <cell r="C402">
            <v>1.4586902577171657E-3</v>
          </cell>
          <cell r="K402">
            <v>-6.2422165371432969E-3</v>
          </cell>
        </row>
        <row r="403">
          <cell r="A403">
            <v>38261</v>
          </cell>
          <cell r="C403">
            <v>1.4144058445264784E-2</v>
          </cell>
          <cell r="K403">
            <v>9.9768405182127928E-3</v>
          </cell>
        </row>
        <row r="404">
          <cell r="A404">
            <v>38264</v>
          </cell>
          <cell r="C404">
            <v>2.1866436146102952E-3</v>
          </cell>
          <cell r="K404">
            <v>-5.6711175064012576E-3</v>
          </cell>
        </row>
        <row r="405">
          <cell r="A405">
            <v>38265</v>
          </cell>
          <cell r="C405">
            <v>2.2462655834676326E-4</v>
          </cell>
          <cell r="K405">
            <v>-1.656093592504182E-3</v>
          </cell>
        </row>
        <row r="406">
          <cell r="A406">
            <v>38266</v>
          </cell>
          <cell r="C406">
            <v>5.7162106523935829E-3</v>
          </cell>
          <cell r="K406">
            <v>7.3833918255572506E-4</v>
          </cell>
        </row>
        <row r="407">
          <cell r="A407">
            <v>38267</v>
          </cell>
          <cell r="C407">
            <v>-9.4098487070204406E-3</v>
          </cell>
          <cell r="K407">
            <v>-1.2155211810907729E-2</v>
          </cell>
        </row>
        <row r="408">
          <cell r="A408">
            <v>38268</v>
          </cell>
          <cell r="C408">
            <v>-2.6749942141979233E-3</v>
          </cell>
          <cell r="K408">
            <v>-3.5422551639101574E-3</v>
          </cell>
        </row>
        <row r="409">
          <cell r="A409">
            <v>38271</v>
          </cell>
          <cell r="C409">
            <v>1.0171146491633198E-3</v>
          </cell>
          <cell r="K409">
            <v>4.1155177840730417E-3</v>
          </cell>
        </row>
        <row r="410">
          <cell r="A410">
            <v>38272</v>
          </cell>
          <cell r="C410">
            <v>-5.0367520325387272E-3</v>
          </cell>
          <cell r="K410">
            <v>-2.6076973111918145E-3</v>
          </cell>
        </row>
        <row r="411">
          <cell r="A411">
            <v>38273</v>
          </cell>
          <cell r="C411">
            <v>-8.0457387691744708E-3</v>
          </cell>
          <cell r="K411">
            <v>-9.5269711499741394E-3</v>
          </cell>
        </row>
        <row r="412">
          <cell r="A412">
            <v>38274</v>
          </cell>
          <cell r="C412">
            <v>-6.1663715410437137E-3</v>
          </cell>
          <cell r="K412">
            <v>-9.4401177238201406E-4</v>
          </cell>
        </row>
        <row r="413">
          <cell r="A413">
            <v>38275</v>
          </cell>
          <cell r="C413">
            <v>6.6420097911326081E-3</v>
          </cell>
          <cell r="K413">
            <v>1.3591924645909303E-2</v>
          </cell>
        </row>
        <row r="414">
          <cell r="A414">
            <v>38278</v>
          </cell>
          <cell r="C414">
            <v>1.9803700959541981E-3</v>
          </cell>
          <cell r="K414">
            <v>-5.5816467620573018E-4</v>
          </cell>
        </row>
        <row r="415">
          <cell r="A415">
            <v>38279</v>
          </cell>
          <cell r="C415">
            <v>-6.3873458128498317E-3</v>
          </cell>
          <cell r="K415">
            <v>-1.2300197720240491E-2</v>
          </cell>
        </row>
        <row r="416">
          <cell r="A416">
            <v>38280</v>
          </cell>
          <cell r="C416">
            <v>1.3919536199216154E-3</v>
          </cell>
          <cell r="K416">
            <v>1.5355924133005239E-2</v>
          </cell>
        </row>
        <row r="417">
          <cell r="A417">
            <v>38281</v>
          </cell>
          <cell r="C417">
            <v>3.6715457498150972E-3</v>
          </cell>
          <cell r="K417">
            <v>1.1196217124547214E-3</v>
          </cell>
        </row>
        <row r="418">
          <cell r="A418">
            <v>38282</v>
          </cell>
          <cell r="C418">
            <v>-6.4249355144899711E-3</v>
          </cell>
          <cell r="K418">
            <v>-1.0629390283652174E-2</v>
          </cell>
        </row>
        <row r="419">
          <cell r="A419">
            <v>38285</v>
          </cell>
          <cell r="C419">
            <v>-6.4404139039297981E-5</v>
          </cell>
          <cell r="K419">
            <v>-1.3572509355759599E-2</v>
          </cell>
        </row>
        <row r="420">
          <cell r="A420">
            <v>38286</v>
          </cell>
          <cell r="C420">
            <v>1.1892530172215476E-2</v>
          </cell>
          <cell r="K420">
            <v>1.6817091877038726E-2</v>
          </cell>
        </row>
        <row r="421">
          <cell r="A421">
            <v>38287</v>
          </cell>
          <cell r="C421">
            <v>1.0217551091544319E-2</v>
          </cell>
          <cell r="K421">
            <v>-2.6874572217545523E-2</v>
          </cell>
        </row>
        <row r="422">
          <cell r="A422">
            <v>38288</v>
          </cell>
          <cell r="C422">
            <v>6.9458300266878048E-4</v>
          </cell>
          <cell r="K422">
            <v>-9.0769081516335337E-3</v>
          </cell>
        </row>
        <row r="423">
          <cell r="A423">
            <v>38289</v>
          </cell>
          <cell r="C423">
            <v>3.3295854883441667E-3</v>
          </cell>
          <cell r="K423">
            <v>-2.5332411413047096E-3</v>
          </cell>
        </row>
        <row r="424">
          <cell r="A424">
            <v>38292</v>
          </cell>
          <cell r="C424">
            <v>1.068326582206458E-3</v>
          </cell>
          <cell r="K424">
            <v>-3.5171019080276755E-3</v>
          </cell>
        </row>
        <row r="425">
          <cell r="A425">
            <v>38293</v>
          </cell>
          <cell r="C425">
            <v>2.4030352873061211E-4</v>
          </cell>
          <cell r="K425">
            <v>-5.8893661031067523E-4</v>
          </cell>
        </row>
        <row r="426">
          <cell r="A426">
            <v>38294</v>
          </cell>
          <cell r="C426">
            <v>1.2822559826425994E-2</v>
          </cell>
          <cell r="K426">
            <v>1.7460864994497394E-2</v>
          </cell>
        </row>
        <row r="427">
          <cell r="A427">
            <v>38295</v>
          </cell>
          <cell r="C427">
            <v>1.4409052067065442E-2</v>
          </cell>
          <cell r="K427">
            <v>2.5646976203545169E-2</v>
          </cell>
        </row>
        <row r="428">
          <cell r="A428">
            <v>38296</v>
          </cell>
          <cell r="C428">
            <v>3.6266194155580855E-3</v>
          </cell>
          <cell r="K428">
            <v>6.203700970988324E-3</v>
          </cell>
        </row>
        <row r="429">
          <cell r="A429">
            <v>38299</v>
          </cell>
          <cell r="C429">
            <v>-2.9188862213230804E-3</v>
          </cell>
          <cell r="K429">
            <v>-4.2980222840136584E-3</v>
          </cell>
        </row>
        <row r="430">
          <cell r="A430">
            <v>38300</v>
          </cell>
          <cell r="C430">
            <v>-5.312046444121421E-4</v>
          </cell>
          <cell r="K430">
            <v>-9.7584446190103202E-3</v>
          </cell>
        </row>
        <row r="431">
          <cell r="A431">
            <v>38301</v>
          </cell>
          <cell r="C431">
            <v>7.0864929701408563E-4</v>
          </cell>
          <cell r="K431">
            <v>4.3591131842350972E-3</v>
          </cell>
        </row>
        <row r="432">
          <cell r="A432">
            <v>38302</v>
          </cell>
          <cell r="C432">
            <v>8.6704531273127383E-3</v>
          </cell>
          <cell r="K432">
            <v>1.8867402933086419E-2</v>
          </cell>
        </row>
        <row r="433">
          <cell r="A433">
            <v>38303</v>
          </cell>
          <cell r="C433">
            <v>9.0936948368356418E-3</v>
          </cell>
          <cell r="K433">
            <v>1.1112747682098689E-2</v>
          </cell>
        </row>
        <row r="434">
          <cell r="A434">
            <v>38306</v>
          </cell>
          <cell r="C434">
            <v>-1.5853599422883669E-3</v>
          </cell>
          <cell r="K434">
            <v>-2.1985057061477686E-3</v>
          </cell>
        </row>
        <row r="435">
          <cell r="A435">
            <v>38307</v>
          </cell>
          <cell r="C435">
            <v>-6.248696998169434E-3</v>
          </cell>
          <cell r="K435">
            <v>-2.3858417007478483E-3</v>
          </cell>
        </row>
        <row r="436">
          <cell r="A436">
            <v>38308</v>
          </cell>
          <cell r="C436">
            <v>7.7823919072319558E-3</v>
          </cell>
          <cell r="K436">
            <v>2.5764014718994144E-3</v>
          </cell>
        </row>
        <row r="437">
          <cell r="A437">
            <v>38309</v>
          </cell>
          <cell r="C437">
            <v>-1.5042503985194244E-3</v>
          </cell>
          <cell r="K437">
            <v>5.137640756952333E-3</v>
          </cell>
        </row>
        <row r="438">
          <cell r="A438">
            <v>38310</v>
          </cell>
          <cell r="C438">
            <v>-7.956692289348366E-3</v>
          </cell>
          <cell r="K438">
            <v>-8.2164244413787113E-3</v>
          </cell>
        </row>
        <row r="439">
          <cell r="A439">
            <v>38313</v>
          </cell>
          <cell r="C439">
            <v>4.6925447555055122E-3</v>
          </cell>
          <cell r="K439">
            <v>2.5778260718785084E-3</v>
          </cell>
        </row>
        <row r="440">
          <cell r="A440">
            <v>38314</v>
          </cell>
          <cell r="C440">
            <v>7.894220313218181E-4</v>
          </cell>
          <cell r="K440">
            <v>-7.3446327683615031E-3</v>
          </cell>
        </row>
        <row r="441">
          <cell r="A441">
            <v>38315</v>
          </cell>
          <cell r="C441">
            <v>4.4450488883798212E-3</v>
          </cell>
          <cell r="K441">
            <v>-2.2204670143526339E-3</v>
          </cell>
        </row>
        <row r="442">
          <cell r="A442">
            <v>38317</v>
          </cell>
          <cell r="C442">
            <v>4.3241856520839228E-3</v>
          </cell>
          <cell r="K442">
            <v>-5.5606108523100772E-3</v>
          </cell>
        </row>
        <row r="443">
          <cell r="A443">
            <v>38320</v>
          </cell>
          <cell r="C443">
            <v>-2.0520272638643311E-3</v>
          </cell>
          <cell r="K443">
            <v>8.5748568418382298E-3</v>
          </cell>
        </row>
        <row r="444">
          <cell r="A444">
            <v>38321</v>
          </cell>
          <cell r="C444">
            <v>-3.7697856867593416E-3</v>
          </cell>
          <cell r="K444">
            <v>-1.1459743877432649E-2</v>
          </cell>
        </row>
        <row r="445">
          <cell r="A445">
            <v>38322</v>
          </cell>
          <cell r="C445">
            <v>1.3075030118246067E-2</v>
          </cell>
          <cell r="K445">
            <v>2.2063888410539079E-2</v>
          </cell>
        </row>
        <row r="446">
          <cell r="A446">
            <v>38323</v>
          </cell>
          <cell r="C446">
            <v>-3.1702107274295122E-3</v>
          </cell>
          <cell r="K446">
            <v>2.1221885883540015E-2</v>
          </cell>
        </row>
        <row r="447">
          <cell r="A447">
            <v>38324</v>
          </cell>
          <cell r="C447">
            <v>2.5159650704893455E-3</v>
          </cell>
          <cell r="K447">
            <v>-7.7037731427231915E-3</v>
          </cell>
        </row>
        <row r="448">
          <cell r="A448">
            <v>38327</v>
          </cell>
          <cell r="C448">
            <v>-1.4155558876691732E-3</v>
          </cell>
          <cell r="K448">
            <v>-1.9678195841032697E-2</v>
          </cell>
        </row>
        <row r="449">
          <cell r="A449">
            <v>38328</v>
          </cell>
          <cell r="C449">
            <v>-9.5812542886913876E-3</v>
          </cell>
          <cell r="K449">
            <v>-4.7875016141436522E-3</v>
          </cell>
        </row>
        <row r="450">
          <cell r="A450">
            <v>38329</v>
          </cell>
          <cell r="C450">
            <v>2.1739998175265285E-3</v>
          </cell>
          <cell r="K450">
            <v>1.8318366588105039E-2</v>
          </cell>
        </row>
        <row r="451">
          <cell r="A451">
            <v>38330</v>
          </cell>
          <cell r="C451">
            <v>2.5789583739332933E-3</v>
          </cell>
          <cell r="K451">
            <v>2.4532830251832394E-2</v>
          </cell>
        </row>
        <row r="452">
          <cell r="A452">
            <v>38331</v>
          </cell>
          <cell r="C452">
            <v>-2.7794724819455441E-3</v>
          </cell>
          <cell r="K452">
            <v>1.0636204675475991E-3</v>
          </cell>
        </row>
        <row r="453">
          <cell r="A453">
            <v>38334</v>
          </cell>
          <cell r="C453">
            <v>1.0514319535719574E-2</v>
          </cell>
          <cell r="K453">
            <v>8.8633578033703309E-4</v>
          </cell>
        </row>
        <row r="454">
          <cell r="A454">
            <v>38335</v>
          </cell>
          <cell r="C454">
            <v>3.1256995864783477E-3</v>
          </cell>
          <cell r="K454">
            <v>0</v>
          </cell>
        </row>
        <row r="455">
          <cell r="A455">
            <v>38336</v>
          </cell>
          <cell r="C455">
            <v>4.9181639416051581E-3</v>
          </cell>
          <cell r="K455">
            <v>-6.5490007910673498E-3</v>
          </cell>
        </row>
        <row r="456">
          <cell r="A456">
            <v>38337</v>
          </cell>
          <cell r="C456">
            <v>-3.8647140572514171E-3</v>
          </cell>
          <cell r="K456">
            <v>-3.5618246985502644E-4</v>
          </cell>
        </row>
        <row r="457">
          <cell r="A457">
            <v>38338</v>
          </cell>
          <cell r="C457">
            <v>-4.7518360960069339E-3</v>
          </cell>
          <cell r="K457">
            <v>-1.1765671549908485E-2</v>
          </cell>
        </row>
        <row r="458">
          <cell r="A458">
            <v>38341</v>
          </cell>
          <cell r="C458">
            <v>2.6612793018965242E-3</v>
          </cell>
          <cell r="K458">
            <v>2.7050801896764121E-3</v>
          </cell>
        </row>
        <row r="459">
          <cell r="A459">
            <v>38342</v>
          </cell>
          <cell r="C459">
            <v>7.0324772586125572E-3</v>
          </cell>
          <cell r="K459">
            <v>8.6355395659074574E-3</v>
          </cell>
        </row>
        <row r="460">
          <cell r="A460">
            <v>38343</v>
          </cell>
          <cell r="C460">
            <v>3.2244876887637108E-3</v>
          </cell>
          <cell r="K460">
            <v>-2.6746851225538659E-3</v>
          </cell>
        </row>
        <row r="461">
          <cell r="A461">
            <v>38344</v>
          </cell>
          <cell r="C461">
            <v>2.5924390901983507E-3</v>
          </cell>
          <cell r="K461">
            <v>-5.9027082463867231E-3</v>
          </cell>
        </row>
        <row r="462">
          <cell r="A462">
            <v>38348</v>
          </cell>
          <cell r="C462">
            <v>-1.5966640679836441E-3</v>
          </cell>
          <cell r="K462">
            <v>-3.4169401160065727E-3</v>
          </cell>
        </row>
        <row r="463">
          <cell r="A463">
            <v>38349</v>
          </cell>
          <cell r="C463">
            <v>6.744223851543607E-3</v>
          </cell>
          <cell r="K463">
            <v>7.2162338815418003E-4</v>
          </cell>
        </row>
        <row r="464">
          <cell r="A464">
            <v>38350</v>
          </cell>
          <cell r="C464">
            <v>-4.9269853887978776E-4</v>
          </cell>
          <cell r="K464">
            <v>-3.6074028209853726E-3</v>
          </cell>
        </row>
        <row r="465">
          <cell r="A465">
            <v>38351</v>
          </cell>
          <cell r="C465">
            <v>1.5630523153058462E-3</v>
          </cell>
          <cell r="K465">
            <v>3.8023389973722566E-3</v>
          </cell>
        </row>
        <row r="466">
          <cell r="A466">
            <v>38352</v>
          </cell>
          <cell r="C466">
            <v>-4.8252168590323663E-4</v>
          </cell>
          <cell r="K466">
            <v>-6.6737128189642281E-3</v>
          </cell>
        </row>
        <row r="467">
          <cell r="A467">
            <v>38355</v>
          </cell>
          <cell r="C467">
            <v>-9.7033679721272303E-3</v>
          </cell>
          <cell r="K467">
            <v>1.9969447315619782E-3</v>
          </cell>
        </row>
        <row r="468">
          <cell r="A468">
            <v>38356</v>
          </cell>
          <cell r="C468">
            <v>-1.2422507315755005E-2</v>
          </cell>
          <cell r="K468">
            <v>-1.2502014771833103E-2</v>
          </cell>
        </row>
        <row r="469">
          <cell r="A469">
            <v>38357</v>
          </cell>
          <cell r="C469">
            <v>-4.979888640043395E-3</v>
          </cell>
          <cell r="K469">
            <v>1.0459672556753397E-2</v>
          </cell>
        </row>
        <row r="470">
          <cell r="A470">
            <v>38358</v>
          </cell>
          <cell r="C470">
            <v>3.079993366604139E-3</v>
          </cell>
          <cell r="K470">
            <v>4.9029948176484428E-3</v>
          </cell>
        </row>
        <row r="471">
          <cell r="A471">
            <v>38359</v>
          </cell>
          <cell r="C471">
            <v>-2.7455369128464024E-3</v>
          </cell>
          <cell r="K471">
            <v>1.0480550843531278E-2</v>
          </cell>
        </row>
        <row r="472">
          <cell r="A472">
            <v>38362</v>
          </cell>
          <cell r="C472">
            <v>3.427554477428929E-3</v>
          </cell>
          <cell r="K472">
            <v>7.8677823296793292E-3</v>
          </cell>
        </row>
        <row r="473">
          <cell r="A473">
            <v>38363</v>
          </cell>
          <cell r="C473">
            <v>-5.3080475027182938E-3</v>
          </cell>
          <cell r="K473">
            <v>-1.0639976974569088E-3</v>
          </cell>
        </row>
        <row r="474">
          <cell r="A474">
            <v>38364</v>
          </cell>
          <cell r="C474">
            <v>4.4760800157863656E-3</v>
          </cell>
          <cell r="K474">
            <v>3.7288879140162656E-3</v>
          </cell>
        </row>
        <row r="475">
          <cell r="A475">
            <v>38365</v>
          </cell>
          <cell r="C475">
            <v>-6.6382687643803395E-3</v>
          </cell>
          <cell r="K475">
            <v>-1.7341768401090363E-2</v>
          </cell>
        </row>
        <row r="476">
          <cell r="A476">
            <v>38366</v>
          </cell>
          <cell r="C476">
            <v>5.3424047508277006E-3</v>
          </cell>
          <cell r="K476">
            <v>6.3022517734505623E-3</v>
          </cell>
        </row>
        <row r="477">
          <cell r="A477">
            <v>38370</v>
          </cell>
          <cell r="C477">
            <v>6.8367528890975748E-3</v>
          </cell>
          <cell r="K477">
            <v>1.9683564691692634E-3</v>
          </cell>
        </row>
        <row r="478">
          <cell r="A478">
            <v>38371</v>
          </cell>
          <cell r="C478">
            <v>-7.767203174348758E-3</v>
          </cell>
          <cell r="K478">
            <v>1.6865452084957155E-2</v>
          </cell>
        </row>
        <row r="479">
          <cell r="A479">
            <v>38372</v>
          </cell>
          <cell r="C479">
            <v>-6.9128960926555516E-3</v>
          </cell>
          <cell r="K479">
            <v>3.5292690369126412E-4</v>
          </cell>
        </row>
        <row r="480">
          <cell r="A480">
            <v>38373</v>
          </cell>
          <cell r="C480">
            <v>-1.9841750981032247E-3</v>
          </cell>
          <cell r="K480">
            <v>-1.8518450462501779E-2</v>
          </cell>
        </row>
        <row r="481">
          <cell r="A481">
            <v>38376</v>
          </cell>
          <cell r="C481">
            <v>-1.7908800896441202E-3</v>
          </cell>
          <cell r="K481">
            <v>-7.9080983120404236E-3</v>
          </cell>
        </row>
        <row r="482">
          <cell r="A482">
            <v>38377</v>
          </cell>
          <cell r="C482">
            <v>2.0919154127345685E-3</v>
          </cell>
          <cell r="K482">
            <v>9.4185449659565101E-3</v>
          </cell>
        </row>
        <row r="483">
          <cell r="A483">
            <v>38378</v>
          </cell>
          <cell r="C483">
            <v>6.8241829841224622E-3</v>
          </cell>
          <cell r="K483">
            <v>-5.202812472541618E-3</v>
          </cell>
        </row>
        <row r="484">
          <cell r="A484">
            <v>38379</v>
          </cell>
          <cell r="C484">
            <v>3.6472524977293475E-4</v>
          </cell>
          <cell r="K484">
            <v>-2.1649252048410172E-3</v>
          </cell>
        </row>
        <row r="485">
          <cell r="A485">
            <v>38380</v>
          </cell>
          <cell r="C485">
            <v>-2.4088625714112633E-3</v>
          </cell>
          <cell r="K485">
            <v>-2.1150050473851656E-2</v>
          </cell>
        </row>
        <row r="486">
          <cell r="A486">
            <v>38383</v>
          </cell>
          <cell r="C486">
            <v>8.2252676696070726E-3</v>
          </cell>
          <cell r="K486">
            <v>-1.6989329238962569E-2</v>
          </cell>
        </row>
        <row r="487">
          <cell r="A487">
            <v>38384</v>
          </cell>
          <cell r="C487">
            <v>7.9522358081929312E-3</v>
          </cell>
          <cell r="K487">
            <v>-6.762469955451933E-3</v>
          </cell>
        </row>
        <row r="488">
          <cell r="A488">
            <v>38385</v>
          </cell>
          <cell r="C488">
            <v>3.2436774178201677E-3</v>
          </cell>
          <cell r="K488">
            <v>1.0024573704362716E-2</v>
          </cell>
        </row>
        <row r="489">
          <cell r="A489">
            <v>38386</v>
          </cell>
          <cell r="C489">
            <v>-2.9388832243748553E-3</v>
          </cell>
          <cell r="K489">
            <v>-2.9968392710811864E-3</v>
          </cell>
        </row>
        <row r="490">
          <cell r="A490">
            <v>38387</v>
          </cell>
          <cell r="C490">
            <v>9.6680059090807902E-3</v>
          </cell>
          <cell r="K490">
            <v>-1.164570140351151E-2</v>
          </cell>
        </row>
        <row r="491">
          <cell r="A491">
            <v>38390</v>
          </cell>
          <cell r="C491">
            <v>-2.2889033908192191E-3</v>
          </cell>
          <cell r="K491">
            <v>-1.7107115490848646E-3</v>
          </cell>
        </row>
        <row r="492">
          <cell r="A492">
            <v>38391</v>
          </cell>
          <cell r="C492">
            <v>9.0821854460054752E-4</v>
          </cell>
          <cell r="K492">
            <v>-1.0468296610993133E-2</v>
          </cell>
        </row>
        <row r="493">
          <cell r="A493">
            <v>38392</v>
          </cell>
          <cell r="C493">
            <v>-6.3073625207250572E-3</v>
          </cell>
          <cell r="K493">
            <v>-9.0436971724415782E-3</v>
          </cell>
        </row>
        <row r="494">
          <cell r="A494">
            <v>38393</v>
          </cell>
          <cell r="C494">
            <v>6.7942010530592789E-3</v>
          </cell>
          <cell r="K494">
            <v>2.1359266503369057E-3</v>
          </cell>
        </row>
        <row r="495">
          <cell r="A495">
            <v>38394</v>
          </cell>
          <cell r="C495">
            <v>7.0714845402288784E-3</v>
          </cell>
          <cell r="K495">
            <v>1.0267330029972488E-2</v>
          </cell>
        </row>
        <row r="496">
          <cell r="A496">
            <v>38397</v>
          </cell>
          <cell r="C496">
            <v>2.5793071537558721E-3</v>
          </cell>
          <cell r="K496">
            <v>1.0546567520807404E-2</v>
          </cell>
        </row>
        <row r="497">
          <cell r="A497">
            <v>38398</v>
          </cell>
          <cell r="C497">
            <v>3.2402199338770199E-3</v>
          </cell>
          <cell r="K497">
            <v>1.4801678854772904E-2</v>
          </cell>
        </row>
        <row r="498">
          <cell r="A498">
            <v>38399</v>
          </cell>
          <cell r="C498">
            <v>3.8335368758857236E-4</v>
          </cell>
          <cell r="K498">
            <v>-3.179377683574014E-3</v>
          </cell>
        </row>
        <row r="499">
          <cell r="A499">
            <v>38400</v>
          </cell>
          <cell r="C499">
            <v>-4.683334336970213E-3</v>
          </cell>
          <cell r="K499">
            <v>3.7523745495193772E-4</v>
          </cell>
        </row>
        <row r="500">
          <cell r="A500">
            <v>38401</v>
          </cell>
          <cell r="C500">
            <v>2.0529278628924619E-3</v>
          </cell>
          <cell r="K500">
            <v>3.1883219892629988E-3</v>
          </cell>
        </row>
        <row r="501">
          <cell r="A501">
            <v>38405</v>
          </cell>
          <cell r="C501">
            <v>-1.0470025948648876E-2</v>
          </cell>
          <cell r="K501">
            <v>-2.3365141187926097E-2</v>
          </cell>
        </row>
        <row r="502">
          <cell r="A502">
            <v>38406</v>
          </cell>
          <cell r="C502">
            <v>4.4528141757855799E-3</v>
          </cell>
          <cell r="K502">
            <v>2.3732706948327298E-2</v>
          </cell>
        </row>
        <row r="503">
          <cell r="A503">
            <v>38407</v>
          </cell>
          <cell r="C503">
            <v>5.52236003578499E-3</v>
          </cell>
          <cell r="K503">
            <v>6.3556185771826978E-3</v>
          </cell>
        </row>
        <row r="504">
          <cell r="A504">
            <v>38408</v>
          </cell>
          <cell r="C504">
            <v>1.0793214046418642E-2</v>
          </cell>
          <cell r="K504">
            <v>6.6870924599404802E-3</v>
          </cell>
        </row>
        <row r="505">
          <cell r="A505">
            <v>38411</v>
          </cell>
          <cell r="C505">
            <v>-5.5230382415386581E-3</v>
          </cell>
          <cell r="K505">
            <v>-2.0299083676522001E-2</v>
          </cell>
        </row>
        <row r="506">
          <cell r="A506">
            <v>38412</v>
          </cell>
          <cell r="C506">
            <v>4.0703542983897556E-3</v>
          </cell>
          <cell r="K506">
            <v>7.912646890282593E-3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1001"/>
  <sheetViews>
    <sheetView tabSelected="1" workbookViewId="0">
      <selection activeCell="I14" sqref="I14"/>
    </sheetView>
  </sheetViews>
  <sheetFormatPr defaultRowHeight="13.8" x14ac:dyDescent="0.25"/>
  <cols>
    <col min="1" max="1" width="18" style="3" customWidth="1"/>
    <col min="2" max="2" width="14.33203125" style="5" customWidth="1"/>
    <col min="3" max="3" width="16.88671875" style="5" bestFit="1" customWidth="1"/>
    <col min="4" max="4" width="12.88671875" style="2" customWidth="1"/>
    <col min="5" max="5" width="10.88671875" style="2" customWidth="1"/>
    <col min="6" max="6" width="13.5546875" style="2" customWidth="1"/>
    <col min="7" max="7" width="13.6640625" style="2" customWidth="1"/>
    <col min="8" max="8" width="17.33203125" style="2" customWidth="1"/>
    <col min="9" max="9" width="11" style="2" bestFit="1" customWidth="1"/>
    <col min="10" max="15" width="8.88671875" style="2"/>
  </cols>
  <sheetData>
    <row r="1" spans="1:15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15" x14ac:dyDescent="0.25">
      <c r="A2" s="3" t="s">
        <v>1</v>
      </c>
      <c r="B2" s="4">
        <f>INTERCEPT($C$11:$C$262,$B$11:$B$262)</f>
        <v>4.2931346923310226E-4</v>
      </c>
      <c r="C2" s="5" t="str">
        <f ca="1">[2]!getformula(B2)</f>
        <v>&lt;--  =INTERCEPT($C$11:$C$262,$B$11:$B$262)</v>
      </c>
      <c r="E2" s="6"/>
      <c r="L2" s="6"/>
    </row>
    <row r="3" spans="1:15" x14ac:dyDescent="0.25">
      <c r="A3" s="3" t="s">
        <v>2</v>
      </c>
      <c r="B3" s="4">
        <f>SLOPE($C$11:$C$262,$B$11:$B$262)</f>
        <v>0.5876701392084297</v>
      </c>
      <c r="C3" s="5" t="str">
        <f ca="1">[2]!getformula(B3)</f>
        <v>&lt;--  =SLOPE($C$11:$C$262,$B$11:$B$262)</v>
      </c>
      <c r="E3" s="6"/>
      <c r="L3" s="6"/>
    </row>
    <row r="4" spans="1:15" x14ac:dyDescent="0.25">
      <c r="A4" s="3" t="s">
        <v>3</v>
      </c>
      <c r="B4" s="4">
        <f>RSQ($C$11:$C$262,$B$11:$B$262)</f>
        <v>0.187199685648029</v>
      </c>
      <c r="C4" s="5" t="str">
        <f ca="1">[2]!getformula(B4)</f>
        <v>&lt;--  =RSQ($C$11:$C$262,$B$11:$B$262)</v>
      </c>
      <c r="E4" s="6"/>
      <c r="L4" s="6"/>
    </row>
    <row r="5" spans="1:15" x14ac:dyDescent="0.25">
      <c r="A5" s="24" t="s">
        <v>4</v>
      </c>
      <c r="B5" s="25">
        <f>STEYX($C$11:$C$262,$B$11:$B$262)</f>
        <v>8.4396588232281099E-3</v>
      </c>
      <c r="C5" s="5" t="str">
        <f ca="1">[2]!getformula(B5)</f>
        <v>&lt;--  =STEYX($C$11:$C$262,$B$11:$B$262)</v>
      </c>
      <c r="E5" s="6"/>
      <c r="L5" s="6"/>
    </row>
    <row r="6" spans="1:15" x14ac:dyDescent="0.25">
      <c r="B6" s="4"/>
      <c r="E6" s="6"/>
      <c r="L6" s="6"/>
    </row>
    <row r="7" spans="1:15" ht="27.6" x14ac:dyDescent="0.25">
      <c r="A7" s="7" t="s">
        <v>5</v>
      </c>
      <c r="B7" s="2">
        <f>COUNT(A11:A262)</f>
        <v>252</v>
      </c>
      <c r="C7" s="5" t="str">
        <f ca="1">[2]!getformula(B7)</f>
        <v>&lt;--  =COUNT(A11:A262)</v>
      </c>
      <c r="E7" s="6"/>
      <c r="L7" s="6"/>
    </row>
    <row r="8" spans="1:15" x14ac:dyDescent="0.25">
      <c r="E8" s="6"/>
      <c r="L8" s="6"/>
    </row>
    <row r="9" spans="1:15" x14ac:dyDescent="0.25">
      <c r="D9" s="8" t="s">
        <v>6</v>
      </c>
      <c r="E9" s="8"/>
      <c r="F9" s="8"/>
      <c r="G9" s="8"/>
      <c r="L9" s="6"/>
    </row>
    <row r="10" spans="1:15" ht="39.6" x14ac:dyDescent="0.25">
      <c r="A10" s="9" t="s">
        <v>7</v>
      </c>
      <c r="B10" s="10" t="s">
        <v>21</v>
      </c>
      <c r="C10" s="10" t="s">
        <v>8</v>
      </c>
      <c r="D10" s="11" t="s">
        <v>9</v>
      </c>
      <c r="E10" s="11" t="s">
        <v>10</v>
      </c>
      <c r="F10" s="12" t="s">
        <v>11</v>
      </c>
      <c r="G10" s="10" t="s">
        <v>12</v>
      </c>
      <c r="H10" s="10"/>
      <c r="I10" s="12"/>
      <c r="J10" s="11"/>
      <c r="K10" s="11"/>
      <c r="L10" s="11"/>
      <c r="M10" s="11"/>
      <c r="N10" s="11"/>
      <c r="O10" s="11"/>
    </row>
    <row r="11" spans="1:15" x14ac:dyDescent="0.25">
      <c r="A11" s="13">
        <f>'[1]Page 376 data'!A231</f>
        <v>38013</v>
      </c>
      <c r="B11" s="5">
        <f>'[1]Page 376 data'!C231</f>
        <v>-4.8351029070569096E-3</v>
      </c>
      <c r="C11" s="5">
        <f>'[1]Page 376 data'!K231</f>
        <v>-6.5112223958830873E-3</v>
      </c>
      <c r="D11" s="11"/>
      <c r="E11" s="11"/>
      <c r="F11" s="12"/>
      <c r="G11" s="10"/>
      <c r="H11" s="10"/>
      <c r="I11" s="12"/>
      <c r="J11" s="11"/>
      <c r="K11" s="11"/>
      <c r="L11" s="11"/>
      <c r="M11" s="11"/>
      <c r="N11" s="11"/>
      <c r="O11" s="11"/>
    </row>
    <row r="12" spans="1:15" x14ac:dyDescent="0.25">
      <c r="A12" s="13">
        <f>'[1]Page 376 data'!A232</f>
        <v>38014</v>
      </c>
      <c r="B12" s="5">
        <f>'[1]Page 376 data'!C232</f>
        <v>-1.262240616405963E-2</v>
      </c>
      <c r="C12" s="5">
        <f>'[1]Page 376 data'!K232</f>
        <v>-5.6463678529462547E-3</v>
      </c>
      <c r="F12" s="6"/>
      <c r="G12" s="5"/>
      <c r="H12" s="5"/>
      <c r="I12" s="5"/>
      <c r="K12" s="5"/>
    </row>
    <row r="13" spans="1:15" x14ac:dyDescent="0.25">
      <c r="A13" s="13">
        <f>'[1]Page 376 data'!A233</f>
        <v>38015</v>
      </c>
      <c r="B13" s="5">
        <f>'[1]Page 376 data'!C233</f>
        <v>-3.9658509724760371E-5</v>
      </c>
      <c r="C13" s="5">
        <f>'[1]Page 376 data'!K233</f>
        <v>2.4134405303886552E-2</v>
      </c>
      <c r="E13" s="6"/>
      <c r="L13" s="6"/>
    </row>
    <row r="14" spans="1:15" ht="43.2" customHeight="1" x14ac:dyDescent="0.25">
      <c r="A14" s="13">
        <f>'[1]Page 376 data'!A234</f>
        <v>38016</v>
      </c>
      <c r="B14" s="5">
        <f>'[1]Page 376 data'!C234</f>
        <v>-6.2235821901823751E-4</v>
      </c>
      <c r="C14" s="5">
        <f>'[1]Page 376 data'!K234</f>
        <v>7.9238803052694706E-4</v>
      </c>
      <c r="E14" s="14" t="str">
        <f ca="1">"Cell "&amp;CHAR(COLUMN(D263)+64)&amp;ROW(D263)&amp;" contains formula "&amp;[2]!ggetformula(D263)</f>
        <v>Cell D263 contains formula =C263-($B$2+$B$3*B263)</v>
      </c>
      <c r="F14" s="14"/>
      <c r="L14" s="6"/>
    </row>
    <row r="15" spans="1:15" x14ac:dyDescent="0.25">
      <c r="A15" s="13">
        <f>'[1]Page 376 data'!A235</f>
        <v>38019</v>
      </c>
      <c r="B15" s="5">
        <f>'[1]Page 376 data'!C235</f>
        <v>2.6054584889561028E-3</v>
      </c>
      <c r="C15" s="5">
        <f>'[1]Page 376 data'!K235</f>
        <v>5.9350546251843994E-3</v>
      </c>
      <c r="E15" s="6"/>
      <c r="L15" s="6"/>
    </row>
    <row r="16" spans="1:15" hidden="1" x14ac:dyDescent="0.25">
      <c r="A16" s="13">
        <f>'[1]Page 376 data'!A236</f>
        <v>38020</v>
      </c>
      <c r="B16" s="5">
        <f>'[1]Page 376 data'!C236</f>
        <v>9.3169120221658908E-4</v>
      </c>
      <c r="C16" s="5">
        <f>'[1]Page 376 data'!K236</f>
        <v>3.3446072904921298E-3</v>
      </c>
      <c r="E16" s="6"/>
      <c r="L16" s="6"/>
    </row>
    <row r="17" spans="1:12" hidden="1" x14ac:dyDescent="0.25">
      <c r="A17" s="13">
        <f>'[1]Page 376 data'!A237</f>
        <v>38021</v>
      </c>
      <c r="B17" s="5">
        <f>'[1]Page 376 data'!C237</f>
        <v>-7.4100887933052917E-3</v>
      </c>
      <c r="C17" s="5">
        <f>'[1]Page 376 data'!K237</f>
        <v>1.1565143929652022E-2</v>
      </c>
      <c r="E17" s="6"/>
      <c r="L17" s="6"/>
    </row>
    <row r="18" spans="1:12" hidden="1" x14ac:dyDescent="0.25">
      <c r="A18" s="13">
        <f>'[1]Page 376 data'!A238</f>
        <v>38022</v>
      </c>
      <c r="B18" s="5">
        <f>'[1]Page 376 data'!C238</f>
        <v>2.7857372703450345E-3</v>
      </c>
      <c r="C18" s="5">
        <f>'[1]Page 376 data'!K238</f>
        <v>-4.9409635084541881E-3</v>
      </c>
      <c r="E18" s="6"/>
      <c r="L18" s="6"/>
    </row>
    <row r="19" spans="1:12" hidden="1" x14ac:dyDescent="0.25">
      <c r="A19" s="13">
        <f>'[1]Page 376 data'!A239</f>
        <v>38023</v>
      </c>
      <c r="B19" s="5">
        <f>'[1]Page 376 data'!C239</f>
        <v>1.3506451435452149E-2</v>
      </c>
      <c r="C19" s="5">
        <f>'[1]Page 376 data'!K239</f>
        <v>-3.214550025013585E-3</v>
      </c>
      <c r="E19" s="6"/>
      <c r="L19" s="6"/>
    </row>
    <row r="20" spans="1:12" hidden="1" x14ac:dyDescent="0.25">
      <c r="A20" s="13">
        <f>'[1]Page 376 data'!A240</f>
        <v>38026</v>
      </c>
      <c r="B20" s="5">
        <f>'[1]Page 376 data'!C240</f>
        <v>1.3795349384184696E-3</v>
      </c>
      <c r="C20" s="5">
        <f>'[1]Page 376 data'!K240</f>
        <v>1.8561417553086823E-3</v>
      </c>
      <c r="E20" s="6"/>
      <c r="L20" s="6"/>
    </row>
    <row r="21" spans="1:12" hidden="1" x14ac:dyDescent="0.25">
      <c r="A21" s="13">
        <f>'[1]Page 376 data'!A241</f>
        <v>38027</v>
      </c>
      <c r="B21" s="5">
        <f>'[1]Page 376 data'!C241</f>
        <v>5.3027633991888923E-3</v>
      </c>
      <c r="C21" s="5">
        <f>'[1]Page 376 data'!K241</f>
        <v>-1.9499956528759022E-3</v>
      </c>
      <c r="E21" s="6"/>
      <c r="L21" s="6"/>
    </row>
    <row r="22" spans="1:12" hidden="1" x14ac:dyDescent="0.25">
      <c r="A22" s="13">
        <f>'[1]Page 376 data'!A242</f>
        <v>38028</v>
      </c>
      <c r="B22" s="5">
        <f>'[1]Page 376 data'!C242</f>
        <v>1.1084252902483716E-2</v>
      </c>
      <c r="C22" s="5">
        <f>'[1]Page 376 data'!K242</f>
        <v>8.3047107040337131E-3</v>
      </c>
      <c r="E22" s="6"/>
      <c r="L22" s="6"/>
    </row>
    <row r="23" spans="1:12" hidden="1" x14ac:dyDescent="0.25">
      <c r="A23" s="13">
        <f>'[1]Page 376 data'!A243</f>
        <v>38029</v>
      </c>
      <c r="B23" s="5">
        <f>'[1]Page 376 data'!C243</f>
        <v>-5.1636412113672536E-3</v>
      </c>
      <c r="C23" s="5">
        <f>'[1]Page 376 data'!K243</f>
        <v>-7.8475336322868516E-3</v>
      </c>
      <c r="E23" s="6"/>
      <c r="L23" s="6"/>
    </row>
    <row r="24" spans="1:12" hidden="1" x14ac:dyDescent="0.25">
      <c r="A24" s="13">
        <f>'[1]Page 376 data'!A244</f>
        <v>38030</v>
      </c>
      <c r="B24" s="5">
        <f>'[1]Page 376 data'!C244</f>
        <v>-3.6910808062309286E-3</v>
      </c>
      <c r="C24" s="5">
        <f>'[1]Page 376 data'!K244</f>
        <v>-3.3214119110558382E-3</v>
      </c>
      <c r="E24" s="6"/>
      <c r="L24" s="6"/>
    </row>
    <row r="25" spans="1:12" hidden="1" x14ac:dyDescent="0.25">
      <c r="A25" s="13">
        <f>'[1]Page 376 data'!A245</f>
        <v>38034</v>
      </c>
      <c r="B25" s="5">
        <f>'[1]Page 376 data'!C245</f>
        <v>1.1786771079296043E-2</v>
      </c>
      <c r="C25" s="5">
        <f>'[1]Page 376 data'!K245</f>
        <v>1.0484208161456898E-2</v>
      </c>
      <c r="E25" s="6"/>
      <c r="L25" s="6"/>
    </row>
    <row r="26" spans="1:12" hidden="1" x14ac:dyDescent="0.25">
      <c r="A26" s="13">
        <f>'[1]Page 376 data'!A246</f>
        <v>38035</v>
      </c>
      <c r="B26" s="5">
        <f>'[1]Page 376 data'!C246</f>
        <v>-7.5521360300253582E-3</v>
      </c>
      <c r="C26" s="5">
        <f>'[1]Page 376 data'!K246</f>
        <v>-1.646893649784098E-3</v>
      </c>
      <c r="E26" s="6"/>
      <c r="L26" s="6"/>
    </row>
    <row r="27" spans="1:12" hidden="1" x14ac:dyDescent="0.25">
      <c r="A27" s="13">
        <f>'[1]Page 376 data'!A247</f>
        <v>38036</v>
      </c>
      <c r="B27" s="5">
        <f>'[1]Page 376 data'!C247</f>
        <v>-5.7298999574351139E-4</v>
      </c>
      <c r="C27" s="5">
        <f>'[1]Page 376 data'!K247</f>
        <v>-5.0519317968586996E-3</v>
      </c>
      <c r="E27" s="6"/>
      <c r="L27" s="6"/>
    </row>
    <row r="28" spans="1:12" hidden="1" x14ac:dyDescent="0.25">
      <c r="A28" s="13">
        <f>'[1]Page 376 data'!A248</f>
        <v>38037</v>
      </c>
      <c r="B28" s="5">
        <f>'[1]Page 376 data'!C248</f>
        <v>-5.7450981268121204E-3</v>
      </c>
      <c r="C28" s="5">
        <f>'[1]Page 376 data'!K248</f>
        <v>6.8391939699030679E-4</v>
      </c>
      <c r="E28" s="6"/>
      <c r="L28" s="6"/>
    </row>
    <row r="29" spans="1:12" hidden="1" x14ac:dyDescent="0.25">
      <c r="A29" s="13">
        <f>'[1]Page 376 data'!A249</f>
        <v>38040</v>
      </c>
      <c r="B29" s="5">
        <f>'[1]Page 376 data'!C249</f>
        <v>-1.6789706307447361E-3</v>
      </c>
      <c r="C29" s="5">
        <f>'[1]Page 376 data'!K249</f>
        <v>1.0438175556029661E-2</v>
      </c>
      <c r="E29" s="6"/>
      <c r="L29" s="6"/>
    </row>
    <row r="30" spans="1:12" hidden="1" x14ac:dyDescent="0.25">
      <c r="A30" s="13">
        <f>'[1]Page 376 data'!A250</f>
        <v>38041</v>
      </c>
      <c r="B30" s="5">
        <f>'[1]Page 376 data'!C250</f>
        <v>-1.5932788237941198E-3</v>
      </c>
      <c r="C30" s="5">
        <f>'[1]Page 376 data'!K250</f>
        <v>-1.7282832154430494E-2</v>
      </c>
      <c r="E30" s="6"/>
      <c r="L30" s="6"/>
    </row>
    <row r="31" spans="1:12" hidden="1" x14ac:dyDescent="0.25">
      <c r="A31" s="13">
        <f>'[1]Page 376 data'!A251</f>
        <v>38042</v>
      </c>
      <c r="B31" s="5">
        <f>'[1]Page 376 data'!C251</f>
        <v>2.3125886567452181E-3</v>
      </c>
      <c r="C31" s="5">
        <f>'[1]Page 376 data'!K251</f>
        <v>8.9414768141062861E-3</v>
      </c>
      <c r="E31" s="6"/>
      <c r="L31" s="6"/>
    </row>
    <row r="32" spans="1:12" hidden="1" x14ac:dyDescent="0.25">
      <c r="A32" s="13">
        <f>'[1]Page 376 data'!A252</f>
        <v>38043</v>
      </c>
      <c r="B32" s="5">
        <f>'[1]Page 376 data'!C252</f>
        <v>1.1079011794123961E-3</v>
      </c>
      <c r="C32" s="5">
        <f>'[1]Page 376 data'!K252</f>
        <v>3.7003501895653823E-3</v>
      </c>
      <c r="E32" s="6"/>
      <c r="L32" s="6"/>
    </row>
    <row r="33" spans="1:12" hidden="1" x14ac:dyDescent="0.25">
      <c r="A33" s="13">
        <f>'[1]Page 376 data'!A253</f>
        <v>38044</v>
      </c>
      <c r="B33" s="5">
        <f>'[1]Page 376 data'!C253</f>
        <v>2.2028674715395269E-3</v>
      </c>
      <c r="C33" s="5">
        <f>'[1]Page 376 data'!K253</f>
        <v>-5.4332602857094514E-3</v>
      </c>
      <c r="E33" s="6"/>
      <c r="L33" s="6"/>
    </row>
    <row r="34" spans="1:12" hidden="1" x14ac:dyDescent="0.25">
      <c r="A34" s="13">
        <f>'[1]Page 376 data'!A254</f>
        <v>38047</v>
      </c>
      <c r="B34" s="5">
        <f>'[1]Page 376 data'!C254</f>
        <v>1.1085758856727912E-2</v>
      </c>
      <c r="C34" s="5">
        <f>'[1]Page 376 data'!K254</f>
        <v>1.3168630536975368E-2</v>
      </c>
      <c r="E34" s="6"/>
      <c r="L34" s="6"/>
    </row>
    <row r="35" spans="1:12" hidden="1" x14ac:dyDescent="0.25">
      <c r="A35" s="13">
        <f>'[1]Page 376 data'!A255</f>
        <v>38048</v>
      </c>
      <c r="B35" s="5">
        <f>'[1]Page 376 data'!C255</f>
        <v>-7.3050412617342575E-3</v>
      </c>
      <c r="C35" s="5">
        <f>'[1]Page 376 data'!K255</f>
        <v>-1.6752205931948816E-2</v>
      </c>
      <c r="E35" s="6"/>
      <c r="L35" s="6"/>
    </row>
    <row r="36" spans="1:12" hidden="1" x14ac:dyDescent="0.25">
      <c r="A36" s="13">
        <f>'[1]Page 376 data'!A256</f>
        <v>38049</v>
      </c>
      <c r="B36" s="5">
        <f>'[1]Page 376 data'!C256</f>
        <v>1.7864772603770618E-4</v>
      </c>
      <c r="C36" s="5">
        <f>'[1]Page 376 data'!K256</f>
        <v>3.3281156130404721E-3</v>
      </c>
      <c r="E36" s="6"/>
      <c r="L36" s="6"/>
    </row>
    <row r="37" spans="1:12" hidden="1" x14ac:dyDescent="0.25">
      <c r="A37" s="13">
        <f>'[1]Page 376 data'!A257</f>
        <v>38050</v>
      </c>
      <c r="B37" s="5">
        <f>'[1]Page 376 data'!C257</f>
        <v>3.6348318704202409E-3</v>
      </c>
      <c r="C37" s="5">
        <f>'[1]Page 376 data'!K257</f>
        <v>-3.5118324928415934E-3</v>
      </c>
      <c r="E37" s="6"/>
      <c r="L37" s="6"/>
    </row>
    <row r="38" spans="1:12" hidden="1" x14ac:dyDescent="0.25">
      <c r="A38" s="13">
        <f>'[1]Page 376 data'!A258</f>
        <v>38051</v>
      </c>
      <c r="B38" s="5">
        <f>'[1]Page 376 data'!C258</f>
        <v>5.5289014126282954E-3</v>
      </c>
      <c r="C38" s="5">
        <f>'[1]Page 376 data'!K258</f>
        <v>-3.330845248763481E-3</v>
      </c>
      <c r="E38" s="6"/>
      <c r="L38" s="6"/>
    </row>
    <row r="39" spans="1:12" hidden="1" x14ac:dyDescent="0.25">
      <c r="A39" s="13">
        <f>'[1]Page 376 data'!A259</f>
        <v>38054</v>
      </c>
      <c r="B39" s="5">
        <f>'[1]Page 376 data'!C259</f>
        <v>-5.7005647467636145E-3</v>
      </c>
      <c r="C39" s="5">
        <f>'[1]Page 376 data'!K259</f>
        <v>6.9780977434354963E-3</v>
      </c>
      <c r="E39" s="6"/>
      <c r="L39" s="6"/>
    </row>
    <row r="40" spans="1:12" hidden="1" x14ac:dyDescent="0.25">
      <c r="A40" s="13">
        <f>'[1]Page 376 data'!A260</f>
        <v>38055</v>
      </c>
      <c r="B40" s="5">
        <f>'[1]Page 376 data'!C260</f>
        <v>-6.4245006215345457E-3</v>
      </c>
      <c r="C40" s="5">
        <f>'[1]Page 376 data'!K260</f>
        <v>1.947371255972552E-4</v>
      </c>
      <c r="E40" s="6"/>
      <c r="L40" s="6"/>
    </row>
    <row r="41" spans="1:12" hidden="1" x14ac:dyDescent="0.25">
      <c r="A41" s="13">
        <f>'[1]Page 376 data'!A261</f>
        <v>38056</v>
      </c>
      <c r="B41" s="5">
        <f>'[1]Page 376 data'!C261</f>
        <v>-1.5877708056201145E-2</v>
      </c>
      <c r="C41" s="5">
        <f>'[1]Page 376 data'!K261</f>
        <v>2.9660560568024463E-2</v>
      </c>
      <c r="E41" s="6"/>
      <c r="L41" s="6"/>
    </row>
    <row r="42" spans="1:12" hidden="1" x14ac:dyDescent="0.25">
      <c r="A42" s="13">
        <f>'[1]Page 376 data'!A262</f>
        <v>38057</v>
      </c>
      <c r="B42" s="5">
        <f>'[1]Page 376 data'!C262</f>
        <v>-1.6865097425254771E-2</v>
      </c>
      <c r="C42" s="5">
        <f>'[1]Page 376 data'!K262</f>
        <v>-1.4972360575801091E-2</v>
      </c>
      <c r="E42" s="6"/>
      <c r="L42" s="6"/>
    </row>
    <row r="43" spans="1:12" hidden="1" x14ac:dyDescent="0.25">
      <c r="A43" s="13">
        <f>'[1]Page 376 data'!A263</f>
        <v>38058</v>
      </c>
      <c r="B43" s="5">
        <f>'[1]Page 376 data'!C263</f>
        <v>1.0093279119827825E-2</v>
      </c>
      <c r="C43" s="5">
        <f>'[1]Page 376 data'!K263</f>
        <v>1.6357855140063382E-3</v>
      </c>
      <c r="E43" s="6"/>
      <c r="L43" s="6"/>
    </row>
    <row r="44" spans="1:12" hidden="1" x14ac:dyDescent="0.25">
      <c r="A44" s="13">
        <f>'[1]Page 376 data'!A264</f>
        <v>38061</v>
      </c>
      <c r="B44" s="5">
        <f>'[1]Page 376 data'!C264</f>
        <v>-1.5404921508839098E-2</v>
      </c>
      <c r="C44" s="5">
        <f>'[1]Page 376 data'!K264</f>
        <v>-1.5366767657408964E-2</v>
      </c>
      <c r="E44" s="6"/>
      <c r="L44" s="6"/>
    </row>
    <row r="45" spans="1:12" hidden="1" x14ac:dyDescent="0.25">
      <c r="A45" s="13">
        <f>'[1]Page 376 data'!A265</f>
        <v>38062</v>
      </c>
      <c r="B45" s="5">
        <f>'[1]Page 376 data'!C265</f>
        <v>6.9184126905317278E-3</v>
      </c>
      <c r="C45" s="5">
        <f>'[1]Page 376 data'!K265</f>
        <v>5.2677678454953192E-3</v>
      </c>
      <c r="E45" s="6"/>
      <c r="L45" s="6"/>
    </row>
    <row r="46" spans="1:12" hidden="1" x14ac:dyDescent="0.25">
      <c r="A46" s="13">
        <f>'[1]Page 376 data'!A266</f>
        <v>38063</v>
      </c>
      <c r="B46" s="5">
        <f>'[1]Page 376 data'!C266</f>
        <v>1.2020567945254967E-2</v>
      </c>
      <c r="C46" s="5">
        <f>'[1]Page 376 data'!K266</f>
        <v>1.1254817387292171E-2</v>
      </c>
      <c r="E46" s="6"/>
      <c r="L46" s="6"/>
    </row>
    <row r="47" spans="1:12" hidden="1" x14ac:dyDescent="0.25">
      <c r="A47" s="13">
        <f>'[1]Page 376 data'!A267</f>
        <v>38064</v>
      </c>
      <c r="B47" s="5">
        <f>'[1]Page 376 data'!C267</f>
        <v>-9.9730195562541812E-4</v>
      </c>
      <c r="C47" s="5">
        <f>'[1]Page 376 data'!K267</f>
        <v>2.0144822739818213E-3</v>
      </c>
      <c r="E47" s="6"/>
      <c r="L47" s="6"/>
    </row>
    <row r="48" spans="1:12" hidden="1" x14ac:dyDescent="0.25">
      <c r="A48" s="13">
        <f>'[1]Page 376 data'!A268</f>
        <v>38065</v>
      </c>
      <c r="B48" s="5">
        <f>'[1]Page 376 data'!C268</f>
        <v>-9.0898422080208929E-3</v>
      </c>
      <c r="C48" s="5">
        <f>'[1]Page 376 data'!K268</f>
        <v>-3.8297820439325836E-3</v>
      </c>
      <c r="E48" s="6"/>
      <c r="L48" s="6"/>
    </row>
    <row r="49" spans="1:12" hidden="1" x14ac:dyDescent="0.25">
      <c r="A49" s="13">
        <f>'[1]Page 376 data'!A269</f>
        <v>38068</v>
      </c>
      <c r="B49" s="5">
        <f>'[1]Page 376 data'!C269</f>
        <v>-1.4959555673818237E-2</v>
      </c>
      <c r="C49" s="5">
        <f>'[1]Page 376 data'!K269</f>
        <v>-5.7545148454252182E-4</v>
      </c>
      <c r="E49" s="6"/>
      <c r="L49" s="6"/>
    </row>
    <row r="50" spans="1:12" hidden="1" x14ac:dyDescent="0.25">
      <c r="A50" s="13">
        <f>'[1]Page 376 data'!A270</f>
        <v>38069</v>
      </c>
      <c r="B50" s="5">
        <f>'[1]Page 376 data'!C270</f>
        <v>2.1938487915094118E-3</v>
      </c>
      <c r="C50" s="5">
        <f>'[1]Page 376 data'!K270</f>
        <v>-5.8680844808153276E-3</v>
      </c>
      <c r="E50" s="6"/>
      <c r="L50" s="6"/>
    </row>
    <row r="51" spans="1:12" hidden="1" x14ac:dyDescent="0.25">
      <c r="A51" s="13">
        <f>'[1]Page 376 data'!A271</f>
        <v>38070</v>
      </c>
      <c r="B51" s="5">
        <f>'[1]Page 376 data'!C271</f>
        <v>-6.6450410699372409E-3</v>
      </c>
      <c r="C51" s="5">
        <f>'[1]Page 376 data'!K271</f>
        <v>-3.2902438723828586E-3</v>
      </c>
      <c r="E51" s="6"/>
      <c r="L51" s="6"/>
    </row>
    <row r="52" spans="1:12" hidden="1" x14ac:dyDescent="0.25">
      <c r="A52" s="13">
        <f>'[1]Page 376 data'!A272</f>
        <v>38071</v>
      </c>
      <c r="B52" s="5">
        <f>'[1]Page 376 data'!C272</f>
        <v>1.3920105651641368E-2</v>
      </c>
      <c r="C52" s="5">
        <f>'[1]Page 376 data'!K272</f>
        <v>1.4756064390099022E-2</v>
      </c>
      <c r="E52" s="6"/>
      <c r="L52" s="6"/>
    </row>
    <row r="53" spans="1:12" hidden="1" x14ac:dyDescent="0.25">
      <c r="A53" s="13">
        <f>'[1]Page 376 data'!A273</f>
        <v>38072</v>
      </c>
      <c r="B53" s="5">
        <f>'[1]Page 376 data'!C273</f>
        <v>7.9666853329452003E-4</v>
      </c>
      <c r="C53" s="5">
        <f>'[1]Page 376 data'!K273</f>
        <v>-5.6452087813455565E-3</v>
      </c>
      <c r="E53" s="6"/>
      <c r="L53" s="6"/>
    </row>
    <row r="54" spans="1:12" hidden="1" x14ac:dyDescent="0.25">
      <c r="A54" s="13">
        <f>'[1]Page 376 data'!A274</f>
        <v>38075</v>
      </c>
      <c r="B54" s="5">
        <f>'[1]Page 376 data'!C274</f>
        <v>1.2982315671675293E-2</v>
      </c>
      <c r="C54" s="5">
        <f>'[1]Page 376 data'!K274</f>
        <v>8.9467869374051379E-3</v>
      </c>
      <c r="E54" s="6"/>
      <c r="L54" s="6"/>
    </row>
    <row r="55" spans="1:12" hidden="1" x14ac:dyDescent="0.25">
      <c r="A55" s="13">
        <f>'[1]Page 376 data'!A275</f>
        <v>38076</v>
      </c>
      <c r="B55" s="5">
        <f>'[1]Page 376 data'!C275</f>
        <v>5.0461123419942577E-3</v>
      </c>
      <c r="C55" s="5">
        <f>'[1]Page 376 data'!K275</f>
        <v>1.0488732000955459E-2</v>
      </c>
      <c r="E55" s="6"/>
      <c r="L55" s="6"/>
    </row>
    <row r="56" spans="1:12" hidden="1" x14ac:dyDescent="0.25">
      <c r="A56" s="13">
        <f>'[1]Page 376 data'!A276</f>
        <v>38077</v>
      </c>
      <c r="B56" s="5">
        <f>'[1]Page 376 data'!C276</f>
        <v>1.887156254412492E-3</v>
      </c>
      <c r="C56" s="5">
        <f>'[1]Page 376 data'!K276</f>
        <v>-1.0379860426732002E-2</v>
      </c>
      <c r="E56" s="6"/>
      <c r="L56" s="6"/>
    </row>
    <row r="57" spans="1:12" hidden="1" x14ac:dyDescent="0.25">
      <c r="A57" s="13">
        <f>'[1]Page 376 data'!A277</f>
        <v>38078</v>
      </c>
      <c r="B57" s="5">
        <f>'[1]Page 376 data'!C277</f>
        <v>6.8615833164116236E-3</v>
      </c>
      <c r="C57" s="5">
        <f>'[1]Page 376 data'!K277</f>
        <v>1.0488732000955459E-2</v>
      </c>
      <c r="E57" s="6"/>
      <c r="L57" s="6"/>
    </row>
    <row r="58" spans="1:12" hidden="1" x14ac:dyDescent="0.25">
      <c r="A58" s="13">
        <f>'[1]Page 376 data'!A278</f>
        <v>38079</v>
      </c>
      <c r="B58" s="5">
        <f>'[1]Page 376 data'!C278</f>
        <v>5.4166403284598985E-3</v>
      </c>
      <c r="C58" s="5">
        <f>'[1]Page 376 data'!K278</f>
        <v>1.2258731341490137E-3</v>
      </c>
      <c r="E58" s="6"/>
      <c r="L58" s="6"/>
    </row>
    <row r="59" spans="1:12" hidden="1" x14ac:dyDescent="0.25">
      <c r="A59" s="13">
        <f>'[1]Page 376 data'!A279</f>
        <v>38082</v>
      </c>
      <c r="B59" s="5">
        <f>'[1]Page 376 data'!C279</f>
        <v>5.2033357633529675E-3</v>
      </c>
      <c r="C59" s="5">
        <f>'[1]Page 376 data'!K279</f>
        <v>2.2626878571085918E-3</v>
      </c>
      <c r="E59" s="6"/>
      <c r="L59" s="6"/>
    </row>
    <row r="60" spans="1:12" hidden="1" x14ac:dyDescent="0.25">
      <c r="A60" s="13">
        <f>'[1]Page 376 data'!A280</f>
        <v>38083</v>
      </c>
      <c r="B60" s="5">
        <f>'[1]Page 376 data'!C280</f>
        <v>-3.1198390490670969E-3</v>
      </c>
      <c r="C60" s="5">
        <f>'[1]Page 376 data'!K280</f>
        <v>6.1120326400907476E-3</v>
      </c>
      <c r="E60" s="6"/>
      <c r="L60" s="6"/>
    </row>
    <row r="61" spans="1:12" hidden="1" x14ac:dyDescent="0.25">
      <c r="A61" s="13">
        <f>'[1]Page 376 data'!A281</f>
        <v>38084</v>
      </c>
      <c r="B61" s="5">
        <f>'[1]Page 376 data'!C281</f>
        <v>-2.7994634112822325E-3</v>
      </c>
      <c r="C61" s="5">
        <f>'[1]Page 376 data'!K281</f>
        <v>-5.1404548439510922E-3</v>
      </c>
      <c r="E61" s="6"/>
      <c r="L61" s="6"/>
    </row>
    <row r="62" spans="1:12" hidden="1" x14ac:dyDescent="0.25">
      <c r="A62" s="13">
        <f>'[1]Page 376 data'!A282</f>
        <v>38085</v>
      </c>
      <c r="B62" s="5">
        <f>'[1]Page 376 data'!C282</f>
        <v>-2.9496359768702574E-3</v>
      </c>
      <c r="C62" s="5">
        <f>'[1]Page 376 data'!K282</f>
        <v>-4.7063515804168787E-4</v>
      </c>
      <c r="E62" s="6"/>
      <c r="L62" s="6"/>
    </row>
    <row r="63" spans="1:12" hidden="1" x14ac:dyDescent="0.25">
      <c r="A63" s="13">
        <f>'[1]Page 376 data'!A283</f>
        <v>38089</v>
      </c>
      <c r="B63" s="5">
        <f>'[1]Page 376 data'!C283</f>
        <v>4.1978992474129839E-3</v>
      </c>
      <c r="C63" s="5">
        <f>'[1]Page 376 data'!K283</f>
        <v>6.7675683440606704E-3</v>
      </c>
      <c r="E63" s="6"/>
      <c r="L63" s="6"/>
    </row>
    <row r="64" spans="1:12" hidden="1" x14ac:dyDescent="0.25">
      <c r="A64" s="13">
        <f>'[1]Page 376 data'!A284</f>
        <v>38090</v>
      </c>
      <c r="B64" s="5">
        <f>'[1]Page 376 data'!C284</f>
        <v>-1.4964876975903763E-2</v>
      </c>
      <c r="C64" s="5">
        <f>'[1]Page 376 data'!K284</f>
        <v>-1.1109657832051201E-2</v>
      </c>
      <c r="E64" s="6"/>
      <c r="L64" s="6"/>
    </row>
    <row r="65" spans="1:12" hidden="1" x14ac:dyDescent="0.25">
      <c r="A65" s="13">
        <f>'[1]Page 376 data'!A285</f>
        <v>38091</v>
      </c>
      <c r="B65" s="5">
        <f>'[1]Page 376 data'!C285</f>
        <v>-4.9304107308582035E-3</v>
      </c>
      <c r="C65" s="5">
        <f>'[1]Page 376 data'!K285</f>
        <v>-1.1322645290581246E-3</v>
      </c>
      <c r="E65" s="6"/>
      <c r="L65" s="6"/>
    </row>
    <row r="66" spans="1:12" hidden="1" x14ac:dyDescent="0.25">
      <c r="A66" s="13">
        <f>'[1]Page 376 data'!A286</f>
        <v>38092</v>
      </c>
      <c r="B66" s="5">
        <f>'[1]Page 376 data'!C286</f>
        <v>2.791867712179652E-3</v>
      </c>
      <c r="C66" s="5">
        <f>'[1]Page 376 data'!K286</f>
        <v>2.9291682967689248E-3</v>
      </c>
      <c r="E66" s="6"/>
      <c r="L66" s="6"/>
    </row>
    <row r="67" spans="1:12" hidden="1" x14ac:dyDescent="0.25">
      <c r="A67" s="13">
        <f>'[1]Page 376 data'!A287</f>
        <v>38093</v>
      </c>
      <c r="B67" s="5">
        <f>'[1]Page 376 data'!C287</f>
        <v>7.2258602685761897E-3</v>
      </c>
      <c r="C67" s="5">
        <f>'[1]Page 376 data'!K287</f>
        <v>-1.4122965822822575E-3</v>
      </c>
      <c r="E67" s="6"/>
      <c r="L67" s="6"/>
    </row>
    <row r="68" spans="1:12" hidden="1" x14ac:dyDescent="0.25">
      <c r="A68" s="13">
        <f>'[1]Page 376 data'!A288</f>
        <v>38096</v>
      </c>
      <c r="B68" s="5">
        <f>'[1]Page 376 data'!C288</f>
        <v>4.7151775823528475E-4</v>
      </c>
      <c r="C68" s="5">
        <f>'[1]Page 376 data'!K288</f>
        <v>4.7076357852438022E-4</v>
      </c>
      <c r="E68" s="6"/>
      <c r="L68" s="6"/>
    </row>
    <row r="69" spans="1:12" hidden="1" x14ac:dyDescent="0.25">
      <c r="A69" s="13">
        <f>'[1]Page 376 data'!A289</f>
        <v>38097</v>
      </c>
      <c r="B69" s="5">
        <f>'[1]Page 376 data'!C289</f>
        <v>-1.4037658325843472E-2</v>
      </c>
      <c r="C69" s="5">
        <f>'[1]Page 376 data'!K289</f>
        <v>-1.3299320817581894E-2</v>
      </c>
      <c r="E69" s="6"/>
      <c r="L69" s="6"/>
    </row>
    <row r="70" spans="1:12" hidden="1" x14ac:dyDescent="0.25">
      <c r="A70" s="13">
        <f>'[1]Page 376 data'!A290</f>
        <v>38098</v>
      </c>
      <c r="B70" s="5">
        <f>'[1]Page 376 data'!C290</f>
        <v>3.0105161234972311E-3</v>
      </c>
      <c r="C70" s="5">
        <f>'[1]Page 376 data'!K290</f>
        <v>-5.4750376434203885E-3</v>
      </c>
      <c r="E70" s="6"/>
      <c r="L70" s="6"/>
    </row>
    <row r="71" spans="1:12" hidden="1" x14ac:dyDescent="0.25">
      <c r="A71" s="13">
        <f>'[1]Page 376 data'!A291</f>
        <v>38099</v>
      </c>
      <c r="B71" s="5">
        <f>'[1]Page 376 data'!C291</f>
        <v>1.3217204820086703E-2</v>
      </c>
      <c r="C71" s="5">
        <f>'[1]Page 376 data'!K291</f>
        <v>1.052880730650263E-2</v>
      </c>
      <c r="E71" s="6"/>
      <c r="L71" s="6"/>
    </row>
    <row r="72" spans="1:12" hidden="1" x14ac:dyDescent="0.25">
      <c r="A72" s="13">
        <f>'[1]Page 376 data'!A292</f>
        <v>38100</v>
      </c>
      <c r="B72" s="5">
        <f>'[1]Page 376 data'!C292</f>
        <v>-2.475389323564503E-3</v>
      </c>
      <c r="C72" s="5">
        <f>'[1]Page 376 data'!K292</f>
        <v>3.4407282067021594E-3</v>
      </c>
      <c r="E72" s="6"/>
      <c r="L72" s="6"/>
    </row>
    <row r="73" spans="1:12" hidden="1" x14ac:dyDescent="0.25">
      <c r="A73" s="13">
        <f>'[1]Page 376 data'!A293</f>
        <v>38103</v>
      </c>
      <c r="B73" s="5">
        <f>'[1]Page 376 data'!C293</f>
        <v>-2.898647096516882E-3</v>
      </c>
      <c r="C73" s="5">
        <f>'[1]Page 376 data'!K293</f>
        <v>2.3805307597575265E-3</v>
      </c>
      <c r="E73" s="6"/>
      <c r="L73" s="6"/>
    </row>
    <row r="74" spans="1:12" hidden="1" x14ac:dyDescent="0.25">
      <c r="A74" s="13">
        <f>'[1]Page 376 data'!A294</f>
        <v>38104</v>
      </c>
      <c r="B74" s="5">
        <f>'[1]Page 376 data'!C294</f>
        <v>2.2735195598466706E-3</v>
      </c>
      <c r="C74" s="5">
        <f>'[1]Page 376 data'!K294</f>
        <v>3.7058524765574141E-3</v>
      </c>
      <c r="E74" s="6"/>
      <c r="L74" s="6"/>
    </row>
    <row r="75" spans="1:12" hidden="1" x14ac:dyDescent="0.25">
      <c r="A75" s="13">
        <f>'[1]Page 376 data'!A295</f>
        <v>38105</v>
      </c>
      <c r="B75" s="5">
        <f>'[1]Page 376 data'!C295</f>
        <v>-1.7011205710224186E-2</v>
      </c>
      <c r="C75" s="5">
        <f>'[1]Page 376 data'!K295</f>
        <v>-1.3822635841248654E-2</v>
      </c>
      <c r="E75" s="6"/>
      <c r="L75" s="6"/>
    </row>
    <row r="76" spans="1:12" hidden="1" x14ac:dyDescent="0.25">
      <c r="A76" s="13">
        <f>'[1]Page 376 data'!A296</f>
        <v>38106</v>
      </c>
      <c r="B76" s="5">
        <f>'[1]Page 376 data'!C296</f>
        <v>-7.3812999887696851E-3</v>
      </c>
      <c r="C76" s="5">
        <f>'[1]Page 376 data'!K296</f>
        <v>1.7279633963810159E-2</v>
      </c>
      <c r="E76" s="6"/>
      <c r="L76" s="6"/>
    </row>
    <row r="77" spans="1:12" hidden="1" x14ac:dyDescent="0.25">
      <c r="A77" s="13">
        <f>'[1]Page 376 data'!A297</f>
        <v>38107</v>
      </c>
      <c r="B77" s="5">
        <f>'[1]Page 376 data'!C297</f>
        <v>-1.9853601003063659E-3</v>
      </c>
      <c r="C77" s="5">
        <f>'[1]Page 376 data'!K297</f>
        <v>-2.0754167779802879E-3</v>
      </c>
      <c r="E77" s="6"/>
      <c r="L77" s="6"/>
    </row>
    <row r="78" spans="1:12" hidden="1" x14ac:dyDescent="0.25">
      <c r="A78" s="13">
        <f>'[1]Page 376 data'!A298</f>
        <v>38110</v>
      </c>
      <c r="B78" s="5">
        <f>'[1]Page 376 data'!C298</f>
        <v>7.6606278205180178E-3</v>
      </c>
      <c r="C78" s="5">
        <f>'[1]Page 376 data'!K298</f>
        <v>9.8352795452956165E-3</v>
      </c>
      <c r="E78" s="6"/>
      <c r="L78" s="6"/>
    </row>
    <row r="79" spans="1:12" hidden="1" x14ac:dyDescent="0.25">
      <c r="A79" s="13">
        <f>'[1]Page 376 data'!A299</f>
        <v>38111</v>
      </c>
      <c r="B79" s="5">
        <f>'[1]Page 376 data'!C299</f>
        <v>6.548256597957991E-3</v>
      </c>
      <c r="C79" s="5">
        <f>'[1]Page 376 data'!K299</f>
        <v>-4.5898058828649502E-3</v>
      </c>
      <c r="E79" s="6"/>
      <c r="L79" s="6"/>
    </row>
    <row r="80" spans="1:12" hidden="1" x14ac:dyDescent="0.25">
      <c r="A80" s="13">
        <f>'[1]Page 376 data'!A300</f>
        <v>38112</v>
      </c>
      <c r="B80" s="5">
        <f>'[1]Page 376 data'!C300</f>
        <v>3.4878522302044246E-3</v>
      </c>
      <c r="C80" s="5">
        <f>'[1]Page 376 data'!K300</f>
        <v>4.7977930946758729E-3</v>
      </c>
      <c r="E80" s="6"/>
      <c r="L80" s="6"/>
    </row>
    <row r="81" spans="1:12" hidden="1" x14ac:dyDescent="0.25">
      <c r="A81" s="13">
        <f>'[1]Page 376 data'!A301</f>
        <v>38113</v>
      </c>
      <c r="B81" s="5">
        <f>'[1]Page 376 data'!C301</f>
        <v>-1.0822365510022913E-2</v>
      </c>
      <c r="C81" s="5">
        <f>'[1]Page 376 data'!K301</f>
        <v>9.0809831435116894E-3</v>
      </c>
      <c r="E81" s="6"/>
      <c r="L81" s="6"/>
    </row>
    <row r="82" spans="1:12" hidden="1" x14ac:dyDescent="0.25">
      <c r="A82" s="13">
        <f>'[1]Page 376 data'!A302</f>
        <v>38114</v>
      </c>
      <c r="B82" s="5">
        <f>'[1]Page 376 data'!C302</f>
        <v>-1.8358529651755662E-2</v>
      </c>
      <c r="C82" s="5">
        <f>'[1]Page 376 data'!K302</f>
        <v>-9.8343046105777709E-3</v>
      </c>
      <c r="E82" s="6"/>
      <c r="L82" s="6"/>
    </row>
    <row r="83" spans="1:12" hidden="1" x14ac:dyDescent="0.25">
      <c r="A83" s="13">
        <f>'[1]Page 376 data'!A303</f>
        <v>38117</v>
      </c>
      <c r="B83" s="5">
        <f>'[1]Page 376 data'!C303</f>
        <v>-1.763808380486076E-2</v>
      </c>
      <c r="C83" s="5">
        <f>'[1]Page 376 data'!K303</f>
        <v>-9.8389344651736987E-3</v>
      </c>
      <c r="E83" s="6"/>
      <c r="L83" s="6"/>
    </row>
    <row r="84" spans="1:12" hidden="1" x14ac:dyDescent="0.25">
      <c r="A84" s="13">
        <f>'[1]Page 376 data'!A304</f>
        <v>38118</v>
      </c>
      <c r="B84" s="5">
        <f>'[1]Page 376 data'!C304</f>
        <v>7.8601111356373377E-3</v>
      </c>
      <c r="C84" s="5">
        <f>'[1]Page 376 data'!K304</f>
        <v>3.8807116037475886E-3</v>
      </c>
      <c r="E84" s="6"/>
      <c r="L84" s="6"/>
    </row>
    <row r="85" spans="1:12" hidden="1" x14ac:dyDescent="0.25">
      <c r="A85" s="13">
        <f>'[1]Page 376 data'!A305</f>
        <v>38119</v>
      </c>
      <c r="B85" s="5">
        <f>'[1]Page 376 data'!C305</f>
        <v>1.6156268251188433E-3</v>
      </c>
      <c r="C85" s="5">
        <f>'[1]Page 376 data'!K305</f>
        <v>5.6561649210218334E-4</v>
      </c>
      <c r="E85" s="6"/>
      <c r="L85" s="6"/>
    </row>
    <row r="86" spans="1:12" hidden="1" x14ac:dyDescent="0.25">
      <c r="A86" s="13">
        <f>'[1]Page 376 data'!A306</f>
        <v>38120</v>
      </c>
      <c r="B86" s="5">
        <f>'[1]Page 376 data'!C306</f>
        <v>-2.6239316510171529E-3</v>
      </c>
      <c r="C86" s="5">
        <f>'[1]Page 376 data'!K306</f>
        <v>-7.8206018818012257E-3</v>
      </c>
      <c r="E86" s="6"/>
      <c r="L86" s="6"/>
    </row>
    <row r="87" spans="1:12" hidden="1" x14ac:dyDescent="0.25">
      <c r="A87" s="13">
        <f>'[1]Page 376 data'!A307</f>
        <v>38121</v>
      </c>
      <c r="B87" s="5">
        <f>'[1]Page 376 data'!C307</f>
        <v>-1.969948749558359E-4</v>
      </c>
      <c r="C87" s="5">
        <f>'[1]Page 376 data'!K307</f>
        <v>1.0446132302963873E-2</v>
      </c>
      <c r="E87" s="6"/>
      <c r="L87" s="6"/>
    </row>
    <row r="88" spans="1:12" hidden="1" x14ac:dyDescent="0.25">
      <c r="A88" s="13">
        <f>'[1]Page 376 data'!A308</f>
        <v>38124</v>
      </c>
      <c r="B88" s="5">
        <f>'[1]Page 376 data'!C308</f>
        <v>-9.8755191996618974E-3</v>
      </c>
      <c r="C88" s="5">
        <f>'[1]Page 376 data'!K308</f>
        <v>-1.2210400084182726E-3</v>
      </c>
      <c r="E88" s="6"/>
      <c r="L88" s="6"/>
    </row>
    <row r="89" spans="1:12" hidden="1" x14ac:dyDescent="0.25">
      <c r="A89" s="13">
        <f>'[1]Page 376 data'!A309</f>
        <v>38125</v>
      </c>
      <c r="B89" s="5">
        <f>'[1]Page 376 data'!C309</f>
        <v>7.2762987487140496E-3</v>
      </c>
      <c r="C89" s="5">
        <f>'[1]Page 376 data'!K309</f>
        <v>-2.0713482051628596E-3</v>
      </c>
      <c r="E89" s="6"/>
      <c r="L89" s="6"/>
    </row>
    <row r="90" spans="1:12" hidden="1" x14ac:dyDescent="0.25">
      <c r="A90" s="13">
        <f>'[1]Page 376 data'!A310</f>
        <v>38126</v>
      </c>
      <c r="B90" s="5">
        <f>'[1]Page 376 data'!C310</f>
        <v>1.6936109601961569E-3</v>
      </c>
      <c r="C90" s="5">
        <f>'[1]Page 376 data'!K310</f>
        <v>-5.4679967809535546E-3</v>
      </c>
      <c r="E90" s="6"/>
      <c r="L90" s="6"/>
    </row>
    <row r="91" spans="1:12" hidden="1" x14ac:dyDescent="0.25">
      <c r="A91" s="13">
        <f>'[1]Page 376 data'!A311</f>
        <v>38127</v>
      </c>
      <c r="B91" s="5">
        <f>'[1]Page 376 data'!C311</f>
        <v>-1.5969054390218007E-3</v>
      </c>
      <c r="C91" s="5">
        <f>'[1]Page 376 data'!K311</f>
        <v>1.1470816216573532E-2</v>
      </c>
      <c r="E91" s="6"/>
      <c r="L91" s="6"/>
    </row>
    <row r="92" spans="1:12" hidden="1" x14ac:dyDescent="0.25">
      <c r="A92" s="13">
        <f>'[1]Page 376 data'!A312</f>
        <v>38128</v>
      </c>
      <c r="B92" s="5">
        <f>'[1]Page 376 data'!C312</f>
        <v>4.9385705546491909E-3</v>
      </c>
      <c r="C92" s="5">
        <f>'[1]Page 376 data'!K312</f>
        <v>2.0633908521685562E-3</v>
      </c>
      <c r="E92" s="6"/>
      <c r="L92" s="6"/>
    </row>
    <row r="93" spans="1:12" hidden="1" x14ac:dyDescent="0.25">
      <c r="A93" s="13">
        <f>'[1]Page 376 data'!A313</f>
        <v>38131</v>
      </c>
      <c r="B93" s="5">
        <f>'[1]Page 376 data'!C313</f>
        <v>4.1232570084273057E-3</v>
      </c>
      <c r="C93" s="5">
        <f>'[1]Page 376 data'!K313</f>
        <v>-6.9224323961140088E-3</v>
      </c>
      <c r="E93" s="6"/>
      <c r="L93" s="6"/>
    </row>
    <row r="94" spans="1:12" hidden="1" x14ac:dyDescent="0.25">
      <c r="A94" s="13">
        <f>'[1]Page 376 data'!A314</f>
        <v>38132</v>
      </c>
      <c r="B94" s="5">
        <f>'[1]Page 376 data'!C314</f>
        <v>1.5028109622000185E-2</v>
      </c>
      <c r="C94" s="5">
        <f>'[1]Page 376 data'!K314</f>
        <v>1.4976130920755226E-2</v>
      </c>
      <c r="E94" s="6"/>
      <c r="L94" s="6"/>
    </row>
    <row r="95" spans="1:12" hidden="1" x14ac:dyDescent="0.25">
      <c r="A95" s="13">
        <f>'[1]Page 376 data'!A315</f>
        <v>38133</v>
      </c>
      <c r="B95" s="5">
        <f>'[1]Page 376 data'!C315</f>
        <v>9.0522792457070622E-4</v>
      </c>
      <c r="C95" s="5">
        <f>'[1]Page 376 data'!K315</f>
        <v>-1.4861025881318657E-3</v>
      </c>
      <c r="E95" s="6"/>
      <c r="L95" s="6"/>
    </row>
    <row r="96" spans="1:12" hidden="1" x14ac:dyDescent="0.25">
      <c r="A96" s="13">
        <f>'[1]Page 376 data'!A316</f>
        <v>38134</v>
      </c>
      <c r="B96" s="5">
        <f>'[1]Page 376 data'!C316</f>
        <v>8.8824796352526825E-3</v>
      </c>
      <c r="C96" s="5">
        <f>'[1]Page 376 data'!K316</f>
        <v>9.1085625200029163E-3</v>
      </c>
      <c r="E96" s="6"/>
      <c r="L96" s="6"/>
    </row>
    <row r="97" spans="1:12" hidden="1" x14ac:dyDescent="0.25">
      <c r="A97" s="13">
        <f>'[1]Page 376 data'!A317</f>
        <v>38135</v>
      </c>
      <c r="B97" s="5">
        <f>'[1]Page 376 data'!C317</f>
        <v>-1.1675369283612458E-3</v>
      </c>
      <c r="C97" s="5">
        <f>'[1]Page 376 data'!K317</f>
        <v>-6.9988714635949023E-3</v>
      </c>
      <c r="E97" s="6"/>
      <c r="L97" s="6"/>
    </row>
    <row r="98" spans="1:12" hidden="1" x14ac:dyDescent="0.25">
      <c r="A98" s="13">
        <f>'[1]Page 376 data'!A318</f>
        <v>38139</v>
      </c>
      <c r="B98" s="5">
        <f>'[1]Page 376 data'!C318</f>
        <v>3.9014791694924611E-4</v>
      </c>
      <c r="C98" s="5">
        <f>'[1]Page 376 data'!K318</f>
        <v>7.2343502311189578E-3</v>
      </c>
      <c r="E98" s="6"/>
      <c r="L98" s="6"/>
    </row>
    <row r="99" spans="1:12" hidden="1" x14ac:dyDescent="0.25">
      <c r="A99" s="13">
        <f>'[1]Page 376 data'!A319</f>
        <v>38140</v>
      </c>
      <c r="B99" s="5">
        <f>'[1]Page 376 data'!C319</f>
        <v>2.9426952869089362E-3</v>
      </c>
      <c r="C99" s="5">
        <f>'[1]Page 376 data'!K319</f>
        <v>1.9337204665050844E-3</v>
      </c>
      <c r="E99" s="6"/>
      <c r="L99" s="6"/>
    </row>
    <row r="100" spans="1:12" hidden="1" x14ac:dyDescent="0.25">
      <c r="A100" s="13">
        <f>'[1]Page 376 data'!A320</f>
        <v>38141</v>
      </c>
      <c r="B100" s="5">
        <f>'[1]Page 376 data'!C320</f>
        <v>-7.6279444357350012E-3</v>
      </c>
      <c r="C100" s="5">
        <f>'[1]Page 376 data'!K320</f>
        <v>-7.904409266274337E-3</v>
      </c>
      <c r="E100" s="6"/>
      <c r="L100" s="6"/>
    </row>
    <row r="101" spans="1:12" hidden="1" x14ac:dyDescent="0.25">
      <c r="A101" s="13">
        <f>'[1]Page 376 data'!A321</f>
        <v>38142</v>
      </c>
      <c r="B101" s="5">
        <f>'[1]Page 376 data'!C321</f>
        <v>7.3055782279209946E-3</v>
      </c>
      <c r="C101" s="5">
        <f>'[1]Page 376 data'!K321</f>
        <v>-7.4174393981507603E-4</v>
      </c>
      <c r="E101" s="6"/>
      <c r="L101" s="6"/>
    </row>
    <row r="102" spans="1:12" hidden="1" x14ac:dyDescent="0.25">
      <c r="A102" s="13">
        <f>'[1]Page 376 data'!A322</f>
        <v>38145</v>
      </c>
      <c r="B102" s="5">
        <f>'[1]Page 376 data'!C322</f>
        <v>1.6453255595121785E-2</v>
      </c>
      <c r="C102" s="5">
        <f>'[1]Page 376 data'!K322</f>
        <v>1.511225491060153E-2</v>
      </c>
      <c r="E102" s="6"/>
      <c r="L102" s="6"/>
    </row>
    <row r="103" spans="1:12" hidden="1" x14ac:dyDescent="0.25">
      <c r="A103" s="13">
        <f>'[1]Page 376 data'!A323</f>
        <v>38146</v>
      </c>
      <c r="B103" s="5">
        <f>'[1]Page 376 data'!C323</f>
        <v>-1.129953758117308E-3</v>
      </c>
      <c r="C103" s="5">
        <f>'[1]Page 376 data'!K323</f>
        <v>7.2140383372403249E-3</v>
      </c>
      <c r="E103" s="6"/>
      <c r="L103" s="6"/>
    </row>
    <row r="104" spans="1:12" hidden="1" x14ac:dyDescent="0.25">
      <c r="A104" s="13">
        <f>'[1]Page 376 data'!A324</f>
        <v>38147</v>
      </c>
      <c r="B104" s="5">
        <f>'[1]Page 376 data'!C324</f>
        <v>-1.1796917354946368E-2</v>
      </c>
      <c r="C104" s="5">
        <f>'[1]Page 376 data'!K324</f>
        <v>4.2621744943815987E-3</v>
      </c>
      <c r="E104" s="6"/>
      <c r="L104" s="6"/>
    </row>
    <row r="105" spans="1:12" hidden="1" x14ac:dyDescent="0.25">
      <c r="A105" s="13">
        <f>'[1]Page 376 data'!A325</f>
        <v>38148</v>
      </c>
      <c r="B105" s="5">
        <f>'[1]Page 376 data'!C325</f>
        <v>4.8195392857579566E-3</v>
      </c>
      <c r="C105" s="5">
        <f>'[1]Page 376 data'!K325</f>
        <v>-2.1668679030784066E-3</v>
      </c>
      <c r="E105" s="6"/>
      <c r="L105" s="6"/>
    </row>
    <row r="106" spans="1:12" hidden="1" x14ac:dyDescent="0.25">
      <c r="A106" s="13">
        <f>'[1]Page 376 data'!A326</f>
        <v>38152</v>
      </c>
      <c r="B106" s="5">
        <f>'[1]Page 376 data'!C326</f>
        <v>-1.3994268694229262E-2</v>
      </c>
      <c r="C106" s="5">
        <f>'[1]Page 376 data'!K326</f>
        <v>1.7969005377316272E-4</v>
      </c>
      <c r="E106" s="6"/>
      <c r="L106" s="6"/>
    </row>
    <row r="107" spans="1:12" hidden="1" x14ac:dyDescent="0.25">
      <c r="A107" s="13">
        <f>'[1]Page 376 data'!A327</f>
        <v>38153</v>
      </c>
      <c r="B107" s="5">
        <f>'[1]Page 376 data'!C327</f>
        <v>9.4072737003128015E-3</v>
      </c>
      <c r="C107" s="5">
        <f>'[1]Page 376 data'!K327</f>
        <v>4.523935575487803E-3</v>
      </c>
      <c r="E107" s="6"/>
      <c r="L107" s="6"/>
    </row>
    <row r="108" spans="1:12" hidden="1" x14ac:dyDescent="0.25">
      <c r="A108" s="13">
        <f>'[1]Page 376 data'!A328</f>
        <v>38154</v>
      </c>
      <c r="B108" s="5">
        <f>'[1]Page 376 data'!C328</f>
        <v>1.4311917046045952E-3</v>
      </c>
      <c r="C108" s="5">
        <f>'[1]Page 376 data'!K328</f>
        <v>1.2614539255380031E-3</v>
      </c>
      <c r="E108" s="6"/>
      <c r="L108" s="6"/>
    </row>
    <row r="109" spans="1:12" hidden="1" x14ac:dyDescent="0.25">
      <c r="A109" s="13">
        <f>'[1]Page 376 data'!A329</f>
        <v>38155</v>
      </c>
      <c r="B109" s="5">
        <f>'[1]Page 376 data'!C329</f>
        <v>1.6280639045684886E-3</v>
      </c>
      <c r="C109" s="5">
        <f>'[1]Page 376 data'!K329</f>
        <v>-7.2855522216752622E-3</v>
      </c>
      <c r="E109" s="6"/>
      <c r="L109" s="6"/>
    </row>
    <row r="110" spans="1:12" hidden="1" x14ac:dyDescent="0.25">
      <c r="A110" s="13">
        <f>'[1]Page 376 data'!A330</f>
        <v>38156</v>
      </c>
      <c r="B110" s="5">
        <f>'[1]Page 376 data'!C330</f>
        <v>3.1423722236905149E-3</v>
      </c>
      <c r="C110" s="5">
        <f>'[1]Page 376 data'!K330</f>
        <v>-1.630893565052971E-3</v>
      </c>
      <c r="E110" s="6"/>
      <c r="L110" s="6"/>
    </row>
    <row r="111" spans="1:12" hidden="1" x14ac:dyDescent="0.25">
      <c r="A111" s="13">
        <f>'[1]Page 376 data'!A331</f>
        <v>38159</v>
      </c>
      <c r="B111" s="5">
        <f>'[1]Page 376 data'!C331</f>
        <v>-3.2619719854171114E-3</v>
      </c>
      <c r="C111" s="5">
        <f>'[1]Page 376 data'!K331</f>
        <v>7.3510097572477839E-3</v>
      </c>
      <c r="E111" s="6"/>
      <c r="L111" s="6"/>
    </row>
    <row r="112" spans="1:12" hidden="1" x14ac:dyDescent="0.25">
      <c r="A112" s="13">
        <f>'[1]Page 376 data'!A332</f>
        <v>38160</v>
      </c>
      <c r="B112" s="5">
        <f>'[1]Page 376 data'!C332</f>
        <v>1.3215872492040592E-3</v>
      </c>
      <c r="C112" s="5">
        <f>'[1]Page 376 data'!K332</f>
        <v>6.846277562595926E-3</v>
      </c>
      <c r="E112" s="6"/>
      <c r="L112" s="6"/>
    </row>
    <row r="113" spans="1:12" hidden="1" x14ac:dyDescent="0.25">
      <c r="A113" s="13">
        <f>'[1]Page 376 data'!A333</f>
        <v>38161</v>
      </c>
      <c r="B113" s="5">
        <f>'[1]Page 376 data'!C333</f>
        <v>7.4048530549404301E-3</v>
      </c>
      <c r="C113" s="5">
        <f>'[1]Page 376 data'!K333</f>
        <v>1.4310235315466713E-3</v>
      </c>
      <c r="E113" s="6"/>
      <c r="L113" s="6"/>
    </row>
    <row r="114" spans="1:12" hidden="1" x14ac:dyDescent="0.25">
      <c r="A114" s="13">
        <f>'[1]Page 376 data'!A334</f>
        <v>38162</v>
      </c>
      <c r="B114" s="5">
        <f>'[1]Page 376 data'!C334</f>
        <v>-7.239857383897208E-4</v>
      </c>
      <c r="C114" s="5">
        <f>'[1]Page 376 data'!K334</f>
        <v>-1.1971707355747707E-2</v>
      </c>
      <c r="E114" s="6"/>
      <c r="L114" s="6"/>
    </row>
    <row r="115" spans="1:12" hidden="1" x14ac:dyDescent="0.25">
      <c r="A115" s="13">
        <f>'[1]Page 376 data'!A335</f>
        <v>38163</v>
      </c>
      <c r="B115" s="5">
        <f>'[1]Page 376 data'!C335</f>
        <v>-3.9954164873075015E-3</v>
      </c>
      <c r="C115" s="5">
        <f>'[1]Page 376 data'!K335</f>
        <v>-9.7667780522613379E-3</v>
      </c>
      <c r="E115" s="6"/>
      <c r="L115" s="6"/>
    </row>
    <row r="116" spans="1:12" hidden="1" x14ac:dyDescent="0.25">
      <c r="A116" s="13">
        <f>'[1]Page 376 data'!A336</f>
        <v>38166</v>
      </c>
      <c r="B116" s="5">
        <f>'[1]Page 376 data'!C336</f>
        <v>5.7828098368739589E-5</v>
      </c>
      <c r="C116" s="5">
        <f>'[1]Page 376 data'!K336</f>
        <v>-2.7397524575772936E-3</v>
      </c>
      <c r="E116" s="6"/>
      <c r="L116" s="6"/>
    </row>
    <row r="117" spans="1:12" hidden="1" x14ac:dyDescent="0.25">
      <c r="A117" s="13">
        <f>'[1]Page 376 data'!A337</f>
        <v>38167</v>
      </c>
      <c r="B117" s="5">
        <f>'[1]Page 376 data'!C337</f>
        <v>4.473809951337504E-4</v>
      </c>
      <c r="C117" s="5">
        <f>'[1]Page 376 data'!K337</f>
        <v>4.5775090689239573E-3</v>
      </c>
      <c r="E117" s="6"/>
      <c r="L117" s="6"/>
    </row>
    <row r="118" spans="1:12" hidden="1" x14ac:dyDescent="0.25">
      <c r="A118" s="13">
        <f>'[1]Page 376 data'!A338</f>
        <v>38168</v>
      </c>
      <c r="B118" s="5">
        <f>'[1]Page 376 data'!C338</f>
        <v>4.3303541551320546E-3</v>
      </c>
      <c r="C118" s="5">
        <f>'[1]Page 376 data'!K338</f>
        <v>-7.4743712457221445E-3</v>
      </c>
      <c r="E118" s="6"/>
      <c r="L118" s="6"/>
    </row>
    <row r="119" spans="1:12" hidden="1" x14ac:dyDescent="0.25">
      <c r="A119" s="13">
        <f>'[1]Page 376 data'!A339</f>
        <v>38169</v>
      </c>
      <c r="B119" s="5">
        <f>'[1]Page 376 data'!C339</f>
        <v>-8.8187321198426316E-3</v>
      </c>
      <c r="C119" s="5">
        <f>'[1]Page 376 data'!K339</f>
        <v>-3.4907637379696377E-3</v>
      </c>
      <c r="E119" s="6"/>
      <c r="L119" s="6"/>
    </row>
    <row r="120" spans="1:12" hidden="1" x14ac:dyDescent="0.25">
      <c r="A120" s="13">
        <f>'[1]Page 376 data'!A340</f>
        <v>38170</v>
      </c>
      <c r="B120" s="5">
        <f>'[1]Page 376 data'!C340</f>
        <v>-3.6670557820306371E-4</v>
      </c>
      <c r="C120" s="5">
        <f>'[1]Page 376 data'!K340</f>
        <v>1.4759687748875372E-3</v>
      </c>
      <c r="E120" s="6"/>
      <c r="L120" s="6"/>
    </row>
    <row r="121" spans="1:12" hidden="1" x14ac:dyDescent="0.25">
      <c r="A121" s="13">
        <f>'[1]Page 376 data'!A341</f>
        <v>38174</v>
      </c>
      <c r="B121" s="5">
        <f>'[1]Page 376 data'!C341</f>
        <v>-6.852267377521204E-3</v>
      </c>
      <c r="C121" s="5">
        <f>'[1]Page 376 data'!K341</f>
        <v>-3.3131189009155682E-3</v>
      </c>
      <c r="E121" s="6"/>
      <c r="L121" s="6"/>
    </row>
    <row r="122" spans="1:12" hidden="1" x14ac:dyDescent="0.25">
      <c r="A122" s="13">
        <f>'[1]Page 376 data'!A342</f>
        <v>38175</v>
      </c>
      <c r="B122" s="5">
        <f>'[1]Page 376 data'!C342</f>
        <v>3.2597002245469131E-3</v>
      </c>
      <c r="C122" s="5">
        <f>'[1]Page 376 data'!K342</f>
        <v>4.9861982189363108E-3</v>
      </c>
      <c r="E122" s="6"/>
      <c r="L122" s="6"/>
    </row>
    <row r="123" spans="1:12" hidden="1" x14ac:dyDescent="0.25">
      <c r="A123" s="13">
        <f>'[1]Page 376 data'!A343</f>
        <v>38176</v>
      </c>
      <c r="B123" s="5">
        <f>'[1]Page 376 data'!C343</f>
        <v>-6.9231489052281603E-3</v>
      </c>
      <c r="C123" s="5">
        <f>'[1]Page 376 data'!K343</f>
        <v>2.3875567530005082E-3</v>
      </c>
      <c r="E123" s="6"/>
      <c r="L123" s="6"/>
    </row>
    <row r="124" spans="1:12" hidden="1" x14ac:dyDescent="0.25">
      <c r="A124" s="13">
        <f>'[1]Page 376 data'!A344</f>
        <v>38177</v>
      </c>
      <c r="B124" s="5">
        <f>'[1]Page 376 data'!C344</f>
        <v>4.1429935213590507E-3</v>
      </c>
      <c r="C124" s="5">
        <f>'[1]Page 376 data'!K344</f>
        <v>3.1177321500153177E-3</v>
      </c>
      <c r="E124" s="6"/>
      <c r="L124" s="6"/>
    </row>
    <row r="125" spans="1:12" hidden="1" x14ac:dyDescent="0.25">
      <c r="A125" s="13">
        <f>'[1]Page 376 data'!A345</f>
        <v>38180</v>
      </c>
      <c r="B125" s="5">
        <f>'[1]Page 376 data'!C345</f>
        <v>5.1996800196918436E-4</v>
      </c>
      <c r="C125" s="5">
        <f>'[1]Page 376 data'!K345</f>
        <v>2.9227178573427715E-3</v>
      </c>
      <c r="E125" s="6"/>
      <c r="L125" s="6"/>
    </row>
    <row r="126" spans="1:12" hidden="1" x14ac:dyDescent="0.25">
      <c r="A126" s="13">
        <f>'[1]Page 376 data'!A346</f>
        <v>38181</v>
      </c>
      <c r="B126" s="5">
        <f>'[1]Page 376 data'!C346</f>
        <v>1.2608052547902204E-4</v>
      </c>
      <c r="C126" s="5">
        <f>'[1]Page 376 data'!K346</f>
        <v>3.6571868533763485E-4</v>
      </c>
      <c r="E126" s="6"/>
      <c r="L126" s="6"/>
    </row>
    <row r="127" spans="1:12" hidden="1" x14ac:dyDescent="0.25">
      <c r="A127" s="13">
        <f>'[1]Page 376 data'!A347</f>
        <v>38182</v>
      </c>
      <c r="B127" s="5">
        <f>'[1]Page 376 data'!C347</f>
        <v>-2.4290502106202316E-3</v>
      </c>
      <c r="C127" s="5">
        <f>'[1]Page 376 data'!K347</f>
        <v>3.2787200677293349E-3</v>
      </c>
      <c r="E127" s="6"/>
      <c r="L127" s="6"/>
    </row>
    <row r="128" spans="1:12" hidden="1" x14ac:dyDescent="0.25">
      <c r="A128" s="13">
        <f>'[1]Page 376 data'!A348</f>
        <v>38183</v>
      </c>
      <c r="B128" s="5">
        <f>'[1]Page 376 data'!C348</f>
        <v>-4.8822586610776098E-3</v>
      </c>
      <c r="C128" s="5">
        <f>'[1]Page 376 data'!K348</f>
        <v>-1.2715301897322506E-3</v>
      </c>
      <c r="E128" s="6"/>
      <c r="L128" s="6"/>
    </row>
    <row r="129" spans="1:12" hidden="1" x14ac:dyDescent="0.25">
      <c r="A129" s="13">
        <f>'[1]Page 376 data'!A349</f>
        <v>38184</v>
      </c>
      <c r="B129" s="5">
        <f>'[1]Page 376 data'!C349</f>
        <v>-1.7035458532588255E-4</v>
      </c>
      <c r="C129" s="5">
        <f>'[1]Page 376 data'!K349</f>
        <v>1.6360829255928078E-3</v>
      </c>
      <c r="E129" s="6"/>
      <c r="L129" s="6"/>
    </row>
    <row r="130" spans="1:12" hidden="1" x14ac:dyDescent="0.25">
      <c r="A130" s="13">
        <f>'[1]Page 376 data'!A350</f>
        <v>38187</v>
      </c>
      <c r="B130" s="5">
        <f>'[1]Page 376 data'!C350</f>
        <v>-1.4498096350383793E-3</v>
      </c>
      <c r="C130" s="5">
        <f>'[1]Page 376 data'!K350</f>
        <v>-7.6225824757290006E-3</v>
      </c>
      <c r="E130" s="6"/>
      <c r="L130" s="6"/>
    </row>
    <row r="131" spans="1:12" hidden="1" x14ac:dyDescent="0.25">
      <c r="A131" s="13">
        <f>'[1]Page 376 data'!A351</f>
        <v>38188</v>
      </c>
      <c r="B131" s="5">
        <f>'[1]Page 376 data'!C351</f>
        <v>4.0904902693796874E-3</v>
      </c>
      <c r="C131" s="5">
        <f>'[1]Page 376 data'!K351</f>
        <v>-3.2919139465875658E-3</v>
      </c>
      <c r="E131" s="6"/>
      <c r="L131" s="6"/>
    </row>
    <row r="132" spans="1:12" hidden="1" x14ac:dyDescent="0.25">
      <c r="A132" s="13">
        <f>'[1]Page 376 data'!A352</f>
        <v>38189</v>
      </c>
      <c r="B132" s="5">
        <f>'[1]Page 376 data'!C352</f>
        <v>-1.2794626318740954E-2</v>
      </c>
      <c r="C132" s="5">
        <f>'[1]Page 376 data'!K352</f>
        <v>-1.8616938797661575E-2</v>
      </c>
      <c r="E132" s="6"/>
      <c r="L132" s="6"/>
    </row>
    <row r="133" spans="1:12" hidden="1" x14ac:dyDescent="0.25">
      <c r="A133" s="13">
        <f>'[1]Page 376 data'!A353</f>
        <v>38190</v>
      </c>
      <c r="B133" s="5">
        <f>'[1]Page 376 data'!C353</f>
        <v>6.5725539536209965E-5</v>
      </c>
      <c r="C133" s="5">
        <f>'[1]Page 376 data'!K353</f>
        <v>2.6287567422376146E-3</v>
      </c>
      <c r="E133" s="6"/>
      <c r="L133" s="6"/>
    </row>
    <row r="134" spans="1:12" hidden="1" x14ac:dyDescent="0.25">
      <c r="A134" s="13">
        <f>'[1]Page 376 data'!A354</f>
        <v>38191</v>
      </c>
      <c r="B134" s="5">
        <f>'[1]Page 376 data'!C354</f>
        <v>-1.0410554202011313E-2</v>
      </c>
      <c r="C134" s="5">
        <f>'[1]Page 376 data'!K354</f>
        <v>-1.6672773188037615E-2</v>
      </c>
      <c r="E134" s="6"/>
      <c r="L134" s="6"/>
    </row>
    <row r="135" spans="1:12" hidden="1" x14ac:dyDescent="0.25">
      <c r="A135" s="13">
        <f>'[1]Page 376 data'!A355</f>
        <v>38194</v>
      </c>
      <c r="B135" s="5">
        <f>'[1]Page 376 data'!C355</f>
        <v>-4.1839945604907891E-3</v>
      </c>
      <c r="C135" s="5">
        <f>'[1]Page 376 data'!K355</f>
        <v>1.2003445581842742E-2</v>
      </c>
      <c r="E135" s="6"/>
      <c r="L135" s="6"/>
    </row>
    <row r="136" spans="1:12" hidden="1" x14ac:dyDescent="0.25">
      <c r="A136" s="13">
        <f>'[1]Page 376 data'!A356</f>
        <v>38195</v>
      </c>
      <c r="B136" s="5">
        <f>'[1]Page 376 data'!C356</f>
        <v>7.9331305060308388E-3</v>
      </c>
      <c r="C136" s="5">
        <f>'[1]Page 376 data'!K356</f>
        <v>1.4493786397773434E-2</v>
      </c>
      <c r="E136" s="6"/>
      <c r="L136" s="6"/>
    </row>
    <row r="137" spans="1:12" hidden="1" x14ac:dyDescent="0.25">
      <c r="A137" s="13">
        <f>'[1]Page 376 data'!A357</f>
        <v>38196</v>
      </c>
      <c r="B137" s="5">
        <f>'[1]Page 376 data'!C357</f>
        <v>1.6021803516290678E-3</v>
      </c>
      <c r="C137" s="5">
        <f>'[1]Page 376 data'!K357</f>
        <v>-8.349203128170779E-3</v>
      </c>
      <c r="E137" s="6"/>
      <c r="L137" s="6"/>
    </row>
    <row r="138" spans="1:12" hidden="1" x14ac:dyDescent="0.25">
      <c r="A138" s="13">
        <f>'[1]Page 376 data'!A358</f>
        <v>38197</v>
      </c>
      <c r="B138" s="5">
        <f>'[1]Page 376 data'!C358</f>
        <v>5.709549102908662E-3</v>
      </c>
      <c r="C138" s="5">
        <f>'[1]Page 376 data'!K358</f>
        <v>-9.72994244675085E-3</v>
      </c>
      <c r="E138" s="6"/>
      <c r="L138" s="6"/>
    </row>
    <row r="139" spans="1:12" hidden="1" x14ac:dyDescent="0.25">
      <c r="A139" s="13">
        <f>'[1]Page 376 data'!A359</f>
        <v>38198</v>
      </c>
      <c r="B139" s="5">
        <f>'[1]Page 376 data'!C359</f>
        <v>1.4200657796989979E-3</v>
      </c>
      <c r="C139" s="5">
        <f>'[1]Page 376 data'!K359</f>
        <v>-1.4550548402479824E-2</v>
      </c>
      <c r="E139" s="6"/>
      <c r="L139" s="6"/>
    </row>
    <row r="140" spans="1:12" hidden="1" x14ac:dyDescent="0.25">
      <c r="A140" s="13">
        <f>'[1]Page 376 data'!A360</f>
        <v>38201</v>
      </c>
      <c r="B140" s="5">
        <f>'[1]Page 376 data'!C360</f>
        <v>3.6310253547082727E-3</v>
      </c>
      <c r="C140" s="5">
        <f>'[1]Page 376 data'!K360</f>
        <v>2.2818510475706599E-2</v>
      </c>
      <c r="E140" s="6"/>
      <c r="L140" s="6"/>
    </row>
    <row r="141" spans="1:12" hidden="1" x14ac:dyDescent="0.25">
      <c r="A141" s="13">
        <f>'[1]Page 376 data'!A361</f>
        <v>38202</v>
      </c>
      <c r="B141" s="5">
        <f>'[1]Page 376 data'!C361</f>
        <v>-3.6863562803435279E-3</v>
      </c>
      <c r="C141" s="5">
        <f>'[1]Page 376 data'!K361</f>
        <v>5.9987304691349053E-3</v>
      </c>
      <c r="E141" s="6"/>
      <c r="L141" s="6"/>
    </row>
    <row r="142" spans="1:12" hidden="1" x14ac:dyDescent="0.25">
      <c r="A142" s="13">
        <f>'[1]Page 376 data'!A362</f>
        <v>38203</v>
      </c>
      <c r="B142" s="5">
        <f>'[1]Page 376 data'!C362</f>
        <v>-2.756645233034094E-3</v>
      </c>
      <c r="C142" s="5">
        <f>'[1]Page 376 data'!K362</f>
        <v>7.4541902386164871E-3</v>
      </c>
      <c r="E142" s="6"/>
      <c r="L142" s="6"/>
    </row>
    <row r="143" spans="1:12" hidden="1" x14ac:dyDescent="0.25">
      <c r="A143" s="13">
        <f>'[1]Page 376 data'!A363</f>
        <v>38204</v>
      </c>
      <c r="B143" s="5">
        <f>'[1]Page 376 data'!C363</f>
        <v>-1.4089139334634293E-2</v>
      </c>
      <c r="C143" s="5">
        <f>'[1]Page 376 data'!K363</f>
        <v>-1.6832613334215152E-2</v>
      </c>
      <c r="E143" s="6"/>
      <c r="L143" s="6"/>
    </row>
    <row r="144" spans="1:12" hidden="1" x14ac:dyDescent="0.25">
      <c r="A144" s="13">
        <f>'[1]Page 376 data'!A364</f>
        <v>38205</v>
      </c>
      <c r="B144" s="5">
        <f>'[1]Page 376 data'!C364</f>
        <v>-1.1003796603707761E-2</v>
      </c>
      <c r="C144" s="5">
        <f>'[1]Page 376 data'!K364</f>
        <v>-3.0110768853357506E-3</v>
      </c>
      <c r="E144" s="6"/>
      <c r="L144" s="6"/>
    </row>
    <row r="145" spans="1:12" hidden="1" x14ac:dyDescent="0.25">
      <c r="A145" s="13">
        <f>'[1]Page 376 data'!A365</f>
        <v>38208</v>
      </c>
      <c r="B145" s="5">
        <f>'[1]Page 376 data'!C365</f>
        <v>2.7626838509897667E-4</v>
      </c>
      <c r="C145" s="5">
        <f>'[1]Page 376 data'!K365</f>
        <v>1.8871106966038553E-3</v>
      </c>
      <c r="E145" s="6"/>
      <c r="L145" s="6"/>
    </row>
    <row r="146" spans="1:12" hidden="1" x14ac:dyDescent="0.25">
      <c r="A146" s="13">
        <f>'[1]Page 376 data'!A366</f>
        <v>38209</v>
      </c>
      <c r="B146" s="5">
        <f>'[1]Page 376 data'!C366</f>
        <v>1.0848568056458729E-2</v>
      </c>
      <c r="C146" s="5">
        <f>'[1]Page 376 data'!K366</f>
        <v>2.0909256559766609E-2</v>
      </c>
      <c r="E146" s="6"/>
      <c r="L146" s="6"/>
    </row>
    <row r="147" spans="1:12" hidden="1" x14ac:dyDescent="0.25">
      <c r="A147" s="13">
        <f>'[1]Page 376 data'!A367</f>
        <v>38210</v>
      </c>
      <c r="B147" s="5">
        <f>'[1]Page 376 data'!C367</f>
        <v>-2.6226706125864752E-3</v>
      </c>
      <c r="C147" s="5">
        <f>'[1]Page 376 data'!K367</f>
        <v>8.6700436315241269E-3</v>
      </c>
      <c r="E147" s="6"/>
      <c r="L147" s="6"/>
    </row>
    <row r="148" spans="1:12" hidden="1" x14ac:dyDescent="0.25">
      <c r="A148" s="13">
        <f>'[1]Page 376 data'!A368</f>
        <v>38211</v>
      </c>
      <c r="B148" s="5">
        <f>'[1]Page 376 data'!C368</f>
        <v>-9.8015481158220119E-3</v>
      </c>
      <c r="C148" s="5">
        <f>'[1]Page 376 data'!K368</f>
        <v>-6.9491192909705291E-3</v>
      </c>
      <c r="E148" s="6"/>
      <c r="L148" s="6"/>
    </row>
    <row r="149" spans="1:12" hidden="1" x14ac:dyDescent="0.25">
      <c r="A149" s="13">
        <f>'[1]Page 376 data'!A369</f>
        <v>38212</v>
      </c>
      <c r="B149" s="5">
        <f>'[1]Page 376 data'!C369</f>
        <v>2.8598726729354151E-3</v>
      </c>
      <c r="C149" s="5">
        <f>'[1]Page 376 data'!K369</f>
        <v>3.1299086399811937E-3</v>
      </c>
      <c r="E149" s="6"/>
      <c r="L149" s="6"/>
    </row>
    <row r="150" spans="1:12" hidden="1" x14ac:dyDescent="0.25">
      <c r="A150" s="13">
        <f>'[1]Page 376 data'!A370</f>
        <v>38215</v>
      </c>
      <c r="B150" s="5">
        <f>'[1]Page 376 data'!C370</f>
        <v>1.3009155006383333E-2</v>
      </c>
      <c r="C150" s="5">
        <f>'[1]Page 376 data'!K370</f>
        <v>9.3642901964572367E-3</v>
      </c>
      <c r="E150" s="6"/>
      <c r="L150" s="6"/>
    </row>
    <row r="151" spans="1:12" hidden="1" x14ac:dyDescent="0.25">
      <c r="A151" s="13">
        <f>'[1]Page 376 data'!A371</f>
        <v>38216</v>
      </c>
      <c r="B151" s="5">
        <f>'[1]Page 376 data'!C371</f>
        <v>6.8081602925929019E-4</v>
      </c>
      <c r="C151" s="5">
        <f>'[1]Page 376 data'!K371</f>
        <v>-2.3643058677251805E-3</v>
      </c>
      <c r="E151" s="6"/>
      <c r="L151" s="6"/>
    </row>
    <row r="152" spans="1:12" hidden="1" x14ac:dyDescent="0.25">
      <c r="A152" s="13">
        <f>'[1]Page 376 data'!A372</f>
        <v>38217</v>
      </c>
      <c r="B152" s="5">
        <f>'[1]Page 376 data'!C372</f>
        <v>1.0518571259048315E-2</v>
      </c>
      <c r="C152" s="5">
        <f>'[1]Page 376 data'!K372</f>
        <v>6.5651849621983782E-3</v>
      </c>
      <c r="E152" s="6"/>
      <c r="L152" s="6"/>
    </row>
    <row r="153" spans="1:12" hidden="1" x14ac:dyDescent="0.25">
      <c r="A153" s="13">
        <f>'[1]Page 376 data'!A373</f>
        <v>38218</v>
      </c>
      <c r="B153" s="5">
        <f>'[1]Page 376 data'!C373</f>
        <v>-2.207702533221112E-3</v>
      </c>
      <c r="C153" s="5">
        <f>'[1]Page 376 data'!K373</f>
        <v>-1.3044728866605793E-2</v>
      </c>
      <c r="E153" s="6"/>
      <c r="L153" s="6"/>
    </row>
    <row r="154" spans="1:12" hidden="1" x14ac:dyDescent="0.25">
      <c r="A154" s="13">
        <f>'[1]Page 376 data'!A374</f>
        <v>38219</v>
      </c>
      <c r="B154" s="5">
        <f>'[1]Page 376 data'!C374</f>
        <v>6.5969623216788342E-3</v>
      </c>
      <c r="C154" s="5">
        <f>'[1]Page 376 data'!K374</f>
        <v>6.7919284328767926E-3</v>
      </c>
      <c r="E154" s="6"/>
      <c r="L154" s="6"/>
    </row>
    <row r="155" spans="1:12" hidden="1" x14ac:dyDescent="0.25">
      <c r="A155" s="13">
        <f>'[1]Page 376 data'!A375</f>
        <v>38222</v>
      </c>
      <c r="B155" s="5">
        <f>'[1]Page 376 data'!C375</f>
        <v>-4.5567425915908899E-3</v>
      </c>
      <c r="C155" s="5">
        <f>'[1]Page 376 data'!K375</f>
        <v>-1.8231173581476634E-3</v>
      </c>
      <c r="E155" s="6"/>
      <c r="L155" s="6"/>
    </row>
    <row r="156" spans="1:12" hidden="1" x14ac:dyDescent="0.25">
      <c r="A156" s="13">
        <f>'[1]Page 376 data'!A376</f>
        <v>38223</v>
      </c>
      <c r="B156" s="5">
        <f>'[1]Page 376 data'!C376</f>
        <v>-4.5885639830600677E-4</v>
      </c>
      <c r="C156" s="5">
        <f>'[1]Page 376 data'!K376</f>
        <v>3.6528943714313478E-3</v>
      </c>
      <c r="E156" s="6"/>
      <c r="L156" s="6"/>
    </row>
    <row r="157" spans="1:12" hidden="1" x14ac:dyDescent="0.25">
      <c r="A157" s="13">
        <f>'[1]Page 376 data'!A377</f>
        <v>38224</v>
      </c>
      <c r="B157" s="5">
        <f>'[1]Page 376 data'!C377</f>
        <v>7.7211003194668226E-3</v>
      </c>
      <c r="C157" s="5">
        <f>'[1]Page 376 data'!K377</f>
        <v>6.3702555565123831E-3</v>
      </c>
      <c r="E157" s="6"/>
      <c r="L157" s="6"/>
    </row>
    <row r="158" spans="1:12" hidden="1" x14ac:dyDescent="0.25">
      <c r="A158" s="13">
        <f>'[1]Page 376 data'!A378</f>
        <v>38225</v>
      </c>
      <c r="B158" s="5">
        <f>'[1]Page 376 data'!C378</f>
        <v>1.2453764815083535E-3</v>
      </c>
      <c r="C158" s="5">
        <f>'[1]Page 376 data'!K378</f>
        <v>7.233121765155559E-3</v>
      </c>
      <c r="E158" s="6"/>
      <c r="L158" s="6"/>
    </row>
    <row r="159" spans="1:12" hidden="1" x14ac:dyDescent="0.25">
      <c r="A159" s="13">
        <f>'[1]Page 376 data'!A379</f>
        <v>38226</v>
      </c>
      <c r="B159" s="5">
        <f>'[1]Page 376 data'!C379</f>
        <v>2.4410695984347086E-3</v>
      </c>
      <c r="C159" s="5">
        <f>'[1]Page 376 data'!K379</f>
        <v>5.0272031533760142E-3</v>
      </c>
      <c r="E159" s="6"/>
      <c r="L159" s="6"/>
    </row>
    <row r="160" spans="1:12" hidden="1" x14ac:dyDescent="0.25">
      <c r="A160" s="13">
        <f>'[1]Page 376 data'!A380</f>
        <v>38229</v>
      </c>
      <c r="B160" s="5">
        <f>'[1]Page 376 data'!C380</f>
        <v>-6.3480556175180558E-3</v>
      </c>
      <c r="C160" s="5">
        <f>'[1]Page 376 data'!K380</f>
        <v>-8.3962425405865737E-3</v>
      </c>
      <c r="E160" s="6"/>
      <c r="L160" s="6"/>
    </row>
    <row r="161" spans="1:12" hidden="1" x14ac:dyDescent="0.25">
      <c r="A161" s="13">
        <f>'[1]Page 376 data'!A381</f>
        <v>38230</v>
      </c>
      <c r="B161" s="5">
        <f>'[1]Page 376 data'!C381</f>
        <v>6.1859463032423179E-3</v>
      </c>
      <c r="C161" s="5">
        <f>'[1]Page 376 data'!K381</f>
        <v>8.2873817745794387E-3</v>
      </c>
      <c r="E161" s="6"/>
      <c r="L161" s="6"/>
    </row>
    <row r="162" spans="1:12" hidden="1" x14ac:dyDescent="0.25">
      <c r="A162" s="13">
        <f>'[1]Page 376 data'!A382</f>
        <v>38231</v>
      </c>
      <c r="B162" s="5">
        <f>'[1]Page 376 data'!C382</f>
        <v>2.4232207764840474E-3</v>
      </c>
      <c r="C162" s="5">
        <f>'[1]Page 376 data'!K382</f>
        <v>4.1086934467560177E-3</v>
      </c>
      <c r="E162" s="6"/>
      <c r="L162" s="6"/>
    </row>
    <row r="163" spans="1:12" hidden="1" x14ac:dyDescent="0.25">
      <c r="A163" s="13">
        <f>'[1]Page 376 data'!A383</f>
        <v>38232</v>
      </c>
      <c r="B163" s="5">
        <f>'[1]Page 376 data'!C383</f>
        <v>1.0075952184436909E-2</v>
      </c>
      <c r="C163" s="5">
        <f>'[1]Page 376 data'!K383</f>
        <v>5.1602232479470711E-3</v>
      </c>
      <c r="E163" s="6"/>
      <c r="L163" s="6"/>
    </row>
    <row r="164" spans="1:12" hidden="1" x14ac:dyDescent="0.25">
      <c r="A164" s="13">
        <f>'[1]Page 376 data'!A384</f>
        <v>38233</v>
      </c>
      <c r="B164" s="5">
        <f>'[1]Page 376 data'!C384</f>
        <v>-3.7658472391184361E-3</v>
      </c>
      <c r="C164" s="5">
        <f>'[1]Page 376 data'!K384</f>
        <v>1.06285750449997E-3</v>
      </c>
      <c r="E164" s="6"/>
      <c r="L164" s="6"/>
    </row>
    <row r="165" spans="1:12" hidden="1" x14ac:dyDescent="0.25">
      <c r="A165" s="13">
        <f>'[1]Page 376 data'!A385</f>
        <v>38237</v>
      </c>
      <c r="B165" s="5">
        <f>'[1]Page 376 data'!C385</f>
        <v>6.9426951173807705E-3</v>
      </c>
      <c r="C165" s="5">
        <f>'[1]Page 376 data'!K385</f>
        <v>1.7683087827862209E-3</v>
      </c>
      <c r="E165" s="6"/>
      <c r="L165" s="6"/>
    </row>
    <row r="166" spans="1:12" hidden="1" x14ac:dyDescent="0.25">
      <c r="A166" s="13">
        <f>'[1]Page 376 data'!A386</f>
        <v>38238</v>
      </c>
      <c r="B166" s="5">
        <f>'[1]Page 376 data'!C386</f>
        <v>-3.2872457914101538E-3</v>
      </c>
      <c r="C166" s="5">
        <f>'[1]Page 376 data'!K386</f>
        <v>1.4106649986171949E-3</v>
      </c>
      <c r="E166" s="6"/>
      <c r="L166" s="6"/>
    </row>
    <row r="167" spans="1:12" hidden="1" x14ac:dyDescent="0.25">
      <c r="A167" s="13">
        <f>'[1]Page 376 data'!A387</f>
        <v>38239</v>
      </c>
      <c r="B167" s="5">
        <f>'[1]Page 376 data'!C387</f>
        <v>1.5641045654406494E-3</v>
      </c>
      <c r="C167" s="5">
        <f>'[1]Page 376 data'!K387</f>
        <v>-1.1280543749640937E-2</v>
      </c>
      <c r="E167" s="6"/>
      <c r="L167" s="6"/>
    </row>
    <row r="168" spans="1:12" hidden="1" x14ac:dyDescent="0.25">
      <c r="A168" s="13">
        <f>'[1]Page 376 data'!A388</f>
        <v>38240</v>
      </c>
      <c r="B168" s="5">
        <f>'[1]Page 376 data'!C388</f>
        <v>3.6657798912336226E-3</v>
      </c>
      <c r="C168" s="5">
        <f>'[1]Page 376 data'!K388</f>
        <v>1.6047181713712E-3</v>
      </c>
      <c r="E168" s="6"/>
      <c r="L168" s="6"/>
    </row>
    <row r="169" spans="1:12" hidden="1" x14ac:dyDescent="0.25">
      <c r="A169" s="13">
        <f>'[1]Page 376 data'!A389</f>
        <v>38243</v>
      </c>
      <c r="B169" s="5">
        <f>'[1]Page 376 data'!C389</f>
        <v>2.0568488041046162E-3</v>
      </c>
      <c r="C169" s="5">
        <f>'[1]Page 376 data'!K389</f>
        <v>1.6021471766836104E-3</v>
      </c>
      <c r="E169" s="6"/>
      <c r="L169" s="6"/>
    </row>
    <row r="170" spans="1:12" hidden="1" x14ac:dyDescent="0.25">
      <c r="A170" s="13">
        <f>'[1]Page 376 data'!A390</f>
        <v>38244</v>
      </c>
      <c r="B170" s="5">
        <f>'[1]Page 376 data'!C390</f>
        <v>1.8839802425167917E-3</v>
      </c>
      <c r="C170" s="5">
        <f>'[1]Page 376 data'!K390</f>
        <v>6.7533855689829725E-3</v>
      </c>
      <c r="E170" s="6"/>
      <c r="L170" s="6"/>
    </row>
    <row r="171" spans="1:12" hidden="1" x14ac:dyDescent="0.25">
      <c r="A171" s="13">
        <f>'[1]Page 376 data'!A391</f>
        <v>38245</v>
      </c>
      <c r="B171" s="5">
        <f>'[1]Page 376 data'!C391</f>
        <v>-7.2624317393592541E-3</v>
      </c>
      <c r="C171" s="5">
        <f>'[1]Page 376 data'!K391</f>
        <v>-6.179083921574513E-3</v>
      </c>
      <c r="E171" s="6"/>
      <c r="L171" s="6"/>
    </row>
    <row r="172" spans="1:12" hidden="1" x14ac:dyDescent="0.25">
      <c r="A172" s="13">
        <f>'[1]Page 376 data'!A392</f>
        <v>38246</v>
      </c>
      <c r="B172" s="5">
        <f>'[1]Page 376 data'!C392</f>
        <v>4.3215119334221175E-3</v>
      </c>
      <c r="C172" s="5">
        <f>'[1]Page 376 data'!K392</f>
        <v>-6.927220296437997E-3</v>
      </c>
      <c r="E172" s="6"/>
      <c r="L172" s="6"/>
    </row>
    <row r="173" spans="1:12" hidden="1" x14ac:dyDescent="0.25">
      <c r="A173" s="13">
        <f>'[1]Page 376 data'!A393</f>
        <v>38247</v>
      </c>
      <c r="B173" s="5">
        <f>'[1]Page 376 data'!C393</f>
        <v>4.4702271313432629E-3</v>
      </c>
      <c r="C173" s="5">
        <f>'[1]Page 376 data'!K393</f>
        <v>6.2608728360116217E-3</v>
      </c>
      <c r="E173" s="6"/>
      <c r="L173" s="6"/>
    </row>
    <row r="174" spans="1:12" hidden="1" x14ac:dyDescent="0.25">
      <c r="A174" s="13">
        <f>'[1]Page 376 data'!A394</f>
        <v>38250</v>
      </c>
      <c r="B174" s="5">
        <f>'[1]Page 376 data'!C394</f>
        <v>-5.7692307692308598E-3</v>
      </c>
      <c r="C174" s="5">
        <f>'[1]Page 376 data'!K394</f>
        <v>-3.3417812366833277E-2</v>
      </c>
      <c r="E174" s="6"/>
      <c r="L174" s="6"/>
    </row>
    <row r="175" spans="1:12" hidden="1" x14ac:dyDescent="0.25">
      <c r="A175" s="13">
        <f>'[1]Page 376 data'!A395</f>
        <v>38251</v>
      </c>
      <c r="B175" s="5">
        <f>'[1]Page 376 data'!C395</f>
        <v>1.0252973697436829E-2</v>
      </c>
      <c r="C175" s="5">
        <f>'[1]Page 376 data'!K395</f>
        <v>9.1963091011748599E-3</v>
      </c>
      <c r="E175" s="6"/>
      <c r="L175" s="6"/>
    </row>
    <row r="176" spans="1:12" hidden="1" x14ac:dyDescent="0.25">
      <c r="A176" s="13">
        <f>'[1]Page 376 data'!A396</f>
        <v>38252</v>
      </c>
      <c r="B176" s="5">
        <f>'[1]Page 376 data'!C396</f>
        <v>-1.2763032132207308E-2</v>
      </c>
      <c r="C176" s="5">
        <f>'[1]Page 376 data'!K396</f>
        <v>-1.0568669527897034E-2</v>
      </c>
      <c r="E176" s="6"/>
      <c r="L176" s="6"/>
    </row>
    <row r="177" spans="1:12" hidden="1" x14ac:dyDescent="0.25">
      <c r="A177" s="13">
        <f>'[1]Page 376 data'!A397</f>
        <v>38253</v>
      </c>
      <c r="B177" s="5">
        <f>'[1]Page 376 data'!C397</f>
        <v>-4.142895537339486E-3</v>
      </c>
      <c r="C177" s="5">
        <f>'[1]Page 376 data'!K397</f>
        <v>-3.6986545417927452E-4</v>
      </c>
      <c r="E177" s="6"/>
      <c r="L177" s="6"/>
    </row>
    <row r="178" spans="1:12" hidden="1" x14ac:dyDescent="0.25">
      <c r="A178" s="13">
        <f>'[1]Page 376 data'!A398</f>
        <v>38254</v>
      </c>
      <c r="B178" s="5">
        <f>'[1]Page 376 data'!C398</f>
        <v>1.5242055806778954E-3</v>
      </c>
      <c r="C178" s="5">
        <f>'[1]Page 376 data'!K398</f>
        <v>-3.6845255737456561E-3</v>
      </c>
      <c r="E178" s="6"/>
      <c r="L178" s="6"/>
    </row>
    <row r="179" spans="1:12" hidden="1" x14ac:dyDescent="0.25">
      <c r="A179" s="13">
        <f>'[1]Page 376 data'!A399</f>
        <v>38257</v>
      </c>
      <c r="B179" s="5">
        <f>'[1]Page 376 data'!C399</f>
        <v>-5.3587532171657237E-3</v>
      </c>
      <c r="C179" s="5">
        <f>'[1]Page 376 data'!K399</f>
        <v>-8.3198687175658481E-3</v>
      </c>
      <c r="E179" s="6"/>
      <c r="L179" s="6"/>
    </row>
    <row r="180" spans="1:12" hidden="1" x14ac:dyDescent="0.25">
      <c r="A180" s="13">
        <f>'[1]Page 376 data'!A400</f>
        <v>38258</v>
      </c>
      <c r="B180" s="5">
        <f>'[1]Page 376 data'!C400</f>
        <v>7.2378882360457641E-3</v>
      </c>
      <c r="C180" s="5">
        <f>'[1]Page 376 data'!K400</f>
        <v>2.609640179439765E-3</v>
      </c>
      <c r="E180" s="6"/>
      <c r="L180" s="6"/>
    </row>
    <row r="181" spans="1:12" hidden="1" x14ac:dyDescent="0.25">
      <c r="A181" s="13">
        <f>'[1]Page 376 data'!A401</f>
        <v>38259</v>
      </c>
      <c r="B181" s="5">
        <f>'[1]Page 376 data'!C401</f>
        <v>2.6423612225467963E-3</v>
      </c>
      <c r="C181" s="5">
        <f>'[1]Page 376 data'!K401</f>
        <v>1.2832371524728936E-2</v>
      </c>
      <c r="E181" s="6"/>
      <c r="L181" s="6"/>
    </row>
    <row r="182" spans="1:12" hidden="1" x14ac:dyDescent="0.25">
      <c r="A182" s="13">
        <f>'[1]Page 376 data'!A402</f>
        <v>38260</v>
      </c>
      <c r="B182" s="5">
        <f>'[1]Page 376 data'!C402</f>
        <v>1.4586902577171657E-3</v>
      </c>
      <c r="C182" s="5">
        <f>'[1]Page 376 data'!K402</f>
        <v>-6.2422165371432969E-3</v>
      </c>
      <c r="E182" s="6"/>
      <c r="L182" s="6"/>
    </row>
    <row r="183" spans="1:12" hidden="1" x14ac:dyDescent="0.25">
      <c r="A183" s="13">
        <f>'[1]Page 376 data'!A403</f>
        <v>38261</v>
      </c>
      <c r="B183" s="5">
        <f>'[1]Page 376 data'!C403</f>
        <v>1.4144058445264784E-2</v>
      </c>
      <c r="C183" s="5">
        <f>'[1]Page 376 data'!K403</f>
        <v>9.9768405182127928E-3</v>
      </c>
      <c r="E183" s="6"/>
      <c r="L183" s="6"/>
    </row>
    <row r="184" spans="1:12" hidden="1" x14ac:dyDescent="0.25">
      <c r="A184" s="13">
        <f>'[1]Page 376 data'!A404</f>
        <v>38264</v>
      </c>
      <c r="B184" s="5">
        <f>'[1]Page 376 data'!C404</f>
        <v>2.1866436146102952E-3</v>
      </c>
      <c r="C184" s="5">
        <f>'[1]Page 376 data'!K404</f>
        <v>-5.6711175064012576E-3</v>
      </c>
      <c r="E184" s="6"/>
      <c r="L184" s="6"/>
    </row>
    <row r="185" spans="1:12" hidden="1" x14ac:dyDescent="0.25">
      <c r="A185" s="13">
        <f>'[1]Page 376 data'!A405</f>
        <v>38265</v>
      </c>
      <c r="B185" s="5">
        <f>'[1]Page 376 data'!C405</f>
        <v>2.2462655834676326E-4</v>
      </c>
      <c r="C185" s="5">
        <f>'[1]Page 376 data'!K405</f>
        <v>-1.656093592504182E-3</v>
      </c>
      <c r="E185" s="6"/>
      <c r="L185" s="6"/>
    </row>
    <row r="186" spans="1:12" hidden="1" x14ac:dyDescent="0.25">
      <c r="A186" s="13">
        <f>'[1]Page 376 data'!A406</f>
        <v>38266</v>
      </c>
      <c r="B186" s="5">
        <f>'[1]Page 376 data'!C406</f>
        <v>5.7162106523935829E-3</v>
      </c>
      <c r="C186" s="5">
        <f>'[1]Page 376 data'!K406</f>
        <v>7.3833918255572506E-4</v>
      </c>
      <c r="E186" s="6"/>
      <c r="L186" s="6"/>
    </row>
    <row r="187" spans="1:12" hidden="1" x14ac:dyDescent="0.25">
      <c r="A187" s="13">
        <f>'[1]Page 376 data'!A407</f>
        <v>38267</v>
      </c>
      <c r="B187" s="5">
        <f>'[1]Page 376 data'!C407</f>
        <v>-9.4098487070204406E-3</v>
      </c>
      <c r="C187" s="5">
        <f>'[1]Page 376 data'!K407</f>
        <v>-1.2155211810907729E-2</v>
      </c>
      <c r="E187" s="6"/>
      <c r="L187" s="6"/>
    </row>
    <row r="188" spans="1:12" hidden="1" x14ac:dyDescent="0.25">
      <c r="A188" s="13">
        <f>'[1]Page 376 data'!A408</f>
        <v>38268</v>
      </c>
      <c r="B188" s="5">
        <f>'[1]Page 376 data'!C408</f>
        <v>-2.6749942141979233E-3</v>
      </c>
      <c r="C188" s="5">
        <f>'[1]Page 376 data'!K408</f>
        <v>-3.5422551639101574E-3</v>
      </c>
      <c r="E188" s="6"/>
      <c r="L188" s="6"/>
    </row>
    <row r="189" spans="1:12" hidden="1" x14ac:dyDescent="0.25">
      <c r="A189" s="13">
        <f>'[1]Page 376 data'!A409</f>
        <v>38271</v>
      </c>
      <c r="B189" s="5">
        <f>'[1]Page 376 data'!C409</f>
        <v>1.0171146491633198E-3</v>
      </c>
      <c r="C189" s="5">
        <f>'[1]Page 376 data'!K409</f>
        <v>4.1155177840730417E-3</v>
      </c>
      <c r="E189" s="6"/>
      <c r="L189" s="6"/>
    </row>
    <row r="190" spans="1:12" hidden="1" x14ac:dyDescent="0.25">
      <c r="A190" s="13">
        <f>'[1]Page 376 data'!A410</f>
        <v>38272</v>
      </c>
      <c r="B190" s="5">
        <f>'[1]Page 376 data'!C410</f>
        <v>-5.0367520325387272E-3</v>
      </c>
      <c r="C190" s="5">
        <f>'[1]Page 376 data'!K410</f>
        <v>-2.6076973111918145E-3</v>
      </c>
      <c r="E190" s="6"/>
      <c r="L190" s="6"/>
    </row>
    <row r="191" spans="1:12" hidden="1" x14ac:dyDescent="0.25">
      <c r="A191" s="13">
        <f>'[1]Page 376 data'!A411</f>
        <v>38273</v>
      </c>
      <c r="B191" s="5">
        <f>'[1]Page 376 data'!C411</f>
        <v>-8.0457387691744708E-3</v>
      </c>
      <c r="C191" s="5">
        <f>'[1]Page 376 data'!K411</f>
        <v>-9.5269711499741394E-3</v>
      </c>
      <c r="E191" s="6"/>
      <c r="L191" s="6"/>
    </row>
    <row r="192" spans="1:12" hidden="1" x14ac:dyDescent="0.25">
      <c r="A192" s="13">
        <f>'[1]Page 376 data'!A412</f>
        <v>38274</v>
      </c>
      <c r="B192" s="5">
        <f>'[1]Page 376 data'!C412</f>
        <v>-6.1663715410437137E-3</v>
      </c>
      <c r="C192" s="5">
        <f>'[1]Page 376 data'!K412</f>
        <v>-9.4401177238201406E-4</v>
      </c>
      <c r="E192" s="6"/>
      <c r="L192" s="6"/>
    </row>
    <row r="193" spans="1:12" hidden="1" x14ac:dyDescent="0.25">
      <c r="A193" s="13">
        <f>'[1]Page 376 data'!A413</f>
        <v>38275</v>
      </c>
      <c r="B193" s="5">
        <f>'[1]Page 376 data'!C413</f>
        <v>6.6420097911326081E-3</v>
      </c>
      <c r="C193" s="5">
        <f>'[1]Page 376 data'!K413</f>
        <v>1.3591924645909303E-2</v>
      </c>
      <c r="E193" s="6"/>
      <c r="L193" s="6"/>
    </row>
    <row r="194" spans="1:12" hidden="1" x14ac:dyDescent="0.25">
      <c r="A194" s="13">
        <f>'[1]Page 376 data'!A414</f>
        <v>38278</v>
      </c>
      <c r="B194" s="5">
        <f>'[1]Page 376 data'!C414</f>
        <v>1.9803700959541981E-3</v>
      </c>
      <c r="C194" s="5">
        <f>'[1]Page 376 data'!K414</f>
        <v>-5.5816467620573018E-4</v>
      </c>
      <c r="E194" s="6"/>
      <c r="L194" s="6"/>
    </row>
    <row r="195" spans="1:12" hidden="1" x14ac:dyDescent="0.25">
      <c r="A195" s="13">
        <f>'[1]Page 376 data'!A415</f>
        <v>38279</v>
      </c>
      <c r="B195" s="5">
        <f>'[1]Page 376 data'!C415</f>
        <v>-6.3873458128498317E-3</v>
      </c>
      <c r="C195" s="5">
        <f>'[1]Page 376 data'!K415</f>
        <v>-1.2300197720240491E-2</v>
      </c>
      <c r="E195" s="6"/>
      <c r="L195" s="6"/>
    </row>
    <row r="196" spans="1:12" hidden="1" x14ac:dyDescent="0.25">
      <c r="A196" s="13">
        <f>'[1]Page 376 data'!A416</f>
        <v>38280</v>
      </c>
      <c r="B196" s="5">
        <f>'[1]Page 376 data'!C416</f>
        <v>1.3919536199216154E-3</v>
      </c>
      <c r="C196" s="5">
        <f>'[1]Page 376 data'!K416</f>
        <v>1.5355924133005239E-2</v>
      </c>
      <c r="E196" s="6"/>
      <c r="L196" s="6"/>
    </row>
    <row r="197" spans="1:12" hidden="1" x14ac:dyDescent="0.25">
      <c r="A197" s="13">
        <f>'[1]Page 376 data'!A417</f>
        <v>38281</v>
      </c>
      <c r="B197" s="5">
        <f>'[1]Page 376 data'!C417</f>
        <v>3.6715457498150972E-3</v>
      </c>
      <c r="C197" s="5">
        <f>'[1]Page 376 data'!K417</f>
        <v>1.1196217124547214E-3</v>
      </c>
      <c r="E197" s="6"/>
      <c r="L197" s="6"/>
    </row>
    <row r="198" spans="1:12" hidden="1" x14ac:dyDescent="0.25">
      <c r="A198" s="13">
        <f>'[1]Page 376 data'!A418</f>
        <v>38282</v>
      </c>
      <c r="B198" s="5">
        <f>'[1]Page 376 data'!C418</f>
        <v>-6.4249355144899711E-3</v>
      </c>
      <c r="C198" s="5">
        <f>'[1]Page 376 data'!K418</f>
        <v>-1.0629390283652174E-2</v>
      </c>
      <c r="E198" s="6"/>
      <c r="L198" s="6"/>
    </row>
    <row r="199" spans="1:12" hidden="1" x14ac:dyDescent="0.25">
      <c r="A199" s="13">
        <f>'[1]Page 376 data'!A419</f>
        <v>38285</v>
      </c>
      <c r="B199" s="5">
        <f>'[1]Page 376 data'!C419</f>
        <v>-6.4404139039297981E-5</v>
      </c>
      <c r="C199" s="5">
        <f>'[1]Page 376 data'!K419</f>
        <v>-1.3572509355759599E-2</v>
      </c>
      <c r="E199" s="6"/>
      <c r="L199" s="6"/>
    </row>
    <row r="200" spans="1:12" hidden="1" x14ac:dyDescent="0.25">
      <c r="A200" s="13">
        <f>'[1]Page 376 data'!A420</f>
        <v>38286</v>
      </c>
      <c r="B200" s="5">
        <f>'[1]Page 376 data'!C420</f>
        <v>1.1892530172215476E-2</v>
      </c>
      <c r="C200" s="5">
        <f>'[1]Page 376 data'!K420</f>
        <v>1.6817091877038726E-2</v>
      </c>
      <c r="E200" s="6"/>
      <c r="L200" s="6"/>
    </row>
    <row r="201" spans="1:12" hidden="1" x14ac:dyDescent="0.25">
      <c r="A201" s="13">
        <f>'[1]Page 376 data'!A421</f>
        <v>38287</v>
      </c>
      <c r="B201" s="5">
        <f>'[1]Page 376 data'!C421</f>
        <v>1.0217551091544319E-2</v>
      </c>
      <c r="C201" s="5">
        <f>'[1]Page 376 data'!K421</f>
        <v>-2.6874572217545523E-2</v>
      </c>
      <c r="E201" s="6"/>
      <c r="L201" s="6"/>
    </row>
    <row r="202" spans="1:12" hidden="1" x14ac:dyDescent="0.25">
      <c r="A202" s="13">
        <f>'[1]Page 376 data'!A422</f>
        <v>38288</v>
      </c>
      <c r="B202" s="5">
        <f>'[1]Page 376 data'!C422</f>
        <v>6.9458300266878048E-4</v>
      </c>
      <c r="C202" s="5">
        <f>'[1]Page 376 data'!K422</f>
        <v>-9.0769081516335337E-3</v>
      </c>
      <c r="E202" s="6"/>
      <c r="L202" s="6"/>
    </row>
    <row r="203" spans="1:12" hidden="1" x14ac:dyDescent="0.25">
      <c r="A203" s="13">
        <f>'[1]Page 376 data'!A423</f>
        <v>38289</v>
      </c>
      <c r="B203" s="5">
        <f>'[1]Page 376 data'!C423</f>
        <v>3.3295854883441667E-3</v>
      </c>
      <c r="C203" s="5">
        <f>'[1]Page 376 data'!K423</f>
        <v>-2.5332411413047096E-3</v>
      </c>
      <c r="E203" s="6"/>
      <c r="L203" s="6"/>
    </row>
    <row r="204" spans="1:12" hidden="1" x14ac:dyDescent="0.25">
      <c r="A204" s="13">
        <f>'[1]Page 376 data'!A424</f>
        <v>38292</v>
      </c>
      <c r="B204" s="5">
        <f>'[1]Page 376 data'!C424</f>
        <v>1.068326582206458E-3</v>
      </c>
      <c r="C204" s="5">
        <f>'[1]Page 376 data'!K424</f>
        <v>-3.5171019080276755E-3</v>
      </c>
      <c r="E204" s="6"/>
      <c r="L204" s="6"/>
    </row>
    <row r="205" spans="1:12" hidden="1" x14ac:dyDescent="0.25">
      <c r="A205" s="13">
        <f>'[1]Page 376 data'!A425</f>
        <v>38293</v>
      </c>
      <c r="B205" s="5">
        <f>'[1]Page 376 data'!C425</f>
        <v>2.4030352873061211E-4</v>
      </c>
      <c r="C205" s="5">
        <f>'[1]Page 376 data'!K425</f>
        <v>-5.8893661031067523E-4</v>
      </c>
      <c r="E205" s="6"/>
      <c r="L205" s="6"/>
    </row>
    <row r="206" spans="1:12" hidden="1" x14ac:dyDescent="0.25">
      <c r="A206" s="13">
        <f>'[1]Page 376 data'!A426</f>
        <v>38294</v>
      </c>
      <c r="B206" s="5">
        <f>'[1]Page 376 data'!C426</f>
        <v>1.2822559826425994E-2</v>
      </c>
      <c r="C206" s="5">
        <f>'[1]Page 376 data'!K426</f>
        <v>1.7460864994497394E-2</v>
      </c>
      <c r="E206" s="6"/>
      <c r="L206" s="6"/>
    </row>
    <row r="207" spans="1:12" hidden="1" x14ac:dyDescent="0.25">
      <c r="A207" s="13">
        <f>'[1]Page 376 data'!A427</f>
        <v>38295</v>
      </c>
      <c r="B207" s="5">
        <f>'[1]Page 376 data'!C427</f>
        <v>1.4409052067065442E-2</v>
      </c>
      <c r="C207" s="5">
        <f>'[1]Page 376 data'!K427</f>
        <v>2.5646976203545169E-2</v>
      </c>
      <c r="E207" s="6"/>
      <c r="L207" s="6"/>
    </row>
    <row r="208" spans="1:12" hidden="1" x14ac:dyDescent="0.25">
      <c r="A208" s="13">
        <f>'[1]Page 376 data'!A428</f>
        <v>38296</v>
      </c>
      <c r="B208" s="5">
        <f>'[1]Page 376 data'!C428</f>
        <v>3.6266194155580855E-3</v>
      </c>
      <c r="C208" s="5">
        <f>'[1]Page 376 data'!K428</f>
        <v>6.203700970988324E-3</v>
      </c>
      <c r="E208" s="6"/>
      <c r="L208" s="6"/>
    </row>
    <row r="209" spans="1:12" hidden="1" x14ac:dyDescent="0.25">
      <c r="A209" s="13">
        <f>'[1]Page 376 data'!A429</f>
        <v>38299</v>
      </c>
      <c r="B209" s="5">
        <f>'[1]Page 376 data'!C429</f>
        <v>-2.9188862213230804E-3</v>
      </c>
      <c r="C209" s="5">
        <f>'[1]Page 376 data'!K429</f>
        <v>-4.2980222840136584E-3</v>
      </c>
      <c r="E209" s="6"/>
      <c r="L209" s="6"/>
    </row>
    <row r="210" spans="1:12" hidden="1" x14ac:dyDescent="0.25">
      <c r="A210" s="13">
        <f>'[1]Page 376 data'!A430</f>
        <v>38300</v>
      </c>
      <c r="B210" s="5">
        <f>'[1]Page 376 data'!C430</f>
        <v>-5.312046444121421E-4</v>
      </c>
      <c r="C210" s="5">
        <f>'[1]Page 376 data'!K430</f>
        <v>-9.7584446190103202E-3</v>
      </c>
      <c r="E210" s="6"/>
      <c r="L210" s="6"/>
    </row>
    <row r="211" spans="1:12" hidden="1" x14ac:dyDescent="0.25">
      <c r="A211" s="13">
        <f>'[1]Page 376 data'!A431</f>
        <v>38301</v>
      </c>
      <c r="B211" s="5">
        <f>'[1]Page 376 data'!C431</f>
        <v>7.0864929701408563E-4</v>
      </c>
      <c r="C211" s="5">
        <f>'[1]Page 376 data'!K431</f>
        <v>4.3591131842350972E-3</v>
      </c>
      <c r="E211" s="6"/>
      <c r="L211" s="6"/>
    </row>
    <row r="212" spans="1:12" hidden="1" x14ac:dyDescent="0.25">
      <c r="A212" s="13">
        <f>'[1]Page 376 data'!A432</f>
        <v>38302</v>
      </c>
      <c r="B212" s="5">
        <f>'[1]Page 376 data'!C432</f>
        <v>8.6704531273127383E-3</v>
      </c>
      <c r="C212" s="5">
        <f>'[1]Page 376 data'!K432</f>
        <v>1.8867402933086419E-2</v>
      </c>
      <c r="E212" s="6"/>
      <c r="L212" s="6"/>
    </row>
    <row r="213" spans="1:12" hidden="1" x14ac:dyDescent="0.25">
      <c r="A213" s="13">
        <f>'[1]Page 376 data'!A433</f>
        <v>38303</v>
      </c>
      <c r="B213" s="5">
        <f>'[1]Page 376 data'!C433</f>
        <v>9.0936948368356418E-3</v>
      </c>
      <c r="C213" s="5">
        <f>'[1]Page 376 data'!K433</f>
        <v>1.1112747682098689E-2</v>
      </c>
      <c r="E213" s="6"/>
      <c r="L213" s="6"/>
    </row>
    <row r="214" spans="1:12" hidden="1" x14ac:dyDescent="0.25">
      <c r="A214" s="13">
        <f>'[1]Page 376 data'!A434</f>
        <v>38306</v>
      </c>
      <c r="B214" s="5">
        <f>'[1]Page 376 data'!C434</f>
        <v>-1.5853599422883669E-3</v>
      </c>
      <c r="C214" s="5">
        <f>'[1]Page 376 data'!K434</f>
        <v>-2.1985057061477686E-3</v>
      </c>
      <c r="E214" s="6"/>
      <c r="L214" s="6"/>
    </row>
    <row r="215" spans="1:12" hidden="1" x14ac:dyDescent="0.25">
      <c r="A215" s="13">
        <f>'[1]Page 376 data'!A435</f>
        <v>38307</v>
      </c>
      <c r="B215" s="5">
        <f>'[1]Page 376 data'!C435</f>
        <v>-6.248696998169434E-3</v>
      </c>
      <c r="C215" s="5">
        <f>'[1]Page 376 data'!K435</f>
        <v>-2.3858417007478483E-3</v>
      </c>
      <c r="E215" s="6"/>
      <c r="L215" s="6"/>
    </row>
    <row r="216" spans="1:12" hidden="1" x14ac:dyDescent="0.25">
      <c r="A216" s="13">
        <f>'[1]Page 376 data'!A436</f>
        <v>38308</v>
      </c>
      <c r="B216" s="5">
        <f>'[1]Page 376 data'!C436</f>
        <v>7.7823919072319558E-3</v>
      </c>
      <c r="C216" s="5">
        <f>'[1]Page 376 data'!K436</f>
        <v>2.5764014718994144E-3</v>
      </c>
      <c r="E216" s="6"/>
      <c r="L216" s="6"/>
    </row>
    <row r="217" spans="1:12" hidden="1" x14ac:dyDescent="0.25">
      <c r="A217" s="13">
        <f>'[1]Page 376 data'!A437</f>
        <v>38309</v>
      </c>
      <c r="B217" s="5">
        <f>'[1]Page 376 data'!C437</f>
        <v>-1.5042503985194244E-3</v>
      </c>
      <c r="C217" s="5">
        <f>'[1]Page 376 data'!K437</f>
        <v>5.137640756952333E-3</v>
      </c>
      <c r="E217" s="6"/>
      <c r="L217" s="6"/>
    </row>
    <row r="218" spans="1:12" hidden="1" x14ac:dyDescent="0.25">
      <c r="A218" s="13">
        <f>'[1]Page 376 data'!A438</f>
        <v>38310</v>
      </c>
      <c r="B218" s="5">
        <f>'[1]Page 376 data'!C438</f>
        <v>-7.956692289348366E-3</v>
      </c>
      <c r="C218" s="5">
        <f>'[1]Page 376 data'!K438</f>
        <v>-8.2164244413787113E-3</v>
      </c>
      <c r="E218" s="6"/>
      <c r="L218" s="6"/>
    </row>
    <row r="219" spans="1:12" hidden="1" x14ac:dyDescent="0.25">
      <c r="A219" s="13">
        <f>'[1]Page 376 data'!A439</f>
        <v>38313</v>
      </c>
      <c r="B219" s="5">
        <f>'[1]Page 376 data'!C439</f>
        <v>4.6925447555055122E-3</v>
      </c>
      <c r="C219" s="5">
        <f>'[1]Page 376 data'!K439</f>
        <v>2.5778260718785084E-3</v>
      </c>
      <c r="E219" s="6"/>
      <c r="L219" s="6"/>
    </row>
    <row r="220" spans="1:12" hidden="1" x14ac:dyDescent="0.25">
      <c r="A220" s="13">
        <f>'[1]Page 376 data'!A440</f>
        <v>38314</v>
      </c>
      <c r="B220" s="5">
        <f>'[1]Page 376 data'!C440</f>
        <v>7.894220313218181E-4</v>
      </c>
      <c r="C220" s="5">
        <f>'[1]Page 376 data'!K440</f>
        <v>-7.3446327683615031E-3</v>
      </c>
      <c r="E220" s="6"/>
      <c r="L220" s="6"/>
    </row>
    <row r="221" spans="1:12" hidden="1" x14ac:dyDescent="0.25">
      <c r="A221" s="13">
        <f>'[1]Page 376 data'!A441</f>
        <v>38315</v>
      </c>
      <c r="B221" s="5">
        <f>'[1]Page 376 data'!C441</f>
        <v>4.4450488883798212E-3</v>
      </c>
      <c r="C221" s="5">
        <f>'[1]Page 376 data'!K441</f>
        <v>-2.2204670143526339E-3</v>
      </c>
      <c r="E221" s="6"/>
      <c r="L221" s="6"/>
    </row>
    <row r="222" spans="1:12" hidden="1" x14ac:dyDescent="0.25">
      <c r="A222" s="13">
        <f>'[1]Page 376 data'!A442</f>
        <v>38317</v>
      </c>
      <c r="B222" s="5">
        <f>'[1]Page 376 data'!C442</f>
        <v>4.3241856520839228E-3</v>
      </c>
      <c r="C222" s="5">
        <f>'[1]Page 376 data'!K442</f>
        <v>-5.5606108523100772E-3</v>
      </c>
      <c r="E222" s="6"/>
      <c r="L222" s="6"/>
    </row>
    <row r="223" spans="1:12" hidden="1" x14ac:dyDescent="0.25">
      <c r="A223" s="13">
        <f>'[1]Page 376 data'!A443</f>
        <v>38320</v>
      </c>
      <c r="B223" s="5">
        <f>'[1]Page 376 data'!C443</f>
        <v>-2.0520272638643311E-3</v>
      </c>
      <c r="C223" s="5">
        <f>'[1]Page 376 data'!K443</f>
        <v>8.5748568418382298E-3</v>
      </c>
      <c r="E223" s="6"/>
      <c r="L223" s="6"/>
    </row>
    <row r="224" spans="1:12" hidden="1" x14ac:dyDescent="0.25">
      <c r="A224" s="13">
        <f>'[1]Page 376 data'!A444</f>
        <v>38321</v>
      </c>
      <c r="B224" s="5">
        <f>'[1]Page 376 data'!C444</f>
        <v>-3.7697856867593416E-3</v>
      </c>
      <c r="C224" s="5">
        <f>'[1]Page 376 data'!K444</f>
        <v>-1.1459743877432649E-2</v>
      </c>
      <c r="E224" s="6"/>
      <c r="L224" s="6"/>
    </row>
    <row r="225" spans="1:12" hidden="1" x14ac:dyDescent="0.25">
      <c r="A225" s="13">
        <f>'[1]Page 376 data'!A445</f>
        <v>38322</v>
      </c>
      <c r="B225" s="5">
        <f>'[1]Page 376 data'!C445</f>
        <v>1.3075030118246067E-2</v>
      </c>
      <c r="C225" s="5">
        <f>'[1]Page 376 data'!K445</f>
        <v>2.2063888410539079E-2</v>
      </c>
      <c r="E225" s="6"/>
      <c r="L225" s="6"/>
    </row>
    <row r="226" spans="1:12" hidden="1" x14ac:dyDescent="0.25">
      <c r="A226" s="13">
        <f>'[1]Page 376 data'!A446</f>
        <v>38323</v>
      </c>
      <c r="B226" s="5">
        <f>'[1]Page 376 data'!C446</f>
        <v>-3.1702107274295122E-3</v>
      </c>
      <c r="C226" s="5">
        <f>'[1]Page 376 data'!K446</f>
        <v>2.1221885883540015E-2</v>
      </c>
      <c r="E226" s="6"/>
      <c r="L226" s="6"/>
    </row>
    <row r="227" spans="1:12" hidden="1" x14ac:dyDescent="0.25">
      <c r="A227" s="13">
        <f>'[1]Page 376 data'!A447</f>
        <v>38324</v>
      </c>
      <c r="B227" s="5">
        <f>'[1]Page 376 data'!C447</f>
        <v>2.5159650704893455E-3</v>
      </c>
      <c r="C227" s="5">
        <f>'[1]Page 376 data'!K447</f>
        <v>-7.7037731427231915E-3</v>
      </c>
      <c r="E227" s="6"/>
      <c r="L227" s="6"/>
    </row>
    <row r="228" spans="1:12" hidden="1" x14ac:dyDescent="0.25">
      <c r="A228" s="13">
        <f>'[1]Page 376 data'!A448</f>
        <v>38327</v>
      </c>
      <c r="B228" s="5">
        <f>'[1]Page 376 data'!C448</f>
        <v>-1.4155558876691732E-3</v>
      </c>
      <c r="C228" s="5">
        <f>'[1]Page 376 data'!K448</f>
        <v>-1.9678195841032697E-2</v>
      </c>
      <c r="E228" s="6"/>
      <c r="L228" s="6"/>
    </row>
    <row r="229" spans="1:12" hidden="1" x14ac:dyDescent="0.25">
      <c r="A229" s="13">
        <f>'[1]Page 376 data'!A449</f>
        <v>38328</v>
      </c>
      <c r="B229" s="5">
        <f>'[1]Page 376 data'!C449</f>
        <v>-9.5812542886913876E-3</v>
      </c>
      <c r="C229" s="5">
        <f>'[1]Page 376 data'!K449</f>
        <v>-4.7875016141436522E-3</v>
      </c>
      <c r="E229" s="6"/>
      <c r="L229" s="6"/>
    </row>
    <row r="230" spans="1:12" hidden="1" x14ac:dyDescent="0.25">
      <c r="A230" s="13">
        <f>'[1]Page 376 data'!A450</f>
        <v>38329</v>
      </c>
      <c r="B230" s="5">
        <f>'[1]Page 376 data'!C450</f>
        <v>2.1739998175265285E-3</v>
      </c>
      <c r="C230" s="5">
        <f>'[1]Page 376 data'!K450</f>
        <v>1.8318366588105039E-2</v>
      </c>
      <c r="E230" s="6"/>
      <c r="L230" s="6"/>
    </row>
    <row r="231" spans="1:12" hidden="1" x14ac:dyDescent="0.25">
      <c r="A231" s="13">
        <f>'[1]Page 376 data'!A451</f>
        <v>38330</v>
      </c>
      <c r="B231" s="5">
        <f>'[1]Page 376 data'!C451</f>
        <v>2.5789583739332933E-3</v>
      </c>
      <c r="C231" s="5">
        <f>'[1]Page 376 data'!K451</f>
        <v>2.4532830251832394E-2</v>
      </c>
      <c r="E231" s="6"/>
      <c r="L231" s="6"/>
    </row>
    <row r="232" spans="1:12" hidden="1" x14ac:dyDescent="0.25">
      <c r="A232" s="13">
        <f>'[1]Page 376 data'!A452</f>
        <v>38331</v>
      </c>
      <c r="B232" s="5">
        <f>'[1]Page 376 data'!C452</f>
        <v>-2.7794724819455441E-3</v>
      </c>
      <c r="C232" s="5">
        <f>'[1]Page 376 data'!K452</f>
        <v>1.0636204675475991E-3</v>
      </c>
      <c r="E232" s="6"/>
      <c r="L232" s="6"/>
    </row>
    <row r="233" spans="1:12" hidden="1" x14ac:dyDescent="0.25">
      <c r="A233" s="13">
        <f>'[1]Page 376 data'!A453</f>
        <v>38334</v>
      </c>
      <c r="B233" s="5">
        <f>'[1]Page 376 data'!C453</f>
        <v>1.0514319535719574E-2</v>
      </c>
      <c r="C233" s="5">
        <f>'[1]Page 376 data'!K453</f>
        <v>8.8633578033703309E-4</v>
      </c>
      <c r="E233" s="6"/>
      <c r="L233" s="6"/>
    </row>
    <row r="234" spans="1:12" hidden="1" x14ac:dyDescent="0.25">
      <c r="A234" s="13">
        <f>'[1]Page 376 data'!A454</f>
        <v>38335</v>
      </c>
      <c r="B234" s="5">
        <f>'[1]Page 376 data'!C454</f>
        <v>3.1256995864783477E-3</v>
      </c>
      <c r="C234" s="5">
        <f>'[1]Page 376 data'!K454</f>
        <v>0</v>
      </c>
      <c r="E234" s="6"/>
      <c r="L234" s="6"/>
    </row>
    <row r="235" spans="1:12" hidden="1" x14ac:dyDescent="0.25">
      <c r="A235" s="13">
        <f>'[1]Page 376 data'!A455</f>
        <v>38336</v>
      </c>
      <c r="B235" s="5">
        <f>'[1]Page 376 data'!C455</f>
        <v>4.9181639416051581E-3</v>
      </c>
      <c r="C235" s="5">
        <f>'[1]Page 376 data'!K455</f>
        <v>-6.5490007910673498E-3</v>
      </c>
      <c r="E235" s="6"/>
      <c r="L235" s="6"/>
    </row>
    <row r="236" spans="1:12" hidden="1" x14ac:dyDescent="0.25">
      <c r="A236" s="13">
        <f>'[1]Page 376 data'!A456</f>
        <v>38337</v>
      </c>
      <c r="B236" s="5">
        <f>'[1]Page 376 data'!C456</f>
        <v>-3.8647140572514171E-3</v>
      </c>
      <c r="C236" s="5">
        <f>'[1]Page 376 data'!K456</f>
        <v>-3.5618246985502644E-4</v>
      </c>
      <c r="E236" s="6"/>
      <c r="L236" s="6"/>
    </row>
    <row r="237" spans="1:12" hidden="1" x14ac:dyDescent="0.25">
      <c r="A237" s="13">
        <f>'[1]Page 376 data'!A457</f>
        <v>38338</v>
      </c>
      <c r="B237" s="5">
        <f>'[1]Page 376 data'!C457</f>
        <v>-4.7518360960069339E-3</v>
      </c>
      <c r="C237" s="5">
        <f>'[1]Page 376 data'!K457</f>
        <v>-1.1765671549908485E-2</v>
      </c>
      <c r="E237" s="6"/>
      <c r="L237" s="6"/>
    </row>
    <row r="238" spans="1:12" hidden="1" x14ac:dyDescent="0.25">
      <c r="A238" s="13">
        <f>'[1]Page 376 data'!A458</f>
        <v>38341</v>
      </c>
      <c r="B238" s="5">
        <f>'[1]Page 376 data'!C458</f>
        <v>2.6612793018965242E-3</v>
      </c>
      <c r="C238" s="5">
        <f>'[1]Page 376 data'!K458</f>
        <v>2.7050801896764121E-3</v>
      </c>
      <c r="E238" s="6"/>
      <c r="L238" s="6"/>
    </row>
    <row r="239" spans="1:12" hidden="1" x14ac:dyDescent="0.25">
      <c r="A239" s="13">
        <f>'[1]Page 376 data'!A459</f>
        <v>38342</v>
      </c>
      <c r="B239" s="5">
        <f>'[1]Page 376 data'!C459</f>
        <v>7.0324772586125572E-3</v>
      </c>
      <c r="C239" s="5">
        <f>'[1]Page 376 data'!K459</f>
        <v>8.6355395659074574E-3</v>
      </c>
      <c r="E239" s="6"/>
      <c r="L239" s="6"/>
    </row>
    <row r="240" spans="1:12" hidden="1" x14ac:dyDescent="0.25">
      <c r="A240" s="13">
        <f>'[1]Page 376 data'!A460</f>
        <v>38343</v>
      </c>
      <c r="B240" s="5">
        <f>'[1]Page 376 data'!C460</f>
        <v>3.2244876887637108E-3</v>
      </c>
      <c r="C240" s="5">
        <f>'[1]Page 376 data'!K460</f>
        <v>-2.6746851225538659E-3</v>
      </c>
      <c r="E240" s="6"/>
      <c r="L240" s="6"/>
    </row>
    <row r="241" spans="1:12" hidden="1" x14ac:dyDescent="0.25">
      <c r="A241" s="13">
        <f>'[1]Page 376 data'!A461</f>
        <v>38344</v>
      </c>
      <c r="B241" s="5">
        <f>'[1]Page 376 data'!C461</f>
        <v>2.5924390901983507E-3</v>
      </c>
      <c r="C241" s="5">
        <f>'[1]Page 376 data'!K461</f>
        <v>-5.9027082463867231E-3</v>
      </c>
      <c r="E241" s="6"/>
      <c r="L241" s="6"/>
    </row>
    <row r="242" spans="1:12" hidden="1" x14ac:dyDescent="0.25">
      <c r="A242" s="13">
        <f>'[1]Page 376 data'!A462</f>
        <v>38348</v>
      </c>
      <c r="B242" s="5">
        <f>'[1]Page 376 data'!C462</f>
        <v>-1.5966640679836441E-3</v>
      </c>
      <c r="C242" s="5">
        <f>'[1]Page 376 data'!K462</f>
        <v>-3.4169401160065727E-3</v>
      </c>
      <c r="E242" s="6"/>
      <c r="L242" s="6"/>
    </row>
    <row r="243" spans="1:12" hidden="1" x14ac:dyDescent="0.25">
      <c r="A243" s="13">
        <f>'[1]Page 376 data'!A463</f>
        <v>38349</v>
      </c>
      <c r="B243" s="5">
        <f>'[1]Page 376 data'!C463</f>
        <v>6.744223851543607E-3</v>
      </c>
      <c r="C243" s="5">
        <f>'[1]Page 376 data'!K463</f>
        <v>7.2162338815418003E-4</v>
      </c>
      <c r="E243" s="6"/>
      <c r="L243" s="6"/>
    </row>
    <row r="244" spans="1:12" hidden="1" x14ac:dyDescent="0.25">
      <c r="A244" s="13">
        <f>'[1]Page 376 data'!A464</f>
        <v>38350</v>
      </c>
      <c r="B244" s="5">
        <f>'[1]Page 376 data'!C464</f>
        <v>-4.9269853887978776E-4</v>
      </c>
      <c r="C244" s="5">
        <f>'[1]Page 376 data'!K464</f>
        <v>-3.6074028209853726E-3</v>
      </c>
      <c r="E244" s="6"/>
      <c r="L244" s="6"/>
    </row>
    <row r="245" spans="1:12" hidden="1" x14ac:dyDescent="0.25">
      <c r="A245" s="13">
        <f>'[1]Page 376 data'!A465</f>
        <v>38351</v>
      </c>
      <c r="B245" s="5">
        <f>'[1]Page 376 data'!C465</f>
        <v>1.5630523153058462E-3</v>
      </c>
      <c r="C245" s="5">
        <f>'[1]Page 376 data'!K465</f>
        <v>3.8023389973722566E-3</v>
      </c>
      <c r="E245" s="6"/>
      <c r="L245" s="6"/>
    </row>
    <row r="246" spans="1:12" hidden="1" x14ac:dyDescent="0.25">
      <c r="A246" s="13">
        <f>'[1]Page 376 data'!A466</f>
        <v>38352</v>
      </c>
      <c r="B246" s="5">
        <f>'[1]Page 376 data'!C466</f>
        <v>-4.8252168590323663E-4</v>
      </c>
      <c r="C246" s="5">
        <f>'[1]Page 376 data'!K466</f>
        <v>-6.6737128189642281E-3</v>
      </c>
      <c r="E246" s="6"/>
      <c r="L246" s="6"/>
    </row>
    <row r="247" spans="1:12" hidden="1" x14ac:dyDescent="0.25">
      <c r="A247" s="13">
        <f>'[1]Page 376 data'!A467</f>
        <v>38355</v>
      </c>
      <c r="B247" s="5">
        <f>'[1]Page 376 data'!C467</f>
        <v>-9.7033679721272303E-3</v>
      </c>
      <c r="C247" s="5">
        <f>'[1]Page 376 data'!K467</f>
        <v>1.9969447315619782E-3</v>
      </c>
      <c r="E247" s="6"/>
      <c r="L247" s="6"/>
    </row>
    <row r="248" spans="1:12" hidden="1" x14ac:dyDescent="0.25">
      <c r="A248" s="13">
        <f>'[1]Page 376 data'!A468</f>
        <v>38356</v>
      </c>
      <c r="B248" s="5">
        <f>'[1]Page 376 data'!C468</f>
        <v>-1.2422507315755005E-2</v>
      </c>
      <c r="C248" s="5">
        <f>'[1]Page 376 data'!K468</f>
        <v>-1.2502014771833103E-2</v>
      </c>
      <c r="E248" s="6"/>
      <c r="L248" s="6"/>
    </row>
    <row r="249" spans="1:12" hidden="1" x14ac:dyDescent="0.25">
      <c r="A249" s="13">
        <f>'[1]Page 376 data'!A469</f>
        <v>38357</v>
      </c>
      <c r="B249" s="5">
        <f>'[1]Page 376 data'!C469</f>
        <v>-4.979888640043395E-3</v>
      </c>
      <c r="C249" s="5">
        <f>'[1]Page 376 data'!K469</f>
        <v>1.0459672556753397E-2</v>
      </c>
      <c r="E249" s="6"/>
      <c r="L249" s="6"/>
    </row>
    <row r="250" spans="1:12" hidden="1" x14ac:dyDescent="0.25">
      <c r="A250" s="13">
        <f>'[1]Page 376 data'!A470</f>
        <v>38358</v>
      </c>
      <c r="B250" s="5">
        <f>'[1]Page 376 data'!C470</f>
        <v>3.079993366604139E-3</v>
      </c>
      <c r="C250" s="5">
        <f>'[1]Page 376 data'!K470</f>
        <v>4.9029948176484428E-3</v>
      </c>
      <c r="E250" s="6"/>
      <c r="L250" s="6"/>
    </row>
    <row r="251" spans="1:12" hidden="1" x14ac:dyDescent="0.25">
      <c r="A251" s="13">
        <f>'[1]Page 376 data'!A471</f>
        <v>38359</v>
      </c>
      <c r="B251" s="5">
        <f>'[1]Page 376 data'!C471</f>
        <v>-2.7455369128464024E-3</v>
      </c>
      <c r="C251" s="5">
        <f>'[1]Page 376 data'!K471</f>
        <v>1.0480550843531278E-2</v>
      </c>
      <c r="E251" s="6"/>
      <c r="L251" s="6"/>
    </row>
    <row r="252" spans="1:12" hidden="1" x14ac:dyDescent="0.25">
      <c r="A252" s="13">
        <f>'[1]Page 376 data'!A472</f>
        <v>38362</v>
      </c>
      <c r="B252" s="5">
        <f>'[1]Page 376 data'!C472</f>
        <v>3.427554477428929E-3</v>
      </c>
      <c r="C252" s="5">
        <f>'[1]Page 376 data'!K472</f>
        <v>7.8677823296793292E-3</v>
      </c>
      <c r="E252" s="6"/>
      <c r="L252" s="6"/>
    </row>
    <row r="253" spans="1:12" hidden="1" x14ac:dyDescent="0.25">
      <c r="A253" s="13">
        <f>'[1]Page 376 data'!A473</f>
        <v>38363</v>
      </c>
      <c r="B253" s="5">
        <f>'[1]Page 376 data'!C473</f>
        <v>-5.3080475027182938E-3</v>
      </c>
      <c r="C253" s="5">
        <f>'[1]Page 376 data'!K473</f>
        <v>-1.0639976974569088E-3</v>
      </c>
      <c r="E253" s="6"/>
      <c r="L253" s="6"/>
    </row>
    <row r="254" spans="1:12" hidden="1" x14ac:dyDescent="0.25">
      <c r="A254" s="13">
        <f>'[1]Page 376 data'!A474</f>
        <v>38364</v>
      </c>
      <c r="B254" s="5">
        <f>'[1]Page 376 data'!C474</f>
        <v>4.4760800157863656E-3</v>
      </c>
      <c r="C254" s="5">
        <f>'[1]Page 376 data'!K474</f>
        <v>3.7288879140162656E-3</v>
      </c>
      <c r="E254" s="6"/>
      <c r="L254" s="6"/>
    </row>
    <row r="255" spans="1:12" x14ac:dyDescent="0.25">
      <c r="A255" s="13">
        <f>'[1]Page 376 data'!A475</f>
        <v>38365</v>
      </c>
      <c r="B255" s="5">
        <f>'[1]Page 376 data'!C475</f>
        <v>-6.6382687643803395E-3</v>
      </c>
      <c r="C255" s="5">
        <f>'[1]Page 376 data'!K475</f>
        <v>-1.7341768401090363E-2</v>
      </c>
      <c r="E255" s="6"/>
      <c r="L255" s="6"/>
    </row>
    <row r="256" spans="1:12" x14ac:dyDescent="0.25">
      <c r="A256" s="13">
        <f>'[1]Page 376 data'!A476</f>
        <v>38366</v>
      </c>
      <c r="B256" s="5">
        <f>'[1]Page 376 data'!C476</f>
        <v>5.3424047508277006E-3</v>
      </c>
      <c r="C256" s="5">
        <f>'[1]Page 376 data'!K476</f>
        <v>6.3022517734505623E-3</v>
      </c>
      <c r="E256" s="6"/>
      <c r="L256" s="6"/>
    </row>
    <row r="257" spans="1:13" x14ac:dyDescent="0.25">
      <c r="A257" s="13">
        <f>'[1]Page 376 data'!A477</f>
        <v>38370</v>
      </c>
      <c r="B257" s="5">
        <f>'[1]Page 376 data'!C477</f>
        <v>6.8367528890975748E-3</v>
      </c>
      <c r="C257" s="5">
        <f>'[1]Page 376 data'!K477</f>
        <v>1.9683564691692634E-3</v>
      </c>
      <c r="E257" s="6"/>
      <c r="L257" s="6"/>
    </row>
    <row r="258" spans="1:13" x14ac:dyDescent="0.25">
      <c r="A258" s="13">
        <f>'[1]Page 376 data'!A478</f>
        <v>38371</v>
      </c>
      <c r="B258" s="5">
        <f>'[1]Page 376 data'!C478</f>
        <v>-7.767203174348758E-3</v>
      </c>
      <c r="C258" s="5">
        <f>'[1]Page 376 data'!K478</f>
        <v>1.6865452084957155E-2</v>
      </c>
      <c r="E258" s="6"/>
      <c r="L258" s="6"/>
    </row>
    <row r="259" spans="1:13" ht="47.4" customHeight="1" x14ac:dyDescent="0.25">
      <c r="A259" s="13">
        <f>'[1]Page 376 data'!A479</f>
        <v>38372</v>
      </c>
      <c r="B259" s="5">
        <f>'[1]Page 376 data'!C479</f>
        <v>-6.9128960926555516E-3</v>
      </c>
      <c r="C259" s="5">
        <f>'[1]Page 376 data'!K479</f>
        <v>3.5292690369126412E-4</v>
      </c>
      <c r="E259" s="6"/>
      <c r="F259" s="15" t="str">
        <f ca="1">"Cell "&amp;CHAR(COLUMN(E263)+64)&amp;ROW(E263)&amp;" contains formula "&amp;[2]!ggetformula(E263)</f>
        <v>Cell E263 contains formula =D263/$B$5</v>
      </c>
      <c r="G259" s="15"/>
      <c r="L259" s="6"/>
    </row>
    <row r="260" spans="1:13" x14ac:dyDescent="0.25">
      <c r="A260" s="13">
        <f>'[1]Page 376 data'!A480</f>
        <v>38373</v>
      </c>
      <c r="B260" s="5">
        <f>'[1]Page 376 data'!C480</f>
        <v>-1.9841750981032247E-3</v>
      </c>
      <c r="C260" s="5">
        <f>'[1]Page 376 data'!K480</f>
        <v>-1.8518450462501779E-2</v>
      </c>
      <c r="E260" s="6"/>
      <c r="L260" s="6"/>
    </row>
    <row r="261" spans="1:13" x14ac:dyDescent="0.25">
      <c r="A261" s="13">
        <f>'[1]Page 376 data'!A481</f>
        <v>38376</v>
      </c>
      <c r="B261" s="5">
        <f>'[1]Page 376 data'!C481</f>
        <v>-1.7908800896441202E-3</v>
      </c>
      <c r="C261" s="5">
        <f>'[1]Page 376 data'!K481</f>
        <v>-7.9080983120404236E-3</v>
      </c>
      <c r="E261" s="6"/>
      <c r="G261" s="15" t="str">
        <f ca="1">"Cell "&amp;CHAR(COLUMN(F263)+64)&amp;ROW(F263)&amp;" contains formula "&amp;CHAR(10)&amp;[2]!ggetformula(F263)</f>
        <v>Cell F263 contains formula 
=IF(ABS(E263)&lt;1.96,"no","yes")</v>
      </c>
      <c r="H261" s="15"/>
      <c r="L261" s="6"/>
      <c r="M261" s="2" t="s">
        <v>13</v>
      </c>
    </row>
    <row r="262" spans="1:13" x14ac:dyDescent="0.25">
      <c r="A262" s="13">
        <f>'[1]Page 376 data'!A482</f>
        <v>38377</v>
      </c>
      <c r="B262" s="5">
        <f>'[1]Page 376 data'!C482</f>
        <v>2.0919154127345685E-3</v>
      </c>
      <c r="C262" s="5">
        <f>'[1]Page 376 data'!K482</f>
        <v>9.4185449659565101E-3</v>
      </c>
      <c r="E262" s="6"/>
      <c r="L262" s="6"/>
    </row>
    <row r="263" spans="1:13" x14ac:dyDescent="0.25">
      <c r="A263" s="16">
        <f>'[1]Page 376 data'!A483</f>
        <v>38378</v>
      </c>
      <c r="B263" s="17">
        <f>'[1]Page 376 data'!C483</f>
        <v>6.8241829841224622E-3</v>
      </c>
      <c r="C263" s="17">
        <f>'[1]Page 376 data'!K483</f>
        <v>-5.202812472541618E-3</v>
      </c>
      <c r="D263" s="18">
        <f t="shared" ref="D263:D268" si="0">C263-($B$2+$B$3*B263)</f>
        <v>-9.6424945060377652E-3</v>
      </c>
      <c r="E263" s="19">
        <f t="shared" ref="E263:E268" si="1">D263/$B$5</f>
        <v>-1.1425218374348431</v>
      </c>
      <c r="F263" s="20" t="str">
        <f t="shared" ref="F263:F268" si="2">IF(ABS(E263)&lt;1.96,"no","yes")</f>
        <v>no</v>
      </c>
      <c r="G263" s="5">
        <f>D263</f>
        <v>-9.6424945060377652E-3</v>
      </c>
      <c r="H263" s="2" t="str">
        <f ca="1">[2]!getformula(G263)</f>
        <v>&lt;--  =D263</v>
      </c>
      <c r="L263" s="6"/>
      <c r="M263" s="2" t="str">
        <f t="shared" ref="M263:M268" si="3">TEXT(A263,"dd-mmm")</f>
        <v>26-Jan</v>
      </c>
    </row>
    <row r="264" spans="1:13" x14ac:dyDescent="0.25">
      <c r="A264" s="16">
        <f>'[1]Page 376 data'!A484</f>
        <v>38379</v>
      </c>
      <c r="B264" s="17">
        <f>'[1]Page 376 data'!C484</f>
        <v>3.6472524977293475E-4</v>
      </c>
      <c r="C264" s="17">
        <f>'[1]Page 376 data'!K484</f>
        <v>-2.1649252048410172E-3</v>
      </c>
      <c r="D264" s="18">
        <f t="shared" si="0"/>
        <v>-2.8085768123810094E-3</v>
      </c>
      <c r="E264" s="19">
        <f t="shared" si="1"/>
        <v>-0.33278321685837398</v>
      </c>
      <c r="F264" s="20" t="str">
        <f t="shared" si="2"/>
        <v>no</v>
      </c>
      <c r="G264" s="5">
        <f>G263+D264</f>
        <v>-1.2451071318418775E-2</v>
      </c>
      <c r="H264" s="2" t="str">
        <f ca="1">[2]!getformula(G264)</f>
        <v>&lt;--  =G263+D264</v>
      </c>
      <c r="L264" s="6"/>
      <c r="M264" s="2" t="str">
        <f t="shared" si="3"/>
        <v>27-Jan</v>
      </c>
    </row>
    <row r="265" spans="1:13" x14ac:dyDescent="0.25">
      <c r="A265" s="16">
        <f>'[1]Page 376 data'!A485</f>
        <v>38380</v>
      </c>
      <c r="B265" s="17">
        <f>'[1]Page 376 data'!C485</f>
        <v>-2.4088625714112633E-3</v>
      </c>
      <c r="C265" s="17">
        <f>'[1]Page 376 data'!K485</f>
        <v>-2.1150050473851656E-2</v>
      </c>
      <c r="D265" s="22">
        <f t="shared" si="0"/>
        <v>-2.0163747340409526E-2</v>
      </c>
      <c r="E265" s="23">
        <f t="shared" si="1"/>
        <v>-2.3891661692429689</v>
      </c>
      <c r="F265" s="20" t="str">
        <f t="shared" si="2"/>
        <v>yes</v>
      </c>
      <c r="G265" s="5">
        <f>G264+D265</f>
        <v>-3.2614818658828301E-2</v>
      </c>
      <c r="H265" s="2" t="str">
        <f ca="1">[2]!getformula(G265)</f>
        <v>&lt;--  =G264+D265</v>
      </c>
      <c r="L265" s="6"/>
      <c r="M265" s="2" t="str">
        <f t="shared" si="3"/>
        <v>28-Jan</v>
      </c>
    </row>
    <row r="266" spans="1:13" x14ac:dyDescent="0.25">
      <c r="A266" s="16">
        <f>'[1]Page 376 data'!A486</f>
        <v>38383</v>
      </c>
      <c r="B266" s="17">
        <f>'[1]Page 376 data'!C486</f>
        <v>8.2252676696070726E-3</v>
      </c>
      <c r="C266" s="17">
        <f>'[1]Page 376 data'!K486</f>
        <v>-1.6989329238962569E-2</v>
      </c>
      <c r="D266" s="22">
        <f t="shared" si="0"/>
        <v>-2.2252386904620256E-2</v>
      </c>
      <c r="E266" s="23">
        <f t="shared" si="1"/>
        <v>-2.636645315966561</v>
      </c>
      <c r="F266" s="20" t="str">
        <f t="shared" si="2"/>
        <v>yes</v>
      </c>
      <c r="G266" s="5">
        <f>G265+D266</f>
        <v>-5.4867205563448554E-2</v>
      </c>
      <c r="L266" s="6"/>
      <c r="M266" s="2" t="str">
        <f t="shared" si="3"/>
        <v>31-Jan</v>
      </c>
    </row>
    <row r="267" spans="1:13" x14ac:dyDescent="0.25">
      <c r="A267" s="16">
        <f>'[1]Page 376 data'!A487</f>
        <v>38384</v>
      </c>
      <c r="B267" s="17">
        <f>'[1]Page 376 data'!C487</f>
        <v>7.9522358081929312E-3</v>
      </c>
      <c r="C267" s="17">
        <f>'[1]Page 376 data'!K487</f>
        <v>-6.762469955451933E-3</v>
      </c>
      <c r="D267" s="18">
        <f t="shared" si="0"/>
        <v>-1.1865074949104035E-2</v>
      </c>
      <c r="E267" s="19">
        <f t="shared" si="1"/>
        <v>-1.405871398076934</v>
      </c>
      <c r="F267" s="20" t="str">
        <f t="shared" si="2"/>
        <v>no</v>
      </c>
      <c r="G267" s="5">
        <f>G266+D267</f>
        <v>-6.6732280512552589E-2</v>
      </c>
      <c r="L267" s="6"/>
      <c r="M267" s="2" t="str">
        <f t="shared" si="3"/>
        <v>01-Feb</v>
      </c>
    </row>
    <row r="268" spans="1:13" x14ac:dyDescent="0.25">
      <c r="A268" s="16">
        <f>'[1]Page 376 data'!A488</f>
        <v>38385</v>
      </c>
      <c r="B268" s="17">
        <f>'[1]Page 376 data'!C488</f>
        <v>3.2436774178201677E-3</v>
      </c>
      <c r="C268" s="17">
        <f>'[1]Page 376 data'!K488</f>
        <v>1.0024573704362716E-2</v>
      </c>
      <c r="D268" s="18">
        <f t="shared" si="0"/>
        <v>7.6890478754519957E-3</v>
      </c>
      <c r="E268" s="19">
        <f t="shared" si="1"/>
        <v>0.91106145834826402</v>
      </c>
      <c r="F268" s="20" t="str">
        <f t="shared" si="2"/>
        <v>no</v>
      </c>
      <c r="G268" s="5">
        <f>G267+D268</f>
        <v>-5.9043232637100596E-2</v>
      </c>
      <c r="L268" s="6"/>
      <c r="M268" s="2" t="str">
        <f t="shared" si="3"/>
        <v>02-Feb</v>
      </c>
    </row>
    <row r="269" spans="1:13" x14ac:dyDescent="0.25">
      <c r="A269" s="13">
        <f>'[1]Page 376 data'!A489</f>
        <v>38386</v>
      </c>
      <c r="B269" s="5">
        <f>'[1]Page 376 data'!C489</f>
        <v>-2.9388832243748553E-3</v>
      </c>
      <c r="C269" s="5">
        <f>'[1]Page 376 data'!K489</f>
        <v>-2.9968392710811864E-3</v>
      </c>
      <c r="E269" s="6"/>
      <c r="L269" s="6"/>
    </row>
    <row r="270" spans="1:13" x14ac:dyDescent="0.25">
      <c r="A270" s="13">
        <f>'[1]Page 376 data'!A490</f>
        <v>38387</v>
      </c>
      <c r="B270" s="5">
        <f>'[1]Page 376 data'!C490</f>
        <v>9.6680059090807902E-3</v>
      </c>
      <c r="C270" s="5">
        <f>'[1]Page 376 data'!K490</f>
        <v>-1.164570140351151E-2</v>
      </c>
      <c r="E270" s="6"/>
      <c r="L270" s="6"/>
    </row>
    <row r="271" spans="1:13" x14ac:dyDescent="0.25">
      <c r="A271" s="13">
        <f>'[1]Page 376 data'!A491</f>
        <v>38390</v>
      </c>
      <c r="B271" s="5">
        <f>'[1]Page 376 data'!C491</f>
        <v>-2.2889033908192191E-3</v>
      </c>
      <c r="C271" s="5">
        <f>'[1]Page 376 data'!K491</f>
        <v>-1.7107115490848646E-3</v>
      </c>
      <c r="E271" s="6"/>
      <c r="L271" s="6"/>
    </row>
    <row r="272" spans="1:13" x14ac:dyDescent="0.25">
      <c r="A272" s="13">
        <f>'[1]Page 376 data'!A492</f>
        <v>38391</v>
      </c>
      <c r="B272" s="5">
        <f>'[1]Page 376 data'!C492</f>
        <v>9.0821854460054752E-4</v>
      </c>
      <c r="C272" s="5">
        <f>'[1]Page 376 data'!K492</f>
        <v>-1.0468296610993133E-2</v>
      </c>
      <c r="E272" s="6"/>
      <c r="L272" s="6"/>
    </row>
    <row r="273" spans="1:12" x14ac:dyDescent="0.25">
      <c r="A273" s="13">
        <f>'[1]Page 376 data'!A493</f>
        <v>38392</v>
      </c>
      <c r="B273" s="5">
        <f>'[1]Page 376 data'!C493</f>
        <v>-6.3073625207250572E-3</v>
      </c>
      <c r="C273" s="5">
        <f>'[1]Page 376 data'!K493</f>
        <v>-9.0436971724415782E-3</v>
      </c>
      <c r="E273" s="6"/>
      <c r="L273" s="6"/>
    </row>
    <row r="274" spans="1:12" x14ac:dyDescent="0.25">
      <c r="A274" s="13">
        <f>'[1]Page 376 data'!A494</f>
        <v>38393</v>
      </c>
      <c r="B274" s="5">
        <f>'[1]Page 376 data'!C494</f>
        <v>6.7942010530592789E-3</v>
      </c>
      <c r="C274" s="5">
        <f>'[1]Page 376 data'!K494</f>
        <v>2.1359266503369057E-3</v>
      </c>
      <c r="E274" s="6"/>
      <c r="L274" s="6"/>
    </row>
    <row r="275" spans="1:12" x14ac:dyDescent="0.25">
      <c r="A275" s="13">
        <f>'[1]Page 376 data'!A495</f>
        <v>38394</v>
      </c>
      <c r="B275" s="5">
        <f>'[1]Page 376 data'!C495</f>
        <v>7.0714845402288784E-3</v>
      </c>
      <c r="C275" s="5">
        <f>'[1]Page 376 data'!K495</f>
        <v>1.0267330029972488E-2</v>
      </c>
      <c r="E275" s="6"/>
      <c r="L275" s="6"/>
    </row>
    <row r="276" spans="1:12" x14ac:dyDescent="0.25">
      <c r="A276" s="13">
        <f>'[1]Page 376 data'!A496</f>
        <v>38397</v>
      </c>
      <c r="B276" s="5">
        <f>'[1]Page 376 data'!C496</f>
        <v>2.5793071537558721E-3</v>
      </c>
      <c r="C276" s="5">
        <f>'[1]Page 376 data'!K496</f>
        <v>1.0546567520807404E-2</v>
      </c>
      <c r="E276" s="6"/>
      <c r="L276" s="6"/>
    </row>
    <row r="277" spans="1:12" x14ac:dyDescent="0.25">
      <c r="A277" s="13">
        <f>'[1]Page 376 data'!A497</f>
        <v>38398</v>
      </c>
      <c r="B277" s="5">
        <f>'[1]Page 376 data'!C497</f>
        <v>3.2402199338770199E-3</v>
      </c>
      <c r="C277" s="5">
        <f>'[1]Page 376 data'!K497</f>
        <v>1.4801678854772904E-2</v>
      </c>
      <c r="E277" s="6"/>
      <c r="L277" s="6"/>
    </row>
    <row r="278" spans="1:12" x14ac:dyDescent="0.25">
      <c r="A278" s="13">
        <f>'[1]Page 376 data'!A498</f>
        <v>38399</v>
      </c>
      <c r="B278" s="5">
        <f>'[1]Page 376 data'!C498</f>
        <v>3.8335368758857236E-4</v>
      </c>
      <c r="C278" s="5">
        <f>'[1]Page 376 data'!K498</f>
        <v>-3.179377683574014E-3</v>
      </c>
      <c r="E278" s="6"/>
      <c r="L278" s="6"/>
    </row>
    <row r="279" spans="1:12" x14ac:dyDescent="0.25">
      <c r="A279" s="13">
        <f>'[1]Page 376 data'!A499</f>
        <v>38400</v>
      </c>
      <c r="B279" s="5">
        <f>'[1]Page 376 data'!C499</f>
        <v>-4.683334336970213E-3</v>
      </c>
      <c r="C279" s="5">
        <f>'[1]Page 376 data'!K499</f>
        <v>3.7523745495193772E-4</v>
      </c>
      <c r="E279" s="6"/>
      <c r="L279" s="6"/>
    </row>
    <row r="280" spans="1:12" x14ac:dyDescent="0.25">
      <c r="A280" s="13">
        <f>'[1]Page 376 data'!A500</f>
        <v>38401</v>
      </c>
      <c r="B280" s="5">
        <f>'[1]Page 376 data'!C500</f>
        <v>2.0529278628924619E-3</v>
      </c>
      <c r="C280" s="5">
        <f>'[1]Page 376 data'!K500</f>
        <v>3.1883219892629988E-3</v>
      </c>
      <c r="E280" s="6"/>
      <c r="L280" s="6"/>
    </row>
    <row r="281" spans="1:12" x14ac:dyDescent="0.25">
      <c r="A281" s="13">
        <f>'[1]Page 376 data'!A501</f>
        <v>38405</v>
      </c>
      <c r="B281" s="5">
        <f>'[1]Page 376 data'!C501</f>
        <v>-1.0470025948648876E-2</v>
      </c>
      <c r="C281" s="5">
        <f>'[1]Page 376 data'!K501</f>
        <v>-2.3365141187926097E-2</v>
      </c>
      <c r="E281" s="6"/>
      <c r="L281" s="6"/>
    </row>
    <row r="282" spans="1:12" x14ac:dyDescent="0.25">
      <c r="A282" s="13">
        <f>'[1]Page 376 data'!A502</f>
        <v>38406</v>
      </c>
      <c r="B282" s="5">
        <f>'[1]Page 376 data'!C502</f>
        <v>4.4528141757855799E-3</v>
      </c>
      <c r="C282" s="5">
        <f>'[1]Page 376 data'!K502</f>
        <v>2.3732706948327298E-2</v>
      </c>
      <c r="E282" s="6"/>
      <c r="L282" s="6"/>
    </row>
    <row r="283" spans="1:12" x14ac:dyDescent="0.25">
      <c r="A283" s="13">
        <f>'[1]Page 376 data'!A503</f>
        <v>38407</v>
      </c>
      <c r="B283" s="5">
        <f>'[1]Page 376 data'!C503</f>
        <v>5.52236003578499E-3</v>
      </c>
      <c r="C283" s="5">
        <f>'[1]Page 376 data'!K503</f>
        <v>6.3556185771826978E-3</v>
      </c>
      <c r="E283" s="6"/>
      <c r="L283" s="6"/>
    </row>
    <row r="284" spans="1:12" x14ac:dyDescent="0.25">
      <c r="A284" s="13">
        <f>'[1]Page 376 data'!A504</f>
        <v>38408</v>
      </c>
      <c r="B284" s="5">
        <f>'[1]Page 376 data'!C504</f>
        <v>1.0793214046418642E-2</v>
      </c>
      <c r="C284" s="5">
        <f>'[1]Page 376 data'!K504</f>
        <v>6.6870924599404802E-3</v>
      </c>
      <c r="E284" s="6"/>
      <c r="L284" s="6"/>
    </row>
    <row r="285" spans="1:12" x14ac:dyDescent="0.25">
      <c r="A285" s="13">
        <f>'[1]Page 376 data'!A505</f>
        <v>38411</v>
      </c>
      <c r="B285" s="5">
        <f>'[1]Page 376 data'!C505</f>
        <v>-5.5230382415386581E-3</v>
      </c>
      <c r="C285" s="5">
        <f>'[1]Page 376 data'!K505</f>
        <v>-2.0299083676522001E-2</v>
      </c>
      <c r="E285" s="6"/>
      <c r="L285" s="6"/>
    </row>
    <row r="286" spans="1:12" x14ac:dyDescent="0.25">
      <c r="A286" s="13">
        <f>'[1]Page 376 data'!A506</f>
        <v>38412</v>
      </c>
      <c r="B286" s="5">
        <f>'[1]Page 376 data'!C506</f>
        <v>4.0703542983897556E-3</v>
      </c>
      <c r="C286" s="5">
        <f>'[1]Page 376 data'!K506</f>
        <v>7.912646890282593E-3</v>
      </c>
      <c r="E286" s="6"/>
      <c r="L286" s="6"/>
    </row>
    <row r="287" spans="1:12" x14ac:dyDescent="0.25">
      <c r="E287" s="6"/>
      <c r="L287" s="6"/>
    </row>
    <row r="288" spans="1:12" x14ac:dyDescent="0.25">
      <c r="E288" s="6"/>
      <c r="L288" s="6"/>
    </row>
    <row r="289" spans="1:12" x14ac:dyDescent="0.25">
      <c r="E289" s="6"/>
      <c r="L289" s="6"/>
    </row>
    <row r="290" spans="1:12" x14ac:dyDescent="0.25">
      <c r="E290" s="6"/>
      <c r="L290" s="6"/>
    </row>
    <row r="291" spans="1:12" x14ac:dyDescent="0.25">
      <c r="E291" s="6"/>
      <c r="L291" s="6"/>
    </row>
    <row r="292" spans="1:12" x14ac:dyDescent="0.25">
      <c r="E292" s="6"/>
      <c r="L292" s="6"/>
    </row>
    <row r="293" spans="1:12" x14ac:dyDescent="0.25">
      <c r="E293" s="6"/>
      <c r="L293" s="6"/>
    </row>
    <row r="294" spans="1:12" x14ac:dyDescent="0.25">
      <c r="E294" s="6"/>
      <c r="L294" s="6"/>
    </row>
    <row r="295" spans="1:12" x14ac:dyDescent="0.25">
      <c r="E295" s="6"/>
      <c r="L295" s="6"/>
    </row>
    <row r="296" spans="1:12" x14ac:dyDescent="0.25">
      <c r="E296" s="6"/>
      <c r="L296" s="6"/>
    </row>
    <row r="297" spans="1:12" x14ac:dyDescent="0.25">
      <c r="E297" s="6"/>
      <c r="L297" s="6"/>
    </row>
    <row r="298" spans="1:12" x14ac:dyDescent="0.25">
      <c r="E298" s="6"/>
      <c r="L298" s="6"/>
    </row>
    <row r="299" spans="1:12" x14ac:dyDescent="0.25">
      <c r="A299" s="3" t="s">
        <v>14</v>
      </c>
      <c r="E299" s="6"/>
      <c r="L299" s="6"/>
    </row>
    <row r="300" spans="1:12" x14ac:dyDescent="0.25">
      <c r="A300" s="21" t="s">
        <v>15</v>
      </c>
      <c r="E300" s="6"/>
      <c r="L300" s="6"/>
    </row>
    <row r="301" spans="1:12" x14ac:dyDescent="0.25">
      <c r="A301" s="21" t="s">
        <v>16</v>
      </c>
      <c r="E301" s="6"/>
      <c r="L301" s="6"/>
    </row>
    <row r="302" spans="1:12" x14ac:dyDescent="0.25">
      <c r="A302" s="21" t="s">
        <v>17</v>
      </c>
      <c r="E302" s="6"/>
      <c r="L302" s="6"/>
    </row>
    <row r="303" spans="1:12" x14ac:dyDescent="0.25">
      <c r="A303" s="21" t="s">
        <v>18</v>
      </c>
      <c r="E303" s="6"/>
      <c r="L303" s="6"/>
    </row>
    <row r="304" spans="1:12" x14ac:dyDescent="0.25">
      <c r="A304" s="21" t="s">
        <v>19</v>
      </c>
      <c r="E304" s="6"/>
      <c r="L304" s="6"/>
    </row>
    <row r="305" spans="1:12" x14ac:dyDescent="0.25">
      <c r="A305" s="21" t="s">
        <v>20</v>
      </c>
      <c r="E305" s="6"/>
      <c r="L305" s="6"/>
    </row>
    <row r="306" spans="1:12" x14ac:dyDescent="0.25">
      <c r="E306" s="6"/>
      <c r="L306" s="6"/>
    </row>
    <row r="307" spans="1:12" x14ac:dyDescent="0.25">
      <c r="E307" s="6"/>
      <c r="L307" s="6"/>
    </row>
    <row r="308" spans="1:12" x14ac:dyDescent="0.25">
      <c r="E308" s="6"/>
      <c r="L308" s="6"/>
    </row>
    <row r="309" spans="1:12" x14ac:dyDescent="0.25">
      <c r="E309" s="6"/>
      <c r="L309" s="6"/>
    </row>
    <row r="310" spans="1:12" x14ac:dyDescent="0.25">
      <c r="E310" s="6"/>
      <c r="L310" s="6"/>
    </row>
    <row r="311" spans="1:12" x14ac:dyDescent="0.25">
      <c r="E311" s="6"/>
      <c r="L311" s="6"/>
    </row>
    <row r="312" spans="1:12" x14ac:dyDescent="0.25">
      <c r="E312" s="6"/>
      <c r="L312" s="6"/>
    </row>
    <row r="313" spans="1:12" x14ac:dyDescent="0.25">
      <c r="E313" s="6"/>
      <c r="L313" s="6"/>
    </row>
    <row r="314" spans="1:12" x14ac:dyDescent="0.25">
      <c r="E314" s="6"/>
      <c r="L314" s="6"/>
    </row>
    <row r="315" spans="1:12" x14ac:dyDescent="0.25">
      <c r="E315" s="6"/>
      <c r="L315" s="6"/>
    </row>
    <row r="316" spans="1:12" x14ac:dyDescent="0.25">
      <c r="E316" s="6"/>
      <c r="L316" s="6"/>
    </row>
    <row r="317" spans="1:12" x14ac:dyDescent="0.25">
      <c r="E317" s="6"/>
      <c r="L317" s="6"/>
    </row>
    <row r="318" spans="1:12" x14ac:dyDescent="0.25">
      <c r="E318" s="6"/>
      <c r="L318" s="6"/>
    </row>
    <row r="319" spans="1:12" x14ac:dyDescent="0.25">
      <c r="E319" s="6"/>
      <c r="L319" s="6"/>
    </row>
    <row r="320" spans="1:12" x14ac:dyDescent="0.25">
      <c r="E320" s="6"/>
      <c r="L320" s="6"/>
    </row>
    <row r="321" spans="5:12" x14ac:dyDescent="0.25">
      <c r="E321" s="6"/>
      <c r="L321" s="6"/>
    </row>
    <row r="322" spans="5:12" x14ac:dyDescent="0.25">
      <c r="E322" s="6"/>
      <c r="L322" s="6"/>
    </row>
    <row r="323" spans="5:12" x14ac:dyDescent="0.25">
      <c r="E323" s="6"/>
      <c r="L323" s="6"/>
    </row>
    <row r="324" spans="5:12" x14ac:dyDescent="0.25">
      <c r="E324" s="6"/>
      <c r="L324" s="6"/>
    </row>
    <row r="325" spans="5:12" x14ac:dyDescent="0.25">
      <c r="E325" s="6"/>
      <c r="L325" s="6"/>
    </row>
    <row r="326" spans="5:12" x14ac:dyDescent="0.25">
      <c r="E326" s="6"/>
      <c r="L326" s="6"/>
    </row>
    <row r="327" spans="5:12" x14ac:dyDescent="0.25">
      <c r="E327" s="6"/>
      <c r="L327" s="6"/>
    </row>
    <row r="328" spans="5:12" x14ac:dyDescent="0.25">
      <c r="E328" s="6"/>
      <c r="L328" s="6"/>
    </row>
    <row r="329" spans="5:12" x14ac:dyDescent="0.25">
      <c r="E329" s="6"/>
      <c r="L329" s="6"/>
    </row>
    <row r="330" spans="5:12" x14ac:dyDescent="0.25">
      <c r="E330" s="6"/>
      <c r="L330" s="6"/>
    </row>
    <row r="331" spans="5:12" x14ac:dyDescent="0.25">
      <c r="E331" s="6"/>
      <c r="L331" s="6"/>
    </row>
    <row r="332" spans="5:12" x14ac:dyDescent="0.25">
      <c r="E332" s="6"/>
      <c r="L332" s="6"/>
    </row>
    <row r="333" spans="5:12" x14ac:dyDescent="0.25">
      <c r="E333" s="6"/>
      <c r="L333" s="6"/>
    </row>
    <row r="334" spans="5:12" x14ac:dyDescent="0.25">
      <c r="E334" s="6"/>
      <c r="L334" s="6"/>
    </row>
    <row r="335" spans="5:12" x14ac:dyDescent="0.25">
      <c r="E335" s="6"/>
      <c r="L335" s="6"/>
    </row>
    <row r="336" spans="5:12" x14ac:dyDescent="0.25">
      <c r="E336" s="6"/>
      <c r="L336" s="6"/>
    </row>
    <row r="337" spans="5:12" x14ac:dyDescent="0.25">
      <c r="E337" s="6"/>
      <c r="L337" s="6"/>
    </row>
    <row r="338" spans="5:12" x14ac:dyDescent="0.25">
      <c r="E338" s="6"/>
      <c r="L338" s="6"/>
    </row>
    <row r="339" spans="5:12" x14ac:dyDescent="0.25">
      <c r="E339" s="6"/>
      <c r="L339" s="6"/>
    </row>
    <row r="340" spans="5:12" x14ac:dyDescent="0.25">
      <c r="E340" s="6"/>
      <c r="L340" s="6"/>
    </row>
    <row r="341" spans="5:12" x14ac:dyDescent="0.25">
      <c r="E341" s="6"/>
      <c r="L341" s="6"/>
    </row>
    <row r="342" spans="5:12" x14ac:dyDescent="0.25">
      <c r="E342" s="6"/>
      <c r="L342" s="6"/>
    </row>
    <row r="343" spans="5:12" x14ac:dyDescent="0.25">
      <c r="E343" s="6"/>
      <c r="L343" s="6"/>
    </row>
    <row r="344" spans="5:12" x14ac:dyDescent="0.25">
      <c r="E344" s="6"/>
      <c r="L344" s="6"/>
    </row>
    <row r="345" spans="5:12" x14ac:dyDescent="0.25">
      <c r="E345" s="6"/>
      <c r="L345" s="6"/>
    </row>
    <row r="346" spans="5:12" x14ac:dyDescent="0.25">
      <c r="E346" s="6"/>
      <c r="L346" s="6"/>
    </row>
    <row r="347" spans="5:12" x14ac:dyDescent="0.25">
      <c r="E347" s="6"/>
      <c r="L347" s="6"/>
    </row>
    <row r="348" spans="5:12" x14ac:dyDescent="0.25">
      <c r="E348" s="6"/>
      <c r="L348" s="6"/>
    </row>
    <row r="349" spans="5:12" x14ac:dyDescent="0.25">
      <c r="E349" s="6"/>
      <c r="L349" s="6"/>
    </row>
    <row r="350" spans="5:12" x14ac:dyDescent="0.25">
      <c r="E350" s="6"/>
      <c r="L350" s="6"/>
    </row>
    <row r="351" spans="5:12" x14ac:dyDescent="0.25">
      <c r="E351" s="6"/>
      <c r="L351" s="6"/>
    </row>
    <row r="352" spans="5:12" x14ac:dyDescent="0.25">
      <c r="E352" s="6"/>
      <c r="L352" s="6"/>
    </row>
    <row r="353" spans="5:12" x14ac:dyDescent="0.25">
      <c r="E353" s="6"/>
      <c r="L353" s="6"/>
    </row>
    <row r="354" spans="5:12" x14ac:dyDescent="0.25">
      <c r="E354" s="6"/>
      <c r="L354" s="6"/>
    </row>
    <row r="355" spans="5:12" x14ac:dyDescent="0.25">
      <c r="E355" s="6"/>
      <c r="L355" s="6"/>
    </row>
    <row r="356" spans="5:12" x14ac:dyDescent="0.25">
      <c r="E356" s="6"/>
      <c r="L356" s="6"/>
    </row>
    <row r="357" spans="5:12" x14ac:dyDescent="0.25">
      <c r="E357" s="6"/>
      <c r="L357" s="6"/>
    </row>
    <row r="358" spans="5:12" x14ac:dyDescent="0.25">
      <c r="E358" s="6"/>
      <c r="L358" s="6"/>
    </row>
    <row r="359" spans="5:12" x14ac:dyDescent="0.25">
      <c r="E359" s="6"/>
      <c r="L359" s="6"/>
    </row>
    <row r="360" spans="5:12" x14ac:dyDescent="0.25">
      <c r="E360" s="6"/>
      <c r="L360" s="6"/>
    </row>
    <row r="361" spans="5:12" x14ac:dyDescent="0.25">
      <c r="E361" s="6"/>
      <c r="L361" s="6"/>
    </row>
    <row r="362" spans="5:12" x14ac:dyDescent="0.25">
      <c r="E362" s="6"/>
      <c r="L362" s="6"/>
    </row>
    <row r="363" spans="5:12" x14ac:dyDescent="0.25">
      <c r="E363" s="6"/>
      <c r="L363" s="6"/>
    </row>
    <row r="364" spans="5:12" x14ac:dyDescent="0.25">
      <c r="E364" s="6"/>
      <c r="L364" s="6"/>
    </row>
    <row r="365" spans="5:12" x14ac:dyDescent="0.25">
      <c r="E365" s="6"/>
      <c r="L365" s="6"/>
    </row>
    <row r="366" spans="5:12" x14ac:dyDescent="0.25">
      <c r="E366" s="6"/>
      <c r="L366" s="6"/>
    </row>
    <row r="367" spans="5:12" x14ac:dyDescent="0.25">
      <c r="E367" s="6"/>
      <c r="L367" s="6"/>
    </row>
    <row r="368" spans="5:12" x14ac:dyDescent="0.25">
      <c r="E368" s="6"/>
      <c r="L368" s="6"/>
    </row>
    <row r="369" spans="5:12" x14ac:dyDescent="0.25">
      <c r="E369" s="6"/>
      <c r="L369" s="6"/>
    </row>
    <row r="370" spans="5:12" x14ac:dyDescent="0.25">
      <c r="E370" s="6"/>
      <c r="L370" s="6"/>
    </row>
    <row r="371" spans="5:12" x14ac:dyDescent="0.25">
      <c r="E371" s="6"/>
      <c r="L371" s="6"/>
    </row>
    <row r="372" spans="5:12" x14ac:dyDescent="0.25">
      <c r="E372" s="6"/>
      <c r="L372" s="6"/>
    </row>
    <row r="373" spans="5:12" x14ac:dyDescent="0.25">
      <c r="E373" s="6"/>
      <c r="L373" s="6"/>
    </row>
    <row r="374" spans="5:12" x14ac:dyDescent="0.25">
      <c r="E374" s="6"/>
      <c r="L374" s="6"/>
    </row>
    <row r="375" spans="5:12" x14ac:dyDescent="0.25">
      <c r="E375" s="6"/>
      <c r="L375" s="6"/>
    </row>
    <row r="376" spans="5:12" x14ac:dyDescent="0.25">
      <c r="E376" s="6"/>
      <c r="L376" s="6"/>
    </row>
    <row r="377" spans="5:12" x14ac:dyDescent="0.25">
      <c r="E377" s="6"/>
      <c r="L377" s="6"/>
    </row>
    <row r="378" spans="5:12" x14ac:dyDescent="0.25">
      <c r="E378" s="6"/>
      <c r="L378" s="6"/>
    </row>
    <row r="379" spans="5:12" x14ac:dyDescent="0.25">
      <c r="E379" s="6"/>
      <c r="L379" s="6"/>
    </row>
    <row r="380" spans="5:12" x14ac:dyDescent="0.25">
      <c r="E380" s="6"/>
      <c r="L380" s="6"/>
    </row>
    <row r="381" spans="5:12" x14ac:dyDescent="0.25">
      <c r="E381" s="6"/>
      <c r="L381" s="6"/>
    </row>
    <row r="382" spans="5:12" x14ac:dyDescent="0.25">
      <c r="E382" s="6"/>
      <c r="L382" s="6"/>
    </row>
    <row r="383" spans="5:12" x14ac:dyDescent="0.25">
      <c r="E383" s="6"/>
      <c r="L383" s="6"/>
    </row>
    <row r="384" spans="5:12" x14ac:dyDescent="0.25">
      <c r="E384" s="6"/>
      <c r="L384" s="6"/>
    </row>
    <row r="385" spans="5:12" x14ac:dyDescent="0.25">
      <c r="E385" s="6"/>
      <c r="L385" s="6"/>
    </row>
    <row r="386" spans="5:12" x14ac:dyDescent="0.25">
      <c r="E386" s="6"/>
      <c r="L386" s="6"/>
    </row>
    <row r="387" spans="5:12" x14ac:dyDescent="0.25">
      <c r="E387" s="6"/>
      <c r="L387" s="6"/>
    </row>
    <row r="388" spans="5:12" x14ac:dyDescent="0.25">
      <c r="E388" s="6"/>
      <c r="L388" s="6"/>
    </row>
    <row r="389" spans="5:12" x14ac:dyDescent="0.25">
      <c r="E389" s="6"/>
      <c r="L389" s="6"/>
    </row>
    <row r="390" spans="5:12" x14ac:dyDescent="0.25">
      <c r="E390" s="6"/>
      <c r="L390" s="6"/>
    </row>
    <row r="391" spans="5:12" x14ac:dyDescent="0.25">
      <c r="E391" s="6"/>
      <c r="L391" s="6"/>
    </row>
    <row r="392" spans="5:12" x14ac:dyDescent="0.25">
      <c r="E392" s="6"/>
      <c r="L392" s="6"/>
    </row>
    <row r="393" spans="5:12" x14ac:dyDescent="0.25">
      <c r="E393" s="6"/>
      <c r="L393" s="6"/>
    </row>
    <row r="394" spans="5:12" x14ac:dyDescent="0.25">
      <c r="E394" s="6"/>
      <c r="L394" s="6"/>
    </row>
    <row r="395" spans="5:12" x14ac:dyDescent="0.25">
      <c r="E395" s="6"/>
      <c r="L395" s="6"/>
    </row>
    <row r="396" spans="5:12" x14ac:dyDescent="0.25">
      <c r="E396" s="6"/>
      <c r="L396" s="6"/>
    </row>
    <row r="397" spans="5:12" x14ac:dyDescent="0.25">
      <c r="E397" s="6"/>
      <c r="L397" s="6"/>
    </row>
    <row r="398" spans="5:12" x14ac:dyDescent="0.25">
      <c r="E398" s="6"/>
      <c r="L398" s="6"/>
    </row>
    <row r="399" spans="5:12" x14ac:dyDescent="0.25">
      <c r="E399" s="6"/>
      <c r="L399" s="6"/>
    </row>
    <row r="400" spans="5:12" x14ac:dyDescent="0.25">
      <c r="E400" s="6"/>
      <c r="L400" s="6"/>
    </row>
    <row r="401" spans="5:12" x14ac:dyDescent="0.25">
      <c r="E401" s="6"/>
      <c r="L401" s="6"/>
    </row>
    <row r="402" spans="5:12" x14ac:dyDescent="0.25">
      <c r="E402" s="6"/>
      <c r="L402" s="6"/>
    </row>
    <row r="403" spans="5:12" x14ac:dyDescent="0.25">
      <c r="E403" s="6"/>
      <c r="L403" s="6"/>
    </row>
    <row r="404" spans="5:12" x14ac:dyDescent="0.25">
      <c r="E404" s="6"/>
      <c r="L404" s="6"/>
    </row>
    <row r="405" spans="5:12" x14ac:dyDescent="0.25">
      <c r="E405" s="6"/>
      <c r="L405" s="6"/>
    </row>
    <row r="406" spans="5:12" x14ac:dyDescent="0.25">
      <c r="E406" s="6"/>
      <c r="L406" s="6"/>
    </row>
    <row r="407" spans="5:12" x14ac:dyDescent="0.25">
      <c r="E407" s="6"/>
      <c r="L407" s="6"/>
    </row>
    <row r="408" spans="5:12" x14ac:dyDescent="0.25">
      <c r="E408" s="6"/>
      <c r="L408" s="6"/>
    </row>
    <row r="409" spans="5:12" x14ac:dyDescent="0.25">
      <c r="E409" s="6"/>
      <c r="L409" s="6"/>
    </row>
    <row r="410" spans="5:12" x14ac:dyDescent="0.25">
      <c r="E410" s="6"/>
      <c r="L410" s="6"/>
    </row>
    <row r="411" spans="5:12" x14ac:dyDescent="0.25">
      <c r="E411" s="6"/>
      <c r="L411" s="6"/>
    </row>
    <row r="412" spans="5:12" x14ac:dyDescent="0.25">
      <c r="E412" s="6"/>
      <c r="L412" s="6"/>
    </row>
    <row r="413" spans="5:12" x14ac:dyDescent="0.25">
      <c r="E413" s="6"/>
      <c r="L413" s="6"/>
    </row>
    <row r="414" spans="5:12" x14ac:dyDescent="0.25">
      <c r="E414" s="6"/>
      <c r="L414" s="6"/>
    </row>
    <row r="415" spans="5:12" x14ac:dyDescent="0.25">
      <c r="E415" s="6"/>
      <c r="L415" s="6"/>
    </row>
    <row r="416" spans="5:12" x14ac:dyDescent="0.25">
      <c r="E416" s="6"/>
      <c r="L416" s="6"/>
    </row>
    <row r="417" spans="5:12" x14ac:dyDescent="0.25">
      <c r="E417" s="6"/>
      <c r="L417" s="6"/>
    </row>
    <row r="418" spans="5:12" x14ac:dyDescent="0.25">
      <c r="E418" s="6"/>
      <c r="L418" s="6"/>
    </row>
    <row r="419" spans="5:12" x14ac:dyDescent="0.25">
      <c r="E419" s="6"/>
      <c r="L419" s="6"/>
    </row>
    <row r="420" spans="5:12" x14ac:dyDescent="0.25">
      <c r="E420" s="6"/>
      <c r="L420" s="6"/>
    </row>
    <row r="421" spans="5:12" x14ac:dyDescent="0.25">
      <c r="E421" s="6"/>
      <c r="L421" s="6"/>
    </row>
    <row r="422" spans="5:12" x14ac:dyDescent="0.25">
      <c r="E422" s="6"/>
      <c r="L422" s="6"/>
    </row>
    <row r="423" spans="5:12" x14ac:dyDescent="0.25">
      <c r="E423" s="6"/>
      <c r="L423" s="6"/>
    </row>
    <row r="424" spans="5:12" x14ac:dyDescent="0.25">
      <c r="E424" s="6"/>
      <c r="L424" s="6"/>
    </row>
    <row r="425" spans="5:12" x14ac:dyDescent="0.25">
      <c r="E425" s="6"/>
      <c r="L425" s="6"/>
    </row>
    <row r="426" spans="5:12" x14ac:dyDescent="0.25">
      <c r="E426" s="6"/>
      <c r="L426" s="6"/>
    </row>
    <row r="427" spans="5:12" x14ac:dyDescent="0.25">
      <c r="E427" s="6"/>
      <c r="L427" s="6"/>
    </row>
    <row r="428" spans="5:12" x14ac:dyDescent="0.25">
      <c r="E428" s="6"/>
      <c r="L428" s="6"/>
    </row>
    <row r="429" spans="5:12" x14ac:dyDescent="0.25">
      <c r="E429" s="6"/>
      <c r="L429" s="6"/>
    </row>
    <row r="430" spans="5:12" x14ac:dyDescent="0.25">
      <c r="E430" s="6"/>
      <c r="L430" s="6"/>
    </row>
    <row r="431" spans="5:12" x14ac:dyDescent="0.25">
      <c r="E431" s="6"/>
      <c r="L431" s="6"/>
    </row>
    <row r="432" spans="5:12" x14ac:dyDescent="0.25">
      <c r="E432" s="6"/>
      <c r="L432" s="6"/>
    </row>
    <row r="433" spans="5:12" x14ac:dyDescent="0.25">
      <c r="E433" s="6"/>
      <c r="L433" s="6"/>
    </row>
    <row r="434" spans="5:12" x14ac:dyDescent="0.25">
      <c r="E434" s="6"/>
      <c r="L434" s="6"/>
    </row>
    <row r="435" spans="5:12" x14ac:dyDescent="0.25">
      <c r="E435" s="6"/>
      <c r="L435" s="6"/>
    </row>
    <row r="436" spans="5:12" x14ac:dyDescent="0.25">
      <c r="E436" s="6"/>
      <c r="L436" s="6"/>
    </row>
    <row r="437" spans="5:12" x14ac:dyDescent="0.25">
      <c r="E437" s="6"/>
      <c r="L437" s="6"/>
    </row>
    <row r="438" spans="5:12" x14ac:dyDescent="0.25">
      <c r="E438" s="6"/>
      <c r="L438" s="6"/>
    </row>
    <row r="439" spans="5:12" x14ac:dyDescent="0.25">
      <c r="E439" s="6"/>
      <c r="L439" s="6"/>
    </row>
    <row r="440" spans="5:12" x14ac:dyDescent="0.25">
      <c r="E440" s="6"/>
      <c r="L440" s="6"/>
    </row>
    <row r="441" spans="5:12" x14ac:dyDescent="0.25">
      <c r="E441" s="6"/>
      <c r="L441" s="6"/>
    </row>
    <row r="442" spans="5:12" x14ac:dyDescent="0.25">
      <c r="E442" s="6"/>
      <c r="L442" s="6"/>
    </row>
    <row r="443" spans="5:12" x14ac:dyDescent="0.25">
      <c r="E443" s="6"/>
      <c r="L443" s="6"/>
    </row>
    <row r="444" spans="5:12" x14ac:dyDescent="0.25">
      <c r="E444" s="6"/>
      <c r="L444" s="6"/>
    </row>
    <row r="445" spans="5:12" x14ac:dyDescent="0.25">
      <c r="E445" s="6"/>
      <c r="L445" s="6"/>
    </row>
    <row r="446" spans="5:12" x14ac:dyDescent="0.25">
      <c r="E446" s="6"/>
      <c r="L446" s="6"/>
    </row>
    <row r="447" spans="5:12" x14ac:dyDescent="0.25">
      <c r="E447" s="6"/>
      <c r="L447" s="6"/>
    </row>
    <row r="448" spans="5:12" x14ac:dyDescent="0.25">
      <c r="E448" s="6"/>
      <c r="L448" s="6"/>
    </row>
    <row r="449" spans="5:12" x14ac:dyDescent="0.25">
      <c r="E449" s="6"/>
      <c r="L449" s="6"/>
    </row>
    <row r="450" spans="5:12" x14ac:dyDescent="0.25">
      <c r="E450" s="6"/>
      <c r="L450" s="6"/>
    </row>
    <row r="451" spans="5:12" x14ac:dyDescent="0.25">
      <c r="E451" s="6"/>
      <c r="L451" s="6"/>
    </row>
    <row r="452" spans="5:12" x14ac:dyDescent="0.25">
      <c r="E452" s="6"/>
      <c r="L452" s="6"/>
    </row>
    <row r="453" spans="5:12" x14ac:dyDescent="0.25">
      <c r="E453" s="6"/>
      <c r="L453" s="6"/>
    </row>
    <row r="454" spans="5:12" x14ac:dyDescent="0.25">
      <c r="E454" s="6"/>
      <c r="L454" s="6"/>
    </row>
    <row r="455" spans="5:12" x14ac:dyDescent="0.25">
      <c r="E455" s="6"/>
      <c r="L455" s="6"/>
    </row>
    <row r="456" spans="5:12" x14ac:dyDescent="0.25">
      <c r="E456" s="6"/>
      <c r="L456" s="6"/>
    </row>
    <row r="457" spans="5:12" x14ac:dyDescent="0.25">
      <c r="E457" s="6"/>
      <c r="L457" s="6"/>
    </row>
    <row r="458" spans="5:12" x14ac:dyDescent="0.25">
      <c r="E458" s="6"/>
      <c r="L458" s="6"/>
    </row>
    <row r="459" spans="5:12" x14ac:dyDescent="0.25">
      <c r="E459" s="6"/>
      <c r="L459" s="6"/>
    </row>
    <row r="460" spans="5:12" x14ac:dyDescent="0.25">
      <c r="E460" s="6"/>
      <c r="L460" s="6"/>
    </row>
    <row r="461" spans="5:12" x14ac:dyDescent="0.25">
      <c r="E461" s="6"/>
      <c r="L461" s="6"/>
    </row>
    <row r="462" spans="5:12" x14ac:dyDescent="0.25">
      <c r="E462" s="6"/>
      <c r="L462" s="6"/>
    </row>
    <row r="463" spans="5:12" x14ac:dyDescent="0.25">
      <c r="E463" s="6"/>
      <c r="L463" s="6"/>
    </row>
    <row r="464" spans="5:12" x14ac:dyDescent="0.25">
      <c r="E464" s="6"/>
      <c r="L464" s="6"/>
    </row>
    <row r="465" spans="5:12" x14ac:dyDescent="0.25">
      <c r="E465" s="6"/>
      <c r="L465" s="6"/>
    </row>
    <row r="466" spans="5:12" x14ac:dyDescent="0.25">
      <c r="E466" s="6"/>
      <c r="L466" s="6"/>
    </row>
    <row r="467" spans="5:12" x14ac:dyDescent="0.25">
      <c r="E467" s="6"/>
      <c r="L467" s="6"/>
    </row>
    <row r="468" spans="5:12" x14ac:dyDescent="0.25">
      <c r="E468" s="6"/>
      <c r="L468" s="6"/>
    </row>
    <row r="469" spans="5:12" x14ac:dyDescent="0.25">
      <c r="E469" s="6"/>
      <c r="L469" s="6"/>
    </row>
    <row r="470" spans="5:12" x14ac:dyDescent="0.25">
      <c r="E470" s="6"/>
      <c r="L470" s="6"/>
    </row>
    <row r="471" spans="5:12" x14ac:dyDescent="0.25">
      <c r="E471" s="6"/>
      <c r="L471" s="6"/>
    </row>
    <row r="472" spans="5:12" x14ac:dyDescent="0.25">
      <c r="E472" s="6"/>
      <c r="L472" s="6"/>
    </row>
    <row r="473" spans="5:12" x14ac:dyDescent="0.25">
      <c r="E473" s="6"/>
      <c r="L473" s="6"/>
    </row>
    <row r="474" spans="5:12" x14ac:dyDescent="0.25">
      <c r="E474" s="6"/>
      <c r="L474" s="6"/>
    </row>
    <row r="475" spans="5:12" x14ac:dyDescent="0.25">
      <c r="E475" s="6"/>
      <c r="L475" s="6"/>
    </row>
    <row r="476" spans="5:12" x14ac:dyDescent="0.25">
      <c r="E476" s="6"/>
      <c r="L476" s="6"/>
    </row>
    <row r="477" spans="5:12" x14ac:dyDescent="0.25">
      <c r="E477" s="6"/>
      <c r="L477" s="6"/>
    </row>
    <row r="478" spans="5:12" x14ac:dyDescent="0.25">
      <c r="E478" s="6"/>
      <c r="L478" s="6"/>
    </row>
    <row r="479" spans="5:12" x14ac:dyDescent="0.25">
      <c r="E479" s="6"/>
      <c r="L479" s="6"/>
    </row>
    <row r="480" spans="5:12" x14ac:dyDescent="0.25">
      <c r="E480" s="6"/>
      <c r="L480" s="6"/>
    </row>
    <row r="481" spans="5:12" x14ac:dyDescent="0.25">
      <c r="E481" s="6"/>
      <c r="L481" s="6"/>
    </row>
    <row r="482" spans="5:12" x14ac:dyDescent="0.25">
      <c r="E482" s="6"/>
      <c r="L482" s="6"/>
    </row>
    <row r="483" spans="5:12" x14ac:dyDescent="0.25">
      <c r="E483" s="6"/>
      <c r="L483" s="6"/>
    </row>
    <row r="484" spans="5:12" x14ac:dyDescent="0.25">
      <c r="E484" s="6"/>
      <c r="L484" s="6"/>
    </row>
    <row r="485" spans="5:12" x14ac:dyDescent="0.25">
      <c r="E485" s="6"/>
      <c r="L485" s="6"/>
    </row>
    <row r="486" spans="5:12" x14ac:dyDescent="0.25">
      <c r="E486" s="6"/>
      <c r="L486" s="6"/>
    </row>
    <row r="487" spans="5:12" x14ac:dyDescent="0.25">
      <c r="E487" s="6"/>
      <c r="L487" s="6"/>
    </row>
    <row r="488" spans="5:12" x14ac:dyDescent="0.25">
      <c r="E488" s="6"/>
      <c r="L488" s="6"/>
    </row>
    <row r="489" spans="5:12" x14ac:dyDescent="0.25">
      <c r="E489" s="6"/>
      <c r="L489" s="6"/>
    </row>
    <row r="490" spans="5:12" x14ac:dyDescent="0.25">
      <c r="E490" s="6"/>
      <c r="L490" s="6"/>
    </row>
    <row r="491" spans="5:12" x14ac:dyDescent="0.25">
      <c r="E491" s="6"/>
      <c r="L491" s="6"/>
    </row>
    <row r="492" spans="5:12" x14ac:dyDescent="0.25">
      <c r="E492" s="6"/>
      <c r="L492" s="6"/>
    </row>
    <row r="493" spans="5:12" x14ac:dyDescent="0.25">
      <c r="E493" s="6"/>
      <c r="L493" s="6"/>
    </row>
    <row r="494" spans="5:12" x14ac:dyDescent="0.25">
      <c r="E494" s="6"/>
      <c r="L494" s="6"/>
    </row>
    <row r="495" spans="5:12" x14ac:dyDescent="0.25">
      <c r="E495" s="6"/>
      <c r="L495" s="6"/>
    </row>
    <row r="496" spans="5:12" x14ac:dyDescent="0.25">
      <c r="E496" s="6"/>
      <c r="L496" s="6"/>
    </row>
    <row r="497" spans="5:12" x14ac:dyDescent="0.25">
      <c r="E497" s="6"/>
      <c r="L497" s="6"/>
    </row>
    <row r="498" spans="5:12" x14ac:dyDescent="0.25">
      <c r="E498" s="6"/>
      <c r="L498" s="6"/>
    </row>
    <row r="499" spans="5:12" x14ac:dyDescent="0.25">
      <c r="E499" s="6"/>
      <c r="L499" s="6"/>
    </row>
    <row r="500" spans="5:12" x14ac:dyDescent="0.25">
      <c r="E500" s="6"/>
      <c r="L500" s="6"/>
    </row>
    <row r="501" spans="5:12" x14ac:dyDescent="0.25">
      <c r="E501" s="6"/>
      <c r="L501" s="6"/>
    </row>
    <row r="502" spans="5:12" x14ac:dyDescent="0.25">
      <c r="E502" s="6"/>
      <c r="L502" s="6"/>
    </row>
    <row r="503" spans="5:12" x14ac:dyDescent="0.25">
      <c r="E503" s="6"/>
      <c r="L503" s="6"/>
    </row>
    <row r="504" spans="5:12" x14ac:dyDescent="0.25">
      <c r="E504" s="6"/>
      <c r="L504" s="6"/>
    </row>
    <row r="505" spans="5:12" x14ac:dyDescent="0.25">
      <c r="E505" s="6"/>
      <c r="L505" s="6"/>
    </row>
    <row r="506" spans="5:12" x14ac:dyDescent="0.25">
      <c r="E506" s="6"/>
      <c r="L506" s="6"/>
    </row>
    <row r="507" spans="5:12" x14ac:dyDescent="0.25">
      <c r="E507" s="6"/>
      <c r="L507" s="6"/>
    </row>
    <row r="508" spans="5:12" x14ac:dyDescent="0.25">
      <c r="E508" s="6"/>
      <c r="L508" s="6"/>
    </row>
    <row r="509" spans="5:12" x14ac:dyDescent="0.25">
      <c r="E509" s="6"/>
      <c r="L509" s="6"/>
    </row>
    <row r="510" spans="5:12" x14ac:dyDescent="0.25">
      <c r="E510" s="6"/>
      <c r="L510" s="6"/>
    </row>
    <row r="511" spans="5:12" x14ac:dyDescent="0.25">
      <c r="E511" s="6"/>
      <c r="L511" s="6"/>
    </row>
    <row r="512" spans="5:12" x14ac:dyDescent="0.25">
      <c r="E512" s="6"/>
      <c r="L512" s="6"/>
    </row>
    <row r="513" spans="5:12" x14ac:dyDescent="0.25">
      <c r="E513" s="6"/>
      <c r="L513" s="6"/>
    </row>
    <row r="514" spans="5:12" x14ac:dyDescent="0.25">
      <c r="E514" s="6"/>
      <c r="L514" s="6"/>
    </row>
    <row r="515" spans="5:12" x14ac:dyDescent="0.25">
      <c r="E515" s="6"/>
      <c r="L515" s="6"/>
    </row>
    <row r="516" spans="5:12" x14ac:dyDescent="0.25">
      <c r="E516" s="6"/>
      <c r="L516" s="6"/>
    </row>
    <row r="517" spans="5:12" x14ac:dyDescent="0.25">
      <c r="E517" s="6"/>
      <c r="L517" s="6"/>
    </row>
    <row r="518" spans="5:12" x14ac:dyDescent="0.25">
      <c r="E518" s="6"/>
      <c r="L518" s="6"/>
    </row>
    <row r="519" spans="5:12" x14ac:dyDescent="0.25">
      <c r="E519" s="6"/>
      <c r="L519" s="6"/>
    </row>
    <row r="520" spans="5:12" x14ac:dyDescent="0.25">
      <c r="E520" s="6"/>
      <c r="L520" s="6"/>
    </row>
    <row r="521" spans="5:12" x14ac:dyDescent="0.25">
      <c r="E521" s="6"/>
      <c r="L521" s="6"/>
    </row>
    <row r="522" spans="5:12" x14ac:dyDescent="0.25">
      <c r="E522" s="6"/>
      <c r="L522" s="6"/>
    </row>
    <row r="523" spans="5:12" x14ac:dyDescent="0.25">
      <c r="E523" s="6"/>
      <c r="L523" s="6"/>
    </row>
    <row r="524" spans="5:12" x14ac:dyDescent="0.25">
      <c r="E524" s="6"/>
      <c r="L524" s="6"/>
    </row>
    <row r="525" spans="5:12" x14ac:dyDescent="0.25">
      <c r="E525" s="6"/>
      <c r="L525" s="6"/>
    </row>
    <row r="526" spans="5:12" x14ac:dyDescent="0.25">
      <c r="E526" s="6"/>
      <c r="L526" s="6"/>
    </row>
    <row r="527" spans="5:12" x14ac:dyDescent="0.25">
      <c r="E527" s="6"/>
      <c r="L527" s="6"/>
    </row>
    <row r="528" spans="5:12" x14ac:dyDescent="0.25">
      <c r="E528" s="6"/>
      <c r="L528" s="6"/>
    </row>
    <row r="529" spans="5:12" x14ac:dyDescent="0.25">
      <c r="E529" s="6"/>
      <c r="L529" s="6"/>
    </row>
    <row r="530" spans="5:12" x14ac:dyDescent="0.25">
      <c r="E530" s="6"/>
      <c r="L530" s="6"/>
    </row>
    <row r="531" spans="5:12" x14ac:dyDescent="0.25">
      <c r="E531" s="6"/>
      <c r="L531" s="6"/>
    </row>
    <row r="532" spans="5:12" x14ac:dyDescent="0.25">
      <c r="E532" s="6"/>
      <c r="L532" s="6"/>
    </row>
    <row r="533" spans="5:12" x14ac:dyDescent="0.25">
      <c r="E533" s="6"/>
      <c r="L533" s="6"/>
    </row>
    <row r="534" spans="5:12" x14ac:dyDescent="0.25">
      <c r="E534" s="6"/>
      <c r="L534" s="6"/>
    </row>
    <row r="535" spans="5:12" x14ac:dyDescent="0.25">
      <c r="E535" s="6"/>
      <c r="L535" s="6"/>
    </row>
    <row r="536" spans="5:12" x14ac:dyDescent="0.25">
      <c r="E536" s="6"/>
      <c r="L536" s="6"/>
    </row>
    <row r="537" spans="5:12" x14ac:dyDescent="0.25">
      <c r="E537" s="6"/>
      <c r="L537" s="6"/>
    </row>
    <row r="538" spans="5:12" x14ac:dyDescent="0.25">
      <c r="E538" s="6"/>
      <c r="L538" s="6"/>
    </row>
    <row r="539" spans="5:12" x14ac:dyDescent="0.25">
      <c r="E539" s="6"/>
      <c r="L539" s="6"/>
    </row>
    <row r="540" spans="5:12" x14ac:dyDescent="0.25">
      <c r="E540" s="6"/>
      <c r="L540" s="6"/>
    </row>
    <row r="541" spans="5:12" x14ac:dyDescent="0.25">
      <c r="E541" s="6"/>
      <c r="L541" s="6"/>
    </row>
    <row r="542" spans="5:12" x14ac:dyDescent="0.25">
      <c r="E542" s="6"/>
      <c r="L542" s="6"/>
    </row>
    <row r="543" spans="5:12" x14ac:dyDescent="0.25">
      <c r="E543" s="6"/>
      <c r="L543" s="6"/>
    </row>
    <row r="544" spans="5:12" x14ac:dyDescent="0.25">
      <c r="E544" s="6"/>
      <c r="L544" s="6"/>
    </row>
    <row r="545" spans="5:12" x14ac:dyDescent="0.25">
      <c r="E545" s="6"/>
      <c r="L545" s="6"/>
    </row>
    <row r="546" spans="5:12" x14ac:dyDescent="0.25">
      <c r="E546" s="6"/>
      <c r="L546" s="6"/>
    </row>
    <row r="547" spans="5:12" x14ac:dyDescent="0.25">
      <c r="E547" s="6"/>
      <c r="L547" s="6"/>
    </row>
    <row r="548" spans="5:12" x14ac:dyDescent="0.25">
      <c r="E548" s="6"/>
      <c r="L548" s="6"/>
    </row>
    <row r="549" spans="5:12" x14ac:dyDescent="0.25">
      <c r="E549" s="6"/>
      <c r="L549" s="6"/>
    </row>
    <row r="550" spans="5:12" x14ac:dyDescent="0.25">
      <c r="E550" s="6"/>
      <c r="L550" s="6"/>
    </row>
    <row r="551" spans="5:12" x14ac:dyDescent="0.25">
      <c r="E551" s="6"/>
      <c r="L551" s="6"/>
    </row>
    <row r="552" spans="5:12" x14ac:dyDescent="0.25">
      <c r="E552" s="6"/>
      <c r="L552" s="6"/>
    </row>
    <row r="553" spans="5:12" x14ac:dyDescent="0.25">
      <c r="E553" s="6"/>
      <c r="L553" s="6"/>
    </row>
    <row r="554" spans="5:12" x14ac:dyDescent="0.25">
      <c r="E554" s="6"/>
      <c r="L554" s="6"/>
    </row>
    <row r="555" spans="5:12" x14ac:dyDescent="0.25">
      <c r="E555" s="6"/>
      <c r="L555" s="6"/>
    </row>
    <row r="556" spans="5:12" x14ac:dyDescent="0.25">
      <c r="E556" s="6"/>
      <c r="L556" s="6"/>
    </row>
    <row r="557" spans="5:12" x14ac:dyDescent="0.25">
      <c r="E557" s="6"/>
      <c r="L557" s="6"/>
    </row>
    <row r="558" spans="5:12" x14ac:dyDescent="0.25">
      <c r="E558" s="6"/>
      <c r="L558" s="6"/>
    </row>
    <row r="559" spans="5:12" x14ac:dyDescent="0.25">
      <c r="E559" s="6"/>
      <c r="L559" s="6"/>
    </row>
    <row r="560" spans="5:12" x14ac:dyDescent="0.25">
      <c r="E560" s="6"/>
      <c r="L560" s="6"/>
    </row>
    <row r="561" spans="5:12" x14ac:dyDescent="0.25">
      <c r="E561" s="6"/>
      <c r="L561" s="6"/>
    </row>
    <row r="562" spans="5:12" x14ac:dyDescent="0.25">
      <c r="E562" s="6"/>
      <c r="L562" s="6"/>
    </row>
    <row r="563" spans="5:12" x14ac:dyDescent="0.25">
      <c r="E563" s="6"/>
      <c r="L563" s="6"/>
    </row>
    <row r="564" spans="5:12" x14ac:dyDescent="0.25">
      <c r="E564" s="6"/>
      <c r="L564" s="6"/>
    </row>
    <row r="565" spans="5:12" x14ac:dyDescent="0.25">
      <c r="E565" s="6"/>
      <c r="L565" s="6"/>
    </row>
    <row r="566" spans="5:12" x14ac:dyDescent="0.25">
      <c r="E566" s="6"/>
      <c r="L566" s="6"/>
    </row>
    <row r="567" spans="5:12" x14ac:dyDescent="0.25">
      <c r="E567" s="6"/>
      <c r="L567" s="6"/>
    </row>
    <row r="568" spans="5:12" x14ac:dyDescent="0.25">
      <c r="E568" s="6"/>
      <c r="L568" s="6"/>
    </row>
    <row r="569" spans="5:12" x14ac:dyDescent="0.25">
      <c r="E569" s="6"/>
      <c r="L569" s="6"/>
    </row>
    <row r="570" spans="5:12" x14ac:dyDescent="0.25">
      <c r="E570" s="6"/>
      <c r="L570" s="6"/>
    </row>
    <row r="571" spans="5:12" x14ac:dyDescent="0.25">
      <c r="E571" s="6"/>
      <c r="L571" s="6"/>
    </row>
    <row r="572" spans="5:12" x14ac:dyDescent="0.25">
      <c r="E572" s="6"/>
      <c r="L572" s="6"/>
    </row>
    <row r="573" spans="5:12" x14ac:dyDescent="0.25">
      <c r="E573" s="6"/>
      <c r="L573" s="6"/>
    </row>
    <row r="574" spans="5:12" x14ac:dyDescent="0.25">
      <c r="E574" s="6"/>
      <c r="L574" s="6"/>
    </row>
    <row r="575" spans="5:12" x14ac:dyDescent="0.25">
      <c r="E575" s="6"/>
      <c r="L575" s="6"/>
    </row>
    <row r="576" spans="5:12" x14ac:dyDescent="0.25">
      <c r="E576" s="6"/>
      <c r="L576" s="6"/>
    </row>
    <row r="577" spans="5:12" x14ac:dyDescent="0.25">
      <c r="E577" s="6"/>
      <c r="L577" s="6"/>
    </row>
    <row r="578" spans="5:12" x14ac:dyDescent="0.25">
      <c r="E578" s="6"/>
      <c r="L578" s="6"/>
    </row>
    <row r="579" spans="5:12" x14ac:dyDescent="0.25">
      <c r="E579" s="6"/>
      <c r="L579" s="6"/>
    </row>
    <row r="580" spans="5:12" x14ac:dyDescent="0.25">
      <c r="E580" s="6"/>
      <c r="L580" s="6"/>
    </row>
    <row r="581" spans="5:12" x14ac:dyDescent="0.25">
      <c r="E581" s="6"/>
      <c r="L581" s="6"/>
    </row>
    <row r="582" spans="5:12" x14ac:dyDescent="0.25">
      <c r="E582" s="6"/>
      <c r="L582" s="6"/>
    </row>
    <row r="583" spans="5:12" x14ac:dyDescent="0.25">
      <c r="E583" s="6"/>
      <c r="L583" s="6"/>
    </row>
    <row r="584" spans="5:12" x14ac:dyDescent="0.25">
      <c r="E584" s="6"/>
      <c r="L584" s="6"/>
    </row>
    <row r="585" spans="5:12" x14ac:dyDescent="0.25">
      <c r="E585" s="6"/>
      <c r="L585" s="6"/>
    </row>
    <row r="586" spans="5:12" x14ac:dyDescent="0.25">
      <c r="E586" s="6"/>
      <c r="L586" s="6"/>
    </row>
    <row r="587" spans="5:12" x14ac:dyDescent="0.25">
      <c r="E587" s="6"/>
      <c r="L587" s="6"/>
    </row>
    <row r="588" spans="5:12" x14ac:dyDescent="0.25">
      <c r="E588" s="6"/>
      <c r="L588" s="6"/>
    </row>
    <row r="589" spans="5:12" x14ac:dyDescent="0.25">
      <c r="E589" s="6"/>
      <c r="L589" s="6"/>
    </row>
    <row r="590" spans="5:12" x14ac:dyDescent="0.25">
      <c r="E590" s="6"/>
      <c r="L590" s="6"/>
    </row>
    <row r="591" spans="5:12" x14ac:dyDescent="0.25">
      <c r="E591" s="6"/>
      <c r="L591" s="6"/>
    </row>
    <row r="592" spans="5:12" x14ac:dyDescent="0.25">
      <c r="E592" s="6"/>
      <c r="L592" s="6"/>
    </row>
    <row r="593" spans="5:12" x14ac:dyDescent="0.25">
      <c r="E593" s="6"/>
      <c r="L593" s="6"/>
    </row>
    <row r="594" spans="5:12" x14ac:dyDescent="0.25">
      <c r="E594" s="6"/>
      <c r="L594" s="6"/>
    </row>
    <row r="595" spans="5:12" x14ac:dyDescent="0.25">
      <c r="E595" s="6"/>
      <c r="L595" s="6"/>
    </row>
    <row r="596" spans="5:12" x14ac:dyDescent="0.25">
      <c r="E596" s="6"/>
      <c r="L596" s="6"/>
    </row>
    <row r="597" spans="5:12" x14ac:dyDescent="0.25">
      <c r="E597" s="6"/>
      <c r="L597" s="6"/>
    </row>
    <row r="598" spans="5:12" x14ac:dyDescent="0.25">
      <c r="E598" s="6"/>
      <c r="L598" s="6"/>
    </row>
    <row r="599" spans="5:12" x14ac:dyDescent="0.25">
      <c r="E599" s="6"/>
      <c r="L599" s="6"/>
    </row>
    <row r="600" spans="5:12" x14ac:dyDescent="0.25">
      <c r="E600" s="6"/>
      <c r="L600" s="6"/>
    </row>
    <row r="601" spans="5:12" x14ac:dyDescent="0.25">
      <c r="E601" s="6"/>
      <c r="L601" s="6"/>
    </row>
    <row r="602" spans="5:12" x14ac:dyDescent="0.25">
      <c r="E602" s="6"/>
      <c r="L602" s="6"/>
    </row>
    <row r="603" spans="5:12" x14ac:dyDescent="0.25">
      <c r="E603" s="6"/>
      <c r="L603" s="6"/>
    </row>
    <row r="604" spans="5:12" x14ac:dyDescent="0.25">
      <c r="E604" s="6"/>
      <c r="L604" s="6"/>
    </row>
    <row r="605" spans="5:12" x14ac:dyDescent="0.25">
      <c r="E605" s="6"/>
      <c r="L605" s="6"/>
    </row>
    <row r="606" spans="5:12" x14ac:dyDescent="0.25">
      <c r="E606" s="6"/>
      <c r="L606" s="6"/>
    </row>
    <row r="607" spans="5:12" x14ac:dyDescent="0.25">
      <c r="E607" s="6"/>
      <c r="L607" s="6"/>
    </row>
    <row r="608" spans="5:12" x14ac:dyDescent="0.25">
      <c r="E608" s="6"/>
      <c r="L608" s="6"/>
    </row>
    <row r="609" spans="5:12" x14ac:dyDescent="0.25">
      <c r="E609" s="6"/>
      <c r="L609" s="6"/>
    </row>
    <row r="610" spans="5:12" x14ac:dyDescent="0.25">
      <c r="E610" s="6"/>
      <c r="L610" s="6"/>
    </row>
    <row r="611" spans="5:12" x14ac:dyDescent="0.25">
      <c r="E611" s="6"/>
      <c r="L611" s="6"/>
    </row>
    <row r="612" spans="5:12" x14ac:dyDescent="0.25">
      <c r="E612" s="6"/>
      <c r="L612" s="6"/>
    </row>
    <row r="613" spans="5:12" x14ac:dyDescent="0.25">
      <c r="E613" s="6"/>
      <c r="L613" s="6"/>
    </row>
    <row r="614" spans="5:12" x14ac:dyDescent="0.25">
      <c r="E614" s="6"/>
      <c r="L614" s="6"/>
    </row>
    <row r="615" spans="5:12" x14ac:dyDescent="0.25">
      <c r="E615" s="6"/>
      <c r="L615" s="6"/>
    </row>
    <row r="616" spans="5:12" x14ac:dyDescent="0.25">
      <c r="E616" s="6"/>
      <c r="L616" s="6"/>
    </row>
    <row r="617" spans="5:12" x14ac:dyDescent="0.25">
      <c r="E617" s="6"/>
      <c r="L617" s="6"/>
    </row>
    <row r="618" spans="5:12" x14ac:dyDescent="0.25">
      <c r="E618" s="6"/>
      <c r="L618" s="6"/>
    </row>
    <row r="619" spans="5:12" x14ac:dyDescent="0.25">
      <c r="E619" s="6"/>
      <c r="L619" s="6"/>
    </row>
    <row r="620" spans="5:12" x14ac:dyDescent="0.25">
      <c r="E620" s="6"/>
      <c r="L620" s="6"/>
    </row>
    <row r="621" spans="5:12" x14ac:dyDescent="0.25">
      <c r="E621" s="6"/>
      <c r="L621" s="6"/>
    </row>
    <row r="622" spans="5:12" x14ac:dyDescent="0.25">
      <c r="E622" s="6"/>
      <c r="L622" s="6"/>
    </row>
    <row r="623" spans="5:12" x14ac:dyDescent="0.25">
      <c r="E623" s="6"/>
      <c r="L623" s="6"/>
    </row>
    <row r="624" spans="5:12" x14ac:dyDescent="0.25">
      <c r="E624" s="6"/>
      <c r="L624" s="6"/>
    </row>
    <row r="625" spans="5:12" x14ac:dyDescent="0.25">
      <c r="E625" s="6"/>
      <c r="L625" s="6"/>
    </row>
    <row r="626" spans="5:12" x14ac:dyDescent="0.25">
      <c r="E626" s="6"/>
      <c r="L626" s="6"/>
    </row>
    <row r="627" spans="5:12" x14ac:dyDescent="0.25">
      <c r="E627" s="6"/>
      <c r="L627" s="6"/>
    </row>
    <row r="628" spans="5:12" x14ac:dyDescent="0.25">
      <c r="E628" s="6"/>
      <c r="L628" s="6"/>
    </row>
    <row r="629" spans="5:12" x14ac:dyDescent="0.25">
      <c r="E629" s="6"/>
      <c r="L629" s="6"/>
    </row>
    <row r="630" spans="5:12" x14ac:dyDescent="0.25">
      <c r="E630" s="6"/>
      <c r="L630" s="6"/>
    </row>
    <row r="631" spans="5:12" x14ac:dyDescent="0.25">
      <c r="E631" s="6"/>
      <c r="L631" s="6"/>
    </row>
    <row r="632" spans="5:12" x14ac:dyDescent="0.25">
      <c r="E632" s="6"/>
      <c r="L632" s="6"/>
    </row>
    <row r="633" spans="5:12" x14ac:dyDescent="0.25">
      <c r="E633" s="6"/>
      <c r="L633" s="6"/>
    </row>
    <row r="634" spans="5:12" x14ac:dyDescent="0.25">
      <c r="E634" s="6"/>
      <c r="L634" s="6"/>
    </row>
    <row r="635" spans="5:12" x14ac:dyDescent="0.25">
      <c r="E635" s="6"/>
      <c r="L635" s="6"/>
    </row>
    <row r="636" spans="5:12" x14ac:dyDescent="0.25">
      <c r="E636" s="6"/>
      <c r="L636" s="6"/>
    </row>
    <row r="637" spans="5:12" x14ac:dyDescent="0.25">
      <c r="E637" s="6"/>
      <c r="L637" s="6"/>
    </row>
    <row r="638" spans="5:12" x14ac:dyDescent="0.25">
      <c r="E638" s="6"/>
      <c r="L638" s="6"/>
    </row>
    <row r="639" spans="5:12" x14ac:dyDescent="0.25">
      <c r="E639" s="6"/>
      <c r="L639" s="6"/>
    </row>
    <row r="640" spans="5:12" x14ac:dyDescent="0.25">
      <c r="E640" s="6"/>
      <c r="L640" s="6"/>
    </row>
    <row r="641" spans="5:12" x14ac:dyDescent="0.25">
      <c r="E641" s="6"/>
      <c r="L641" s="6"/>
    </row>
    <row r="642" spans="5:12" x14ac:dyDescent="0.25">
      <c r="E642" s="6"/>
      <c r="L642" s="6"/>
    </row>
    <row r="643" spans="5:12" x14ac:dyDescent="0.25">
      <c r="E643" s="6"/>
      <c r="L643" s="6"/>
    </row>
    <row r="644" spans="5:12" x14ac:dyDescent="0.25">
      <c r="E644" s="6"/>
      <c r="L644" s="6"/>
    </row>
    <row r="645" spans="5:12" x14ac:dyDescent="0.25">
      <c r="E645" s="6"/>
      <c r="L645" s="6"/>
    </row>
    <row r="646" spans="5:12" x14ac:dyDescent="0.25">
      <c r="E646" s="6"/>
      <c r="L646" s="6"/>
    </row>
    <row r="647" spans="5:12" x14ac:dyDescent="0.25">
      <c r="E647" s="6"/>
      <c r="L647" s="6"/>
    </row>
    <row r="648" spans="5:12" x14ac:dyDescent="0.25">
      <c r="E648" s="6"/>
      <c r="L648" s="6"/>
    </row>
    <row r="649" spans="5:12" x14ac:dyDescent="0.25">
      <c r="E649" s="6"/>
      <c r="L649" s="6"/>
    </row>
    <row r="650" spans="5:12" x14ac:dyDescent="0.25">
      <c r="E650" s="6"/>
      <c r="L650" s="6"/>
    </row>
    <row r="651" spans="5:12" x14ac:dyDescent="0.25">
      <c r="E651" s="6"/>
      <c r="L651" s="6"/>
    </row>
    <row r="652" spans="5:12" x14ac:dyDescent="0.25">
      <c r="E652" s="6"/>
      <c r="L652" s="6"/>
    </row>
    <row r="653" spans="5:12" x14ac:dyDescent="0.25">
      <c r="E653" s="6"/>
      <c r="L653" s="6"/>
    </row>
    <row r="654" spans="5:12" x14ac:dyDescent="0.25">
      <c r="E654" s="6"/>
      <c r="L654" s="6"/>
    </row>
    <row r="655" spans="5:12" x14ac:dyDescent="0.25">
      <c r="E655" s="6"/>
      <c r="L655" s="6"/>
    </row>
    <row r="656" spans="5:12" x14ac:dyDescent="0.25">
      <c r="E656" s="6"/>
      <c r="L656" s="6"/>
    </row>
    <row r="657" spans="5:12" x14ac:dyDescent="0.25">
      <c r="E657" s="6"/>
      <c r="L657" s="6"/>
    </row>
    <row r="658" spans="5:12" x14ac:dyDescent="0.25">
      <c r="E658" s="6"/>
      <c r="L658" s="6"/>
    </row>
    <row r="659" spans="5:12" x14ac:dyDescent="0.25">
      <c r="E659" s="6"/>
      <c r="L659" s="6"/>
    </row>
    <row r="660" spans="5:12" x14ac:dyDescent="0.25">
      <c r="E660" s="6"/>
      <c r="L660" s="6"/>
    </row>
    <row r="661" spans="5:12" x14ac:dyDescent="0.25">
      <c r="E661" s="6"/>
      <c r="L661" s="6"/>
    </row>
    <row r="662" spans="5:12" x14ac:dyDescent="0.25">
      <c r="E662" s="6"/>
      <c r="L662" s="6"/>
    </row>
    <row r="663" spans="5:12" x14ac:dyDescent="0.25">
      <c r="E663" s="6"/>
      <c r="L663" s="6"/>
    </row>
    <row r="664" spans="5:12" x14ac:dyDescent="0.25">
      <c r="E664" s="6"/>
      <c r="L664" s="6"/>
    </row>
    <row r="665" spans="5:12" x14ac:dyDescent="0.25">
      <c r="E665" s="6"/>
      <c r="L665" s="6"/>
    </row>
    <row r="666" spans="5:12" x14ac:dyDescent="0.25">
      <c r="E666" s="6"/>
      <c r="L666" s="6"/>
    </row>
    <row r="667" spans="5:12" x14ac:dyDescent="0.25">
      <c r="E667" s="6"/>
      <c r="L667" s="6"/>
    </row>
    <row r="668" spans="5:12" x14ac:dyDescent="0.25">
      <c r="E668" s="6"/>
      <c r="L668" s="6"/>
    </row>
    <row r="669" spans="5:12" x14ac:dyDescent="0.25">
      <c r="E669" s="6"/>
      <c r="L669" s="6"/>
    </row>
    <row r="670" spans="5:12" x14ac:dyDescent="0.25">
      <c r="E670" s="6"/>
      <c r="L670" s="6"/>
    </row>
    <row r="671" spans="5:12" x14ac:dyDescent="0.25">
      <c r="E671" s="6"/>
      <c r="L671" s="6"/>
    </row>
    <row r="672" spans="5:12" x14ac:dyDescent="0.25">
      <c r="E672" s="6"/>
      <c r="L672" s="6"/>
    </row>
    <row r="673" spans="5:12" x14ac:dyDescent="0.25">
      <c r="E673" s="6"/>
      <c r="L673" s="6"/>
    </row>
    <row r="674" spans="5:12" x14ac:dyDescent="0.25">
      <c r="E674" s="6"/>
      <c r="L674" s="6"/>
    </row>
    <row r="675" spans="5:12" x14ac:dyDescent="0.25">
      <c r="E675" s="6"/>
      <c r="L675" s="6"/>
    </row>
    <row r="676" spans="5:12" x14ac:dyDescent="0.25">
      <c r="E676" s="6"/>
      <c r="L676" s="6"/>
    </row>
    <row r="677" spans="5:12" x14ac:dyDescent="0.25">
      <c r="E677" s="6"/>
      <c r="L677" s="6"/>
    </row>
    <row r="678" spans="5:12" x14ac:dyDescent="0.25">
      <c r="E678" s="6"/>
      <c r="L678" s="6"/>
    </row>
    <row r="679" spans="5:12" x14ac:dyDescent="0.25">
      <c r="E679" s="6"/>
      <c r="L679" s="6"/>
    </row>
    <row r="680" spans="5:12" x14ac:dyDescent="0.25">
      <c r="E680" s="6"/>
      <c r="L680" s="6"/>
    </row>
    <row r="681" spans="5:12" x14ac:dyDescent="0.25">
      <c r="E681" s="6"/>
      <c r="L681" s="6"/>
    </row>
    <row r="682" spans="5:12" x14ac:dyDescent="0.25">
      <c r="E682" s="6"/>
      <c r="L682" s="6"/>
    </row>
    <row r="683" spans="5:12" x14ac:dyDescent="0.25">
      <c r="E683" s="6"/>
      <c r="L683" s="6"/>
    </row>
    <row r="684" spans="5:12" x14ac:dyDescent="0.25">
      <c r="E684" s="6"/>
      <c r="L684" s="6"/>
    </row>
    <row r="685" spans="5:12" x14ac:dyDescent="0.25">
      <c r="E685" s="6"/>
      <c r="L685" s="6"/>
    </row>
    <row r="686" spans="5:12" x14ac:dyDescent="0.25">
      <c r="E686" s="6"/>
      <c r="L686" s="6"/>
    </row>
    <row r="687" spans="5:12" x14ac:dyDescent="0.25">
      <c r="E687" s="6"/>
      <c r="L687" s="6"/>
    </row>
    <row r="688" spans="5:12" x14ac:dyDescent="0.25">
      <c r="E688" s="6"/>
      <c r="L688" s="6"/>
    </row>
    <row r="689" spans="5:12" x14ac:dyDescent="0.25">
      <c r="E689" s="6"/>
      <c r="L689" s="6"/>
    </row>
    <row r="690" spans="5:12" x14ac:dyDescent="0.25">
      <c r="E690" s="6"/>
      <c r="L690" s="6"/>
    </row>
    <row r="691" spans="5:12" x14ac:dyDescent="0.25">
      <c r="E691" s="6"/>
      <c r="L691" s="6"/>
    </row>
    <row r="692" spans="5:12" x14ac:dyDescent="0.25">
      <c r="E692" s="6"/>
      <c r="L692" s="6"/>
    </row>
    <row r="693" spans="5:12" x14ac:dyDescent="0.25">
      <c r="E693" s="6"/>
      <c r="L693" s="6"/>
    </row>
    <row r="694" spans="5:12" x14ac:dyDescent="0.25">
      <c r="E694" s="6"/>
      <c r="L694" s="6"/>
    </row>
    <row r="695" spans="5:12" x14ac:dyDescent="0.25">
      <c r="E695" s="6"/>
      <c r="L695" s="6"/>
    </row>
    <row r="696" spans="5:12" x14ac:dyDescent="0.25">
      <c r="E696" s="6"/>
      <c r="L696" s="6"/>
    </row>
    <row r="697" spans="5:12" x14ac:dyDescent="0.25">
      <c r="E697" s="6"/>
      <c r="L697" s="6"/>
    </row>
    <row r="698" spans="5:12" x14ac:dyDescent="0.25">
      <c r="E698" s="6"/>
      <c r="L698" s="6"/>
    </row>
    <row r="699" spans="5:12" x14ac:dyDescent="0.25">
      <c r="E699" s="6"/>
      <c r="L699" s="6"/>
    </row>
    <row r="700" spans="5:12" x14ac:dyDescent="0.25">
      <c r="E700" s="6"/>
      <c r="L700" s="6"/>
    </row>
    <row r="701" spans="5:12" x14ac:dyDescent="0.25">
      <c r="E701" s="6"/>
      <c r="L701" s="6"/>
    </row>
    <row r="702" spans="5:12" x14ac:dyDescent="0.25">
      <c r="E702" s="6"/>
      <c r="L702" s="6"/>
    </row>
    <row r="703" spans="5:12" x14ac:dyDescent="0.25">
      <c r="E703" s="6"/>
      <c r="L703" s="6"/>
    </row>
    <row r="704" spans="5:12" x14ac:dyDescent="0.25">
      <c r="E704" s="6"/>
      <c r="L704" s="6"/>
    </row>
    <row r="705" spans="5:12" x14ac:dyDescent="0.25">
      <c r="E705" s="6"/>
      <c r="L705" s="6"/>
    </row>
    <row r="706" spans="5:12" x14ac:dyDescent="0.25">
      <c r="E706" s="6"/>
      <c r="L706" s="6"/>
    </row>
    <row r="707" spans="5:12" x14ac:dyDescent="0.25">
      <c r="E707" s="6"/>
      <c r="L707" s="6"/>
    </row>
    <row r="708" spans="5:12" x14ac:dyDescent="0.25">
      <c r="E708" s="6"/>
      <c r="L708" s="6"/>
    </row>
    <row r="709" spans="5:12" x14ac:dyDescent="0.25">
      <c r="E709" s="6"/>
      <c r="L709" s="6"/>
    </row>
    <row r="710" spans="5:12" x14ac:dyDescent="0.25">
      <c r="E710" s="6"/>
      <c r="L710" s="6"/>
    </row>
    <row r="711" spans="5:12" x14ac:dyDescent="0.25">
      <c r="E711" s="6"/>
      <c r="L711" s="6"/>
    </row>
    <row r="712" spans="5:12" x14ac:dyDescent="0.25">
      <c r="E712" s="6"/>
      <c r="L712" s="6"/>
    </row>
    <row r="713" spans="5:12" x14ac:dyDescent="0.25">
      <c r="E713" s="6"/>
      <c r="L713" s="6"/>
    </row>
    <row r="714" spans="5:12" x14ac:dyDescent="0.25">
      <c r="E714" s="6"/>
      <c r="L714" s="6"/>
    </row>
    <row r="715" spans="5:12" x14ac:dyDescent="0.25">
      <c r="E715" s="6"/>
      <c r="L715" s="6"/>
    </row>
    <row r="716" spans="5:12" x14ac:dyDescent="0.25">
      <c r="E716" s="6"/>
      <c r="L716" s="6"/>
    </row>
    <row r="717" spans="5:12" x14ac:dyDescent="0.25">
      <c r="E717" s="6"/>
      <c r="L717" s="6"/>
    </row>
    <row r="718" spans="5:12" x14ac:dyDescent="0.25">
      <c r="E718" s="6"/>
      <c r="L718" s="6"/>
    </row>
    <row r="719" spans="5:12" x14ac:dyDescent="0.25">
      <c r="E719" s="6"/>
      <c r="L719" s="6"/>
    </row>
    <row r="720" spans="5:12" x14ac:dyDescent="0.25">
      <c r="E720" s="6"/>
      <c r="L720" s="6"/>
    </row>
    <row r="721" spans="5:12" x14ac:dyDescent="0.25">
      <c r="E721" s="6"/>
      <c r="L721" s="6"/>
    </row>
    <row r="722" spans="5:12" x14ac:dyDescent="0.25">
      <c r="E722" s="6"/>
      <c r="L722" s="6"/>
    </row>
    <row r="723" spans="5:12" x14ac:dyDescent="0.25">
      <c r="E723" s="6"/>
      <c r="L723" s="6"/>
    </row>
    <row r="724" spans="5:12" x14ac:dyDescent="0.25">
      <c r="E724" s="6"/>
      <c r="L724" s="6"/>
    </row>
    <row r="725" spans="5:12" x14ac:dyDescent="0.25">
      <c r="E725" s="6"/>
      <c r="L725" s="6"/>
    </row>
    <row r="726" spans="5:12" x14ac:dyDescent="0.25">
      <c r="E726" s="6"/>
      <c r="L726" s="6"/>
    </row>
    <row r="727" spans="5:12" x14ac:dyDescent="0.25">
      <c r="E727" s="6"/>
      <c r="L727" s="6"/>
    </row>
    <row r="728" spans="5:12" x14ac:dyDescent="0.25">
      <c r="E728" s="6"/>
      <c r="L728" s="6"/>
    </row>
    <row r="729" spans="5:12" x14ac:dyDescent="0.25">
      <c r="E729" s="6"/>
      <c r="L729" s="6"/>
    </row>
    <row r="730" spans="5:12" x14ac:dyDescent="0.25">
      <c r="E730" s="6"/>
      <c r="L730" s="6"/>
    </row>
    <row r="731" spans="5:12" x14ac:dyDescent="0.25">
      <c r="E731" s="6"/>
      <c r="L731" s="6"/>
    </row>
    <row r="732" spans="5:12" x14ac:dyDescent="0.25">
      <c r="E732" s="6"/>
      <c r="L732" s="6"/>
    </row>
    <row r="733" spans="5:12" x14ac:dyDescent="0.25">
      <c r="E733" s="6"/>
      <c r="L733" s="6"/>
    </row>
    <row r="734" spans="5:12" x14ac:dyDescent="0.25">
      <c r="E734" s="6"/>
      <c r="L734" s="6"/>
    </row>
    <row r="735" spans="5:12" x14ac:dyDescent="0.25">
      <c r="E735" s="6"/>
      <c r="L735" s="6"/>
    </row>
    <row r="736" spans="5:12" x14ac:dyDescent="0.25">
      <c r="E736" s="6"/>
      <c r="L736" s="6"/>
    </row>
    <row r="737" spans="5:12" x14ac:dyDescent="0.25">
      <c r="E737" s="6"/>
      <c r="L737" s="6"/>
    </row>
    <row r="738" spans="5:12" x14ac:dyDescent="0.25">
      <c r="E738" s="6"/>
      <c r="L738" s="6"/>
    </row>
    <row r="739" spans="5:12" x14ac:dyDescent="0.25">
      <c r="E739" s="6"/>
      <c r="L739" s="6"/>
    </row>
    <row r="740" spans="5:12" x14ac:dyDescent="0.25">
      <c r="E740" s="6"/>
      <c r="L740" s="6"/>
    </row>
    <row r="741" spans="5:12" x14ac:dyDescent="0.25">
      <c r="E741" s="6"/>
      <c r="L741" s="6"/>
    </row>
    <row r="742" spans="5:12" x14ac:dyDescent="0.25">
      <c r="E742" s="6"/>
      <c r="L742" s="6"/>
    </row>
    <row r="743" spans="5:12" x14ac:dyDescent="0.25">
      <c r="E743" s="6"/>
      <c r="L743" s="6"/>
    </row>
    <row r="744" spans="5:12" x14ac:dyDescent="0.25">
      <c r="E744" s="6"/>
      <c r="L744" s="6"/>
    </row>
    <row r="745" spans="5:12" x14ac:dyDescent="0.25">
      <c r="E745" s="6"/>
      <c r="L745" s="6"/>
    </row>
    <row r="746" spans="5:12" x14ac:dyDescent="0.25">
      <c r="E746" s="6"/>
      <c r="L746" s="6"/>
    </row>
    <row r="747" spans="5:12" x14ac:dyDescent="0.25">
      <c r="E747" s="6"/>
      <c r="L747" s="6"/>
    </row>
    <row r="748" spans="5:12" x14ac:dyDescent="0.25">
      <c r="E748" s="6"/>
      <c r="L748" s="6"/>
    </row>
    <row r="749" spans="5:12" x14ac:dyDescent="0.25">
      <c r="E749" s="6"/>
      <c r="L749" s="6"/>
    </row>
    <row r="750" spans="5:12" x14ac:dyDescent="0.25">
      <c r="E750" s="6"/>
      <c r="L750" s="6"/>
    </row>
    <row r="751" spans="5:12" x14ac:dyDescent="0.25">
      <c r="E751" s="6"/>
      <c r="L751" s="6"/>
    </row>
    <row r="752" spans="5:12" x14ac:dyDescent="0.25">
      <c r="E752" s="6"/>
      <c r="L752" s="6"/>
    </row>
    <row r="753" spans="5:12" x14ac:dyDescent="0.25">
      <c r="E753" s="6"/>
      <c r="L753" s="6"/>
    </row>
    <row r="754" spans="5:12" x14ac:dyDescent="0.25">
      <c r="E754" s="6"/>
      <c r="L754" s="6"/>
    </row>
    <row r="755" spans="5:12" x14ac:dyDescent="0.25">
      <c r="E755" s="6"/>
      <c r="L755" s="6"/>
    </row>
    <row r="756" spans="5:12" x14ac:dyDescent="0.25">
      <c r="E756" s="6"/>
      <c r="L756" s="6"/>
    </row>
    <row r="757" spans="5:12" x14ac:dyDescent="0.25">
      <c r="E757" s="6"/>
      <c r="L757" s="6"/>
    </row>
    <row r="758" spans="5:12" x14ac:dyDescent="0.25">
      <c r="E758" s="6"/>
      <c r="L758" s="6"/>
    </row>
    <row r="759" spans="5:12" x14ac:dyDescent="0.25">
      <c r="E759" s="6"/>
      <c r="L759" s="6"/>
    </row>
    <row r="760" spans="5:12" x14ac:dyDescent="0.25">
      <c r="E760" s="6"/>
      <c r="L760" s="6"/>
    </row>
    <row r="761" spans="5:12" x14ac:dyDescent="0.25">
      <c r="E761" s="6"/>
      <c r="L761" s="6"/>
    </row>
    <row r="762" spans="5:12" x14ac:dyDescent="0.25">
      <c r="E762" s="6"/>
      <c r="L762" s="6"/>
    </row>
    <row r="763" spans="5:12" x14ac:dyDescent="0.25">
      <c r="E763" s="6"/>
      <c r="L763" s="6"/>
    </row>
    <row r="764" spans="5:12" x14ac:dyDescent="0.25">
      <c r="E764" s="6"/>
      <c r="L764" s="6"/>
    </row>
    <row r="765" spans="5:12" x14ac:dyDescent="0.25">
      <c r="E765" s="6"/>
      <c r="L765" s="6"/>
    </row>
    <row r="766" spans="5:12" x14ac:dyDescent="0.25">
      <c r="E766" s="6"/>
      <c r="L766" s="6"/>
    </row>
    <row r="767" spans="5:12" x14ac:dyDescent="0.25">
      <c r="E767" s="6"/>
      <c r="L767" s="6"/>
    </row>
    <row r="768" spans="5:12" x14ac:dyDescent="0.25">
      <c r="E768" s="6"/>
      <c r="L768" s="6"/>
    </row>
    <row r="769" spans="5:12" x14ac:dyDescent="0.25">
      <c r="E769" s="6"/>
      <c r="L769" s="6"/>
    </row>
    <row r="770" spans="5:12" x14ac:dyDescent="0.25">
      <c r="E770" s="6"/>
      <c r="L770" s="6"/>
    </row>
    <row r="771" spans="5:12" x14ac:dyDescent="0.25">
      <c r="E771" s="6"/>
      <c r="L771" s="6"/>
    </row>
    <row r="772" spans="5:12" x14ac:dyDescent="0.25">
      <c r="E772" s="6"/>
      <c r="L772" s="6"/>
    </row>
    <row r="773" spans="5:12" x14ac:dyDescent="0.25">
      <c r="E773" s="6"/>
      <c r="L773" s="6"/>
    </row>
    <row r="774" spans="5:12" x14ac:dyDescent="0.25">
      <c r="E774" s="6"/>
      <c r="L774" s="6"/>
    </row>
    <row r="775" spans="5:12" x14ac:dyDescent="0.25">
      <c r="E775" s="6"/>
      <c r="L775" s="6"/>
    </row>
    <row r="776" spans="5:12" x14ac:dyDescent="0.25">
      <c r="E776" s="6"/>
      <c r="L776" s="6"/>
    </row>
    <row r="777" spans="5:12" x14ac:dyDescent="0.25">
      <c r="E777" s="6"/>
      <c r="L777" s="6"/>
    </row>
    <row r="778" spans="5:12" x14ac:dyDescent="0.25">
      <c r="E778" s="6"/>
      <c r="L778" s="6"/>
    </row>
    <row r="779" spans="5:12" x14ac:dyDescent="0.25">
      <c r="E779" s="6"/>
      <c r="L779" s="6"/>
    </row>
    <row r="780" spans="5:12" x14ac:dyDescent="0.25">
      <c r="E780" s="6"/>
      <c r="L780" s="6"/>
    </row>
    <row r="781" spans="5:12" x14ac:dyDescent="0.25">
      <c r="E781" s="6"/>
      <c r="L781" s="6"/>
    </row>
    <row r="782" spans="5:12" x14ac:dyDescent="0.25">
      <c r="E782" s="6"/>
      <c r="L782" s="6"/>
    </row>
    <row r="783" spans="5:12" x14ac:dyDescent="0.25">
      <c r="E783" s="6"/>
      <c r="L783" s="6"/>
    </row>
    <row r="784" spans="5:12" x14ac:dyDescent="0.25">
      <c r="E784" s="6"/>
      <c r="L784" s="6"/>
    </row>
    <row r="785" spans="5:12" x14ac:dyDescent="0.25">
      <c r="E785" s="6"/>
      <c r="L785" s="6"/>
    </row>
    <row r="786" spans="5:12" x14ac:dyDescent="0.25">
      <c r="E786" s="6"/>
      <c r="L786" s="6"/>
    </row>
    <row r="787" spans="5:12" x14ac:dyDescent="0.25">
      <c r="E787" s="6"/>
      <c r="L787" s="6"/>
    </row>
    <row r="788" spans="5:12" x14ac:dyDescent="0.25">
      <c r="E788" s="6"/>
      <c r="L788" s="6"/>
    </row>
    <row r="789" spans="5:12" x14ac:dyDescent="0.25">
      <c r="E789" s="6"/>
      <c r="L789" s="6"/>
    </row>
    <row r="790" spans="5:12" x14ac:dyDescent="0.25">
      <c r="E790" s="6"/>
      <c r="L790" s="6"/>
    </row>
    <row r="791" spans="5:12" x14ac:dyDescent="0.25">
      <c r="E791" s="6"/>
      <c r="L791" s="6"/>
    </row>
    <row r="792" spans="5:12" x14ac:dyDescent="0.25">
      <c r="E792" s="6"/>
      <c r="L792" s="6"/>
    </row>
    <row r="793" spans="5:12" x14ac:dyDescent="0.25">
      <c r="E793" s="6"/>
      <c r="L793" s="6"/>
    </row>
    <row r="794" spans="5:12" x14ac:dyDescent="0.25">
      <c r="E794" s="6"/>
      <c r="L794" s="6"/>
    </row>
    <row r="795" spans="5:12" x14ac:dyDescent="0.25">
      <c r="E795" s="6"/>
      <c r="L795" s="6"/>
    </row>
    <row r="796" spans="5:12" x14ac:dyDescent="0.25">
      <c r="E796" s="6"/>
      <c r="L796" s="6"/>
    </row>
    <row r="797" spans="5:12" x14ac:dyDescent="0.25">
      <c r="E797" s="6"/>
      <c r="L797" s="6"/>
    </row>
    <row r="798" spans="5:12" x14ac:dyDescent="0.25">
      <c r="E798" s="6"/>
      <c r="L798" s="6"/>
    </row>
    <row r="799" spans="5:12" x14ac:dyDescent="0.25">
      <c r="E799" s="6"/>
      <c r="L799" s="6"/>
    </row>
    <row r="800" spans="5:12" x14ac:dyDescent="0.25">
      <c r="E800" s="6"/>
      <c r="L800" s="6"/>
    </row>
    <row r="801" spans="5:12" x14ac:dyDescent="0.25">
      <c r="E801" s="6"/>
      <c r="L801" s="6"/>
    </row>
    <row r="802" spans="5:12" x14ac:dyDescent="0.25">
      <c r="E802" s="6"/>
      <c r="L802" s="6"/>
    </row>
    <row r="803" spans="5:12" x14ac:dyDescent="0.25">
      <c r="E803" s="6"/>
      <c r="L803" s="6"/>
    </row>
    <row r="804" spans="5:12" x14ac:dyDescent="0.25">
      <c r="E804" s="6"/>
      <c r="L804" s="6"/>
    </row>
    <row r="805" spans="5:12" x14ac:dyDescent="0.25">
      <c r="E805" s="6"/>
      <c r="L805" s="6"/>
    </row>
    <row r="806" spans="5:12" x14ac:dyDescent="0.25">
      <c r="E806" s="6"/>
      <c r="L806" s="6"/>
    </row>
    <row r="807" spans="5:12" x14ac:dyDescent="0.25">
      <c r="E807" s="6"/>
      <c r="L807" s="6"/>
    </row>
    <row r="808" spans="5:12" x14ac:dyDescent="0.25">
      <c r="E808" s="6"/>
      <c r="L808" s="6"/>
    </row>
    <row r="809" spans="5:12" x14ac:dyDescent="0.25">
      <c r="E809" s="6"/>
      <c r="L809" s="6"/>
    </row>
    <row r="810" spans="5:12" x14ac:dyDescent="0.25">
      <c r="E810" s="6"/>
      <c r="L810" s="6"/>
    </row>
    <row r="811" spans="5:12" x14ac:dyDescent="0.25">
      <c r="E811" s="6"/>
      <c r="L811" s="6"/>
    </row>
    <row r="812" spans="5:12" x14ac:dyDescent="0.25">
      <c r="E812" s="6"/>
      <c r="L812" s="6"/>
    </row>
    <row r="813" spans="5:12" x14ac:dyDescent="0.25">
      <c r="E813" s="6"/>
      <c r="L813" s="6"/>
    </row>
    <row r="814" spans="5:12" x14ac:dyDescent="0.25">
      <c r="E814" s="6"/>
      <c r="L814" s="6"/>
    </row>
    <row r="815" spans="5:12" x14ac:dyDescent="0.25">
      <c r="E815" s="6"/>
      <c r="L815" s="6"/>
    </row>
    <row r="816" spans="5:12" x14ac:dyDescent="0.25">
      <c r="E816" s="6"/>
      <c r="L816" s="6"/>
    </row>
    <row r="817" spans="5:12" x14ac:dyDescent="0.25">
      <c r="E817" s="6"/>
      <c r="L817" s="6"/>
    </row>
    <row r="818" spans="5:12" x14ac:dyDescent="0.25">
      <c r="E818" s="6"/>
      <c r="L818" s="6"/>
    </row>
    <row r="819" spans="5:12" x14ac:dyDescent="0.25">
      <c r="E819" s="6"/>
      <c r="L819" s="6"/>
    </row>
    <row r="820" spans="5:12" x14ac:dyDescent="0.25">
      <c r="E820" s="6"/>
      <c r="L820" s="6"/>
    </row>
    <row r="821" spans="5:12" x14ac:dyDescent="0.25">
      <c r="E821" s="6"/>
      <c r="L821" s="6"/>
    </row>
    <row r="822" spans="5:12" x14ac:dyDescent="0.25">
      <c r="E822" s="6"/>
      <c r="L822" s="6"/>
    </row>
    <row r="823" spans="5:12" x14ac:dyDescent="0.25">
      <c r="E823" s="6"/>
      <c r="L823" s="6"/>
    </row>
    <row r="824" spans="5:12" x14ac:dyDescent="0.25">
      <c r="E824" s="6"/>
      <c r="L824" s="6"/>
    </row>
    <row r="825" spans="5:12" x14ac:dyDescent="0.25">
      <c r="E825" s="6"/>
      <c r="L825" s="6"/>
    </row>
    <row r="826" spans="5:12" x14ac:dyDescent="0.25">
      <c r="E826" s="6"/>
      <c r="L826" s="6"/>
    </row>
    <row r="827" spans="5:12" x14ac:dyDescent="0.25">
      <c r="E827" s="6"/>
      <c r="L827" s="6"/>
    </row>
    <row r="828" spans="5:12" x14ac:dyDescent="0.25">
      <c r="E828" s="6"/>
      <c r="L828" s="6"/>
    </row>
    <row r="829" spans="5:12" x14ac:dyDescent="0.25">
      <c r="E829" s="6"/>
      <c r="L829" s="6"/>
    </row>
    <row r="830" spans="5:12" x14ac:dyDescent="0.25">
      <c r="E830" s="6"/>
      <c r="L830" s="6"/>
    </row>
    <row r="831" spans="5:12" x14ac:dyDescent="0.25">
      <c r="E831" s="6"/>
      <c r="L831" s="6"/>
    </row>
    <row r="832" spans="5:12" x14ac:dyDescent="0.25">
      <c r="E832" s="6"/>
      <c r="L832" s="6"/>
    </row>
    <row r="833" spans="5:12" x14ac:dyDescent="0.25">
      <c r="E833" s="6"/>
      <c r="L833" s="6"/>
    </row>
    <row r="834" spans="5:12" x14ac:dyDescent="0.25">
      <c r="E834" s="6"/>
      <c r="L834" s="6"/>
    </row>
    <row r="835" spans="5:12" x14ac:dyDescent="0.25">
      <c r="E835" s="6"/>
      <c r="L835" s="6"/>
    </row>
    <row r="836" spans="5:12" x14ac:dyDescent="0.25">
      <c r="E836" s="6"/>
      <c r="L836" s="6"/>
    </row>
    <row r="837" spans="5:12" x14ac:dyDescent="0.25">
      <c r="E837" s="6"/>
      <c r="L837" s="6"/>
    </row>
    <row r="838" spans="5:12" x14ac:dyDescent="0.25">
      <c r="E838" s="6"/>
      <c r="L838" s="6"/>
    </row>
    <row r="839" spans="5:12" x14ac:dyDescent="0.25">
      <c r="E839" s="6"/>
      <c r="L839" s="6"/>
    </row>
    <row r="840" spans="5:12" x14ac:dyDescent="0.25">
      <c r="E840" s="6"/>
      <c r="L840" s="6"/>
    </row>
    <row r="841" spans="5:12" x14ac:dyDescent="0.25">
      <c r="E841" s="6"/>
      <c r="L841" s="6"/>
    </row>
    <row r="842" spans="5:12" x14ac:dyDescent="0.25">
      <c r="E842" s="6"/>
      <c r="L842" s="6"/>
    </row>
    <row r="843" spans="5:12" x14ac:dyDescent="0.25">
      <c r="E843" s="6"/>
      <c r="L843" s="6"/>
    </row>
    <row r="844" spans="5:12" x14ac:dyDescent="0.25">
      <c r="E844" s="6"/>
      <c r="L844" s="6"/>
    </row>
    <row r="845" spans="5:12" x14ac:dyDescent="0.25">
      <c r="E845" s="6"/>
      <c r="L845" s="6"/>
    </row>
    <row r="846" spans="5:12" x14ac:dyDescent="0.25">
      <c r="E846" s="6"/>
      <c r="L846" s="6"/>
    </row>
    <row r="847" spans="5:12" x14ac:dyDescent="0.25">
      <c r="E847" s="6"/>
      <c r="L847" s="6"/>
    </row>
    <row r="848" spans="5:12" x14ac:dyDescent="0.25">
      <c r="E848" s="6"/>
      <c r="L848" s="6"/>
    </row>
    <row r="849" spans="5:12" x14ac:dyDescent="0.25">
      <c r="E849" s="6"/>
      <c r="L849" s="6"/>
    </row>
    <row r="850" spans="5:12" x14ac:dyDescent="0.25">
      <c r="E850" s="6"/>
      <c r="L850" s="6"/>
    </row>
    <row r="851" spans="5:12" x14ac:dyDescent="0.25">
      <c r="E851" s="6"/>
      <c r="L851" s="6"/>
    </row>
    <row r="852" spans="5:12" x14ac:dyDescent="0.25">
      <c r="E852" s="6"/>
      <c r="L852" s="6"/>
    </row>
    <row r="853" spans="5:12" x14ac:dyDescent="0.25">
      <c r="E853" s="6"/>
      <c r="L853" s="6"/>
    </row>
    <row r="854" spans="5:12" x14ac:dyDescent="0.25">
      <c r="E854" s="6"/>
      <c r="L854" s="6"/>
    </row>
    <row r="855" spans="5:12" x14ac:dyDescent="0.25">
      <c r="E855" s="6"/>
      <c r="L855" s="6"/>
    </row>
    <row r="856" spans="5:12" x14ac:dyDescent="0.25">
      <c r="E856" s="6"/>
      <c r="L856" s="6"/>
    </row>
    <row r="857" spans="5:12" x14ac:dyDescent="0.25">
      <c r="E857" s="6"/>
      <c r="L857" s="6"/>
    </row>
    <row r="858" spans="5:12" x14ac:dyDescent="0.25">
      <c r="E858" s="6"/>
      <c r="L858" s="6"/>
    </row>
    <row r="859" spans="5:12" x14ac:dyDescent="0.25">
      <c r="E859" s="6"/>
      <c r="L859" s="6"/>
    </row>
    <row r="860" spans="5:12" x14ac:dyDescent="0.25">
      <c r="E860" s="6"/>
      <c r="L860" s="6"/>
    </row>
    <row r="861" spans="5:12" x14ac:dyDescent="0.25">
      <c r="E861" s="6"/>
      <c r="L861" s="6"/>
    </row>
    <row r="862" spans="5:12" x14ac:dyDescent="0.25">
      <c r="E862" s="6"/>
      <c r="L862" s="6"/>
    </row>
    <row r="863" spans="5:12" x14ac:dyDescent="0.25">
      <c r="E863" s="6"/>
      <c r="L863" s="6"/>
    </row>
    <row r="864" spans="5:12" x14ac:dyDescent="0.25">
      <c r="E864" s="6"/>
      <c r="L864" s="6"/>
    </row>
    <row r="865" spans="5:12" x14ac:dyDescent="0.25">
      <c r="E865" s="6"/>
      <c r="L865" s="6"/>
    </row>
    <row r="866" spans="5:12" x14ac:dyDescent="0.25">
      <c r="E866" s="6"/>
      <c r="L866" s="6"/>
    </row>
    <row r="867" spans="5:12" x14ac:dyDescent="0.25">
      <c r="E867" s="6"/>
      <c r="L867" s="6"/>
    </row>
    <row r="868" spans="5:12" x14ac:dyDescent="0.25">
      <c r="E868" s="6"/>
      <c r="L868" s="6"/>
    </row>
    <row r="869" spans="5:12" x14ac:dyDescent="0.25">
      <c r="E869" s="6"/>
      <c r="L869" s="6"/>
    </row>
    <row r="870" spans="5:12" x14ac:dyDescent="0.25">
      <c r="E870" s="6"/>
      <c r="L870" s="6"/>
    </row>
    <row r="871" spans="5:12" x14ac:dyDescent="0.25">
      <c r="E871" s="6"/>
      <c r="L871" s="6"/>
    </row>
    <row r="872" spans="5:12" x14ac:dyDescent="0.25">
      <c r="E872" s="6"/>
      <c r="L872" s="6"/>
    </row>
    <row r="873" spans="5:12" x14ac:dyDescent="0.25">
      <c r="E873" s="6"/>
      <c r="L873" s="6"/>
    </row>
    <row r="874" spans="5:12" x14ac:dyDescent="0.25">
      <c r="E874" s="6"/>
      <c r="L874" s="6"/>
    </row>
    <row r="875" spans="5:12" x14ac:dyDescent="0.25">
      <c r="E875" s="6"/>
      <c r="L875" s="6"/>
    </row>
    <row r="876" spans="5:12" x14ac:dyDescent="0.25">
      <c r="E876" s="6"/>
      <c r="L876" s="6"/>
    </row>
    <row r="877" spans="5:12" x14ac:dyDescent="0.25">
      <c r="E877" s="6"/>
      <c r="L877" s="6"/>
    </row>
    <row r="878" spans="5:12" x14ac:dyDescent="0.25">
      <c r="E878" s="6"/>
      <c r="L878" s="6"/>
    </row>
    <row r="879" spans="5:12" x14ac:dyDescent="0.25">
      <c r="E879" s="6"/>
      <c r="L879" s="6"/>
    </row>
    <row r="880" spans="5:12" x14ac:dyDescent="0.25">
      <c r="E880" s="6"/>
      <c r="L880" s="6"/>
    </row>
    <row r="881" spans="5:12" x14ac:dyDescent="0.25">
      <c r="E881" s="6"/>
      <c r="L881" s="6"/>
    </row>
    <row r="882" spans="5:12" x14ac:dyDescent="0.25">
      <c r="E882" s="6"/>
      <c r="L882" s="6"/>
    </row>
    <row r="883" spans="5:12" x14ac:dyDescent="0.25">
      <c r="E883" s="6"/>
      <c r="L883" s="6"/>
    </row>
    <row r="884" spans="5:12" x14ac:dyDescent="0.25">
      <c r="E884" s="6"/>
      <c r="L884" s="6"/>
    </row>
    <row r="885" spans="5:12" x14ac:dyDescent="0.25">
      <c r="E885" s="6"/>
      <c r="L885" s="6"/>
    </row>
    <row r="886" spans="5:12" x14ac:dyDescent="0.25">
      <c r="E886" s="6"/>
      <c r="L886" s="6"/>
    </row>
    <row r="887" spans="5:12" x14ac:dyDescent="0.25">
      <c r="E887" s="6"/>
      <c r="L887" s="6"/>
    </row>
    <row r="888" spans="5:12" x14ac:dyDescent="0.25">
      <c r="E888" s="6"/>
      <c r="L888" s="6"/>
    </row>
    <row r="889" spans="5:12" x14ac:dyDescent="0.25">
      <c r="E889" s="6"/>
      <c r="L889" s="6"/>
    </row>
    <row r="890" spans="5:12" x14ac:dyDescent="0.25">
      <c r="E890" s="6"/>
      <c r="L890" s="6"/>
    </row>
    <row r="891" spans="5:12" x14ac:dyDescent="0.25">
      <c r="E891" s="6"/>
      <c r="L891" s="6"/>
    </row>
    <row r="892" spans="5:12" x14ac:dyDescent="0.25">
      <c r="E892" s="6"/>
      <c r="L892" s="6"/>
    </row>
    <row r="893" spans="5:12" x14ac:dyDescent="0.25">
      <c r="E893" s="6"/>
      <c r="L893" s="6"/>
    </row>
    <row r="894" spans="5:12" x14ac:dyDescent="0.25">
      <c r="E894" s="6"/>
      <c r="L894" s="6"/>
    </row>
    <row r="895" spans="5:12" x14ac:dyDescent="0.25">
      <c r="E895" s="6"/>
      <c r="L895" s="6"/>
    </row>
    <row r="896" spans="5:12" x14ac:dyDescent="0.25">
      <c r="E896" s="6"/>
      <c r="L896" s="6"/>
    </row>
    <row r="897" spans="5:12" x14ac:dyDescent="0.25">
      <c r="E897" s="6"/>
      <c r="L897" s="6"/>
    </row>
    <row r="898" spans="5:12" x14ac:dyDescent="0.25">
      <c r="E898" s="6"/>
      <c r="L898" s="6"/>
    </row>
    <row r="899" spans="5:12" x14ac:dyDescent="0.25">
      <c r="E899" s="6"/>
      <c r="L899" s="6"/>
    </row>
    <row r="900" spans="5:12" x14ac:dyDescent="0.25">
      <c r="E900" s="6"/>
      <c r="L900" s="6"/>
    </row>
    <row r="901" spans="5:12" x14ac:dyDescent="0.25">
      <c r="E901" s="6"/>
      <c r="L901" s="6"/>
    </row>
    <row r="902" spans="5:12" x14ac:dyDescent="0.25">
      <c r="E902" s="6"/>
      <c r="L902" s="6"/>
    </row>
    <row r="903" spans="5:12" x14ac:dyDescent="0.25">
      <c r="E903" s="6"/>
      <c r="L903" s="6"/>
    </row>
    <row r="904" spans="5:12" x14ac:dyDescent="0.25">
      <c r="E904" s="6"/>
      <c r="L904" s="6"/>
    </row>
    <row r="905" spans="5:12" x14ac:dyDescent="0.25">
      <c r="E905" s="6"/>
      <c r="L905" s="6"/>
    </row>
    <row r="906" spans="5:12" x14ac:dyDescent="0.25">
      <c r="E906" s="6"/>
      <c r="L906" s="6"/>
    </row>
    <row r="907" spans="5:12" x14ac:dyDescent="0.25">
      <c r="E907" s="6"/>
      <c r="L907" s="6"/>
    </row>
    <row r="908" spans="5:12" x14ac:dyDescent="0.25">
      <c r="E908" s="6"/>
      <c r="L908" s="6"/>
    </row>
    <row r="909" spans="5:12" x14ac:dyDescent="0.25">
      <c r="E909" s="6"/>
      <c r="L909" s="6"/>
    </row>
    <row r="910" spans="5:12" x14ac:dyDescent="0.25">
      <c r="E910" s="6"/>
      <c r="L910" s="6"/>
    </row>
    <row r="911" spans="5:12" x14ac:dyDescent="0.25">
      <c r="E911" s="6"/>
      <c r="L911" s="6"/>
    </row>
    <row r="912" spans="5:12" x14ac:dyDescent="0.25">
      <c r="E912" s="6"/>
      <c r="L912" s="6"/>
    </row>
    <row r="913" spans="5:12" x14ac:dyDescent="0.25">
      <c r="E913" s="6"/>
      <c r="L913" s="6"/>
    </row>
    <row r="914" spans="5:12" x14ac:dyDescent="0.25">
      <c r="E914" s="6"/>
      <c r="L914" s="6"/>
    </row>
    <row r="915" spans="5:12" x14ac:dyDescent="0.25">
      <c r="E915" s="6"/>
      <c r="L915" s="6"/>
    </row>
    <row r="916" spans="5:12" x14ac:dyDescent="0.25">
      <c r="E916" s="6"/>
      <c r="L916" s="6"/>
    </row>
    <row r="917" spans="5:12" x14ac:dyDescent="0.25">
      <c r="E917" s="6"/>
      <c r="L917" s="6"/>
    </row>
    <row r="918" spans="5:12" x14ac:dyDescent="0.25">
      <c r="E918" s="6"/>
      <c r="L918" s="6"/>
    </row>
    <row r="919" spans="5:12" x14ac:dyDescent="0.25">
      <c r="E919" s="6"/>
      <c r="L919" s="6"/>
    </row>
    <row r="920" spans="5:12" x14ac:dyDescent="0.25">
      <c r="E920" s="6"/>
      <c r="L920" s="6"/>
    </row>
    <row r="921" spans="5:12" x14ac:dyDescent="0.25">
      <c r="E921" s="6"/>
      <c r="L921" s="6"/>
    </row>
    <row r="922" spans="5:12" x14ac:dyDescent="0.25">
      <c r="E922" s="6"/>
      <c r="L922" s="6"/>
    </row>
    <row r="923" spans="5:12" x14ac:dyDescent="0.25">
      <c r="E923" s="6"/>
      <c r="L923" s="6"/>
    </row>
    <row r="924" spans="5:12" x14ac:dyDescent="0.25">
      <c r="E924" s="6"/>
      <c r="L924" s="6"/>
    </row>
    <row r="925" spans="5:12" x14ac:dyDescent="0.25">
      <c r="E925" s="6"/>
      <c r="L925" s="6"/>
    </row>
    <row r="926" spans="5:12" x14ac:dyDescent="0.25">
      <c r="E926" s="6"/>
      <c r="L926" s="6"/>
    </row>
    <row r="927" spans="5:12" x14ac:dyDescent="0.25">
      <c r="E927" s="6"/>
      <c r="L927" s="6"/>
    </row>
    <row r="928" spans="5:12" x14ac:dyDescent="0.25">
      <c r="E928" s="6"/>
      <c r="L928" s="6"/>
    </row>
    <row r="929" spans="5:12" x14ac:dyDescent="0.25">
      <c r="E929" s="6"/>
      <c r="L929" s="6"/>
    </row>
    <row r="930" spans="5:12" x14ac:dyDescent="0.25">
      <c r="E930" s="6"/>
      <c r="L930" s="6"/>
    </row>
    <row r="931" spans="5:12" x14ac:dyDescent="0.25">
      <c r="E931" s="6"/>
      <c r="L931" s="6"/>
    </row>
    <row r="932" spans="5:12" x14ac:dyDescent="0.25">
      <c r="E932" s="6"/>
      <c r="L932" s="6"/>
    </row>
    <row r="933" spans="5:12" x14ac:dyDescent="0.25">
      <c r="E933" s="6"/>
      <c r="L933" s="6"/>
    </row>
    <row r="934" spans="5:12" x14ac:dyDescent="0.25">
      <c r="E934" s="6"/>
      <c r="L934" s="6"/>
    </row>
    <row r="935" spans="5:12" x14ac:dyDescent="0.25">
      <c r="E935" s="6"/>
      <c r="L935" s="6"/>
    </row>
    <row r="936" spans="5:12" x14ac:dyDescent="0.25">
      <c r="E936" s="6"/>
      <c r="L936" s="6"/>
    </row>
    <row r="937" spans="5:12" x14ac:dyDescent="0.25">
      <c r="E937" s="6"/>
      <c r="L937" s="6"/>
    </row>
    <row r="938" spans="5:12" x14ac:dyDescent="0.25">
      <c r="E938" s="6"/>
      <c r="L938" s="6"/>
    </row>
    <row r="939" spans="5:12" x14ac:dyDescent="0.25">
      <c r="E939" s="6"/>
      <c r="L939" s="6"/>
    </row>
    <row r="940" spans="5:12" x14ac:dyDescent="0.25">
      <c r="E940" s="6"/>
      <c r="L940" s="6"/>
    </row>
    <row r="941" spans="5:12" x14ac:dyDescent="0.25">
      <c r="E941" s="6"/>
      <c r="L941" s="6"/>
    </row>
    <row r="942" spans="5:12" x14ac:dyDescent="0.25">
      <c r="E942" s="6"/>
      <c r="L942" s="6"/>
    </row>
    <row r="943" spans="5:12" x14ac:dyDescent="0.25">
      <c r="E943" s="6"/>
      <c r="L943" s="6"/>
    </row>
    <row r="944" spans="5:12" x14ac:dyDescent="0.25">
      <c r="E944" s="6"/>
      <c r="L944" s="6"/>
    </row>
    <row r="945" spans="5:12" x14ac:dyDescent="0.25">
      <c r="E945" s="6"/>
      <c r="L945" s="6"/>
    </row>
    <row r="946" spans="5:12" x14ac:dyDescent="0.25">
      <c r="E946" s="6"/>
      <c r="L946" s="6"/>
    </row>
    <row r="947" spans="5:12" x14ac:dyDescent="0.25">
      <c r="E947" s="6"/>
      <c r="L947" s="6"/>
    </row>
    <row r="948" spans="5:12" x14ac:dyDescent="0.25">
      <c r="E948" s="6"/>
      <c r="L948" s="6"/>
    </row>
    <row r="949" spans="5:12" x14ac:dyDescent="0.25">
      <c r="E949" s="6"/>
      <c r="L949" s="6"/>
    </row>
    <row r="950" spans="5:12" x14ac:dyDescent="0.25">
      <c r="E950" s="6"/>
      <c r="L950" s="6"/>
    </row>
    <row r="951" spans="5:12" x14ac:dyDescent="0.25">
      <c r="E951" s="6"/>
      <c r="L951" s="6"/>
    </row>
    <row r="952" spans="5:12" x14ac:dyDescent="0.25">
      <c r="E952" s="6"/>
      <c r="L952" s="6"/>
    </row>
    <row r="953" spans="5:12" x14ac:dyDescent="0.25">
      <c r="E953" s="6"/>
      <c r="L953" s="6"/>
    </row>
    <row r="954" spans="5:12" x14ac:dyDescent="0.25">
      <c r="E954" s="6"/>
      <c r="L954" s="6"/>
    </row>
    <row r="955" spans="5:12" x14ac:dyDescent="0.25">
      <c r="E955" s="6"/>
      <c r="L955" s="6"/>
    </row>
    <row r="956" spans="5:12" x14ac:dyDescent="0.25">
      <c r="E956" s="6"/>
      <c r="L956" s="6"/>
    </row>
    <row r="957" spans="5:12" x14ac:dyDescent="0.25">
      <c r="E957" s="6"/>
      <c r="L957" s="6"/>
    </row>
    <row r="958" spans="5:12" x14ac:dyDescent="0.25">
      <c r="E958" s="6"/>
      <c r="L958" s="6"/>
    </row>
    <row r="959" spans="5:12" x14ac:dyDescent="0.25">
      <c r="E959" s="6"/>
      <c r="L959" s="6"/>
    </row>
    <row r="960" spans="5:12" x14ac:dyDescent="0.25">
      <c r="E960" s="6"/>
      <c r="L960" s="6"/>
    </row>
    <row r="961" spans="5:12" x14ac:dyDescent="0.25">
      <c r="E961" s="6"/>
      <c r="L961" s="6"/>
    </row>
    <row r="962" spans="5:12" x14ac:dyDescent="0.25">
      <c r="E962" s="6"/>
      <c r="L962" s="6"/>
    </row>
    <row r="963" spans="5:12" x14ac:dyDescent="0.25">
      <c r="E963" s="6"/>
      <c r="L963" s="6"/>
    </row>
    <row r="964" spans="5:12" x14ac:dyDescent="0.25">
      <c r="E964" s="6"/>
      <c r="L964" s="6"/>
    </row>
    <row r="965" spans="5:12" x14ac:dyDescent="0.25">
      <c r="E965" s="6"/>
      <c r="L965" s="6"/>
    </row>
    <row r="966" spans="5:12" x14ac:dyDescent="0.25">
      <c r="E966" s="6"/>
      <c r="L966" s="6"/>
    </row>
    <row r="967" spans="5:12" x14ac:dyDescent="0.25">
      <c r="E967" s="6"/>
      <c r="L967" s="6"/>
    </row>
    <row r="968" spans="5:12" x14ac:dyDescent="0.25">
      <c r="E968" s="6"/>
      <c r="L968" s="6"/>
    </row>
    <row r="969" spans="5:12" x14ac:dyDescent="0.25">
      <c r="E969" s="6"/>
      <c r="L969" s="6"/>
    </row>
    <row r="970" spans="5:12" x14ac:dyDescent="0.25">
      <c r="E970" s="6"/>
      <c r="L970" s="6"/>
    </row>
    <row r="971" spans="5:12" x14ac:dyDescent="0.25">
      <c r="E971" s="6"/>
      <c r="L971" s="6"/>
    </row>
    <row r="972" spans="5:12" x14ac:dyDescent="0.25">
      <c r="E972" s="6"/>
      <c r="L972" s="6"/>
    </row>
    <row r="973" spans="5:12" x14ac:dyDescent="0.25">
      <c r="E973" s="6"/>
      <c r="L973" s="6"/>
    </row>
    <row r="974" spans="5:12" x14ac:dyDescent="0.25">
      <c r="E974" s="6"/>
      <c r="L974" s="6"/>
    </row>
    <row r="975" spans="5:12" x14ac:dyDescent="0.25">
      <c r="E975" s="6"/>
      <c r="L975" s="6"/>
    </row>
    <row r="976" spans="5:12" x14ac:dyDescent="0.25">
      <c r="E976" s="6"/>
      <c r="L976" s="6"/>
    </row>
    <row r="977" spans="5:12" x14ac:dyDescent="0.25">
      <c r="E977" s="6"/>
      <c r="L977" s="6"/>
    </row>
    <row r="978" spans="5:12" x14ac:dyDescent="0.25">
      <c r="E978" s="6"/>
      <c r="L978" s="6"/>
    </row>
    <row r="979" spans="5:12" x14ac:dyDescent="0.25">
      <c r="E979" s="6"/>
      <c r="L979" s="6"/>
    </row>
    <row r="980" spans="5:12" x14ac:dyDescent="0.25">
      <c r="E980" s="6"/>
      <c r="L980" s="6"/>
    </row>
    <row r="981" spans="5:12" x14ac:dyDescent="0.25">
      <c r="E981" s="6"/>
      <c r="L981" s="6"/>
    </row>
    <row r="982" spans="5:12" x14ac:dyDescent="0.25">
      <c r="E982" s="6"/>
      <c r="L982" s="6"/>
    </row>
    <row r="983" spans="5:12" x14ac:dyDescent="0.25">
      <c r="E983" s="6"/>
      <c r="L983" s="6"/>
    </row>
    <row r="984" spans="5:12" x14ac:dyDescent="0.25">
      <c r="E984" s="6"/>
      <c r="L984" s="6"/>
    </row>
    <row r="985" spans="5:12" x14ac:dyDescent="0.25">
      <c r="E985" s="6"/>
      <c r="L985" s="6"/>
    </row>
    <row r="986" spans="5:12" x14ac:dyDescent="0.25">
      <c r="E986" s="6"/>
      <c r="L986" s="6"/>
    </row>
    <row r="987" spans="5:12" x14ac:dyDescent="0.25">
      <c r="E987" s="6"/>
      <c r="L987" s="6"/>
    </row>
    <row r="988" spans="5:12" x14ac:dyDescent="0.25">
      <c r="E988" s="6"/>
      <c r="L988" s="6"/>
    </row>
    <row r="989" spans="5:12" x14ac:dyDescent="0.25">
      <c r="E989" s="6"/>
      <c r="L989" s="6"/>
    </row>
    <row r="990" spans="5:12" x14ac:dyDescent="0.25">
      <c r="E990" s="6"/>
      <c r="L990" s="6"/>
    </row>
    <row r="991" spans="5:12" x14ac:dyDescent="0.25">
      <c r="E991" s="6"/>
      <c r="L991" s="6"/>
    </row>
    <row r="992" spans="5:12" x14ac:dyDescent="0.25">
      <c r="E992" s="6"/>
      <c r="L992" s="6"/>
    </row>
    <row r="993" spans="5:12" x14ac:dyDescent="0.25">
      <c r="E993" s="6"/>
      <c r="L993" s="6"/>
    </row>
    <row r="994" spans="5:12" x14ac:dyDescent="0.25">
      <c r="E994" s="6"/>
      <c r="L994" s="6"/>
    </row>
    <row r="995" spans="5:12" x14ac:dyDescent="0.25">
      <c r="E995" s="6"/>
      <c r="L995" s="6"/>
    </row>
    <row r="996" spans="5:12" x14ac:dyDescent="0.25">
      <c r="E996" s="6"/>
      <c r="L996" s="6"/>
    </row>
    <row r="997" spans="5:12" x14ac:dyDescent="0.25">
      <c r="E997" s="6"/>
      <c r="L997" s="6"/>
    </row>
    <row r="998" spans="5:12" x14ac:dyDescent="0.25">
      <c r="E998" s="6"/>
      <c r="L998" s="6"/>
    </row>
    <row r="999" spans="5:12" x14ac:dyDescent="0.25">
      <c r="E999" s="6"/>
      <c r="L999" s="6"/>
    </row>
    <row r="1000" spans="5:12" x14ac:dyDescent="0.25">
      <c r="E1000" s="6"/>
      <c r="L1000" s="6"/>
    </row>
    <row r="1001" spans="5:12" x14ac:dyDescent="0.25">
      <c r="E1001" s="6"/>
    </row>
  </sheetData>
  <mergeCells count="5">
    <mergeCell ref="A1:H1"/>
    <mergeCell ref="D9:G9"/>
    <mergeCell ref="E14:F14"/>
    <mergeCell ref="F259:G259"/>
    <mergeCell ref="G261:H26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2024-11-11T07:46:59Z</dcterms:modified>
</cp:coreProperties>
</file>