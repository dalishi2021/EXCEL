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4\"/>
    </mc:Choice>
  </mc:AlternateContent>
  <xr:revisionPtr revIDLastSave="0" documentId="13_ncr:1_{02F51286-5132-419A-AC16-C20C46578DEC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  <externalReference r:id="rId4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4" i="1" l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3" i="1"/>
  <c r="L18" i="1"/>
  <c r="L17" i="1"/>
  <c r="L16" i="1"/>
  <c r="L15" i="1"/>
  <c r="L14" i="1"/>
  <c r="L13" i="1"/>
  <c r="L12" i="1"/>
  <c r="L11" i="1"/>
  <c r="L10" i="1"/>
  <c r="L9" i="1"/>
  <c r="L8" i="1"/>
  <c r="L7" i="1"/>
  <c r="L4" i="1"/>
  <c r="L5" i="1"/>
  <c r="L6" i="1"/>
  <c r="L3" i="1"/>
  <c r="G3" i="1"/>
  <c r="G4" i="1"/>
  <c r="G5" i="1"/>
  <c r="J5" i="1" s="1"/>
  <c r="G6" i="1"/>
  <c r="G7" i="1"/>
  <c r="G8" i="1"/>
  <c r="G9" i="1"/>
  <c r="G10" i="1"/>
  <c r="G11" i="1"/>
  <c r="I11" i="1" s="1"/>
  <c r="G12" i="1"/>
  <c r="G13" i="1"/>
  <c r="G14" i="1"/>
  <c r="G15" i="1"/>
  <c r="G16" i="1"/>
  <c r="G17" i="1"/>
  <c r="G18" i="1"/>
  <c r="H13" i="1"/>
  <c r="J16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P21" i="1"/>
  <c r="P20" i="1"/>
  <c r="O2" i="1"/>
  <c r="N2" i="1"/>
  <c r="Q5" i="1"/>
  <c r="Q4" i="1"/>
  <c r="Q3" i="1"/>
  <c r="I27" i="1"/>
  <c r="J25" i="1"/>
  <c r="G23" i="1"/>
  <c r="B21" i="1"/>
  <c r="E2" i="1"/>
  <c r="I13" i="1" l="1"/>
  <c r="N13" i="1" s="1"/>
  <c r="O13" i="1" s="1"/>
  <c r="H10" i="1"/>
  <c r="J13" i="1"/>
  <c r="H18" i="1"/>
  <c r="I18" i="1"/>
  <c r="I10" i="1"/>
  <c r="H4" i="1"/>
  <c r="H7" i="1"/>
  <c r="J10" i="1"/>
  <c r="H15" i="1"/>
  <c r="J18" i="1"/>
  <c r="I15" i="1"/>
  <c r="I4" i="1"/>
  <c r="I7" i="1"/>
  <c r="J4" i="1"/>
  <c r="J7" i="1"/>
  <c r="H12" i="1"/>
  <c r="J15" i="1"/>
  <c r="I12" i="1"/>
  <c r="H9" i="1"/>
  <c r="J12" i="1"/>
  <c r="H17" i="1"/>
  <c r="I17" i="1"/>
  <c r="H3" i="1"/>
  <c r="I9" i="1"/>
  <c r="I3" i="1"/>
  <c r="H6" i="1"/>
  <c r="J9" i="1"/>
  <c r="H14" i="1"/>
  <c r="J17" i="1"/>
  <c r="I14" i="1"/>
  <c r="J3" i="1"/>
  <c r="I6" i="1"/>
  <c r="J6" i="1"/>
  <c r="H11" i="1"/>
  <c r="N11" i="1" s="1"/>
  <c r="O11" i="1" s="1"/>
  <c r="J14" i="1"/>
  <c r="H8" i="1"/>
  <c r="J11" i="1"/>
  <c r="H16" i="1"/>
  <c r="N16" i="1" s="1"/>
  <c r="O16" i="1" s="1"/>
  <c r="I16" i="1"/>
  <c r="H5" i="1"/>
  <c r="I8" i="1"/>
  <c r="I5" i="1"/>
  <c r="J8" i="1"/>
  <c r="N8" i="1" l="1"/>
  <c r="O8" i="1" s="1"/>
  <c r="N6" i="1"/>
  <c r="O6" i="1" s="1"/>
  <c r="N14" i="1"/>
  <c r="O14" i="1" s="1"/>
  <c r="N12" i="1"/>
  <c r="O12" i="1" s="1"/>
  <c r="N7" i="1"/>
  <c r="O7" i="1" s="1"/>
  <c r="N3" i="1"/>
  <c r="O3" i="1" s="1"/>
  <c r="N18" i="1"/>
  <c r="O18" i="1" s="1"/>
  <c r="N4" i="1"/>
  <c r="O4" i="1" s="1"/>
  <c r="N10" i="1"/>
  <c r="O10" i="1" s="1"/>
  <c r="P10" i="1" s="1"/>
  <c r="N5" i="1"/>
  <c r="O5" i="1" s="1"/>
  <c r="N9" i="1"/>
  <c r="O9" i="1" s="1"/>
  <c r="N15" i="1"/>
  <c r="O15" i="1" s="1"/>
  <c r="N17" i="1"/>
  <c r="O17" i="1" s="1"/>
  <c r="P13" i="1"/>
  <c r="P8" i="1"/>
  <c r="P15" i="1"/>
  <c r="P11" i="1"/>
  <c r="P16" i="1"/>
  <c r="P14" i="1"/>
  <c r="P7" i="1"/>
  <c r="P18" i="1"/>
  <c r="P6" i="1"/>
  <c r="P17" i="1"/>
  <c r="P5" i="1"/>
  <c r="P9" i="1"/>
  <c r="P12" i="1"/>
  <c r="P3" i="1" l="1"/>
  <c r="O20" i="1"/>
  <c r="P4" i="1"/>
  <c r="O21" i="1"/>
</calcChain>
</file>

<file path=xl/sharedStrings.xml><?xml version="1.0" encoding="utf-8"?>
<sst xmlns="http://schemas.openxmlformats.org/spreadsheetml/2006/main" count="30" uniqueCount="18">
  <si>
    <t>EARNINGS ANNOUNCEMENT IN 2006-07 FOR KROGER (KR), SUPERVALU (SVU), 
SAFEWAY (SWY), AND WHOLE FOODS (WFMI)</t>
  </si>
  <si>
    <t>Calendar Date</t>
  </si>
  <si>
    <t>Ticker</t>
  </si>
  <si>
    <t>Consensus</t>
  </si>
  <si>
    <t xml:space="preserve">Actual </t>
  </si>
  <si>
    <t>Starting Point</t>
  </si>
  <si>
    <t>Intercept</t>
  </si>
  <si>
    <t>Slope</t>
  </si>
  <si>
    <t>STEXY</t>
  </si>
  <si>
    <t>Actual Return</t>
  </si>
  <si>
    <t>S&amp;P 500 Return</t>
  </si>
  <si>
    <t>t-stat</t>
  </si>
  <si>
    <t>KR</t>
  </si>
  <si>
    <t>SVU</t>
  </si>
  <si>
    <t>SWY</t>
  </si>
  <si>
    <t>WFMI</t>
  </si>
  <si>
    <t>Positive 
surprise</t>
  </si>
  <si>
    <t>Non-positive 
surprise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</si>
</sst>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7" formatCode="0.0000"/>
    <numFmt numFmtId="178" formatCode="mm/dd/yy;@"/>
    <numFmt numFmtId="179" formatCode="0.0000000"/>
    <numFmt numFmtId="181" formatCode="0_ "/>
  </numFmts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7.5"/>
      <name val="Arial"/>
      <family val="2"/>
    </font>
    <font>
      <sz val="7.9"/>
      <name val="Arial"/>
      <family val="2"/>
    </font>
    <font>
      <b/>
      <sz val="7.9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/>
    <xf numFmtId="177" fontId="0" fillId="0" borderId="0" xfId="0" applyNumberFormat="1" applyAlignment="1"/>
    <xf numFmtId="10" fontId="5" fillId="0" borderId="0" xfId="1" applyNumberFormat="1" applyFont="1" applyAlignment="1">
      <alignment horizontal="center"/>
    </xf>
    <xf numFmtId="10" fontId="5" fillId="0" borderId="0" xfId="1" applyNumberFormat="1" applyFont="1" applyAlignment="1"/>
    <xf numFmtId="177" fontId="4" fillId="0" borderId="0" xfId="0" applyNumberFormat="1" applyFont="1" applyAlignment="1"/>
    <xf numFmtId="16" fontId="6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0" fontId="7" fillId="0" borderId="0" xfId="0" applyNumberFormat="1" applyFont="1" applyAlignment="1">
      <alignment wrapText="1"/>
    </xf>
    <xf numFmtId="178" fontId="5" fillId="0" borderId="0" xfId="0" applyNumberFormat="1" applyFont="1" applyAlignment="1">
      <alignment horizontal="center" wrapText="1"/>
    </xf>
    <xf numFmtId="0" fontId="4" fillId="0" borderId="0" xfId="0" applyFont="1" applyAlignment="1"/>
    <xf numFmtId="0" fontId="0" fillId="2" borderId="0" xfId="0" applyFill="1" applyAlignment="1">
      <alignment vertical="center" wrapText="1"/>
    </xf>
    <xf numFmtId="10" fontId="5" fillId="2" borderId="0" xfId="1" applyNumberFormat="1" applyFont="1" applyFill="1" applyAlignment="1">
      <alignment vertical="center"/>
    </xf>
    <xf numFmtId="177" fontId="5" fillId="0" borderId="0" xfId="0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3" borderId="0" xfId="0" applyFill="1" applyAlignment="1">
      <alignment horizontal="center" vertical="center" wrapText="1"/>
    </xf>
    <xf numFmtId="0" fontId="5" fillId="0" borderId="0" xfId="0" applyFont="1" applyAlignment="1"/>
    <xf numFmtId="179" fontId="0" fillId="0" borderId="0" xfId="0" applyNumberFormat="1" applyAlignment="1"/>
    <xf numFmtId="179" fontId="5" fillId="0" borderId="0" xfId="0" applyNumberFormat="1" applyFont="1" applyAlignment="1"/>
    <xf numFmtId="14" fontId="0" fillId="0" borderId="0" xfId="0" applyNumberFormat="1" applyAlignment="1"/>
    <xf numFmtId="0" fontId="8" fillId="0" borderId="0" xfId="0" applyFont="1" applyAlignment="1">
      <alignment wrapText="1"/>
    </xf>
    <xf numFmtId="14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0" fontId="4" fillId="4" borderId="0" xfId="0" applyFont="1" applyFill="1" applyAlignment="1">
      <alignment horizontal="center" vertical="center" wrapText="1"/>
    </xf>
    <xf numFmtId="177" fontId="0" fillId="4" borderId="0" xfId="0" applyNumberFormat="1" applyFill="1" applyAlignment="1"/>
  </cellXfs>
  <cellStyles count="2">
    <cellStyle name="百分比" xfId="1" builtinId="5"/>
    <cellStyle name="常规" xfId="0" builtinId="0"/>
  </cellStyles>
  <dxfs count="1">
    <dxf>
      <font>
        <b/>
        <i val="0"/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175260</xdr:colOff>
      <xdr:row>17</xdr:row>
      <xdr:rowOff>91440</xdr:rowOff>
    </xdr:from>
    <xdr:to>
      <xdr:col>6</xdr:col>
      <xdr:colOff>205740</xdr:colOff>
      <xdr:row>20</xdr:row>
      <xdr:rowOff>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AD850DFD-6DF4-44C7-A879-D73787E64FE4}"/>
            </a:ext>
          </a:extLst>
        </xdr:cNvPr>
        <xdr:cNvSpPr>
          <a:spLocks noChangeShapeType="1"/>
        </xdr:cNvSpPr>
      </xdr:nvSpPr>
      <xdr:spPr bwMode="auto">
        <a:xfrm flipV="1">
          <a:off x="2771775" y="3648075"/>
          <a:ext cx="866775" cy="7810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464820</xdr:colOff>
      <xdr:row>18</xdr:row>
      <xdr:rowOff>0</xdr:rowOff>
    </xdr:from>
    <xdr:to>
      <xdr:col>9</xdr:col>
      <xdr:colOff>190500</xdr:colOff>
      <xdr:row>22</xdr:row>
      <xdr:rowOff>7620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D0F3F56C-FC9D-4C43-AA69-192541B17FDD}"/>
            </a:ext>
          </a:extLst>
        </xdr:cNvPr>
        <xdr:cNvSpPr>
          <a:spLocks noChangeShapeType="1"/>
        </xdr:cNvSpPr>
      </xdr:nvSpPr>
      <xdr:spPr bwMode="auto">
        <a:xfrm flipH="1" flipV="1">
          <a:off x="4581525" y="3724275"/>
          <a:ext cx="1038225" cy="1343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472440</xdr:colOff>
      <xdr:row>18</xdr:row>
      <xdr:rowOff>0</xdr:rowOff>
    </xdr:from>
    <xdr:to>
      <xdr:col>11</xdr:col>
      <xdr:colOff>601980</xdr:colOff>
      <xdr:row>23</xdr:row>
      <xdr:rowOff>121920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ADD541D8-D9AB-47A2-B9FC-7945478A28C1}"/>
            </a:ext>
          </a:extLst>
        </xdr:cNvPr>
        <xdr:cNvSpPr>
          <a:spLocks noChangeShapeType="1"/>
        </xdr:cNvSpPr>
      </xdr:nvSpPr>
      <xdr:spPr bwMode="auto">
        <a:xfrm flipH="1" flipV="1">
          <a:off x="5248275" y="3724275"/>
          <a:ext cx="1619250" cy="20288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487680</xdr:colOff>
      <xdr:row>17</xdr:row>
      <xdr:rowOff>121920</xdr:rowOff>
    </xdr:from>
    <xdr:to>
      <xdr:col>14</xdr:col>
      <xdr:colOff>388620</xdr:colOff>
      <xdr:row>25</xdr:row>
      <xdr:rowOff>114300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19315993-2612-4DC7-B89A-1E15B46FF2F1}"/>
            </a:ext>
          </a:extLst>
        </xdr:cNvPr>
        <xdr:cNvSpPr>
          <a:spLocks noChangeShapeType="1"/>
        </xdr:cNvSpPr>
      </xdr:nvSpPr>
      <xdr:spPr bwMode="auto">
        <a:xfrm flipH="1" flipV="1">
          <a:off x="5915025" y="3676650"/>
          <a:ext cx="3209925" cy="27146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18</xdr:col>
      <xdr:colOff>0</xdr:colOff>
      <xdr:row>1</xdr:row>
      <xdr:rowOff>114300</xdr:rowOff>
    </xdr:from>
    <xdr:to>
      <xdr:col>37</xdr:col>
      <xdr:colOff>93345</xdr:colOff>
      <xdr:row>26</xdr:row>
      <xdr:rowOff>479149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6A04BD7D-9A1F-7923-6269-2AD29D879D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287250" y="333375"/>
          <a:ext cx="11687175" cy="6924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4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4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14\data.xlsx" TargetMode="External"/><Relationship Id="rId1" Type="http://schemas.openxmlformats.org/officeDocument/2006/relationships/externalLinkPath" Target="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372"/>
      <sheetName val="Page 372（中文）"/>
      <sheetName val="Page 376"/>
      <sheetName val="Page 376（中文）"/>
      <sheetName val="Page 377"/>
      <sheetName val="Page 377（中文）"/>
      <sheetName val="Page 378"/>
      <sheetName val="Page 378（中文）"/>
      <sheetName val="Page 380"/>
      <sheetName val="Page 380（中文）"/>
      <sheetName val="Page 382"/>
      <sheetName val="Page 382（中文）"/>
      <sheetName val="Page 383"/>
      <sheetName val="Page 383（中文）"/>
      <sheetName val="Page 385"/>
      <sheetName val="Page 385（中文）"/>
      <sheetName val="Page 386"/>
      <sheetName val="Page 386（中文）"/>
      <sheetName val="Pages 387-88"/>
      <sheetName val="Pages 387-88（中文）"/>
      <sheetName val="Page 389"/>
      <sheetName val="Page 389（中文）"/>
      <sheetName val="Page 391, chart"/>
      <sheetName val="Page 391, chart（中文）"/>
      <sheetName val="Page 392"/>
      <sheetName val="Page 392（中文）"/>
      <sheetName val="Page 393"/>
      <sheetName val="Page 393（中文）"/>
      <sheetName val="Page 394"/>
      <sheetName val="Page 394（中文）"/>
      <sheetName val="Page 395"/>
      <sheetName val="Page 395（中文）"/>
      <sheetName val="Page 391 data"/>
      <sheetName val="Page 391 data (中文)"/>
      <sheetName val="Page 376 data"/>
      <sheetName val="Page 376 data (中文)"/>
      <sheetName val="Stock Prices"/>
      <sheetName val="Stock Prices（中文）"/>
      <sheetName val="More stock prices"/>
      <sheetName val="More stock prices（中文）"/>
    </sheetNames>
    <sheetDataSet>
      <sheetData sheetId="0"/>
      <sheetData sheetId="1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>
        <row r="2">
          <cell r="A2" t="str">
            <v>Date</v>
          </cell>
        </row>
      </sheetData>
      <sheetData sheetId="37"/>
      <sheetData sheetId="38"/>
      <sheetData sheetId="3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tock Prices"/>
      <sheetName val="More stock prices"/>
    </sheetNames>
    <sheetDataSet>
      <sheetData sheetId="0">
        <row r="2">
          <cell r="A2" t="str">
            <v>Date</v>
          </cell>
        </row>
        <row r="3">
          <cell r="A3">
            <v>38355</v>
          </cell>
        </row>
        <row r="4">
          <cell r="A4">
            <v>38356</v>
          </cell>
        </row>
        <row r="5">
          <cell r="A5">
            <v>38357</v>
          </cell>
        </row>
        <row r="6">
          <cell r="A6">
            <v>38358</v>
          </cell>
        </row>
        <row r="7">
          <cell r="A7">
            <v>38359</v>
          </cell>
        </row>
        <row r="8">
          <cell r="A8">
            <v>38362</v>
          </cell>
        </row>
        <row r="9">
          <cell r="A9">
            <v>38363</v>
          </cell>
        </row>
        <row r="10">
          <cell r="A10">
            <v>38364</v>
          </cell>
        </row>
        <row r="11">
          <cell r="A11">
            <v>38365</v>
          </cell>
        </row>
        <row r="12">
          <cell r="A12">
            <v>38366</v>
          </cell>
        </row>
        <row r="13">
          <cell r="A13">
            <v>38370</v>
          </cell>
        </row>
        <row r="14">
          <cell r="A14">
            <v>38371</v>
          </cell>
        </row>
        <row r="15">
          <cell r="A15">
            <v>38372</v>
          </cell>
        </row>
        <row r="16">
          <cell r="A16">
            <v>38373</v>
          </cell>
        </row>
        <row r="17">
          <cell r="A17">
            <v>38376</v>
          </cell>
        </row>
        <row r="18">
          <cell r="A18">
            <v>38377</v>
          </cell>
        </row>
        <row r="19">
          <cell r="A19">
            <v>38378</v>
          </cell>
        </row>
        <row r="20">
          <cell r="A20">
            <v>38379</v>
          </cell>
        </row>
        <row r="21">
          <cell r="A21">
            <v>38380</v>
          </cell>
        </row>
        <row r="22">
          <cell r="A22">
            <v>38383</v>
          </cell>
        </row>
        <row r="23">
          <cell r="A23">
            <v>38384</v>
          </cell>
        </row>
        <row r="24">
          <cell r="A24">
            <v>38385</v>
          </cell>
        </row>
        <row r="25">
          <cell r="A25">
            <v>38386</v>
          </cell>
        </row>
        <row r="26">
          <cell r="A26">
            <v>38387</v>
          </cell>
        </row>
        <row r="27">
          <cell r="A27">
            <v>38390</v>
          </cell>
        </row>
        <row r="28">
          <cell r="A28">
            <v>38391</v>
          </cell>
        </row>
        <row r="29">
          <cell r="A29">
            <v>38392</v>
          </cell>
        </row>
        <row r="30">
          <cell r="A30">
            <v>38393</v>
          </cell>
        </row>
        <row r="31">
          <cell r="A31">
            <v>38394</v>
          </cell>
        </row>
        <row r="32">
          <cell r="A32">
            <v>38397</v>
          </cell>
        </row>
        <row r="33">
          <cell r="A33">
            <v>38398</v>
          </cell>
        </row>
        <row r="34">
          <cell r="A34">
            <v>38399</v>
          </cell>
        </row>
        <row r="35">
          <cell r="A35">
            <v>38400</v>
          </cell>
        </row>
        <row r="36">
          <cell r="A36">
            <v>38401</v>
          </cell>
        </row>
        <row r="37">
          <cell r="A37">
            <v>38405</v>
          </cell>
        </row>
        <row r="38">
          <cell r="A38">
            <v>38406</v>
          </cell>
        </row>
        <row r="39">
          <cell r="A39">
            <v>38407</v>
          </cell>
        </row>
        <row r="40">
          <cell r="A40">
            <v>38408</v>
          </cell>
        </row>
        <row r="41">
          <cell r="A41">
            <v>38411</v>
          </cell>
        </row>
        <row r="42">
          <cell r="A42">
            <v>38412</v>
          </cell>
        </row>
        <row r="43">
          <cell r="A43">
            <v>38413</v>
          </cell>
        </row>
        <row r="44">
          <cell r="A44">
            <v>38414</v>
          </cell>
        </row>
        <row r="45">
          <cell r="A45">
            <v>38415</v>
          </cell>
        </row>
        <row r="46">
          <cell r="A46">
            <v>38418</v>
          </cell>
        </row>
        <row r="47">
          <cell r="A47">
            <v>38419</v>
          </cell>
        </row>
        <row r="48">
          <cell r="A48">
            <v>38420</v>
          </cell>
        </row>
        <row r="49">
          <cell r="A49">
            <v>38421</v>
          </cell>
        </row>
        <row r="50">
          <cell r="A50">
            <v>38422</v>
          </cell>
        </row>
        <row r="51">
          <cell r="A51">
            <v>38425</v>
          </cell>
        </row>
        <row r="52">
          <cell r="A52">
            <v>38426</v>
          </cell>
        </row>
        <row r="53">
          <cell r="A53">
            <v>38427</v>
          </cell>
        </row>
        <row r="54">
          <cell r="A54">
            <v>38428</v>
          </cell>
        </row>
        <row r="55">
          <cell r="A55">
            <v>38429</v>
          </cell>
        </row>
        <row r="56">
          <cell r="A56">
            <v>38432</v>
          </cell>
        </row>
        <row r="57">
          <cell r="A57">
            <v>38433</v>
          </cell>
        </row>
        <row r="58">
          <cell r="A58">
            <v>38434</v>
          </cell>
        </row>
        <row r="59">
          <cell r="A59">
            <v>38435</v>
          </cell>
        </row>
        <row r="60">
          <cell r="A60">
            <v>38439</v>
          </cell>
        </row>
        <row r="61">
          <cell r="A61">
            <v>38440</v>
          </cell>
        </row>
        <row r="62">
          <cell r="A62">
            <v>38441</v>
          </cell>
        </row>
        <row r="63">
          <cell r="A63">
            <v>38442</v>
          </cell>
        </row>
        <row r="64">
          <cell r="A64">
            <v>38443</v>
          </cell>
        </row>
        <row r="65">
          <cell r="A65">
            <v>38446</v>
          </cell>
        </row>
        <row r="66">
          <cell r="A66">
            <v>38447</v>
          </cell>
        </row>
        <row r="67">
          <cell r="A67">
            <v>38448</v>
          </cell>
        </row>
        <row r="68">
          <cell r="A68">
            <v>38449</v>
          </cell>
        </row>
        <row r="69">
          <cell r="A69">
            <v>38450</v>
          </cell>
        </row>
        <row r="70">
          <cell r="A70">
            <v>38453</v>
          </cell>
        </row>
        <row r="71">
          <cell r="A71">
            <v>38454</v>
          </cell>
        </row>
        <row r="72">
          <cell r="A72">
            <v>38455</v>
          </cell>
        </row>
        <row r="73">
          <cell r="A73">
            <v>38456</v>
          </cell>
        </row>
        <row r="74">
          <cell r="A74">
            <v>38457</v>
          </cell>
        </row>
        <row r="75">
          <cell r="A75">
            <v>38460</v>
          </cell>
        </row>
        <row r="76">
          <cell r="A76">
            <v>38461</v>
          </cell>
        </row>
        <row r="77">
          <cell r="A77">
            <v>38462</v>
          </cell>
        </row>
        <row r="78">
          <cell r="A78">
            <v>38463</v>
          </cell>
        </row>
        <row r="79">
          <cell r="A79">
            <v>38464</v>
          </cell>
        </row>
        <row r="80">
          <cell r="A80">
            <v>38467</v>
          </cell>
        </row>
        <row r="81">
          <cell r="A81">
            <v>38468</v>
          </cell>
        </row>
        <row r="82">
          <cell r="A82">
            <v>38469</v>
          </cell>
        </row>
        <row r="83">
          <cell r="A83">
            <v>38470</v>
          </cell>
        </row>
        <row r="84">
          <cell r="A84">
            <v>38471</v>
          </cell>
        </row>
        <row r="85">
          <cell r="A85">
            <v>38474</v>
          </cell>
        </row>
        <row r="86">
          <cell r="A86">
            <v>38475</v>
          </cell>
        </row>
        <row r="87">
          <cell r="A87">
            <v>38476</v>
          </cell>
        </row>
        <row r="88">
          <cell r="A88">
            <v>38477</v>
          </cell>
        </row>
        <row r="89">
          <cell r="A89">
            <v>38478</v>
          </cell>
        </row>
        <row r="90">
          <cell r="A90">
            <v>38481</v>
          </cell>
        </row>
        <row r="91">
          <cell r="A91">
            <v>38482</v>
          </cell>
        </row>
        <row r="92">
          <cell r="A92">
            <v>38483</v>
          </cell>
        </row>
        <row r="93">
          <cell r="A93">
            <v>38484</v>
          </cell>
        </row>
        <row r="94">
          <cell r="A94">
            <v>38485</v>
          </cell>
        </row>
        <row r="95">
          <cell r="A95">
            <v>38488</v>
          </cell>
        </row>
        <row r="96">
          <cell r="A96">
            <v>38489</v>
          </cell>
        </row>
        <row r="97">
          <cell r="A97">
            <v>38490</v>
          </cell>
        </row>
        <row r="98">
          <cell r="A98">
            <v>38491</v>
          </cell>
        </row>
        <row r="99">
          <cell r="A99">
            <v>38492</v>
          </cell>
        </row>
        <row r="100">
          <cell r="A100">
            <v>38495</v>
          </cell>
        </row>
        <row r="101">
          <cell r="A101">
            <v>38496</v>
          </cell>
        </row>
        <row r="102">
          <cell r="A102">
            <v>38497</v>
          </cell>
        </row>
        <row r="103">
          <cell r="A103">
            <v>38498</v>
          </cell>
        </row>
        <row r="104">
          <cell r="A104">
            <v>38499</v>
          </cell>
        </row>
        <row r="105">
          <cell r="A105">
            <v>38503</v>
          </cell>
        </row>
        <row r="106">
          <cell r="A106">
            <v>38504</v>
          </cell>
        </row>
        <row r="107">
          <cell r="A107">
            <v>38505</v>
          </cell>
        </row>
        <row r="108">
          <cell r="A108">
            <v>38506</v>
          </cell>
        </row>
        <row r="109">
          <cell r="A109">
            <v>38509</v>
          </cell>
        </row>
        <row r="110">
          <cell r="A110">
            <v>38510</v>
          </cell>
        </row>
        <row r="111">
          <cell r="A111">
            <v>38511</v>
          </cell>
        </row>
        <row r="112">
          <cell r="A112">
            <v>38512</v>
          </cell>
        </row>
        <row r="113">
          <cell r="A113">
            <v>38513</v>
          </cell>
        </row>
        <row r="114">
          <cell r="A114">
            <v>38516</v>
          </cell>
        </row>
        <row r="115">
          <cell r="A115">
            <v>38517</v>
          </cell>
        </row>
        <row r="116">
          <cell r="A116">
            <v>38518</v>
          </cell>
        </row>
        <row r="117">
          <cell r="A117">
            <v>38519</v>
          </cell>
        </row>
        <row r="118">
          <cell r="A118">
            <v>38520</v>
          </cell>
        </row>
        <row r="119">
          <cell r="A119">
            <v>38523</v>
          </cell>
        </row>
        <row r="120">
          <cell r="A120">
            <v>38524</v>
          </cell>
        </row>
        <row r="121">
          <cell r="A121">
            <v>38525</v>
          </cell>
        </row>
        <row r="122">
          <cell r="A122">
            <v>38526</v>
          </cell>
        </row>
        <row r="123">
          <cell r="A123">
            <v>38527</v>
          </cell>
        </row>
        <row r="124">
          <cell r="A124">
            <v>38530</v>
          </cell>
        </row>
        <row r="125">
          <cell r="A125">
            <v>38531</v>
          </cell>
        </row>
        <row r="126">
          <cell r="A126">
            <v>38532</v>
          </cell>
        </row>
        <row r="127">
          <cell r="A127">
            <v>38533</v>
          </cell>
        </row>
        <row r="128">
          <cell r="A128">
            <v>38534</v>
          </cell>
        </row>
        <row r="129">
          <cell r="A129">
            <v>38538</v>
          </cell>
        </row>
        <row r="130">
          <cell r="A130">
            <v>38539</v>
          </cell>
        </row>
        <row r="131">
          <cell r="A131">
            <v>38540</v>
          </cell>
        </row>
        <row r="132">
          <cell r="A132">
            <v>38541</v>
          </cell>
        </row>
        <row r="133">
          <cell r="A133">
            <v>38544</v>
          </cell>
        </row>
        <row r="134">
          <cell r="A134">
            <v>38545</v>
          </cell>
        </row>
        <row r="135">
          <cell r="A135">
            <v>38546</v>
          </cell>
        </row>
        <row r="136">
          <cell r="A136">
            <v>38547</v>
          </cell>
        </row>
        <row r="137">
          <cell r="A137">
            <v>38548</v>
          </cell>
        </row>
        <row r="138">
          <cell r="A138">
            <v>38551</v>
          </cell>
        </row>
        <row r="139">
          <cell r="A139">
            <v>38552</v>
          </cell>
        </row>
        <row r="140">
          <cell r="A140">
            <v>38553</v>
          </cell>
        </row>
        <row r="141">
          <cell r="A141">
            <v>38554</v>
          </cell>
        </row>
        <row r="142">
          <cell r="A142">
            <v>38555</v>
          </cell>
        </row>
        <row r="143">
          <cell r="A143">
            <v>38558</v>
          </cell>
        </row>
        <row r="144">
          <cell r="A144">
            <v>38559</v>
          </cell>
        </row>
        <row r="145">
          <cell r="A145">
            <v>38560</v>
          </cell>
        </row>
        <row r="146">
          <cell r="A146">
            <v>38561</v>
          </cell>
        </row>
        <row r="147">
          <cell r="A147">
            <v>38562</v>
          </cell>
        </row>
        <row r="148">
          <cell r="A148">
            <v>38565</v>
          </cell>
        </row>
        <row r="149">
          <cell r="A149">
            <v>38566</v>
          </cell>
        </row>
        <row r="150">
          <cell r="A150">
            <v>38567</v>
          </cell>
        </row>
        <row r="151">
          <cell r="A151">
            <v>38568</v>
          </cell>
        </row>
        <row r="152">
          <cell r="A152">
            <v>38569</v>
          </cell>
        </row>
        <row r="153">
          <cell r="A153">
            <v>38572</v>
          </cell>
        </row>
        <row r="154">
          <cell r="A154">
            <v>38573</v>
          </cell>
        </row>
        <row r="155">
          <cell r="A155">
            <v>38574</v>
          </cell>
        </row>
        <row r="156">
          <cell r="A156">
            <v>38575</v>
          </cell>
        </row>
        <row r="157">
          <cell r="A157">
            <v>38576</v>
          </cell>
        </row>
        <row r="158">
          <cell r="A158">
            <v>38579</v>
          </cell>
        </row>
        <row r="159">
          <cell r="A159">
            <v>38580</v>
          </cell>
        </row>
        <row r="160">
          <cell r="A160">
            <v>38581</v>
          </cell>
        </row>
        <row r="161">
          <cell r="A161">
            <v>38582</v>
          </cell>
        </row>
        <row r="162">
          <cell r="A162">
            <v>38583</v>
          </cell>
        </row>
        <row r="163">
          <cell r="A163">
            <v>38586</v>
          </cell>
        </row>
        <row r="164">
          <cell r="A164">
            <v>38587</v>
          </cell>
        </row>
        <row r="165">
          <cell r="A165">
            <v>38588</v>
          </cell>
        </row>
        <row r="166">
          <cell r="A166">
            <v>38589</v>
          </cell>
        </row>
        <row r="167">
          <cell r="A167">
            <v>38590</v>
          </cell>
        </row>
        <row r="168">
          <cell r="A168">
            <v>38593</v>
          </cell>
        </row>
        <row r="169">
          <cell r="A169">
            <v>38594</v>
          </cell>
        </row>
        <row r="170">
          <cell r="A170">
            <v>38595</v>
          </cell>
        </row>
        <row r="171">
          <cell r="A171">
            <v>38596</v>
          </cell>
        </row>
        <row r="172">
          <cell r="A172">
            <v>38597</v>
          </cell>
        </row>
        <row r="173">
          <cell r="A173">
            <v>38601</v>
          </cell>
        </row>
        <row r="174">
          <cell r="A174">
            <v>38602</v>
          </cell>
        </row>
        <row r="175">
          <cell r="A175">
            <v>38603</v>
          </cell>
        </row>
        <row r="176">
          <cell r="A176">
            <v>38604</v>
          </cell>
        </row>
        <row r="177">
          <cell r="A177">
            <v>38607</v>
          </cell>
        </row>
        <row r="178">
          <cell r="A178">
            <v>38608</v>
          </cell>
        </row>
        <row r="179">
          <cell r="A179">
            <v>38609</v>
          </cell>
        </row>
        <row r="180">
          <cell r="A180">
            <v>38610</v>
          </cell>
        </row>
        <row r="181">
          <cell r="A181">
            <v>38611</v>
          </cell>
        </row>
        <row r="182">
          <cell r="A182">
            <v>38614</v>
          </cell>
        </row>
        <row r="183">
          <cell r="A183">
            <v>38615</v>
          </cell>
        </row>
        <row r="184">
          <cell r="A184">
            <v>38616</v>
          </cell>
        </row>
        <row r="185">
          <cell r="A185">
            <v>38617</v>
          </cell>
        </row>
        <row r="186">
          <cell r="A186">
            <v>38618</v>
          </cell>
        </row>
        <row r="187">
          <cell r="A187">
            <v>38621</v>
          </cell>
        </row>
        <row r="188">
          <cell r="A188">
            <v>38622</v>
          </cell>
        </row>
        <row r="189">
          <cell r="A189">
            <v>38623</v>
          </cell>
        </row>
        <row r="190">
          <cell r="A190">
            <v>38624</v>
          </cell>
        </row>
        <row r="191">
          <cell r="A191">
            <v>38625</v>
          </cell>
        </row>
        <row r="192">
          <cell r="A192">
            <v>38628</v>
          </cell>
        </row>
        <row r="193">
          <cell r="A193">
            <v>38629</v>
          </cell>
        </row>
        <row r="194">
          <cell r="A194">
            <v>38630</v>
          </cell>
        </row>
        <row r="195">
          <cell r="A195">
            <v>38631</v>
          </cell>
        </row>
        <row r="196">
          <cell r="A196">
            <v>38632</v>
          </cell>
        </row>
        <row r="197">
          <cell r="A197">
            <v>38635</v>
          </cell>
        </row>
        <row r="198">
          <cell r="A198">
            <v>38636</v>
          </cell>
        </row>
        <row r="199">
          <cell r="A199">
            <v>38637</v>
          </cell>
        </row>
        <row r="200">
          <cell r="A200">
            <v>38638</v>
          </cell>
        </row>
        <row r="201">
          <cell r="A201">
            <v>38639</v>
          </cell>
        </row>
        <row r="202">
          <cell r="A202">
            <v>38642</v>
          </cell>
        </row>
        <row r="203">
          <cell r="A203">
            <v>38643</v>
          </cell>
        </row>
        <row r="204">
          <cell r="A204">
            <v>38644</v>
          </cell>
        </row>
        <row r="205">
          <cell r="A205">
            <v>38645</v>
          </cell>
        </row>
        <row r="206">
          <cell r="A206">
            <v>38646</v>
          </cell>
        </row>
        <row r="207">
          <cell r="A207">
            <v>38649</v>
          </cell>
        </row>
        <row r="208">
          <cell r="A208">
            <v>38650</v>
          </cell>
        </row>
        <row r="209">
          <cell r="A209">
            <v>38651</v>
          </cell>
        </row>
        <row r="210">
          <cell r="A210">
            <v>38652</v>
          </cell>
        </row>
        <row r="211">
          <cell r="A211">
            <v>38653</v>
          </cell>
        </row>
        <row r="212">
          <cell r="A212">
            <v>38656</v>
          </cell>
        </row>
        <row r="213">
          <cell r="A213">
            <v>38657</v>
          </cell>
        </row>
        <row r="214">
          <cell r="A214">
            <v>38658</v>
          </cell>
        </row>
        <row r="215">
          <cell r="A215">
            <v>38659</v>
          </cell>
        </row>
        <row r="216">
          <cell r="A216">
            <v>38660</v>
          </cell>
        </row>
        <row r="217">
          <cell r="A217">
            <v>38663</v>
          </cell>
        </row>
        <row r="218">
          <cell r="A218">
            <v>38664</v>
          </cell>
        </row>
        <row r="219">
          <cell r="A219">
            <v>38665</v>
          </cell>
        </row>
        <row r="220">
          <cell r="A220">
            <v>38666</v>
          </cell>
        </row>
        <row r="221">
          <cell r="A221">
            <v>38667</v>
          </cell>
        </row>
        <row r="222">
          <cell r="A222">
            <v>38670</v>
          </cell>
        </row>
        <row r="223">
          <cell r="A223">
            <v>38671</v>
          </cell>
        </row>
        <row r="224">
          <cell r="A224">
            <v>38672</v>
          </cell>
        </row>
        <row r="225">
          <cell r="A225">
            <v>38673</v>
          </cell>
        </row>
        <row r="226">
          <cell r="A226">
            <v>38674</v>
          </cell>
        </row>
        <row r="227">
          <cell r="A227">
            <v>38677</v>
          </cell>
        </row>
        <row r="228">
          <cell r="A228">
            <v>38678</v>
          </cell>
        </row>
        <row r="229">
          <cell r="A229">
            <v>38679</v>
          </cell>
        </row>
        <row r="230">
          <cell r="A230">
            <v>38681</v>
          </cell>
        </row>
        <row r="231">
          <cell r="A231">
            <v>38684</v>
          </cell>
        </row>
        <row r="232">
          <cell r="A232">
            <v>38685</v>
          </cell>
        </row>
        <row r="233">
          <cell r="A233">
            <v>38686</v>
          </cell>
        </row>
        <row r="234">
          <cell r="A234">
            <v>38687</v>
          </cell>
        </row>
        <row r="235">
          <cell r="A235">
            <v>38688</v>
          </cell>
        </row>
        <row r="236">
          <cell r="A236">
            <v>38691</v>
          </cell>
        </row>
        <row r="237">
          <cell r="A237">
            <v>38692</v>
          </cell>
        </row>
        <row r="238">
          <cell r="A238">
            <v>38693</v>
          </cell>
        </row>
        <row r="239">
          <cell r="A239">
            <v>38694</v>
          </cell>
        </row>
        <row r="240">
          <cell r="A240">
            <v>38695</v>
          </cell>
        </row>
        <row r="241">
          <cell r="A241">
            <v>38698</v>
          </cell>
        </row>
        <row r="242">
          <cell r="A242">
            <v>38699</v>
          </cell>
        </row>
        <row r="243">
          <cell r="A243">
            <v>38700</v>
          </cell>
        </row>
        <row r="244">
          <cell r="A244">
            <v>38701</v>
          </cell>
        </row>
        <row r="245">
          <cell r="A245">
            <v>38702</v>
          </cell>
        </row>
        <row r="246">
          <cell r="A246">
            <v>38705</v>
          </cell>
        </row>
        <row r="247">
          <cell r="A247">
            <v>38706</v>
          </cell>
        </row>
        <row r="248">
          <cell r="A248">
            <v>38707</v>
          </cell>
        </row>
        <row r="249">
          <cell r="A249">
            <v>38708</v>
          </cell>
        </row>
        <row r="250">
          <cell r="A250">
            <v>38709</v>
          </cell>
        </row>
        <row r="251">
          <cell r="A251">
            <v>38713</v>
          </cell>
        </row>
        <row r="252">
          <cell r="A252">
            <v>38714</v>
          </cell>
        </row>
        <row r="253">
          <cell r="A253">
            <v>38715</v>
          </cell>
        </row>
        <row r="254">
          <cell r="A254">
            <v>38716</v>
          </cell>
        </row>
        <row r="255">
          <cell r="A255">
            <v>38720</v>
          </cell>
        </row>
        <row r="256">
          <cell r="A256">
            <v>38721</v>
          </cell>
        </row>
        <row r="257">
          <cell r="A257">
            <v>38722</v>
          </cell>
        </row>
        <row r="258">
          <cell r="A258">
            <v>38723</v>
          </cell>
        </row>
        <row r="259">
          <cell r="A259">
            <v>38726</v>
          </cell>
        </row>
        <row r="260">
          <cell r="A260">
            <v>38727</v>
          </cell>
        </row>
        <row r="261">
          <cell r="A261">
            <v>38728</v>
          </cell>
        </row>
        <row r="262">
          <cell r="A262">
            <v>38729</v>
          </cell>
        </row>
        <row r="263">
          <cell r="A263">
            <v>38730</v>
          </cell>
        </row>
        <row r="264">
          <cell r="A264">
            <v>38734</v>
          </cell>
        </row>
        <row r="265">
          <cell r="A265">
            <v>38735</v>
          </cell>
        </row>
        <row r="266">
          <cell r="A266">
            <v>38736</v>
          </cell>
        </row>
        <row r="267">
          <cell r="A267">
            <v>38737</v>
          </cell>
        </row>
        <row r="268">
          <cell r="A268">
            <v>38740</v>
          </cell>
        </row>
        <row r="269">
          <cell r="A269">
            <v>38741</v>
          </cell>
        </row>
        <row r="270">
          <cell r="A270">
            <v>38742</v>
          </cell>
        </row>
        <row r="271">
          <cell r="A271">
            <v>38743</v>
          </cell>
        </row>
        <row r="272">
          <cell r="A272">
            <v>38744</v>
          </cell>
        </row>
        <row r="273">
          <cell r="A273">
            <v>38747</v>
          </cell>
        </row>
        <row r="274">
          <cell r="A274">
            <v>38748</v>
          </cell>
        </row>
        <row r="275">
          <cell r="A275">
            <v>38749</v>
          </cell>
        </row>
        <row r="276">
          <cell r="A276">
            <v>38750</v>
          </cell>
        </row>
        <row r="277">
          <cell r="A277">
            <v>38751</v>
          </cell>
        </row>
        <row r="278">
          <cell r="A278">
            <v>38754</v>
          </cell>
        </row>
        <row r="279">
          <cell r="A279">
            <v>38755</v>
          </cell>
        </row>
        <row r="280">
          <cell r="A280">
            <v>38756</v>
          </cell>
        </row>
        <row r="281">
          <cell r="A281">
            <v>38757</v>
          </cell>
        </row>
        <row r="282">
          <cell r="A282">
            <v>38758</v>
          </cell>
        </row>
        <row r="283">
          <cell r="A283">
            <v>38761</v>
          </cell>
        </row>
        <row r="284">
          <cell r="A284">
            <v>38762</v>
          </cell>
        </row>
        <row r="285">
          <cell r="A285">
            <v>38763</v>
          </cell>
        </row>
        <row r="286">
          <cell r="A286">
            <v>38764</v>
          </cell>
        </row>
        <row r="287">
          <cell r="A287">
            <v>38765</v>
          </cell>
        </row>
        <row r="288">
          <cell r="A288">
            <v>38769</v>
          </cell>
        </row>
        <row r="289">
          <cell r="A289">
            <v>38770</v>
          </cell>
        </row>
        <row r="290">
          <cell r="A290">
            <v>38771</v>
          </cell>
        </row>
        <row r="291">
          <cell r="A291">
            <v>38772</v>
          </cell>
        </row>
        <row r="292">
          <cell r="A292">
            <v>38775</v>
          </cell>
        </row>
        <row r="293">
          <cell r="A293">
            <v>38776</v>
          </cell>
        </row>
        <row r="294">
          <cell r="A294">
            <v>38777</v>
          </cell>
        </row>
        <row r="295">
          <cell r="A295">
            <v>38778</v>
          </cell>
        </row>
        <row r="296">
          <cell r="A296">
            <v>38779</v>
          </cell>
        </row>
        <row r="297">
          <cell r="A297">
            <v>38782</v>
          </cell>
        </row>
        <row r="298">
          <cell r="A298">
            <v>38783</v>
          </cell>
        </row>
        <row r="299">
          <cell r="A299">
            <v>38784</v>
          </cell>
        </row>
        <row r="300">
          <cell r="A300">
            <v>38785</v>
          </cell>
        </row>
        <row r="301">
          <cell r="A301">
            <v>38786</v>
          </cell>
        </row>
        <row r="302">
          <cell r="A302">
            <v>38789</v>
          </cell>
        </row>
        <row r="303">
          <cell r="A303">
            <v>38790</v>
          </cell>
        </row>
        <row r="304">
          <cell r="A304">
            <v>38791</v>
          </cell>
        </row>
        <row r="305">
          <cell r="A305">
            <v>38792</v>
          </cell>
        </row>
        <row r="306">
          <cell r="A306">
            <v>38793</v>
          </cell>
        </row>
        <row r="307">
          <cell r="A307">
            <v>38796</v>
          </cell>
        </row>
        <row r="308">
          <cell r="A308">
            <v>38797</v>
          </cell>
        </row>
        <row r="309">
          <cell r="A309">
            <v>38798</v>
          </cell>
        </row>
        <row r="310">
          <cell r="A310">
            <v>38799</v>
          </cell>
        </row>
        <row r="311">
          <cell r="A311">
            <v>38800</v>
          </cell>
        </row>
        <row r="312">
          <cell r="A312">
            <v>38803</v>
          </cell>
        </row>
        <row r="313">
          <cell r="A313">
            <v>38804</v>
          </cell>
        </row>
        <row r="314">
          <cell r="A314">
            <v>38805</v>
          </cell>
        </row>
        <row r="315">
          <cell r="A315">
            <v>38806</v>
          </cell>
        </row>
        <row r="316">
          <cell r="A316">
            <v>38807</v>
          </cell>
        </row>
        <row r="317">
          <cell r="A317">
            <v>38810</v>
          </cell>
        </row>
        <row r="318">
          <cell r="A318">
            <v>38811</v>
          </cell>
        </row>
        <row r="319">
          <cell r="A319">
            <v>38812</v>
          </cell>
        </row>
        <row r="320">
          <cell r="A320">
            <v>38813</v>
          </cell>
        </row>
        <row r="321">
          <cell r="A321">
            <v>38814</v>
          </cell>
        </row>
        <row r="322">
          <cell r="A322">
            <v>38817</v>
          </cell>
        </row>
        <row r="323">
          <cell r="A323">
            <v>38818</v>
          </cell>
        </row>
        <row r="324">
          <cell r="A324">
            <v>38819</v>
          </cell>
        </row>
        <row r="325">
          <cell r="A325">
            <v>38820</v>
          </cell>
        </row>
        <row r="326">
          <cell r="A326">
            <v>38824</v>
          </cell>
        </row>
        <row r="327">
          <cell r="A327">
            <v>38825</v>
          </cell>
        </row>
        <row r="328">
          <cell r="A328">
            <v>38826</v>
          </cell>
        </row>
        <row r="329">
          <cell r="A329">
            <v>38827</v>
          </cell>
        </row>
        <row r="330">
          <cell r="A330">
            <v>38828</v>
          </cell>
        </row>
        <row r="331">
          <cell r="A331">
            <v>38831</v>
          </cell>
        </row>
        <row r="332">
          <cell r="A332">
            <v>38832</v>
          </cell>
        </row>
        <row r="333">
          <cell r="A333">
            <v>38833</v>
          </cell>
        </row>
        <row r="334">
          <cell r="A334">
            <v>38834</v>
          </cell>
        </row>
        <row r="335">
          <cell r="A335">
            <v>38835</v>
          </cell>
        </row>
        <row r="336">
          <cell r="A336">
            <v>38838</v>
          </cell>
        </row>
        <row r="337">
          <cell r="A337">
            <v>38839</v>
          </cell>
        </row>
        <row r="338">
          <cell r="A338">
            <v>38840</v>
          </cell>
        </row>
        <row r="339">
          <cell r="A339">
            <v>38841</v>
          </cell>
        </row>
        <row r="340">
          <cell r="A340">
            <v>38842</v>
          </cell>
        </row>
        <row r="341">
          <cell r="A341">
            <v>38845</v>
          </cell>
        </row>
        <row r="342">
          <cell r="A342">
            <v>38846</v>
          </cell>
        </row>
        <row r="343">
          <cell r="A343">
            <v>38847</v>
          </cell>
        </row>
        <row r="344">
          <cell r="A344">
            <v>38848</v>
          </cell>
        </row>
        <row r="345">
          <cell r="A345">
            <v>38849</v>
          </cell>
        </row>
        <row r="346">
          <cell r="A346">
            <v>38852</v>
          </cell>
        </row>
        <row r="347">
          <cell r="A347">
            <v>38853</v>
          </cell>
        </row>
        <row r="348">
          <cell r="A348">
            <v>38854</v>
          </cell>
        </row>
        <row r="349">
          <cell r="A349">
            <v>38855</v>
          </cell>
        </row>
        <row r="350">
          <cell r="A350">
            <v>38856</v>
          </cell>
        </row>
        <row r="351">
          <cell r="A351">
            <v>38859</v>
          </cell>
        </row>
        <row r="352">
          <cell r="A352">
            <v>38860</v>
          </cell>
        </row>
        <row r="353">
          <cell r="A353">
            <v>38861</v>
          </cell>
        </row>
        <row r="354">
          <cell r="A354">
            <v>38862</v>
          </cell>
        </row>
        <row r="355">
          <cell r="A355">
            <v>38863</v>
          </cell>
        </row>
        <row r="356">
          <cell r="A356">
            <v>38867</v>
          </cell>
        </row>
        <row r="357">
          <cell r="A357">
            <v>38868</v>
          </cell>
        </row>
        <row r="358">
          <cell r="A358">
            <v>38869</v>
          </cell>
        </row>
        <row r="359">
          <cell r="A359">
            <v>38870</v>
          </cell>
        </row>
        <row r="360">
          <cell r="A360">
            <v>38873</v>
          </cell>
        </row>
        <row r="361">
          <cell r="A361">
            <v>38874</v>
          </cell>
        </row>
        <row r="362">
          <cell r="A362">
            <v>38875</v>
          </cell>
        </row>
        <row r="363">
          <cell r="A363">
            <v>38876</v>
          </cell>
        </row>
        <row r="364">
          <cell r="A364">
            <v>38877</v>
          </cell>
        </row>
        <row r="365">
          <cell r="A365">
            <v>38880</v>
          </cell>
        </row>
        <row r="366">
          <cell r="A366">
            <v>38881</v>
          </cell>
        </row>
        <row r="367">
          <cell r="A367">
            <v>38882</v>
          </cell>
        </row>
        <row r="368">
          <cell r="A368">
            <v>38883</v>
          </cell>
        </row>
        <row r="369">
          <cell r="A369">
            <v>38884</v>
          </cell>
        </row>
        <row r="370">
          <cell r="A370">
            <v>38887</v>
          </cell>
        </row>
        <row r="371">
          <cell r="A371">
            <v>38888</v>
          </cell>
        </row>
        <row r="372">
          <cell r="A372">
            <v>38889</v>
          </cell>
        </row>
        <row r="373">
          <cell r="A373">
            <v>38890</v>
          </cell>
        </row>
        <row r="374">
          <cell r="A374">
            <v>38891</v>
          </cell>
        </row>
        <row r="375">
          <cell r="A375">
            <v>38894</v>
          </cell>
        </row>
        <row r="376">
          <cell r="A376">
            <v>38895</v>
          </cell>
        </row>
        <row r="377">
          <cell r="A377">
            <v>38896</v>
          </cell>
        </row>
        <row r="378">
          <cell r="A378">
            <v>38897</v>
          </cell>
        </row>
        <row r="379">
          <cell r="A379">
            <v>38898</v>
          </cell>
        </row>
        <row r="380">
          <cell r="A380">
            <v>38901</v>
          </cell>
        </row>
        <row r="381">
          <cell r="A381">
            <v>38903</v>
          </cell>
        </row>
        <row r="382">
          <cell r="A382">
            <v>38904</v>
          </cell>
        </row>
        <row r="383">
          <cell r="A383">
            <v>38905</v>
          </cell>
        </row>
        <row r="384">
          <cell r="A384">
            <v>38908</v>
          </cell>
        </row>
        <row r="385">
          <cell r="A385">
            <v>38909</v>
          </cell>
        </row>
        <row r="386">
          <cell r="A386">
            <v>38910</v>
          </cell>
        </row>
        <row r="387">
          <cell r="A387">
            <v>38911</v>
          </cell>
        </row>
        <row r="388">
          <cell r="A388">
            <v>38912</v>
          </cell>
        </row>
        <row r="389">
          <cell r="A389">
            <v>38915</v>
          </cell>
        </row>
        <row r="390">
          <cell r="A390">
            <v>38916</v>
          </cell>
        </row>
        <row r="391">
          <cell r="A391">
            <v>38917</v>
          </cell>
        </row>
        <row r="392">
          <cell r="A392">
            <v>38918</v>
          </cell>
        </row>
        <row r="393">
          <cell r="A393">
            <v>38919</v>
          </cell>
        </row>
        <row r="394">
          <cell r="A394">
            <v>38922</v>
          </cell>
        </row>
        <row r="395">
          <cell r="A395">
            <v>38923</v>
          </cell>
        </row>
        <row r="396">
          <cell r="A396">
            <v>38924</v>
          </cell>
        </row>
        <row r="397">
          <cell r="A397">
            <v>38925</v>
          </cell>
        </row>
        <row r="398">
          <cell r="A398">
            <v>38926</v>
          </cell>
        </row>
        <row r="399">
          <cell r="A399">
            <v>38929</v>
          </cell>
        </row>
        <row r="400">
          <cell r="A400">
            <v>38930</v>
          </cell>
        </row>
        <row r="401">
          <cell r="A401">
            <v>38931</v>
          </cell>
        </row>
        <row r="402">
          <cell r="A402">
            <v>38932</v>
          </cell>
        </row>
        <row r="403">
          <cell r="A403">
            <v>38933</v>
          </cell>
        </row>
        <row r="404">
          <cell r="A404">
            <v>38936</v>
          </cell>
        </row>
        <row r="405">
          <cell r="A405">
            <v>38937</v>
          </cell>
        </row>
        <row r="406">
          <cell r="A406">
            <v>38938</v>
          </cell>
        </row>
        <row r="407">
          <cell r="A407">
            <v>38939</v>
          </cell>
        </row>
        <row r="408">
          <cell r="A408">
            <v>38940</v>
          </cell>
        </row>
        <row r="409">
          <cell r="A409">
            <v>38943</v>
          </cell>
        </row>
        <row r="410">
          <cell r="A410">
            <v>38944</v>
          </cell>
        </row>
        <row r="411">
          <cell r="A411">
            <v>38945</v>
          </cell>
        </row>
        <row r="412">
          <cell r="A412">
            <v>38946</v>
          </cell>
        </row>
        <row r="413">
          <cell r="A413">
            <v>38947</v>
          </cell>
        </row>
        <row r="414">
          <cell r="A414">
            <v>38950</v>
          </cell>
        </row>
        <row r="415">
          <cell r="A415">
            <v>38951</v>
          </cell>
        </row>
        <row r="416">
          <cell r="A416">
            <v>38952</v>
          </cell>
        </row>
        <row r="417">
          <cell r="A417">
            <v>38953</v>
          </cell>
        </row>
        <row r="418">
          <cell r="A418">
            <v>38954</v>
          </cell>
        </row>
        <row r="419">
          <cell r="A419">
            <v>38957</v>
          </cell>
        </row>
        <row r="420">
          <cell r="A420">
            <v>38958</v>
          </cell>
        </row>
        <row r="421">
          <cell r="A421">
            <v>38959</v>
          </cell>
        </row>
        <row r="422">
          <cell r="A422">
            <v>38960</v>
          </cell>
        </row>
        <row r="423">
          <cell r="A423">
            <v>38961</v>
          </cell>
        </row>
        <row r="424">
          <cell r="A424">
            <v>38965</v>
          </cell>
        </row>
        <row r="425">
          <cell r="A425">
            <v>38966</v>
          </cell>
        </row>
        <row r="426">
          <cell r="A426">
            <v>38967</v>
          </cell>
        </row>
        <row r="427">
          <cell r="A427">
            <v>38968</v>
          </cell>
        </row>
        <row r="428">
          <cell r="A428">
            <v>38971</v>
          </cell>
        </row>
        <row r="429">
          <cell r="A429">
            <v>38972</v>
          </cell>
        </row>
        <row r="430">
          <cell r="A430">
            <v>38973</v>
          </cell>
        </row>
        <row r="431">
          <cell r="A431">
            <v>38974</v>
          </cell>
        </row>
        <row r="432">
          <cell r="A432">
            <v>38975</v>
          </cell>
        </row>
        <row r="433">
          <cell r="A433">
            <v>38978</v>
          </cell>
        </row>
        <row r="434">
          <cell r="A434">
            <v>38979</v>
          </cell>
        </row>
        <row r="435">
          <cell r="A435">
            <v>38980</v>
          </cell>
        </row>
        <row r="436">
          <cell r="A436">
            <v>38981</v>
          </cell>
        </row>
        <row r="437">
          <cell r="A437">
            <v>38982</v>
          </cell>
        </row>
        <row r="438">
          <cell r="A438">
            <v>38985</v>
          </cell>
        </row>
        <row r="439">
          <cell r="A439">
            <v>38986</v>
          </cell>
        </row>
        <row r="440">
          <cell r="A440">
            <v>38987</v>
          </cell>
        </row>
        <row r="441">
          <cell r="A441">
            <v>38988</v>
          </cell>
        </row>
        <row r="442">
          <cell r="A442">
            <v>38989</v>
          </cell>
        </row>
        <row r="443">
          <cell r="A443">
            <v>38992</v>
          </cell>
        </row>
        <row r="444">
          <cell r="A444">
            <v>38993</v>
          </cell>
        </row>
        <row r="445">
          <cell r="A445">
            <v>38994</v>
          </cell>
        </row>
        <row r="446">
          <cell r="A446">
            <v>38995</v>
          </cell>
        </row>
        <row r="447">
          <cell r="A447">
            <v>38996</v>
          </cell>
        </row>
        <row r="448">
          <cell r="A448">
            <v>38999</v>
          </cell>
        </row>
        <row r="449">
          <cell r="A449">
            <v>39000</v>
          </cell>
        </row>
        <row r="450">
          <cell r="A450">
            <v>39001</v>
          </cell>
        </row>
        <row r="451">
          <cell r="A451">
            <v>39002</v>
          </cell>
        </row>
        <row r="452">
          <cell r="A452">
            <v>39003</v>
          </cell>
        </row>
        <row r="453">
          <cell r="A453">
            <v>39006</v>
          </cell>
        </row>
        <row r="454">
          <cell r="A454">
            <v>39007</v>
          </cell>
        </row>
        <row r="455">
          <cell r="A455">
            <v>39008</v>
          </cell>
        </row>
        <row r="456">
          <cell r="A456">
            <v>39009</v>
          </cell>
        </row>
        <row r="457">
          <cell r="A457">
            <v>39010</v>
          </cell>
        </row>
        <row r="458">
          <cell r="A458">
            <v>39013</v>
          </cell>
        </row>
        <row r="459">
          <cell r="A459">
            <v>39014</v>
          </cell>
        </row>
        <row r="460">
          <cell r="A460">
            <v>39015</v>
          </cell>
        </row>
        <row r="461">
          <cell r="A461">
            <v>39016</v>
          </cell>
        </row>
        <row r="462">
          <cell r="A462">
            <v>39017</v>
          </cell>
        </row>
        <row r="463">
          <cell r="A463">
            <v>39020</v>
          </cell>
        </row>
        <row r="464">
          <cell r="A464">
            <v>39021</v>
          </cell>
        </row>
        <row r="465">
          <cell r="A465">
            <v>39022</v>
          </cell>
        </row>
        <row r="466">
          <cell r="A466">
            <v>39023</v>
          </cell>
        </row>
        <row r="467">
          <cell r="A467">
            <v>39024</v>
          </cell>
        </row>
        <row r="468">
          <cell r="A468">
            <v>39027</v>
          </cell>
        </row>
        <row r="469">
          <cell r="A469">
            <v>39028</v>
          </cell>
        </row>
        <row r="470">
          <cell r="A470">
            <v>39029</v>
          </cell>
        </row>
        <row r="471">
          <cell r="A471">
            <v>39030</v>
          </cell>
        </row>
        <row r="472">
          <cell r="A472">
            <v>39031</v>
          </cell>
        </row>
        <row r="473">
          <cell r="A473">
            <v>39034</v>
          </cell>
        </row>
        <row r="474">
          <cell r="A474">
            <v>39035</v>
          </cell>
        </row>
        <row r="475">
          <cell r="A475">
            <v>39036</v>
          </cell>
        </row>
        <row r="476">
          <cell r="A476">
            <v>39037</v>
          </cell>
        </row>
        <row r="477">
          <cell r="A477">
            <v>39038</v>
          </cell>
        </row>
        <row r="478">
          <cell r="A478">
            <v>39041</v>
          </cell>
        </row>
        <row r="479">
          <cell r="A479">
            <v>39042</v>
          </cell>
        </row>
        <row r="480">
          <cell r="A480">
            <v>39043</v>
          </cell>
        </row>
        <row r="481">
          <cell r="A481">
            <v>39045</v>
          </cell>
        </row>
        <row r="482">
          <cell r="A482">
            <v>39048</v>
          </cell>
        </row>
        <row r="483">
          <cell r="A483">
            <v>39049</v>
          </cell>
        </row>
        <row r="484">
          <cell r="A484">
            <v>39050</v>
          </cell>
        </row>
        <row r="485">
          <cell r="A485">
            <v>39051</v>
          </cell>
        </row>
        <row r="486">
          <cell r="A486">
            <v>39052</v>
          </cell>
        </row>
        <row r="487">
          <cell r="A487">
            <v>39055</v>
          </cell>
        </row>
        <row r="488">
          <cell r="A488">
            <v>39056</v>
          </cell>
        </row>
        <row r="489">
          <cell r="A489">
            <v>39057</v>
          </cell>
        </row>
        <row r="490">
          <cell r="A490">
            <v>39058</v>
          </cell>
        </row>
        <row r="491">
          <cell r="A491">
            <v>39059</v>
          </cell>
        </row>
        <row r="492">
          <cell r="A492">
            <v>39062</v>
          </cell>
        </row>
        <row r="493">
          <cell r="A493">
            <v>39063</v>
          </cell>
        </row>
        <row r="494">
          <cell r="A494">
            <v>39064</v>
          </cell>
        </row>
        <row r="495">
          <cell r="A495">
            <v>39065</v>
          </cell>
        </row>
        <row r="496">
          <cell r="A496">
            <v>39066</v>
          </cell>
        </row>
        <row r="497">
          <cell r="A497">
            <v>39069</v>
          </cell>
        </row>
        <row r="498">
          <cell r="A498">
            <v>39070</v>
          </cell>
        </row>
        <row r="499">
          <cell r="A499">
            <v>39071</v>
          </cell>
        </row>
        <row r="500">
          <cell r="A500">
            <v>39072</v>
          </cell>
        </row>
        <row r="501">
          <cell r="A501">
            <v>39073</v>
          </cell>
        </row>
        <row r="502">
          <cell r="A502">
            <v>39077</v>
          </cell>
        </row>
        <row r="503">
          <cell r="A503">
            <v>39078</v>
          </cell>
        </row>
        <row r="504">
          <cell r="A504">
            <v>39079</v>
          </cell>
        </row>
        <row r="505">
          <cell r="A505">
            <v>39080</v>
          </cell>
        </row>
        <row r="506">
          <cell r="A506">
            <v>39085</v>
          </cell>
        </row>
        <row r="507">
          <cell r="A507">
            <v>39086</v>
          </cell>
        </row>
        <row r="508">
          <cell r="A508">
            <v>39087</v>
          </cell>
        </row>
        <row r="509">
          <cell r="A509">
            <v>39090</v>
          </cell>
        </row>
        <row r="510">
          <cell r="A510">
            <v>39091</v>
          </cell>
        </row>
        <row r="511">
          <cell r="A511">
            <v>39092</v>
          </cell>
        </row>
        <row r="512">
          <cell r="A512">
            <v>39093</v>
          </cell>
        </row>
        <row r="513">
          <cell r="A513">
            <v>39094</v>
          </cell>
        </row>
        <row r="514">
          <cell r="A514">
            <v>39098</v>
          </cell>
        </row>
        <row r="515">
          <cell r="A515">
            <v>39099</v>
          </cell>
        </row>
        <row r="516">
          <cell r="A516">
            <v>39100</v>
          </cell>
        </row>
        <row r="517">
          <cell r="A517">
            <v>39101</v>
          </cell>
        </row>
        <row r="518">
          <cell r="A518">
            <v>39104</v>
          </cell>
        </row>
        <row r="519">
          <cell r="A519">
            <v>39105</v>
          </cell>
        </row>
        <row r="520">
          <cell r="A520">
            <v>39106</v>
          </cell>
        </row>
        <row r="521">
          <cell r="A521">
            <v>39107</v>
          </cell>
        </row>
        <row r="522">
          <cell r="A522">
            <v>39108</v>
          </cell>
        </row>
        <row r="523">
          <cell r="A523">
            <v>39111</v>
          </cell>
        </row>
        <row r="524">
          <cell r="A524">
            <v>39112</v>
          </cell>
        </row>
        <row r="525">
          <cell r="A525">
            <v>39113</v>
          </cell>
        </row>
        <row r="526">
          <cell r="A526">
            <v>39114</v>
          </cell>
        </row>
        <row r="527">
          <cell r="A527">
            <v>39115</v>
          </cell>
        </row>
        <row r="528">
          <cell r="A528">
            <v>39118</v>
          </cell>
        </row>
        <row r="529">
          <cell r="A529">
            <v>39119</v>
          </cell>
        </row>
        <row r="530">
          <cell r="A530">
            <v>39120</v>
          </cell>
        </row>
        <row r="531">
          <cell r="A531">
            <v>39121</v>
          </cell>
        </row>
        <row r="532">
          <cell r="A532">
            <v>39122</v>
          </cell>
        </row>
        <row r="533">
          <cell r="A533">
            <v>39125</v>
          </cell>
        </row>
        <row r="534">
          <cell r="A534">
            <v>39126</v>
          </cell>
        </row>
        <row r="535">
          <cell r="A535">
            <v>39127</v>
          </cell>
        </row>
        <row r="536">
          <cell r="A536">
            <v>39128</v>
          </cell>
        </row>
        <row r="537">
          <cell r="A537">
            <v>39129</v>
          </cell>
        </row>
        <row r="538">
          <cell r="A538">
            <v>39133</v>
          </cell>
        </row>
        <row r="539">
          <cell r="A539">
            <v>39134</v>
          </cell>
        </row>
        <row r="540">
          <cell r="A540">
            <v>39135</v>
          </cell>
        </row>
        <row r="541">
          <cell r="A541">
            <v>39136</v>
          </cell>
        </row>
        <row r="542">
          <cell r="A542">
            <v>39139</v>
          </cell>
        </row>
        <row r="543">
          <cell r="A543">
            <v>39140</v>
          </cell>
        </row>
        <row r="544">
          <cell r="A544">
            <v>39141</v>
          </cell>
        </row>
        <row r="545">
          <cell r="A545">
            <v>39142</v>
          </cell>
        </row>
        <row r="546">
          <cell r="A546">
            <v>39143</v>
          </cell>
        </row>
        <row r="547">
          <cell r="A547">
            <v>39146</v>
          </cell>
        </row>
        <row r="548">
          <cell r="A548">
            <v>39147</v>
          </cell>
        </row>
        <row r="549">
          <cell r="A549">
            <v>39148</v>
          </cell>
        </row>
        <row r="550">
          <cell r="A550">
            <v>39149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Q62"/>
  <sheetViews>
    <sheetView tabSelected="1" topLeftCell="B1" zoomScale="115" zoomScaleNormal="115" workbookViewId="0">
      <selection activeCell="Q23" sqref="Q23"/>
    </sheetView>
  </sheetViews>
  <sheetFormatPr defaultRowHeight="13.8" x14ac:dyDescent="0.25"/>
  <cols>
    <col min="1" max="1" width="12.6640625" style="5" bestFit="1" customWidth="1"/>
    <col min="2" max="2" width="8.109375" style="5" bestFit="1" customWidth="1"/>
    <col min="3" max="3" width="10.33203125" style="5" bestFit="1" customWidth="1"/>
    <col min="4" max="4" width="6.88671875" style="5" bestFit="1" customWidth="1"/>
    <col min="5" max="5" width="9.44140625" style="5" customWidth="1"/>
    <col min="6" max="6" width="2.6640625" style="5" customWidth="1"/>
    <col min="7" max="7" width="10" style="5" customWidth="1"/>
    <col min="8" max="10" width="9.5546875" style="5" bestFit="1" customWidth="1"/>
    <col min="11" max="11" width="2.6640625" style="5" customWidth="1"/>
    <col min="12" max="12" width="10.44140625" style="5" customWidth="1"/>
    <col min="13" max="13" width="11" style="5" customWidth="1"/>
    <col min="14" max="14" width="14.5546875" style="5" customWidth="1"/>
    <col min="15" max="15" width="12.109375" style="5" customWidth="1"/>
    <col min="16" max="16" width="8.88671875" style="5"/>
    <col min="17" max="17" width="21.88671875" style="5" customWidth="1"/>
  </cols>
  <sheetData>
    <row r="1" spans="1:17" ht="17.399999999999999" x14ac:dyDescent="0.25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39.6" x14ac:dyDescent="0.25">
      <c r="A2" s="2" t="s">
        <v>1</v>
      </c>
      <c r="B2" s="2" t="s">
        <v>2</v>
      </c>
      <c r="C2" s="2" t="s">
        <v>3</v>
      </c>
      <c r="D2" s="2" t="s">
        <v>4</v>
      </c>
      <c r="E2" s="2" t="str">
        <f ca="1">"Surprise:"&amp;CHAR(10)&amp;[2]!ggetformula(E3)</f>
        <v>Surprise:
=D3-C3</v>
      </c>
      <c r="F2" s="2"/>
      <c r="G2" s="2" t="s">
        <v>5</v>
      </c>
      <c r="H2" s="2" t="s">
        <v>6</v>
      </c>
      <c r="I2" s="2" t="s">
        <v>7</v>
      </c>
      <c r="J2" s="27" t="s">
        <v>8</v>
      </c>
      <c r="K2" s="2"/>
      <c r="L2" s="2" t="s">
        <v>9</v>
      </c>
      <c r="M2" s="2" t="s">
        <v>10</v>
      </c>
      <c r="N2" s="2" t="str">
        <f ca="1">"Expected Return:"&amp;CHAR(10)&amp;[2]!ggetformula(N3)</f>
        <v>Expected Return:
=H3+I3*M3</v>
      </c>
      <c r="O2" s="2" t="str">
        <f ca="1">"Abnormal Return:"&amp;CHAR(10)&amp;[2]!ggetformula(O3)</f>
        <v>Abnormal Return:
=L3-N3</v>
      </c>
      <c r="P2" s="2" t="s">
        <v>11</v>
      </c>
      <c r="Q2" s="2"/>
    </row>
    <row r="3" spans="1:17" x14ac:dyDescent="0.25">
      <c r="A3" s="25">
        <v>38783</v>
      </c>
      <c r="B3" s="3" t="s">
        <v>12</v>
      </c>
      <c r="C3" s="4">
        <v>0.36</v>
      </c>
      <c r="D3" s="4">
        <v>0.39</v>
      </c>
      <c r="E3" s="4">
        <f t="shared" ref="E3:E18" si="0">D3-C3</f>
        <v>3.0000000000000027E-2</v>
      </c>
      <c r="G3" s="26">
        <f>COUNTIF('[3]Stock Prices'!$A$3:$A$550,"&lt;="&amp;TEXT(A3,"0"))-252</f>
        <v>44</v>
      </c>
      <c r="H3" s="6">
        <f ca="1">INTERCEPT(OFFSET('[1]Stock Prices'!$A$2,$G3,4,252,1),OFFSET('[1]Stock Prices'!$A$2,$G3,2,252,1))</f>
        <v>3.0722287454796969E-4</v>
      </c>
      <c r="I3" s="6">
        <f ca="1">SLOPE(OFFSET('[1]Stock Prices'!$A$2,$G3,4,252,1),OFFSET('[1]Stock Prices'!$A$2,$G3,2,252,1))</f>
        <v>0.66621190736463554</v>
      </c>
      <c r="J3" s="28">
        <f ca="1">STEYX(OFFSET('[1]Stock Prices'!$A$2,$G3,4,252,1),OFFSET('[1]Stock Prices'!$A$2,$G3,2,252,1))</f>
        <v>1.2349137993478559E-2</v>
      </c>
      <c r="L3" s="7">
        <f ca="1">OFFSET('[3]Stock Prices'!$A$2,$G3+252,4,1,1)</f>
        <v>1.3646913841182108E-2</v>
      </c>
      <c r="M3" s="7">
        <f ca="1">OFFSET('[3]Stock Prices'!$A$2,$G3+252,2,1,1)</f>
        <v>-1.863641530098769E-3</v>
      </c>
      <c r="N3" s="7">
        <f t="shared" ref="N3:N18" ca="1" si="1">H3+I3*M3</f>
        <v>-9.3435730386307904E-4</v>
      </c>
      <c r="O3" s="8">
        <f t="shared" ref="O3:O18" ca="1" si="2">L3-N3</f>
        <v>1.4581271145045187E-2</v>
      </c>
      <c r="P3" s="6">
        <f t="shared" ref="P3:P18" ca="1" si="3">O3/J3</f>
        <v>1.1807521425985679</v>
      </c>
      <c r="Q3" s="8" t="str">
        <f ca="1">[2]!getformula(P3)</f>
        <v>&lt;--  =O3/J3</v>
      </c>
    </row>
    <row r="4" spans="1:17" x14ac:dyDescent="0.25">
      <c r="A4" s="25">
        <v>38888</v>
      </c>
      <c r="B4" s="3" t="s">
        <v>12</v>
      </c>
      <c r="C4" s="4">
        <v>0.42</v>
      </c>
      <c r="D4" s="4">
        <v>0.42</v>
      </c>
      <c r="E4" s="4">
        <f t="shared" si="0"/>
        <v>0</v>
      </c>
      <c r="G4" s="26">
        <f>COUNTIF('[3]Stock Prices'!$A$3:$A$550,"&lt;="&amp;TEXT(A4,"0"))-252</f>
        <v>117</v>
      </c>
      <c r="H4" s="6">
        <f ca="1">INTERCEPT(OFFSET('[1]Stock Prices'!$A$2,$G4,4,252,1),OFFSET('[1]Stock Prices'!$A$2,$G4,2,252,1))</f>
        <v>4.1405519411151021E-4</v>
      </c>
      <c r="I4" s="6">
        <f ca="1">SLOPE(OFFSET('[1]Stock Prices'!$A$2,$G4,4,252,1),OFFSET('[1]Stock Prices'!$A$2,$G4,2,252,1))</f>
        <v>0.60632055502246196</v>
      </c>
      <c r="J4" s="28">
        <f ca="1">STEYX(OFFSET('[1]Stock Prices'!$A$2,$G4,4,252,1),OFFSET('[1]Stock Prices'!$A$2,$G4,2,252,1))</f>
        <v>1.1296821585500948E-2</v>
      </c>
      <c r="L4" s="7">
        <f ca="1">OFFSET('[3]Stock Prices'!$A$2,$G4+252,4,1,1)</f>
        <v>5.0515790136901745E-2</v>
      </c>
      <c r="M4" s="7">
        <f ca="1">OFFSET('[3]Stock Prices'!$A$2,$G4+252,2,1,1)</f>
        <v>-8.0637032559192586E-6</v>
      </c>
      <c r="N4" s="7">
        <f t="shared" ca="1" si="1"/>
        <v>4.0916600507784481E-4</v>
      </c>
      <c r="O4" s="8">
        <f t="shared" ca="1" si="2"/>
        <v>5.0106624131823901E-2</v>
      </c>
      <c r="P4" s="9">
        <f t="shared" ca="1" si="3"/>
        <v>4.4354621122930631</v>
      </c>
      <c r="Q4" s="8" t="str">
        <f ca="1">[2]!getformula(P4)</f>
        <v>&lt;--  =O4/J4</v>
      </c>
    </row>
    <row r="5" spans="1:17" x14ac:dyDescent="0.25">
      <c r="A5" s="25">
        <v>38972</v>
      </c>
      <c r="B5" s="3" t="s">
        <v>12</v>
      </c>
      <c r="C5" s="4">
        <v>0.28999999999999998</v>
      </c>
      <c r="D5" s="4">
        <v>0.28999999999999998</v>
      </c>
      <c r="E5" s="4">
        <f t="shared" si="0"/>
        <v>0</v>
      </c>
      <c r="G5" s="26">
        <f>COUNTIF('[3]Stock Prices'!$A$3:$A$550,"&lt;="&amp;TEXT(A5,"0"))-252</f>
        <v>175</v>
      </c>
      <c r="H5" s="6">
        <f ca="1">INTERCEPT(OFFSET('[1]Stock Prices'!$A$2,$G5,4,252,1),OFFSET('[1]Stock Prices'!$A$2,$G5,2,252,1))</f>
        <v>6.4501452016221903E-4</v>
      </c>
      <c r="I5" s="6">
        <f ca="1">SLOPE(OFFSET('[1]Stock Prices'!$A$2,$G5,4,252,1),OFFSET('[1]Stock Prices'!$A$2,$G5,2,252,1))</f>
        <v>0.56282510959831344</v>
      </c>
      <c r="J5" s="28">
        <f ca="1">STEYX(OFFSET('[1]Stock Prices'!$A$2,$G5,4,252,1),OFFSET('[1]Stock Prices'!$A$2,$G5,2,252,1))</f>
        <v>1.0848033184705751E-2</v>
      </c>
      <c r="L5" s="7">
        <f ca="1">OFFSET('[3]Stock Prices'!$A$2,$G5+252,4,1,1)</f>
        <v>-5.6691864211478239E-2</v>
      </c>
      <c r="M5" s="7">
        <f ca="1">OFFSET('[3]Stock Prices'!$A$2,$G5+252,2,1,1)</f>
        <v>1.0304239625336588E-2</v>
      </c>
      <c r="N5" s="7">
        <f t="shared" ca="1" si="1"/>
        <v>6.4444993166195685E-3</v>
      </c>
      <c r="O5" s="8">
        <f t="shared" ca="1" si="2"/>
        <v>-6.3136363528097802E-2</v>
      </c>
      <c r="P5" s="9">
        <f t="shared" ca="1" si="3"/>
        <v>-5.8200747041511152</v>
      </c>
      <c r="Q5" s="8" t="str">
        <f ca="1">[2]!getformula(P5)</f>
        <v>&lt;--  =O5/J5</v>
      </c>
    </row>
    <row r="6" spans="1:17" x14ac:dyDescent="0.25">
      <c r="A6" s="25">
        <v>39056</v>
      </c>
      <c r="B6" s="3" t="s">
        <v>12</v>
      </c>
      <c r="C6" s="4">
        <v>0.28000000000000003</v>
      </c>
      <c r="D6" s="4">
        <v>0.3</v>
      </c>
      <c r="E6" s="4">
        <f t="shared" si="0"/>
        <v>1.9999999999999962E-2</v>
      </c>
      <c r="F6" s="10"/>
      <c r="G6" s="26">
        <f>COUNTIF('[3]Stock Prices'!$A$3:$A$550,"&lt;="&amp;TEXT(A6,"0"))-252</f>
        <v>234</v>
      </c>
      <c r="H6" s="6">
        <f ca="1">INTERCEPT(OFFSET('[1]Stock Prices'!$A$2,$G6,4,252,1),OFFSET('[1]Stock Prices'!$A$2,$G6,2,252,1))</f>
        <v>2.9477122927313454E-4</v>
      </c>
      <c r="I6" s="6">
        <f ca="1">SLOPE(OFFSET('[1]Stock Prices'!$A$2,$G6,4,252,1),OFFSET('[1]Stock Prices'!$A$2,$G6,2,252,1))</f>
        <v>0.44829342625496299</v>
      </c>
      <c r="J6" s="28">
        <f ca="1">STEYX(OFFSET('[1]Stock Prices'!$A$2,$G6,4,252,1),OFFSET('[1]Stock Prices'!$A$2,$G6,2,252,1))</f>
        <v>1.1790466061742458E-2</v>
      </c>
      <c r="L6" s="7">
        <f ca="1">OFFSET('[3]Stock Prices'!$A$2,$G6+252,4,1,1)</f>
        <v>5.0776771250428003E-2</v>
      </c>
      <c r="M6" s="7">
        <f ca="1">OFFSET('[3]Stock Prices'!$A$2,$G6+252,2,1,1)</f>
        <v>3.9945093271437073E-3</v>
      </c>
      <c r="N6" s="7">
        <f t="shared" ca="1" si="1"/>
        <v>2.0854835017457937E-3</v>
      </c>
      <c r="O6" s="8">
        <f t="shared" ca="1" si="2"/>
        <v>4.8691287748682206E-2</v>
      </c>
      <c r="P6" s="9">
        <f t="shared" ca="1" si="3"/>
        <v>4.1297169673958036</v>
      </c>
      <c r="Q6" s="8"/>
    </row>
    <row r="7" spans="1:17" x14ac:dyDescent="0.25">
      <c r="A7" s="25">
        <v>38825</v>
      </c>
      <c r="B7" s="3" t="s">
        <v>13</v>
      </c>
      <c r="C7" s="4">
        <v>0.56000000000000005</v>
      </c>
      <c r="D7" s="4">
        <v>0.55000000000000004</v>
      </c>
      <c r="E7" s="4">
        <f t="shared" si="0"/>
        <v>-1.0000000000000009E-2</v>
      </c>
      <c r="F7" s="11"/>
      <c r="G7" s="26">
        <f>COUNTIF('[3]Stock Prices'!$A$3:$A$550,"&lt;="&amp;TEXT(A7,"0"))-252</f>
        <v>73</v>
      </c>
      <c r="H7" s="6">
        <f ca="1">INTERCEPT(OFFSET('[1]Stock Prices'!$A$2,$G7,6,252,1),OFFSET('[1]Stock Prices'!$A$2,$G7,2,252,1))</f>
        <v>-8.0167100748492295E-4</v>
      </c>
      <c r="I7" s="6">
        <f ca="1">SLOPE(OFFSET('[1]Stock Prices'!$A$2,$G7,6,252,1),OFFSET('[1]Stock Prices'!$A$2,$G7,2,252,1))</f>
        <v>0.70490771829587706</v>
      </c>
      <c r="J7" s="28">
        <f ca="1">STEYX(OFFSET('[1]Stock Prices'!$A$2,$G7,6,252,1),OFFSET('[1]Stock Prices'!$A$2,$G7,2,252,1))</f>
        <v>1.2308660462193853E-2</v>
      </c>
      <c r="K7" s="11"/>
      <c r="L7" s="7">
        <f ca="1">OFFSET('[3]Stock Prices'!$A$2,$G7+252,6,1,1)</f>
        <v>-2.7903750229489673E-3</v>
      </c>
      <c r="M7" s="7">
        <f ca="1">OFFSET('[3]Stock Prices'!$A$2,$G7+252,2,1,1)</f>
        <v>1.693314804556089E-2</v>
      </c>
      <c r="N7" s="7">
        <f t="shared" ca="1" si="1"/>
        <v>1.1134635744877695E-2</v>
      </c>
      <c r="O7" s="8">
        <f t="shared" ca="1" si="2"/>
        <v>-1.3925010767826661E-2</v>
      </c>
      <c r="P7" s="6">
        <f t="shared" ca="1" si="3"/>
        <v>-1.1313181325130741</v>
      </c>
      <c r="Q7" s="8"/>
    </row>
    <row r="8" spans="1:17" x14ac:dyDescent="0.25">
      <c r="A8" s="25">
        <v>38924</v>
      </c>
      <c r="B8" s="3" t="s">
        <v>13</v>
      </c>
      <c r="C8" s="4">
        <v>0.56999999999999995</v>
      </c>
      <c r="D8" s="4">
        <v>0.53</v>
      </c>
      <c r="E8" s="4">
        <f t="shared" si="0"/>
        <v>-3.9999999999999925E-2</v>
      </c>
      <c r="F8" s="11"/>
      <c r="G8" s="26">
        <f>COUNTIF('[3]Stock Prices'!$A$3:$A$550,"&lt;="&amp;TEXT(A8,"0"))-252</f>
        <v>142</v>
      </c>
      <c r="H8" s="6">
        <f ca="1">INTERCEPT(OFFSET('[1]Stock Prices'!$A$2,$G8,6,252,1),OFFSET('[1]Stock Prices'!$A$2,$G8,2,252,1))</f>
        <v>-3.3487183377710865E-4</v>
      </c>
      <c r="I8" s="6">
        <f ca="1">SLOPE(OFFSET('[1]Stock Prices'!$A$2,$G8,6,252,1),OFFSET('[1]Stock Prices'!$A$2,$G8,2,252,1))</f>
        <v>0.54161426946692248</v>
      </c>
      <c r="J8" s="28">
        <f ca="1">STEYX(OFFSET('[1]Stock Prices'!$A$2,$G8,6,252,1),OFFSET('[1]Stock Prices'!$A$2,$G8,2,252,1))</f>
        <v>1.2204132650369339E-2</v>
      </c>
      <c r="K8" s="11"/>
      <c r="L8" s="7">
        <f ca="1">OFFSET('[3]Stock Prices'!$A$2,$G8+252,6,1,1)</f>
        <v>-7.0874339586656995E-2</v>
      </c>
      <c r="M8" s="7">
        <f ca="1">OFFSET('[3]Stock Prices'!$A$2,$G8+252,2,1,1)</f>
        <v>-3.7835793111217603E-4</v>
      </c>
      <c r="N8" s="7">
        <f t="shared" ca="1" si="1"/>
        <v>-5.3979588823344603E-4</v>
      </c>
      <c r="O8" s="8">
        <f t="shared" ca="1" si="2"/>
        <v>-7.0334543698423554E-2</v>
      </c>
      <c r="P8" s="9">
        <f t="shared" ca="1" si="3"/>
        <v>-5.7631743044267045</v>
      </c>
      <c r="Q8" s="8"/>
    </row>
    <row r="9" spans="1:17" x14ac:dyDescent="0.25">
      <c r="A9" s="25">
        <v>39000</v>
      </c>
      <c r="B9" s="3" t="s">
        <v>13</v>
      </c>
      <c r="C9" s="4">
        <v>0.53</v>
      </c>
      <c r="D9" s="4">
        <v>0.61</v>
      </c>
      <c r="E9" s="4">
        <f t="shared" si="0"/>
        <v>7.999999999999996E-2</v>
      </c>
      <c r="F9" s="11"/>
      <c r="G9" s="26">
        <f>COUNTIF('[3]Stock Prices'!$A$3:$A$550,"&lt;="&amp;TEXT(A9,"0"))-252</f>
        <v>195</v>
      </c>
      <c r="H9" s="6">
        <f ca="1">INTERCEPT(OFFSET('[1]Stock Prices'!$A$2,$G9,6,252,1),OFFSET('[1]Stock Prices'!$A$2,$G9,2,252,1))</f>
        <v>-1.9897866511731937E-4</v>
      </c>
      <c r="I9" s="6">
        <f ca="1">SLOPE(OFFSET('[1]Stock Prices'!$A$2,$G9,6,252,1),OFFSET('[1]Stock Prices'!$A$2,$G9,2,252,1))</f>
        <v>0.60144717151449223</v>
      </c>
      <c r="J9" s="28">
        <f ca="1">STEYX(OFFSET('[1]Stock Prices'!$A$2,$G9,6,252,1),OFFSET('[1]Stock Prices'!$A$2,$G9,2,252,1))</f>
        <v>1.2843372283021331E-2</v>
      </c>
      <c r="K9" s="11"/>
      <c r="L9" s="7">
        <f ca="1">OFFSET('[3]Stock Prices'!$A$2,$G9+252,6,1,1)</f>
        <v>4.3630546842294157E-2</v>
      </c>
      <c r="M9" s="7">
        <f ca="1">OFFSET('[3]Stock Prices'!$A$2,$G9+252,2,1,1)</f>
        <v>2.0413604319730922E-3</v>
      </c>
      <c r="N9" s="7">
        <f t="shared" ca="1" si="1"/>
        <v>1.028791792734499E-3</v>
      </c>
      <c r="O9" s="8">
        <f t="shared" ca="1" si="2"/>
        <v>4.260175504955966E-2</v>
      </c>
      <c r="P9" s="9">
        <f t="shared" ca="1" si="3"/>
        <v>3.3170225164210407</v>
      </c>
      <c r="Q9" s="8"/>
    </row>
    <row r="10" spans="1:17" x14ac:dyDescent="0.25">
      <c r="A10" s="25">
        <v>39091</v>
      </c>
      <c r="B10" s="3" t="s">
        <v>13</v>
      </c>
      <c r="C10" s="4">
        <v>0.56000000000000005</v>
      </c>
      <c r="D10" s="4">
        <v>0.54</v>
      </c>
      <c r="E10" s="4">
        <f t="shared" si="0"/>
        <v>-2.0000000000000018E-2</v>
      </c>
      <c r="F10" s="12"/>
      <c r="G10" s="26">
        <f>COUNTIF('[3]Stock Prices'!$A$3:$A$550,"&lt;="&amp;TEXT(A10,"0"))-252</f>
        <v>256</v>
      </c>
      <c r="H10" s="6">
        <f ca="1">INTERCEPT(OFFSET('[1]Stock Prices'!$A$2,$G10,6,252,1),OFFSET('[1]Stock Prices'!$A$2,$G10,2,252,1))</f>
        <v>2.885023377713319E-4</v>
      </c>
      <c r="I10" s="6">
        <f ca="1">SLOPE(OFFSET('[1]Stock Prices'!$A$2,$G10,6,252,1),OFFSET('[1]Stock Prices'!$A$2,$G10,2,252,1))</f>
        <v>0.52375032095537422</v>
      </c>
      <c r="J10" s="28">
        <f ca="1">STEYX(OFFSET('[1]Stock Prices'!$A$2,$G10,6,252,1),OFFSET('[1]Stock Prices'!$A$2,$G10,2,252,1))</f>
        <v>1.3023864729747025E-2</v>
      </c>
      <c r="K10" s="12"/>
      <c r="L10" s="7">
        <f ca="1">OFFSET('[3]Stock Prices'!$A$2,$G10+252,6,1,1)</f>
        <v>-1.6992762323112059E-2</v>
      </c>
      <c r="M10" s="7">
        <f ca="1">OFFSET('[3]Stock Prices'!$A$2,$G10+252,2,1,1)</f>
        <v>-5.1682331811108155E-4</v>
      </c>
      <c r="N10" s="7">
        <f t="shared" ca="1" si="1"/>
        <v>1.7815959033431463E-5</v>
      </c>
      <c r="O10" s="8">
        <f t="shared" ca="1" si="2"/>
        <v>-1.7010578282145489E-2</v>
      </c>
      <c r="P10" s="6">
        <f t="shared" ca="1" si="3"/>
        <v>-1.3061083353616729</v>
      </c>
      <c r="Q10" s="8"/>
    </row>
    <row r="11" spans="1:17" x14ac:dyDescent="0.25">
      <c r="A11" s="25">
        <v>38834</v>
      </c>
      <c r="B11" s="3" t="s">
        <v>14</v>
      </c>
      <c r="C11" s="4">
        <v>0.3</v>
      </c>
      <c r="D11" s="4">
        <v>0.32</v>
      </c>
      <c r="E11" s="4">
        <f t="shared" si="0"/>
        <v>2.0000000000000018E-2</v>
      </c>
      <c r="G11" s="26">
        <f>COUNTIF('[3]Stock Prices'!$A$3:$A$550,"&lt;="&amp;TEXT(A11,"0"))-252</f>
        <v>80</v>
      </c>
      <c r="H11" s="6">
        <f ca="1">INTERCEPT(OFFSET('[1]Stock Prices'!$A$2,$G11,8,252,1),OFFSET('[1]Stock Prices'!$A$2,$G11,2,252,1))</f>
        <v>9.888255768116807E-5</v>
      </c>
      <c r="I11" s="6">
        <f ca="1">SLOPE(OFFSET('[1]Stock Prices'!$A$2,$G11,8,252,1),OFFSET('[1]Stock Prices'!$A$2,$G11,2,252,1))</f>
        <v>1.0138690829703181</v>
      </c>
      <c r="J11" s="28">
        <f ca="1">STEYX(OFFSET('[1]Stock Prices'!$A$2,$G11,8,252,1),OFFSET('[1]Stock Prices'!$A$2,$G11,2,252,1))</f>
        <v>1.3034592936521632E-2</v>
      </c>
      <c r="L11" s="7">
        <f ca="1">OFFSET('[3]Stock Prices'!$A$2,$G11+252,8,1,1)</f>
        <v>2.8822778655563285E-2</v>
      </c>
      <c r="M11" s="7">
        <f ca="1">OFFSET('[3]Stock Prices'!$A$2,$G11+252,2,1,1)</f>
        <v>3.2962062324521789E-3</v>
      </c>
      <c r="N11" s="7">
        <f t="shared" ca="1" si="1"/>
        <v>3.4408041478585058E-3</v>
      </c>
      <c r="O11" s="8">
        <f t="shared" ca="1" si="2"/>
        <v>2.5381974507704779E-2</v>
      </c>
      <c r="P11" s="9">
        <f t="shared" ca="1" si="3"/>
        <v>1.9472778805839814</v>
      </c>
      <c r="Q11" s="8"/>
    </row>
    <row r="12" spans="1:17" x14ac:dyDescent="0.25">
      <c r="A12" s="25">
        <v>38918</v>
      </c>
      <c r="B12" s="3" t="s">
        <v>14</v>
      </c>
      <c r="C12" s="4">
        <v>0.36</v>
      </c>
      <c r="D12" s="4">
        <v>0.42</v>
      </c>
      <c r="E12" s="4">
        <f t="shared" si="0"/>
        <v>0.06</v>
      </c>
      <c r="G12" s="26">
        <f>COUNTIF('[3]Stock Prices'!$A$3:$A$550,"&lt;="&amp;TEXT(A12,"0"))-252</f>
        <v>138</v>
      </c>
      <c r="H12" s="6">
        <f ca="1">INTERCEPT(OFFSET('[1]Stock Prices'!$A$2,$G12,8,252,1),OFFSET('[1]Stock Prices'!$A$2,$G12,2,252,1))</f>
        <v>1.1512496723664544E-4</v>
      </c>
      <c r="I12" s="6">
        <f ca="1">SLOPE(OFFSET('[1]Stock Prices'!$A$2,$G12,8,252,1),OFFSET('[1]Stock Prices'!$A$2,$G12,2,252,1))</f>
        <v>0.92887616586129296</v>
      </c>
      <c r="J12" s="28">
        <f ca="1">STEYX(OFFSET('[1]Stock Prices'!$A$2,$G12,8,252,1),OFFSET('[1]Stock Prices'!$A$2,$G12,2,252,1))</f>
        <v>1.1834156402763025E-2</v>
      </c>
      <c r="L12" s="7">
        <f ca="1">OFFSET('[3]Stock Prices'!$A$2,$G12+252,8,1,1)</f>
        <v>8.3944390344600217E-2</v>
      </c>
      <c r="M12" s="7">
        <f ca="1">OFFSET('[3]Stock Prices'!$A$2,$G12+252,2,1,1)</f>
        <v>-8.5136069483206893E-3</v>
      </c>
      <c r="N12" s="7">
        <f t="shared" ca="1" si="1"/>
        <v>-7.7929616125695387E-3</v>
      </c>
      <c r="O12" s="8">
        <f t="shared" ca="1" si="2"/>
        <v>9.1737351957169755E-2</v>
      </c>
      <c r="P12" s="9">
        <f t="shared" ca="1" si="3"/>
        <v>7.751913092491411</v>
      </c>
      <c r="Q12" s="8"/>
    </row>
    <row r="13" spans="1:17" x14ac:dyDescent="0.25">
      <c r="A13" s="25">
        <v>39002</v>
      </c>
      <c r="B13" s="3" t="s">
        <v>14</v>
      </c>
      <c r="C13" s="4">
        <v>0.39</v>
      </c>
      <c r="D13" s="4">
        <v>0.39</v>
      </c>
      <c r="E13" s="4">
        <f t="shared" si="0"/>
        <v>0</v>
      </c>
      <c r="G13" s="26">
        <f>COUNTIF('[3]Stock Prices'!$A$3:$A$550,"&lt;="&amp;TEXT(A13,"0"))-252</f>
        <v>197</v>
      </c>
      <c r="H13" s="6">
        <f ca="1">INTERCEPT(OFFSET('[1]Stock Prices'!$A$2,$G13,8,252,1),OFFSET('[1]Stock Prices'!$A$2,$G13,2,252,1))</f>
        <v>3.1691105317675587E-4</v>
      </c>
      <c r="I13" s="6">
        <f ca="1">SLOPE(OFFSET('[1]Stock Prices'!$A$2,$G13,8,252,1),OFFSET('[1]Stock Prices'!$A$2,$G13,2,252,1))</f>
        <v>0.75334791263338774</v>
      </c>
      <c r="J13" s="28">
        <f ca="1">STEYX(OFFSET('[1]Stock Prices'!$A$2,$G13,8,252,1),OFFSET('[1]Stock Prices'!$A$2,$G13,2,252,1))</f>
        <v>1.3415506884475934E-2</v>
      </c>
      <c r="L13" s="7">
        <f ca="1">OFFSET('[3]Stock Prices'!$A$2,$G13+252,8,1,1)</f>
        <v>-1.4349409178999113E-2</v>
      </c>
      <c r="M13" s="7">
        <f ca="1">OFFSET('[3]Stock Prices'!$A$2,$G13+252,2,1,1)</f>
        <v>9.4958653365821172E-3</v>
      </c>
      <c r="N13" s="7">
        <f t="shared" ca="1" si="1"/>
        <v>7.4706013831386357E-3</v>
      </c>
      <c r="O13" s="8">
        <f t="shared" ca="1" si="2"/>
        <v>-2.1820010562137747E-2</v>
      </c>
      <c r="P13" s="6">
        <f t="shared" ca="1" si="3"/>
        <v>-1.6264767891392371</v>
      </c>
      <c r="Q13" s="8"/>
    </row>
    <row r="14" spans="1:17" x14ac:dyDescent="0.25">
      <c r="A14" s="25">
        <v>39140</v>
      </c>
      <c r="B14" s="3" t="s">
        <v>14</v>
      </c>
      <c r="C14" s="4">
        <v>0.6</v>
      </c>
      <c r="D14" s="4">
        <v>0.61</v>
      </c>
      <c r="E14" s="4">
        <f t="shared" si="0"/>
        <v>1.0000000000000009E-2</v>
      </c>
      <c r="G14" s="26">
        <f>COUNTIF('[3]Stock Prices'!$A$3:$A$550,"&lt;="&amp;TEXT(A14,"0"))-252</f>
        <v>289</v>
      </c>
      <c r="H14" s="6">
        <f ca="1">INTERCEPT(OFFSET('[1]Stock Prices'!$A$2,$G14,8,252,1),OFFSET('[1]Stock Prices'!$A$2,$G14,2,252,1))</f>
        <v>1.1605587759325536E-3</v>
      </c>
      <c r="I14" s="6">
        <f ca="1">SLOPE(OFFSET('[1]Stock Prices'!$A$2,$G14,8,252,1),OFFSET('[1]Stock Prices'!$A$2,$G14,2,252,1))</f>
        <v>0.75045483683749536</v>
      </c>
      <c r="J14" s="28">
        <f ca="1">STEYX(OFFSET('[1]Stock Prices'!$A$2,$G14,8,252,1),OFFSET('[1]Stock Prices'!$A$2,$G14,2,252,1))</f>
        <v>1.3076057525761185E-2</v>
      </c>
      <c r="L14" s="7">
        <f ca="1">OFFSET('[3]Stock Prices'!$A$2,$G14+252,8,1,1)</f>
        <v>-3.9503478601227819E-2</v>
      </c>
      <c r="M14" s="7">
        <f ca="1">OFFSET('[3]Stock Prices'!$A$2,$G14+252,2,1,1)</f>
        <v>-3.5342692132952408E-2</v>
      </c>
      <c r="N14" s="7">
        <f t="shared" ca="1" si="1"/>
        <v>-2.5362535482100077E-2</v>
      </c>
      <c r="O14" s="8">
        <f t="shared" ca="1" si="2"/>
        <v>-1.4140943119127742E-2</v>
      </c>
      <c r="P14" s="6">
        <f t="shared" ca="1" si="3"/>
        <v>-1.0814378180325852</v>
      </c>
      <c r="Q14" s="8"/>
    </row>
    <row r="15" spans="1:17" x14ac:dyDescent="0.25">
      <c r="A15" s="25">
        <v>38841</v>
      </c>
      <c r="B15" s="3" t="s">
        <v>15</v>
      </c>
      <c r="C15" s="4">
        <v>0.35</v>
      </c>
      <c r="D15" s="4">
        <v>0.36</v>
      </c>
      <c r="E15" s="4">
        <f t="shared" si="0"/>
        <v>1.0000000000000009E-2</v>
      </c>
      <c r="G15" s="26">
        <f>COUNTIF('[3]Stock Prices'!$A$3:$A$550,"&lt;="&amp;TEXT(A15,"0"))-252</f>
        <v>85</v>
      </c>
      <c r="H15" s="6">
        <f ca="1">INTERCEPT(OFFSET('[1]Stock Prices'!$A$2,$G15,10,252,1),OFFSET('[1]Stock Prices'!$A$2,$G15,2,252,1))</f>
        <v>6.2668026182029516E-4</v>
      </c>
      <c r="I15" s="6">
        <f ca="1">SLOPE(OFFSET('[1]Stock Prices'!$A$2,$G15,10,252,1),OFFSET('[1]Stock Prices'!$A$2,$G15,2,252,1))</f>
        <v>0.83447092637184028</v>
      </c>
      <c r="J15" s="28">
        <f ca="1">STEYX(OFFSET('[1]Stock Prices'!$A$2,$G15,10,252,1),OFFSET('[1]Stock Prices'!$A$2,$G15,2,252,1))</f>
        <v>1.7526853315346886E-2</v>
      </c>
      <c r="L15" s="7">
        <f ca="1">OFFSET('[3]Stock Prices'!$A$2,$G15+252,10,1,1)</f>
        <v>0.1249530709558308</v>
      </c>
      <c r="M15" s="7">
        <f ca="1">OFFSET('[3]Stock Prices'!$A$2,$G15+252,2,1,1)</f>
        <v>3.1522292041416813E-3</v>
      </c>
      <c r="N15" s="7">
        <f t="shared" ca="1" si="1"/>
        <v>3.257123885936773E-3</v>
      </c>
      <c r="O15" s="8">
        <f t="shared" ca="1" si="2"/>
        <v>0.12169594706989403</v>
      </c>
      <c r="P15" s="9">
        <f t="shared" ca="1" si="3"/>
        <v>6.9433996439814143</v>
      </c>
      <c r="Q15" s="8"/>
    </row>
    <row r="16" spans="1:17" x14ac:dyDescent="0.25">
      <c r="A16" s="25">
        <v>38930</v>
      </c>
      <c r="B16" s="3" t="s">
        <v>15</v>
      </c>
      <c r="C16" s="4">
        <v>0.34</v>
      </c>
      <c r="D16" s="4">
        <v>0.35</v>
      </c>
      <c r="E16" s="4">
        <f t="shared" si="0"/>
        <v>9.9999999999999534E-3</v>
      </c>
      <c r="G16" s="26">
        <f>COUNTIF('[3]Stock Prices'!$A$3:$A$550,"&lt;="&amp;TEXT(A16,"0"))-252</f>
        <v>146</v>
      </c>
      <c r="H16" s="6">
        <f ca="1">INTERCEPT(OFFSET('[1]Stock Prices'!$A$2,$G16,10,252,1),OFFSET('[1]Stock Prices'!$A$2,$G16,2,252,1))</f>
        <v>-7.0852983492196745E-4</v>
      </c>
      <c r="I16" s="6">
        <f ca="1">SLOPE(OFFSET('[1]Stock Prices'!$A$2,$G16,10,252,1),OFFSET('[1]Stock Prices'!$A$2,$G16,2,252,1))</f>
        <v>1.2328671999286716</v>
      </c>
      <c r="J16" s="28">
        <f ca="1">STEYX(OFFSET('[1]Stock Prices'!$A$2,$G16,10,252,1),OFFSET('[1]Stock Prices'!$A$2,$G16,2,252,1))</f>
        <v>1.642533547553077E-2</v>
      </c>
      <c r="L16" s="7">
        <f ca="1">OFFSET('[3]Stock Prices'!$A$2,$G16+252,10,1,1)</f>
        <v>-0.12509315415218572</v>
      </c>
      <c r="M16" s="7">
        <f ca="1">OFFSET('[3]Stock Prices'!$A$2,$G16+252,2,1,1)</f>
        <v>-4.5062449172545678E-3</v>
      </c>
      <c r="N16" s="7">
        <f t="shared" ca="1" si="1"/>
        <v>-6.2641313882504154E-3</v>
      </c>
      <c r="O16" s="8">
        <f t="shared" ca="1" si="2"/>
        <v>-0.11882902276393531</v>
      </c>
      <c r="P16" s="9">
        <f t="shared" ca="1" si="3"/>
        <v>-7.2344959371428272</v>
      </c>
      <c r="Q16" s="8"/>
    </row>
    <row r="17" spans="1:17" x14ac:dyDescent="0.25">
      <c r="A17" s="25">
        <v>39024</v>
      </c>
      <c r="B17" s="3" t="s">
        <v>15</v>
      </c>
      <c r="C17" s="4">
        <v>0.28999999999999998</v>
      </c>
      <c r="D17" s="4">
        <v>0.28999999999999998</v>
      </c>
      <c r="E17" s="4">
        <f t="shared" si="0"/>
        <v>0</v>
      </c>
      <c r="G17" s="26">
        <f>COUNTIF('[3]Stock Prices'!$A$3:$A$550,"&lt;="&amp;TEXT(A17,"0"))-252</f>
        <v>213</v>
      </c>
      <c r="H17" s="6">
        <f ca="1">INTERCEPT(OFFSET('[1]Stock Prices'!$A$2,$G17,10,252,1),OFFSET('[1]Stock Prices'!$A$2,$G17,2,252,1))</f>
        <v>-1.3549093875490149E-3</v>
      </c>
      <c r="I17" s="6">
        <f ca="1">SLOPE(OFFSET('[1]Stock Prices'!$A$2,$G17,10,252,1),OFFSET('[1]Stock Prices'!$A$2,$G17,2,252,1))</f>
        <v>1.3198879988465675</v>
      </c>
      <c r="J17" s="28">
        <f ca="1">STEYX(OFFSET('[1]Stock Prices'!$A$2,$G17,10,252,1),OFFSET('[1]Stock Prices'!$A$2,$G17,2,252,1))</f>
        <v>1.9505709143388682E-2</v>
      </c>
      <c r="L17" s="7">
        <f ca="1">OFFSET('[3]Stock Prices'!$A$2,$G17+252,10,1,1)</f>
        <v>-0.26213052988873536</v>
      </c>
      <c r="M17" s="7">
        <f ca="1">OFFSET('[3]Stock Prices'!$A$2,$G17+252,2,1,1)</f>
        <v>-2.2257700539063956E-3</v>
      </c>
      <c r="N17" s="7">
        <f t="shared" ca="1" si="1"/>
        <v>-4.2926765698921444E-3</v>
      </c>
      <c r="O17" s="8">
        <f t="shared" ca="1" si="2"/>
        <v>-0.25783785331884324</v>
      </c>
      <c r="P17" s="9">
        <f t="shared" ca="1" si="3"/>
        <v>-13.218583924503738</v>
      </c>
      <c r="Q17" s="8"/>
    </row>
    <row r="18" spans="1:17" x14ac:dyDescent="0.25">
      <c r="A18" s="25">
        <v>39135</v>
      </c>
      <c r="B18" s="3" t="s">
        <v>15</v>
      </c>
      <c r="C18" s="4">
        <v>0.4</v>
      </c>
      <c r="D18" s="4">
        <v>0.38</v>
      </c>
      <c r="E18" s="4">
        <f t="shared" si="0"/>
        <v>-2.0000000000000018E-2</v>
      </c>
      <c r="G18" s="26">
        <f>COUNTIF('[3]Stock Prices'!$A$3:$A$550,"&lt;="&amp;TEXT(A18,"0"))-252</f>
        <v>286</v>
      </c>
      <c r="H18" s="6">
        <f ca="1">INTERCEPT(OFFSET('[1]Stock Prices'!$A$2,$G18,10,252,1),OFFSET('[1]Stock Prices'!$A$2,$G18,2,252,1))</f>
        <v>-2.0240410892946267E-3</v>
      </c>
      <c r="I18" s="6">
        <f ca="1">SLOPE(OFFSET('[1]Stock Prices'!$A$2,$G18,10,252,1),OFFSET('[1]Stock Prices'!$A$2,$G18,2,252,1))</f>
        <v>1.5320514538546197</v>
      </c>
      <c r="J18" s="28">
        <f ca="1">STEYX(OFFSET('[1]Stock Prices'!$A$2,$G18,10,252,1),OFFSET('[1]Stock Prices'!$A$2,$G18,2,252,1))</f>
        <v>2.4266967602447915E-2</v>
      </c>
      <c r="L18" s="7">
        <f ca="1">OFFSET('[3]Stock Prices'!$A$2,$G18+252,10,1,1)</f>
        <v>0.13125857102096425</v>
      </c>
      <c r="M18" s="7">
        <f ca="1">OFFSET('[3]Stock Prices'!$A$2,$G18+252,2,1,1)</f>
        <v>-8.579243562446137E-4</v>
      </c>
      <c r="N18" s="7">
        <f t="shared" ca="1" si="1"/>
        <v>-3.3384253465764758E-3</v>
      </c>
      <c r="O18" s="8">
        <f t="shared" ca="1" si="2"/>
        <v>0.13459699636754072</v>
      </c>
      <c r="P18" s="9">
        <f t="shared" ca="1" si="3"/>
        <v>5.5465107372526976</v>
      </c>
      <c r="Q18" s="8"/>
    </row>
    <row r="19" spans="1:17" x14ac:dyDescent="0.25">
      <c r="B19" s="13"/>
      <c r="G19" s="11"/>
      <c r="H19" s="11"/>
      <c r="I19" s="11"/>
    </row>
    <row r="20" spans="1:17" ht="27.6" x14ac:dyDescent="0.25">
      <c r="A20" s="14"/>
      <c r="B20" s="13"/>
      <c r="G20" s="11"/>
      <c r="H20" s="11"/>
      <c r="I20" s="11"/>
      <c r="N20" s="15" t="s">
        <v>16</v>
      </c>
      <c r="O20" s="16">
        <f ca="1">SUMIF($E$3:$E$18,"&gt;0",$O$3:$O$18)/COUNTIF(E3:E18,"&gt;0")</f>
        <v>2.6464952699374066E-2</v>
      </c>
      <c r="P20" s="17" t="str">
        <f ca="1">[2]!getformula(O20)</f>
        <v>&lt;--  =SUMIF($E$3:$E$18,"&gt;0",$O$3:$O$18)/COUNTIF(E3:E18,"&gt;0")</v>
      </c>
      <c r="Q20" s="18"/>
    </row>
    <row r="21" spans="1:17" ht="63" customHeight="1" x14ac:dyDescent="0.25">
      <c r="B21" s="19" t="str">
        <f ca="1">"Cell "&amp;CHAR(COLUMN(G18)+64)&amp;ROW(G18)&amp;" contains formula:"&amp;CHAR(10)&amp;[2]!ggetformula(G18)</f>
        <v>Cell G18 contains formula:
=COUNTIF('[data.xlsx]Stock Prices'!$A$3:$A$550,"&lt;="&amp;TEXT(A18,"0"))-252</v>
      </c>
      <c r="C21" s="19"/>
      <c r="D21" s="19"/>
      <c r="E21" s="19"/>
      <c r="F21" s="19"/>
      <c r="G21" s="19"/>
      <c r="H21" s="19"/>
      <c r="I21" s="11"/>
      <c r="N21" s="15" t="s">
        <v>17</v>
      </c>
      <c r="O21" s="16">
        <f ca="1">SUMIF($E$3:$E$18,"&lt;=0",$O$3:$O$18)/COUNTIF(E3:E18,"&lt;=0")</f>
        <v>-3.2420092457263738E-2</v>
      </c>
      <c r="P21" s="17" t="str">
        <f ca="1">[2]!getformula(O21)</f>
        <v>&lt;--  =SUMIF($E$3:$E$18,"&lt;=0",$O$3:$O$18)/COUNTIF(E3:E18,"&lt;=0")</v>
      </c>
      <c r="Q21" s="18"/>
    </row>
    <row r="22" spans="1:17" x14ac:dyDescent="0.25">
      <c r="G22" s="20"/>
      <c r="H22" s="21"/>
      <c r="I22" s="21"/>
      <c r="J22" s="22"/>
      <c r="L22" s="20"/>
      <c r="M22" s="20"/>
      <c r="O22" s="8"/>
    </row>
    <row r="23" spans="1:17" ht="66.599999999999994" customHeight="1" x14ac:dyDescent="0.25">
      <c r="G23" s="19" t="str">
        <f ca="1">"Cell "&amp;CHAR(COLUMN(H18)+64)&amp;ROW(H18)&amp;" contains formula:"&amp;CHAR(10)&amp;[2]!ggetformula(H18)</f>
        <v>Cell H18 contains formula:
=INTERCEPT(OFFSET('[fm3_chapter14.xls]Stock Prices'!$A$2,$G18,10,252,1),OFFSET('[fm3_chapter14.xls]Stock Prices'!$A$2,$G18,2,252,1))</v>
      </c>
      <c r="H23" s="19"/>
      <c r="I23" s="19"/>
      <c r="J23" s="19"/>
      <c r="K23" s="19"/>
      <c r="L23" s="19"/>
      <c r="M23" s="19"/>
    </row>
    <row r="24" spans="1:17" x14ac:dyDescent="0.25">
      <c r="G24" s="20"/>
      <c r="H24" s="21"/>
      <c r="I24" s="21"/>
      <c r="J24" s="22"/>
      <c r="K24" s="11"/>
    </row>
    <row r="25" spans="1:17" ht="51.6" customHeight="1" x14ac:dyDescent="0.25">
      <c r="G25" s="20"/>
      <c r="H25" s="21"/>
      <c r="I25" s="21"/>
      <c r="J25" s="19" t="str">
        <f ca="1">"Cell "&amp;CHAR(COLUMN(I18)+64)&amp;ROW(I18)&amp;" contains formula:"&amp;CHAR(10)&amp;[2]!ggetformula(I18)</f>
        <v>Cell I18 contains formula:
=SLOPE(OFFSET('[fm3_chapter14.xls]Stock Prices'!$A$2,$G18,10,252,1),OFFSET('[fm3_chapter14.xls]Stock Prices'!$A$2,$G18,2,252,1))</v>
      </c>
      <c r="K25" s="19"/>
      <c r="L25" s="19"/>
      <c r="M25" s="19"/>
      <c r="N25" s="19"/>
      <c r="O25" s="19"/>
      <c r="P25" s="19"/>
    </row>
    <row r="26" spans="1:17" x14ac:dyDescent="0.25">
      <c r="G26" s="23"/>
    </row>
    <row r="27" spans="1:17" ht="60.6" customHeight="1" x14ac:dyDescent="0.25">
      <c r="G27" s="23"/>
      <c r="I27" s="19" t="str">
        <f ca="1">"Cell "&amp;CHAR(COLUMN(J18)+64)&amp;ROW(J18)&amp;" contains formula:"&amp;CHAR(10)&amp;[2]!ggetformula(J18)</f>
        <v>Cell J18 contains formula:
=STEYX(OFFSET('[fm3_chapter14.xls]Stock Prices'!$A$2,$G18,10,252,1),OFFSET('[fm3_chapter14.xls]Stock Prices'!$A$2,$G18,2,252,1))</v>
      </c>
      <c r="J27" s="19"/>
      <c r="K27" s="19"/>
      <c r="L27" s="19"/>
      <c r="M27" s="19"/>
      <c r="N27" s="19"/>
      <c r="O27" s="19"/>
    </row>
    <row r="28" spans="1:17" x14ac:dyDescent="0.25">
      <c r="G28" s="23"/>
      <c r="K28" s="11"/>
      <c r="L28" s="11"/>
      <c r="M28" s="11"/>
      <c r="N28" s="11"/>
    </row>
    <row r="29" spans="1:17" x14ac:dyDescent="0.25">
      <c r="G29" s="23"/>
      <c r="K29" s="11"/>
      <c r="L29" s="11"/>
      <c r="M29" s="11"/>
      <c r="N29" s="11"/>
    </row>
    <row r="30" spans="1:17" x14ac:dyDescent="0.25">
      <c r="G30" s="23"/>
    </row>
    <row r="31" spans="1:17" x14ac:dyDescent="0.25">
      <c r="G31" s="23"/>
    </row>
    <row r="32" spans="1:17" x14ac:dyDescent="0.25">
      <c r="G32" s="23"/>
    </row>
    <row r="33" spans="2:15" x14ac:dyDescent="0.25">
      <c r="G33" s="23"/>
    </row>
    <row r="34" spans="2:15" x14ac:dyDescent="0.25">
      <c r="G34" s="23"/>
      <c r="J34" s="11"/>
      <c r="K34" s="11"/>
      <c r="L34" s="11"/>
      <c r="M34" s="11"/>
      <c r="N34" s="11"/>
    </row>
    <row r="35" spans="2:15" x14ac:dyDescent="0.25">
      <c r="G35" s="23"/>
      <c r="J35" s="11"/>
      <c r="K35" s="11"/>
      <c r="L35" s="11"/>
      <c r="M35" s="11"/>
      <c r="N35" s="11"/>
    </row>
    <row r="36" spans="2:15" x14ac:dyDescent="0.25">
      <c r="G36" s="23"/>
    </row>
    <row r="37" spans="2:15" x14ac:dyDescent="0.25">
      <c r="G37" s="23"/>
    </row>
    <row r="38" spans="2:15" x14ac:dyDescent="0.25">
      <c r="B38" s="13"/>
    </row>
    <row r="40" spans="2:15" x14ac:dyDescent="0.25">
      <c r="B40" s="13"/>
      <c r="J40" s="11"/>
      <c r="K40" s="11"/>
      <c r="L40" s="11"/>
      <c r="M40" s="11"/>
      <c r="N40" s="11"/>
    </row>
    <row r="41" spans="2:15" x14ac:dyDescent="0.25">
      <c r="B41" s="13"/>
      <c r="J41" s="11"/>
      <c r="K41" s="11"/>
      <c r="L41" s="11"/>
      <c r="M41" s="11"/>
      <c r="N41" s="11"/>
    </row>
    <row r="42" spans="2:15" x14ac:dyDescent="0.25">
      <c r="B42" s="13"/>
    </row>
    <row r="43" spans="2:15" x14ac:dyDescent="0.25">
      <c r="B43" s="13"/>
    </row>
    <row r="44" spans="2:15" x14ac:dyDescent="0.25">
      <c r="B44" s="13"/>
      <c r="J44" s="11"/>
      <c r="K44" s="11"/>
      <c r="L44" s="11"/>
      <c r="M44" s="11"/>
      <c r="N44" s="11"/>
    </row>
    <row r="45" spans="2:15" x14ac:dyDescent="0.25">
      <c r="B45" s="13"/>
      <c r="J45" s="11"/>
      <c r="K45" s="11"/>
      <c r="L45" s="11"/>
      <c r="M45" s="11"/>
      <c r="N45" s="11"/>
    </row>
    <row r="46" spans="2:15" x14ac:dyDescent="0.25">
      <c r="B46" s="13"/>
    </row>
    <row r="47" spans="2:15" x14ac:dyDescent="0.25">
      <c r="B47" s="13"/>
      <c r="K47" s="10"/>
      <c r="L47" s="10"/>
      <c r="M47" s="10"/>
      <c r="N47" s="10"/>
      <c r="O47" s="11"/>
    </row>
    <row r="48" spans="2:15" x14ac:dyDescent="0.25">
      <c r="B48" s="13"/>
      <c r="K48" s="11"/>
      <c r="L48" s="11"/>
      <c r="M48" s="11"/>
      <c r="N48" s="11"/>
      <c r="O48" s="11"/>
    </row>
    <row r="49" spans="2:15" x14ac:dyDescent="0.25">
      <c r="B49" s="13"/>
    </row>
    <row r="50" spans="2:15" x14ac:dyDescent="0.25">
      <c r="B50" s="13"/>
    </row>
    <row r="51" spans="2:15" x14ac:dyDescent="0.25">
      <c r="B51" s="13"/>
      <c r="K51" s="24"/>
      <c r="L51" s="10"/>
      <c r="M51" s="10"/>
      <c r="N51" s="10"/>
      <c r="O51" s="10"/>
    </row>
    <row r="52" spans="2:15" x14ac:dyDescent="0.25">
      <c r="B52" s="13"/>
      <c r="K52" s="11"/>
      <c r="L52" s="11"/>
      <c r="M52" s="11"/>
      <c r="N52" s="11"/>
      <c r="O52" s="11"/>
    </row>
    <row r="53" spans="2:15" x14ac:dyDescent="0.25">
      <c r="B53" s="13"/>
      <c r="K53" s="11"/>
      <c r="L53" s="11"/>
      <c r="M53" s="11"/>
      <c r="N53" s="11"/>
      <c r="O53" s="11"/>
    </row>
    <row r="54" spans="2:15" x14ac:dyDescent="0.25">
      <c r="B54" s="13"/>
    </row>
    <row r="55" spans="2:15" x14ac:dyDescent="0.25">
      <c r="B55" s="13"/>
    </row>
    <row r="56" spans="2:15" x14ac:dyDescent="0.25">
      <c r="B56" s="13"/>
    </row>
    <row r="57" spans="2:15" x14ac:dyDescent="0.25">
      <c r="B57" s="13"/>
    </row>
    <row r="58" spans="2:15" x14ac:dyDescent="0.25">
      <c r="B58" s="13"/>
    </row>
    <row r="59" spans="2:15" x14ac:dyDescent="0.25">
      <c r="B59" s="13"/>
    </row>
    <row r="60" spans="2:15" x14ac:dyDescent="0.25">
      <c r="B60" s="13"/>
    </row>
    <row r="61" spans="2:15" x14ac:dyDescent="0.25">
      <c r="B61" s="13"/>
    </row>
    <row r="62" spans="2:15" x14ac:dyDescent="0.25">
      <c r="B62" s="13"/>
    </row>
  </sheetData>
  <mergeCells count="7">
    <mergeCell ref="I27:O27"/>
    <mergeCell ref="A1:Q1"/>
    <mergeCell ref="P20:Q20"/>
    <mergeCell ref="B21:H21"/>
    <mergeCell ref="P21:Q21"/>
    <mergeCell ref="G23:M23"/>
    <mergeCell ref="J25:P25"/>
  </mergeCells>
  <phoneticPr fontId="1" type="noConversion"/>
  <conditionalFormatting sqref="P3:P18">
    <cfRule type="expression" dxfId="0" priority="1">
      <formula>(ABS(P3)&gt;=1.96)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2024-11-12T02:07:48Z</dcterms:modified>
</cp:coreProperties>
</file>