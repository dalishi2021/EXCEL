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4\"/>
    </mc:Choice>
  </mc:AlternateContent>
  <xr:revisionPtr revIDLastSave="0" documentId="13_ncr:1_{9183CECA-A413-4B91-A28A-421B2B9615D9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50-2" sheetId="2" r:id="rId2"/>
  </sheets>
  <externalReferences>
    <externalReference r:id="rId3"/>
    <externalReference r:id="rId4"/>
  </externalReferences>
  <definedNames>
    <definedName name="Down">#REF!</definedName>
    <definedName name="init">#REF!</definedName>
    <definedName name="qd">#REF!</definedName>
    <definedName name="qu">#REF!</definedName>
    <definedName name="rf">#REF!</definedName>
    <definedName name="rp">#REF!</definedName>
    <definedName name="Up">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7" i="2"/>
  <c r="B17" i="2"/>
  <c r="B16" i="2"/>
  <c r="B15" i="2"/>
  <c r="C25" i="2"/>
  <c r="B25" i="2"/>
  <c r="D28" i="2"/>
  <c r="C12" i="2"/>
  <c r="C11" i="2"/>
  <c r="C8" i="2"/>
  <c r="C7" i="2"/>
  <c r="E7" i="2"/>
  <c r="B20" i="2" l="1"/>
  <c r="B22" i="2" l="1"/>
  <c r="B21" i="2"/>
  <c r="B23" i="2" s="1"/>
  <c r="B24" i="2" l="1"/>
  <c r="B11" i="2" s="1"/>
  <c r="B12" i="2" s="1"/>
  <c r="C28" i="2" s="1"/>
</calcChain>
</file>

<file path=xl/sharedStrings.xml><?xml version="1.0" encoding="utf-8"?>
<sst xmlns="http://schemas.openxmlformats.org/spreadsheetml/2006/main" count="33" uniqueCount="33">
  <si>
    <t>THE OPTION TO EXPAND</t>
  </si>
  <si>
    <t>Year</t>
  </si>
  <si>
    <t>CF of single machine</t>
  </si>
  <si>
    <t>Discount rate for machine cash flows (risk-adjusted)</t>
  </si>
  <si>
    <t>Riskless discount rate</t>
  </si>
  <si>
    <t>Present value of machine's future cash flows</t>
  </si>
  <si>
    <t>NPV of single machine</t>
  </si>
  <si>
    <t>Number of machines bought next year</t>
  </si>
  <si>
    <t>Option value of single machine purchased in one more year</t>
  </si>
  <si>
    <t>NPV of total project</t>
  </si>
  <si>
    <t>Black-Scholes Option Pricing Formula</t>
  </si>
  <si>
    <t>S</t>
  </si>
  <si>
    <t>PV of machine CFs</t>
  </si>
  <si>
    <t>X</t>
  </si>
  <si>
    <t>Exercise price = Machine cost</t>
  </si>
  <si>
    <t>r</t>
  </si>
  <si>
    <t>Risk-free rate of interest</t>
  </si>
  <si>
    <t>T</t>
  </si>
  <si>
    <t>Time to maturity of option (in years)</t>
  </si>
  <si>
    <t>Sigma</t>
  </si>
  <si>
    <t>&lt;-- Volatility</t>
  </si>
  <si>
    <r>
      <t>d</t>
    </r>
    <r>
      <rPr>
        <vertAlign val="subscript"/>
        <sz val="10"/>
        <rFont val="Arial"/>
        <family val="2"/>
      </rPr>
      <t>1</t>
    </r>
  </si>
  <si>
    <t>&lt;-- 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</si>
  <si>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</si>
  <si>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</si>
  <si>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</si>
  <si>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</si>
  <si>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</si>
  <si>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</si>
  <si>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Option value = BS 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</si>
  <si>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</si>
  <si>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Data Table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</si>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</sst>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  <font>
      <i/>
      <sz val="10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2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9" fontId="2" fillId="0" borderId="0" xfId="1" applyNumberFormat="1"/>
    <xf numFmtId="4" fontId="2" fillId="0" borderId="0" xfId="1" applyNumberFormat="1"/>
    <xf numFmtId="2" fontId="2" fillId="0" borderId="0" xfId="1" applyNumberFormat="1"/>
    <xf numFmtId="9" fontId="4" fillId="0" borderId="0" xfId="2" applyFont="1" applyAlignment="1">
      <alignment horizontal="left"/>
    </xf>
    <xf numFmtId="9" fontId="5" fillId="0" borderId="0" xfId="2" applyFont="1" applyAlignment="1">
      <alignment horizontal="centerContinuous"/>
    </xf>
    <xf numFmtId="9" fontId="0" fillId="0" borderId="0" xfId="2" applyFont="1"/>
    <xf numFmtId="2" fontId="0" fillId="0" borderId="0" xfId="2" applyNumberFormat="1" applyFont="1"/>
    <xf numFmtId="9" fontId="0" fillId="0" borderId="0" xfId="2" quotePrefix="1" applyFont="1"/>
    <xf numFmtId="10" fontId="0" fillId="0" borderId="0" xfId="2" applyNumberFormat="1" applyFont="1"/>
    <xf numFmtId="0" fontId="0" fillId="0" borderId="0" xfId="2" applyNumberFormat="1" applyFont="1"/>
    <xf numFmtId="176" fontId="0" fillId="0" borderId="0" xfId="2" quotePrefix="1" applyNumberFormat="1" applyFont="1"/>
    <xf numFmtId="176" fontId="0" fillId="0" borderId="0" xfId="2" applyNumberFormat="1" applyFont="1"/>
    <xf numFmtId="2" fontId="0" fillId="0" borderId="0" xfId="2" quotePrefix="1" applyNumberFormat="1" applyFont="1"/>
    <xf numFmtId="0" fontId="4" fillId="0" borderId="0" xfId="1" applyFont="1" applyAlignment="1">
      <alignment horizontal="center"/>
    </xf>
    <xf numFmtId="0" fontId="7" fillId="0" borderId="0" xfId="1" applyFont="1" applyAlignment="1">
      <alignment horizontal="center"/>
    </xf>
    <xf numFmtId="0" fontId="2" fillId="2" borderId="0" xfId="1" applyFill="1"/>
    <xf numFmtId="4" fontId="2" fillId="2" borderId="0" xfId="1" applyNumberFormat="1" applyFill="1"/>
    <xf numFmtId="9" fontId="0" fillId="2" borderId="0" xfId="2" applyFont="1" applyFill="1"/>
    <xf numFmtId="2" fontId="0" fillId="2" borderId="0" xfId="2" applyNumberFormat="1" applyFont="1" applyFill="1"/>
    <xf numFmtId="2" fontId="2" fillId="2" borderId="0" xfId="1" applyNumberFormat="1" applyFill="1"/>
  </cellXfs>
  <cellStyles count="3">
    <cellStyle name="百分比 2" xfId="2" xr:uid="{E1C97574-9BC5-4885-9944-4BB69C50B6B6}"/>
    <cellStyle name="常规" xfId="0" builtinId="0"/>
    <cellStyle name="常规 2" xfId="1" xr:uid="{FD2AE2D0-5D53-4F73-A987-0F1F24E6D6F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Project Value as Function of Sigma</a:t>
            </a:r>
          </a:p>
        </c:rich>
      </c:tx>
      <c:layout>
        <c:manualLayout>
          <c:xMode val="edge"/>
          <c:yMode val="edge"/>
          <c:x val="0.2553772658973365"/>
          <c:y val="3.3333367241787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09726906067538"/>
          <c:y val="0.10833344353581087"/>
          <c:w val="0.77419634293087269"/>
          <c:h val="0.7541674338454527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650-2'!$B$29:$B$36</c:f>
              <c:numCache>
                <c:formatCode>0%</c:formatCode>
                <c:ptCount val="8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</c:numCache>
            </c:numRef>
          </c:xVal>
          <c:yVal>
            <c:numRef>
              <c:f>'Page 650-2'!$C$29:$C$36</c:f>
              <c:numCache>
                <c:formatCode>#,##0.00</c:formatCode>
                <c:ptCount val="8"/>
                <c:pt idx="0">
                  <c:v>-63.480911574075861</c:v>
                </c:pt>
                <c:pt idx="1">
                  <c:v>97.159315546358528</c:v>
                </c:pt>
                <c:pt idx="2">
                  <c:v>283.0918851110095</c:v>
                </c:pt>
                <c:pt idx="3">
                  <c:v>468.39786947401274</c:v>
                </c:pt>
                <c:pt idx="4">
                  <c:v>652.39421949859604</c:v>
                </c:pt>
                <c:pt idx="5">
                  <c:v>834.58973661337575</c:v>
                </c:pt>
                <c:pt idx="6">
                  <c:v>1014.5370623205393</c:v>
                </c:pt>
                <c:pt idx="7">
                  <c:v>1191.8140996419811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23-4A8B-BFDA-B4CC216A3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906656"/>
        <c:axId val="1"/>
      </c:scatterChart>
      <c:valAx>
        <c:axId val="966906656"/>
        <c:scaling>
          <c:orientation val="minMax"/>
          <c:max val="0.7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Sigma</a:t>
                </a:r>
              </a:p>
            </c:rich>
          </c:tx>
          <c:layout>
            <c:manualLayout>
              <c:xMode val="edge"/>
              <c:yMode val="edge"/>
              <c:x val="0.47311998734664457"/>
              <c:y val="0.8916675737178281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6690665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28</xdr:row>
      <xdr:rowOff>0</xdr:rowOff>
    </xdr:from>
    <xdr:to>
      <xdr:col>9</xdr:col>
      <xdr:colOff>0</xdr:colOff>
      <xdr:row>41</xdr:row>
      <xdr:rowOff>53340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0A3D0EA-B2F9-4EFA-8483-A91B26C70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152400</xdr:colOff>
      <xdr:row>2</xdr:row>
      <xdr:rowOff>47625</xdr:rowOff>
    </xdr:from>
    <xdr:to>
      <xdr:col>26</xdr:col>
      <xdr:colOff>422318</xdr:colOff>
      <xdr:row>49</xdr:row>
      <xdr:rowOff>58297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3D78466B-3659-A3C4-2DD9-D43F3D09C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44075" y="438150"/>
          <a:ext cx="9413918" cy="822312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50-2"/>
      <sheetName val="Page 650-2 中文"/>
      <sheetName val="Page 653-655"/>
      <sheetName val="Page 653-655 中文"/>
      <sheetName val="Page 655 bottom, 656 top"/>
      <sheetName val="Page 655 bottom, 656 top 中文"/>
      <sheetName val="Page 657 bottom, 658 top"/>
      <sheetName val="Page 657 bottom, 658 top 中文"/>
      <sheetName val="Page 659"/>
      <sheetName val="Page 659 中文"/>
      <sheetName val="Page 660"/>
      <sheetName val="Page 660 中文"/>
      <sheetName val="Page 661"/>
      <sheetName val="Page 661 中文"/>
      <sheetName val="Page 663"/>
      <sheetName val="Page 663 中文"/>
      <sheetName val="Page 664"/>
      <sheetName val="Page 664中文"/>
      <sheetName val="Page 666"/>
      <sheetName val="Page 666中文"/>
    </sheetNames>
    <sheetDataSet>
      <sheetData sheetId="0">
        <row r="29">
          <cell r="B29">
            <v>0.01</v>
          </cell>
          <cell r="C29">
            <v>-63.480911574075861</v>
          </cell>
        </row>
        <row r="30">
          <cell r="B30">
            <v>0.1</v>
          </cell>
          <cell r="C30">
            <v>97.159315546358528</v>
          </cell>
        </row>
        <row r="31">
          <cell r="B31">
            <v>0.2</v>
          </cell>
          <cell r="C31">
            <v>283.0918851110095</v>
          </cell>
        </row>
        <row r="32">
          <cell r="B32">
            <v>0.3</v>
          </cell>
          <cell r="C32">
            <v>468.39786947401274</v>
          </cell>
        </row>
        <row r="33">
          <cell r="B33">
            <v>0.4</v>
          </cell>
          <cell r="C33">
            <v>652.39421949859604</v>
          </cell>
        </row>
        <row r="34">
          <cell r="B34">
            <v>0.5</v>
          </cell>
          <cell r="C34">
            <v>834.58973661337575</v>
          </cell>
        </row>
        <row r="35">
          <cell r="B35">
            <v>0.6</v>
          </cell>
          <cell r="C35">
            <v>1014.5370623205393</v>
          </cell>
        </row>
        <row r="36">
          <cell r="B36">
            <v>0.7</v>
          </cell>
          <cell r="C36">
            <v>1191.8140996419811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M23" sqref="M23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3F672-8A41-4043-98A0-6266F19DB29B}">
  <sheetPr codeName="Sheet1"/>
  <dimension ref="A1:G36"/>
  <sheetViews>
    <sheetView tabSelected="1" zoomScale="115" zoomScaleNormal="115" workbookViewId="0">
      <selection activeCell="G47" sqref="G47"/>
    </sheetView>
  </sheetViews>
  <sheetFormatPr defaultRowHeight="13.2" x14ac:dyDescent="0.25"/>
  <cols>
    <col min="1" max="1" width="49.5546875" style="2" customWidth="1"/>
    <col min="2" max="2" width="10.33203125" style="2" bestFit="1" customWidth="1"/>
    <col min="3" max="256" width="8.88671875" style="2"/>
    <col min="257" max="257" width="49.5546875" style="2" customWidth="1"/>
    <col min="258" max="258" width="10.33203125" style="2" bestFit="1" customWidth="1"/>
    <col min="259" max="512" width="8.88671875" style="2"/>
    <col min="513" max="513" width="49.5546875" style="2" customWidth="1"/>
    <col min="514" max="514" width="10.33203125" style="2" bestFit="1" customWidth="1"/>
    <col min="515" max="768" width="8.88671875" style="2"/>
    <col min="769" max="769" width="49.5546875" style="2" customWidth="1"/>
    <col min="770" max="770" width="10.33203125" style="2" bestFit="1" customWidth="1"/>
    <col min="771" max="1024" width="8.88671875" style="2"/>
    <col min="1025" max="1025" width="49.5546875" style="2" customWidth="1"/>
    <col min="1026" max="1026" width="10.33203125" style="2" bestFit="1" customWidth="1"/>
    <col min="1027" max="1280" width="8.88671875" style="2"/>
    <col min="1281" max="1281" width="49.5546875" style="2" customWidth="1"/>
    <col min="1282" max="1282" width="10.33203125" style="2" bestFit="1" customWidth="1"/>
    <col min="1283" max="1536" width="8.88671875" style="2"/>
    <col min="1537" max="1537" width="49.5546875" style="2" customWidth="1"/>
    <col min="1538" max="1538" width="10.33203125" style="2" bestFit="1" customWidth="1"/>
    <col min="1539" max="1792" width="8.88671875" style="2"/>
    <col min="1793" max="1793" width="49.5546875" style="2" customWidth="1"/>
    <col min="1794" max="1794" width="10.33203125" style="2" bestFit="1" customWidth="1"/>
    <col min="1795" max="2048" width="8.88671875" style="2"/>
    <col min="2049" max="2049" width="49.5546875" style="2" customWidth="1"/>
    <col min="2050" max="2050" width="10.33203125" style="2" bestFit="1" customWidth="1"/>
    <col min="2051" max="2304" width="8.88671875" style="2"/>
    <col min="2305" max="2305" width="49.5546875" style="2" customWidth="1"/>
    <col min="2306" max="2306" width="10.33203125" style="2" bestFit="1" customWidth="1"/>
    <col min="2307" max="2560" width="8.88671875" style="2"/>
    <col min="2561" max="2561" width="49.5546875" style="2" customWidth="1"/>
    <col min="2562" max="2562" width="10.33203125" style="2" bestFit="1" customWidth="1"/>
    <col min="2563" max="2816" width="8.88671875" style="2"/>
    <col min="2817" max="2817" width="49.5546875" style="2" customWidth="1"/>
    <col min="2818" max="2818" width="10.33203125" style="2" bestFit="1" customWidth="1"/>
    <col min="2819" max="3072" width="8.88671875" style="2"/>
    <col min="3073" max="3073" width="49.5546875" style="2" customWidth="1"/>
    <col min="3074" max="3074" width="10.33203125" style="2" bestFit="1" customWidth="1"/>
    <col min="3075" max="3328" width="8.88671875" style="2"/>
    <col min="3329" max="3329" width="49.5546875" style="2" customWidth="1"/>
    <col min="3330" max="3330" width="10.33203125" style="2" bestFit="1" customWidth="1"/>
    <col min="3331" max="3584" width="8.88671875" style="2"/>
    <col min="3585" max="3585" width="49.5546875" style="2" customWidth="1"/>
    <col min="3586" max="3586" width="10.33203125" style="2" bestFit="1" customWidth="1"/>
    <col min="3587" max="3840" width="8.88671875" style="2"/>
    <col min="3841" max="3841" width="49.5546875" style="2" customWidth="1"/>
    <col min="3842" max="3842" width="10.33203125" style="2" bestFit="1" customWidth="1"/>
    <col min="3843" max="4096" width="8.88671875" style="2"/>
    <col min="4097" max="4097" width="49.5546875" style="2" customWidth="1"/>
    <col min="4098" max="4098" width="10.33203125" style="2" bestFit="1" customWidth="1"/>
    <col min="4099" max="4352" width="8.88671875" style="2"/>
    <col min="4353" max="4353" width="49.5546875" style="2" customWidth="1"/>
    <col min="4354" max="4354" width="10.33203125" style="2" bestFit="1" customWidth="1"/>
    <col min="4355" max="4608" width="8.88671875" style="2"/>
    <col min="4609" max="4609" width="49.5546875" style="2" customWidth="1"/>
    <col min="4610" max="4610" width="10.33203125" style="2" bestFit="1" customWidth="1"/>
    <col min="4611" max="4864" width="8.88671875" style="2"/>
    <col min="4865" max="4865" width="49.5546875" style="2" customWidth="1"/>
    <col min="4866" max="4866" width="10.33203125" style="2" bestFit="1" customWidth="1"/>
    <col min="4867" max="5120" width="8.88671875" style="2"/>
    <col min="5121" max="5121" width="49.5546875" style="2" customWidth="1"/>
    <col min="5122" max="5122" width="10.33203125" style="2" bestFit="1" customWidth="1"/>
    <col min="5123" max="5376" width="8.88671875" style="2"/>
    <col min="5377" max="5377" width="49.5546875" style="2" customWidth="1"/>
    <col min="5378" max="5378" width="10.33203125" style="2" bestFit="1" customWidth="1"/>
    <col min="5379" max="5632" width="8.88671875" style="2"/>
    <col min="5633" max="5633" width="49.5546875" style="2" customWidth="1"/>
    <col min="5634" max="5634" width="10.33203125" style="2" bestFit="1" customWidth="1"/>
    <col min="5635" max="5888" width="8.88671875" style="2"/>
    <col min="5889" max="5889" width="49.5546875" style="2" customWidth="1"/>
    <col min="5890" max="5890" width="10.33203125" style="2" bestFit="1" customWidth="1"/>
    <col min="5891" max="6144" width="8.88671875" style="2"/>
    <col min="6145" max="6145" width="49.5546875" style="2" customWidth="1"/>
    <col min="6146" max="6146" width="10.33203125" style="2" bestFit="1" customWidth="1"/>
    <col min="6147" max="6400" width="8.88671875" style="2"/>
    <col min="6401" max="6401" width="49.5546875" style="2" customWidth="1"/>
    <col min="6402" max="6402" width="10.33203125" style="2" bestFit="1" customWidth="1"/>
    <col min="6403" max="6656" width="8.88671875" style="2"/>
    <col min="6657" max="6657" width="49.5546875" style="2" customWidth="1"/>
    <col min="6658" max="6658" width="10.33203125" style="2" bestFit="1" customWidth="1"/>
    <col min="6659" max="6912" width="8.88671875" style="2"/>
    <col min="6913" max="6913" width="49.5546875" style="2" customWidth="1"/>
    <col min="6914" max="6914" width="10.33203125" style="2" bestFit="1" customWidth="1"/>
    <col min="6915" max="7168" width="8.88671875" style="2"/>
    <col min="7169" max="7169" width="49.5546875" style="2" customWidth="1"/>
    <col min="7170" max="7170" width="10.33203125" style="2" bestFit="1" customWidth="1"/>
    <col min="7171" max="7424" width="8.88671875" style="2"/>
    <col min="7425" max="7425" width="49.5546875" style="2" customWidth="1"/>
    <col min="7426" max="7426" width="10.33203125" style="2" bestFit="1" customWidth="1"/>
    <col min="7427" max="7680" width="8.88671875" style="2"/>
    <col min="7681" max="7681" width="49.5546875" style="2" customWidth="1"/>
    <col min="7682" max="7682" width="10.33203125" style="2" bestFit="1" customWidth="1"/>
    <col min="7683" max="7936" width="8.88671875" style="2"/>
    <col min="7937" max="7937" width="49.5546875" style="2" customWidth="1"/>
    <col min="7938" max="7938" width="10.33203125" style="2" bestFit="1" customWidth="1"/>
    <col min="7939" max="8192" width="8.88671875" style="2"/>
    <col min="8193" max="8193" width="49.5546875" style="2" customWidth="1"/>
    <col min="8194" max="8194" width="10.33203125" style="2" bestFit="1" customWidth="1"/>
    <col min="8195" max="8448" width="8.88671875" style="2"/>
    <col min="8449" max="8449" width="49.5546875" style="2" customWidth="1"/>
    <col min="8450" max="8450" width="10.33203125" style="2" bestFit="1" customWidth="1"/>
    <col min="8451" max="8704" width="8.88671875" style="2"/>
    <col min="8705" max="8705" width="49.5546875" style="2" customWidth="1"/>
    <col min="8706" max="8706" width="10.33203125" style="2" bestFit="1" customWidth="1"/>
    <col min="8707" max="8960" width="8.88671875" style="2"/>
    <col min="8961" max="8961" width="49.5546875" style="2" customWidth="1"/>
    <col min="8962" max="8962" width="10.33203125" style="2" bestFit="1" customWidth="1"/>
    <col min="8963" max="9216" width="8.88671875" style="2"/>
    <col min="9217" max="9217" width="49.5546875" style="2" customWidth="1"/>
    <col min="9218" max="9218" width="10.33203125" style="2" bestFit="1" customWidth="1"/>
    <col min="9219" max="9472" width="8.88671875" style="2"/>
    <col min="9473" max="9473" width="49.5546875" style="2" customWidth="1"/>
    <col min="9474" max="9474" width="10.33203125" style="2" bestFit="1" customWidth="1"/>
    <col min="9475" max="9728" width="8.88671875" style="2"/>
    <col min="9729" max="9729" width="49.5546875" style="2" customWidth="1"/>
    <col min="9730" max="9730" width="10.33203125" style="2" bestFit="1" customWidth="1"/>
    <col min="9731" max="9984" width="8.88671875" style="2"/>
    <col min="9985" max="9985" width="49.5546875" style="2" customWidth="1"/>
    <col min="9986" max="9986" width="10.33203125" style="2" bestFit="1" customWidth="1"/>
    <col min="9987" max="10240" width="8.88671875" style="2"/>
    <col min="10241" max="10241" width="49.5546875" style="2" customWidth="1"/>
    <col min="10242" max="10242" width="10.33203125" style="2" bestFit="1" customWidth="1"/>
    <col min="10243" max="10496" width="8.88671875" style="2"/>
    <col min="10497" max="10497" width="49.5546875" style="2" customWidth="1"/>
    <col min="10498" max="10498" width="10.33203125" style="2" bestFit="1" customWidth="1"/>
    <col min="10499" max="10752" width="8.88671875" style="2"/>
    <col min="10753" max="10753" width="49.5546875" style="2" customWidth="1"/>
    <col min="10754" max="10754" width="10.33203125" style="2" bestFit="1" customWidth="1"/>
    <col min="10755" max="11008" width="8.88671875" style="2"/>
    <col min="11009" max="11009" width="49.5546875" style="2" customWidth="1"/>
    <col min="11010" max="11010" width="10.33203125" style="2" bestFit="1" customWidth="1"/>
    <col min="11011" max="11264" width="8.88671875" style="2"/>
    <col min="11265" max="11265" width="49.5546875" style="2" customWidth="1"/>
    <col min="11266" max="11266" width="10.33203125" style="2" bestFit="1" customWidth="1"/>
    <col min="11267" max="11520" width="8.88671875" style="2"/>
    <col min="11521" max="11521" width="49.5546875" style="2" customWidth="1"/>
    <col min="11522" max="11522" width="10.33203125" style="2" bestFit="1" customWidth="1"/>
    <col min="11523" max="11776" width="8.88671875" style="2"/>
    <col min="11777" max="11777" width="49.5546875" style="2" customWidth="1"/>
    <col min="11778" max="11778" width="10.33203125" style="2" bestFit="1" customWidth="1"/>
    <col min="11779" max="12032" width="8.88671875" style="2"/>
    <col min="12033" max="12033" width="49.5546875" style="2" customWidth="1"/>
    <col min="12034" max="12034" width="10.33203125" style="2" bestFit="1" customWidth="1"/>
    <col min="12035" max="12288" width="8.88671875" style="2"/>
    <col min="12289" max="12289" width="49.5546875" style="2" customWidth="1"/>
    <col min="12290" max="12290" width="10.33203125" style="2" bestFit="1" customWidth="1"/>
    <col min="12291" max="12544" width="8.88671875" style="2"/>
    <col min="12545" max="12545" width="49.5546875" style="2" customWidth="1"/>
    <col min="12546" max="12546" width="10.33203125" style="2" bestFit="1" customWidth="1"/>
    <col min="12547" max="12800" width="8.88671875" style="2"/>
    <col min="12801" max="12801" width="49.5546875" style="2" customWidth="1"/>
    <col min="12802" max="12802" width="10.33203125" style="2" bestFit="1" customWidth="1"/>
    <col min="12803" max="13056" width="8.88671875" style="2"/>
    <col min="13057" max="13057" width="49.5546875" style="2" customWidth="1"/>
    <col min="13058" max="13058" width="10.33203125" style="2" bestFit="1" customWidth="1"/>
    <col min="13059" max="13312" width="8.88671875" style="2"/>
    <col min="13313" max="13313" width="49.5546875" style="2" customWidth="1"/>
    <col min="13314" max="13314" width="10.33203125" style="2" bestFit="1" customWidth="1"/>
    <col min="13315" max="13568" width="8.88671875" style="2"/>
    <col min="13569" max="13569" width="49.5546875" style="2" customWidth="1"/>
    <col min="13570" max="13570" width="10.33203125" style="2" bestFit="1" customWidth="1"/>
    <col min="13571" max="13824" width="8.88671875" style="2"/>
    <col min="13825" max="13825" width="49.5546875" style="2" customWidth="1"/>
    <col min="13826" max="13826" width="10.33203125" style="2" bestFit="1" customWidth="1"/>
    <col min="13827" max="14080" width="8.88671875" style="2"/>
    <col min="14081" max="14081" width="49.5546875" style="2" customWidth="1"/>
    <col min="14082" max="14082" width="10.33203125" style="2" bestFit="1" customWidth="1"/>
    <col min="14083" max="14336" width="8.88671875" style="2"/>
    <col min="14337" max="14337" width="49.5546875" style="2" customWidth="1"/>
    <col min="14338" max="14338" width="10.33203125" style="2" bestFit="1" customWidth="1"/>
    <col min="14339" max="14592" width="8.88671875" style="2"/>
    <col min="14593" max="14593" width="49.5546875" style="2" customWidth="1"/>
    <col min="14594" max="14594" width="10.33203125" style="2" bestFit="1" customWidth="1"/>
    <col min="14595" max="14848" width="8.88671875" style="2"/>
    <col min="14849" max="14849" width="49.5546875" style="2" customWidth="1"/>
    <col min="14850" max="14850" width="10.33203125" style="2" bestFit="1" customWidth="1"/>
    <col min="14851" max="15104" width="8.88671875" style="2"/>
    <col min="15105" max="15105" width="49.5546875" style="2" customWidth="1"/>
    <col min="15106" max="15106" width="10.33203125" style="2" bestFit="1" customWidth="1"/>
    <col min="15107" max="15360" width="8.88671875" style="2"/>
    <col min="15361" max="15361" width="49.5546875" style="2" customWidth="1"/>
    <col min="15362" max="15362" width="10.33203125" style="2" bestFit="1" customWidth="1"/>
    <col min="15363" max="15616" width="8.88671875" style="2"/>
    <col min="15617" max="15617" width="49.5546875" style="2" customWidth="1"/>
    <col min="15618" max="15618" width="10.33203125" style="2" bestFit="1" customWidth="1"/>
    <col min="15619" max="15872" width="8.88671875" style="2"/>
    <col min="15873" max="15873" width="49.5546875" style="2" customWidth="1"/>
    <col min="15874" max="15874" width="10.33203125" style="2" bestFit="1" customWidth="1"/>
    <col min="15875" max="16128" width="8.88671875" style="2"/>
    <col min="16129" max="16129" width="49.5546875" style="2" customWidth="1"/>
    <col min="16130" max="16130" width="10.33203125" style="2" bestFit="1" customWidth="1"/>
    <col min="16131" max="16384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7" x14ac:dyDescent="0.25">
      <c r="A2" s="2" t="s">
        <v>1</v>
      </c>
      <c r="B2" s="3">
        <v>0</v>
      </c>
      <c r="C2" s="3">
        <v>1</v>
      </c>
      <c r="D2" s="3">
        <v>2</v>
      </c>
      <c r="E2" s="3">
        <v>3</v>
      </c>
      <c r="F2" s="3">
        <v>4</v>
      </c>
      <c r="G2" s="3">
        <v>5</v>
      </c>
    </row>
    <row r="3" spans="1:7" x14ac:dyDescent="0.25">
      <c r="A3" s="2" t="s">
        <v>2</v>
      </c>
      <c r="B3" s="2">
        <v>-1000</v>
      </c>
      <c r="C3" s="2">
        <v>220</v>
      </c>
      <c r="D3" s="2">
        <v>300</v>
      </c>
      <c r="E3" s="2">
        <v>400</v>
      </c>
      <c r="F3" s="2">
        <v>200</v>
      </c>
      <c r="G3" s="2">
        <v>150</v>
      </c>
    </row>
    <row r="5" spans="1:7" x14ac:dyDescent="0.25">
      <c r="A5" s="2" t="s">
        <v>3</v>
      </c>
      <c r="B5" s="4">
        <v>0.12</v>
      </c>
    </row>
    <row r="6" spans="1:7" x14ac:dyDescent="0.25">
      <c r="A6" s="2" t="s">
        <v>4</v>
      </c>
      <c r="B6" s="4">
        <v>0.06</v>
      </c>
    </row>
    <row r="7" spans="1:7" x14ac:dyDescent="0.25">
      <c r="A7" s="2" t="s">
        <v>5</v>
      </c>
      <c r="B7" s="5">
        <f>NPV(B5,C3:G3)</f>
        <v>932.51647785799798</v>
      </c>
      <c r="C7" s="2" t="str">
        <f ca="1">_xlfn.FORMULATEXT(B7)</f>
        <v>=NPV(B5,C3:G3)</v>
      </c>
      <c r="E7" s="2" t="str">
        <f ca="1">_xlfn.FORMULATEXT(B7)</f>
        <v>=NPV(B5,C3:G3)</v>
      </c>
    </row>
    <row r="8" spans="1:7" x14ac:dyDescent="0.25">
      <c r="A8" s="19" t="s">
        <v>6</v>
      </c>
      <c r="B8" s="20">
        <f>B7+B3</f>
        <v>-67.483522142002016</v>
      </c>
      <c r="C8" s="2" t="str">
        <f ca="1">_xlfn.FORMULATEXT(B8)</f>
        <v>=B7+B3</v>
      </c>
    </row>
    <row r="10" spans="1:7" x14ac:dyDescent="0.25">
      <c r="A10" s="2" t="s">
        <v>7</v>
      </c>
      <c r="B10" s="2">
        <v>5</v>
      </c>
    </row>
    <row r="11" spans="1:7" x14ac:dyDescent="0.25">
      <c r="A11" s="2" t="s">
        <v>8</v>
      </c>
      <c r="B11" s="6">
        <f>B24</f>
        <v>143.9755483281196</v>
      </c>
      <c r="C11" s="2" t="str">
        <f ca="1">_xlfn.FORMULATEXT(B11)</f>
        <v>=B24</v>
      </c>
    </row>
    <row r="12" spans="1:7" x14ac:dyDescent="0.25">
      <c r="A12" s="19" t="s">
        <v>9</v>
      </c>
      <c r="B12" s="23">
        <f>B8+B10*B11</f>
        <v>652.39421949859604</v>
      </c>
      <c r="C12" s="2" t="str">
        <f ca="1">_xlfn.FORMULATEXT(B12)</f>
        <v>=B8+B10*B11</v>
      </c>
    </row>
    <row r="14" spans="1:7" ht="15" x14ac:dyDescent="0.25">
      <c r="A14" s="7" t="s">
        <v>10</v>
      </c>
      <c r="B14" s="8"/>
      <c r="C14" s="8"/>
      <c r="D14" s="8"/>
      <c r="E14" s="8"/>
      <c r="F14" s="8"/>
      <c r="G14" s="8"/>
    </row>
    <row r="15" spans="1:7" ht="13.8" x14ac:dyDescent="0.25">
      <c r="A15" s="9" t="s">
        <v>11</v>
      </c>
      <c r="B15" s="10">
        <f>NPV(B5,C3:G3)</f>
        <v>932.51647785799798</v>
      </c>
      <c r="C15" s="9" t="s">
        <v>12</v>
      </c>
      <c r="D15" s="9"/>
      <c r="E15" s="9"/>
      <c r="F15" s="9"/>
      <c r="G15" s="9"/>
    </row>
    <row r="16" spans="1:7" ht="13.8" x14ac:dyDescent="0.25">
      <c r="A16" s="9" t="s">
        <v>13</v>
      </c>
      <c r="B16" s="10">
        <f>-B3</f>
        <v>1000</v>
      </c>
      <c r="C16" s="9" t="s">
        <v>14</v>
      </c>
      <c r="D16" s="11"/>
      <c r="E16" s="9"/>
      <c r="F16" s="9"/>
      <c r="G16" s="9"/>
    </row>
    <row r="17" spans="1:7" ht="13.8" x14ac:dyDescent="0.25">
      <c r="A17" s="9" t="s">
        <v>15</v>
      </c>
      <c r="B17" s="12">
        <f>B6</f>
        <v>0.06</v>
      </c>
      <c r="C17" s="9" t="s">
        <v>16</v>
      </c>
      <c r="D17" s="9"/>
      <c r="E17" s="9"/>
      <c r="F17" s="9"/>
      <c r="G17" s="9"/>
    </row>
    <row r="18" spans="1:7" ht="13.8" x14ac:dyDescent="0.25">
      <c r="A18" s="9" t="s">
        <v>17</v>
      </c>
      <c r="B18" s="13">
        <v>1</v>
      </c>
      <c r="C18" s="9" t="s">
        <v>18</v>
      </c>
      <c r="D18" s="9"/>
      <c r="E18" s="9"/>
      <c r="F18" s="9"/>
      <c r="G18" s="9"/>
    </row>
    <row r="19" spans="1:7" ht="13.8" x14ac:dyDescent="0.25">
      <c r="A19" s="21" t="s">
        <v>19</v>
      </c>
      <c r="B19" s="21">
        <v>0.4</v>
      </c>
      <c r="C19" s="9" t="s">
        <v>20</v>
      </c>
      <c r="D19" s="9"/>
      <c r="E19" s="9"/>
      <c r="F19" s="9"/>
      <c r="G19" s="9"/>
    </row>
    <row r="20" spans="1:7" ht="15.6" x14ac:dyDescent="0.35">
      <c r="A20" s="9" t="s">
        <v>21</v>
      </c>
      <c r="B20" s="14">
        <f>(LN(B15/B16)+(B17+0.5*B19^2)*B18)/(B19*SQRT(B18))</f>
        <v>0.17532885751227198</v>
      </c>
      <c r="C20" s="9" t="s">
        <v>22</v>
      </c>
      <c r="D20" s="9"/>
      <c r="E20" s="9"/>
      <c r="F20" s="9"/>
      <c r="G20" s="9"/>
    </row>
    <row r="21" spans="1:7" ht="15.6" x14ac:dyDescent="0.35">
      <c r="A21" s="9" t="s">
        <v>23</v>
      </c>
      <c r="B21" s="14">
        <f>B20-SQRT(B18)*B19</f>
        <v>-0.22467114248772804</v>
      </c>
      <c r="C21" s="9" t="s">
        <v>24</v>
      </c>
      <c r="D21" s="9"/>
      <c r="E21" s="9"/>
      <c r="F21" s="9"/>
      <c r="G21" s="9"/>
    </row>
    <row r="22" spans="1:7" ht="15.6" x14ac:dyDescent="0.35">
      <c r="A22" s="9" t="s">
        <v>25</v>
      </c>
      <c r="B22" s="15">
        <f>NORMSDIST(B20)</f>
        <v>0.56958938103016599</v>
      </c>
      <c r="C22" s="9" t="s">
        <v>26</v>
      </c>
      <c r="D22" s="9"/>
      <c r="E22" s="9"/>
      <c r="F22" s="9"/>
      <c r="G22" s="9"/>
    </row>
    <row r="23" spans="1:7" ht="15.6" x14ac:dyDescent="0.35">
      <c r="A23" s="9" t="s">
        <v>27</v>
      </c>
      <c r="B23" s="15">
        <f>NORMSDIST(B21)</f>
        <v>0.41111755782722076</v>
      </c>
      <c r="C23" s="9" t="s">
        <v>28</v>
      </c>
      <c r="D23" s="9"/>
      <c r="E23" s="9"/>
      <c r="F23" s="9"/>
      <c r="G23" s="9"/>
    </row>
    <row r="24" spans="1:7" ht="15.6" x14ac:dyDescent="0.35">
      <c r="A24" s="21" t="s">
        <v>29</v>
      </c>
      <c r="B24" s="22">
        <f>B15*B22-B16*EXP(-B17*B18)*B23</f>
        <v>143.9755483281196</v>
      </c>
      <c r="C24" s="9" t="s">
        <v>30</v>
      </c>
      <c r="D24" s="9"/>
      <c r="E24" s="9"/>
      <c r="F24" s="9"/>
      <c r="G24" s="9"/>
    </row>
    <row r="25" spans="1:7" ht="13.8" x14ac:dyDescent="0.25">
      <c r="A25" s="9"/>
      <c r="B25" s="16">
        <f>[2]!BSCall(B15,B16,B18,B17,B19)</f>
        <v>143.9755483281196</v>
      </c>
      <c r="C25" s="9" t="str">
        <f ca="1">_xlfn.FORMULATEXT(B25)</f>
        <v>=BSCall(B15,B16,B18,B17,B19)</v>
      </c>
      <c r="D25" s="9"/>
      <c r="E25" s="9"/>
      <c r="F25" s="9"/>
      <c r="G25" s="9"/>
    </row>
    <row r="26" spans="1:7" ht="13.8" x14ac:dyDescent="0.25">
      <c r="A26" s="9"/>
      <c r="B26" s="10"/>
      <c r="C26" s="9"/>
      <c r="D26" s="9"/>
      <c r="E26" s="9"/>
      <c r="F26" s="9"/>
      <c r="G26" s="9"/>
    </row>
    <row r="27" spans="1:7" x14ac:dyDescent="0.25">
      <c r="B27" s="17" t="s">
        <v>31</v>
      </c>
      <c r="C27" s="17"/>
    </row>
    <row r="28" spans="1:7" x14ac:dyDescent="0.25">
      <c r="B28" s="18" t="s">
        <v>32</v>
      </c>
      <c r="C28" s="6">
        <f>B12</f>
        <v>652.39421949859604</v>
      </c>
      <c r="D28" s="2" t="str">
        <f ca="1">_xlfn.FORMULATEXT(C28)&amp;" , data table header"</f>
        <v>=B12 , data table header</v>
      </c>
    </row>
    <row r="29" spans="1:7" x14ac:dyDescent="0.25">
      <c r="B29" s="4">
        <v>0.01</v>
      </c>
      <c r="C29" s="5">
        <f t="dataTable" ref="C29:C36" dt2D="0" dtr="0" r1="B19"/>
        <v>-63.480911574075861</v>
      </c>
    </row>
    <row r="30" spans="1:7" x14ac:dyDescent="0.25">
      <c r="B30" s="4">
        <v>0.1</v>
      </c>
      <c r="C30" s="5">
        <v>97.159315546358528</v>
      </c>
    </row>
    <row r="31" spans="1:7" x14ac:dyDescent="0.25">
      <c r="B31" s="4">
        <v>0.2</v>
      </c>
      <c r="C31" s="5">
        <v>283.0918851110095</v>
      </c>
    </row>
    <row r="32" spans="1:7" x14ac:dyDescent="0.25">
      <c r="B32" s="4">
        <v>0.3</v>
      </c>
      <c r="C32" s="5">
        <v>468.39786947401274</v>
      </c>
    </row>
    <row r="33" spans="2:3" x14ac:dyDescent="0.25">
      <c r="B33" s="4">
        <v>0.4</v>
      </c>
      <c r="C33" s="5">
        <v>652.39421949859604</v>
      </c>
    </row>
    <row r="34" spans="2:3" x14ac:dyDescent="0.25">
      <c r="B34" s="4">
        <v>0.5</v>
      </c>
      <c r="C34" s="5">
        <v>834.58973661337575</v>
      </c>
    </row>
    <row r="35" spans="2:3" x14ac:dyDescent="0.25">
      <c r="B35" s="4">
        <v>0.6</v>
      </c>
      <c r="C35" s="5">
        <v>1014.5370623205393</v>
      </c>
    </row>
    <row r="36" spans="2:3" x14ac:dyDescent="0.25">
      <c r="B36" s="4">
        <v>0.7</v>
      </c>
      <c r="C36" s="5">
        <v>1191.8140996419811</v>
      </c>
    </row>
  </sheetData>
  <mergeCells count="2">
    <mergeCell ref="A1:G1"/>
    <mergeCell ref="B27:C27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650-2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2024-12-12T07:20:06Z</dcterms:modified>
</cp:coreProperties>
</file>