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4\"/>
    </mc:Choice>
  </mc:AlternateContent>
  <xr:revisionPtr revIDLastSave="0" documentId="13_ncr:1_{CB7BB840-FAAE-4C3A-AD41-E66518589637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653-655" sheetId="2" r:id="rId2"/>
  </sheets>
  <externalReferences>
    <externalReference r:id="rId3"/>
  </externalReferences>
  <definedNames>
    <definedName name="Down">#REF!</definedName>
    <definedName name="init">#REF!</definedName>
    <definedName name="qd">#REF!</definedName>
    <definedName name="qu">#REF!</definedName>
    <definedName name="rf">#REF!</definedName>
    <definedName name="rp">#REF!</definedName>
    <definedName name="Up">#REF!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9" i="2" l="1"/>
  <c r="A26" i="2"/>
  <c r="E18" i="2"/>
  <c r="B9" i="2"/>
  <c r="E3" i="2" s="1"/>
  <c r="B8" i="2"/>
  <c r="E4" i="2" s="1"/>
  <c r="L45" i="2"/>
  <c r="L38" i="2"/>
  <c r="L36" i="2"/>
  <c r="D31" i="2"/>
  <c r="F29" i="2"/>
  <c r="F27" i="2"/>
  <c r="F25" i="2"/>
  <c r="F23" i="2"/>
  <c r="L20" i="2"/>
  <c r="C8" i="2"/>
  <c r="L18" i="2"/>
  <c r="L16" i="2"/>
  <c r="L14" i="2"/>
  <c r="C9" i="2"/>
  <c r="F4" i="2"/>
  <c r="F3" i="2"/>
  <c r="K20" i="2" l="1"/>
  <c r="I19" i="2"/>
  <c r="I15" i="2"/>
  <c r="K14" i="2"/>
  <c r="K18" i="2"/>
  <c r="K40" i="2" s="1"/>
  <c r="K16" i="2"/>
  <c r="I41" i="2" l="1"/>
  <c r="C28" i="2"/>
  <c r="C24" i="2"/>
  <c r="I37" i="2"/>
  <c r="E25" i="2"/>
  <c r="K38" i="2"/>
  <c r="E23" i="2"/>
  <c r="K36" i="2"/>
  <c r="K45" i="2" s="1"/>
  <c r="K42" i="2"/>
  <c r="E29" i="2"/>
  <c r="E27" i="2"/>
  <c r="C31" i="2" l="1"/>
</calcChain>
</file>

<file path=xl/sharedStrings.xml><?xml version="1.0" encoding="utf-8"?>
<sst xmlns="http://schemas.openxmlformats.org/spreadsheetml/2006/main" count="18" uniqueCount="17">
  <si>
    <t>PRICING AN ABANDONMENT OPTION</t>
  </si>
  <si>
    <t>Market data</t>
  </si>
  <si>
    <t>State prices</t>
  </si>
  <si>
    <t>Expected market return</t>
  </si>
  <si>
    <r>
      <t>q</t>
    </r>
    <r>
      <rPr>
        <vertAlign val="subscript"/>
        <sz val="10"/>
        <rFont val="Arial"/>
        <family val="2"/>
      </rPr>
      <t>U</t>
    </r>
  </si>
  <si>
    <t>Sigma of market return</t>
  </si>
  <si>
    <r>
      <t>q</t>
    </r>
    <r>
      <rPr>
        <vertAlign val="subscript"/>
        <sz val="10"/>
        <rFont val="Arial"/>
        <family val="2"/>
      </rPr>
      <t>D</t>
    </r>
  </si>
  <si>
    <t>Risk-free rate</t>
  </si>
  <si>
    <t>One-period "up" and "down" of market</t>
  </si>
  <si>
    <t>Up</t>
  </si>
  <si>
    <t>Down</t>
  </si>
  <si>
    <t>Project cash flows</t>
  </si>
  <si>
    <t>State-dependent present value factors</t>
  </si>
  <si>
    <t>State-by-state present value</t>
  </si>
  <si>
    <t>Net present value</t>
  </si>
  <si>
    <t>Cash flows with abandonment</t>
  </si>
  <si>
    <t>Present value with abandonment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</si>
</sst>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1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/>
    <xf numFmtId="9" fontId="2" fillId="0" borderId="0" xfId="1" applyNumberFormat="1"/>
    <xf numFmtId="176" fontId="2" fillId="0" borderId="0" xfId="1" quotePrefix="1" applyNumberFormat="1"/>
    <xf numFmtId="0" fontId="2" fillId="0" borderId="0" xfId="1" applyAlignment="1">
      <alignment horizontal="center"/>
    </xf>
    <xf numFmtId="176" fontId="2" fillId="0" borderId="0" xfId="1" applyNumberFormat="1" applyAlignment="1">
      <alignment horizontal="center"/>
    </xf>
    <xf numFmtId="0" fontId="4" fillId="2" borderId="0" xfId="1" applyFont="1" applyFill="1"/>
    <xf numFmtId="0" fontId="2" fillId="2" borderId="0" xfId="1" applyFill="1"/>
    <xf numFmtId="2" fontId="2" fillId="2" borderId="0" xfId="1" applyNumberFormat="1" applyFill="1"/>
  </cellXfs>
  <cellStyles count="2">
    <cellStyle name="常规" xfId="0" builtinId="0"/>
    <cellStyle name="常规 2" xfId="1" xr:uid="{20189011-C9F5-4E47-AEF6-EB5CEE3EFAA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53340</xdr:rowOff>
    </xdr:from>
    <xdr:to>
      <xdr:col>2</xdr:col>
      <xdr:colOff>0</xdr:colOff>
      <xdr:row>16</xdr:row>
      <xdr:rowOff>60960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D6FC536-19A1-4DC8-B25C-4D15E3A1C7CD}"/>
            </a:ext>
          </a:extLst>
        </xdr:cNvPr>
        <xdr:cNvSpPr>
          <a:spLocks noChangeShapeType="1"/>
        </xdr:cNvSpPr>
      </xdr:nvSpPr>
      <xdr:spPr bwMode="auto">
        <a:xfrm flipV="1">
          <a:off x="1819275" y="2562225"/>
          <a:ext cx="60960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16</xdr:row>
      <xdr:rowOff>60960</xdr:rowOff>
    </xdr:from>
    <xdr:to>
      <xdr:col>1</xdr:col>
      <xdr:colOff>480060</xdr:colOff>
      <xdr:row>18</xdr:row>
      <xdr:rowOff>53340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9C61793B-8716-4B66-824D-B9D198033720}"/>
            </a:ext>
          </a:extLst>
        </xdr:cNvPr>
        <xdr:cNvSpPr>
          <a:spLocks noChangeShapeType="1"/>
        </xdr:cNvSpPr>
      </xdr:nvSpPr>
      <xdr:spPr bwMode="auto">
        <a:xfrm>
          <a:off x="1819275" y="2905125"/>
          <a:ext cx="47625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14</xdr:row>
      <xdr:rowOff>76200</xdr:rowOff>
    </xdr:from>
    <xdr:to>
      <xdr:col>4</xdr:col>
      <xdr:colOff>7620</xdr:colOff>
      <xdr:row>15</xdr:row>
      <xdr:rowOff>91440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DDB4E9D3-98A8-4EA8-B37D-066226E43C0E}"/>
            </a:ext>
          </a:extLst>
        </xdr:cNvPr>
        <xdr:cNvSpPr>
          <a:spLocks noChangeShapeType="1"/>
        </xdr:cNvSpPr>
      </xdr:nvSpPr>
      <xdr:spPr bwMode="auto">
        <a:xfrm>
          <a:off x="3038475" y="2581275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13</xdr:row>
      <xdr:rowOff>60960</xdr:rowOff>
    </xdr:from>
    <xdr:to>
      <xdr:col>4</xdr:col>
      <xdr:colOff>15240</xdr:colOff>
      <xdr:row>14</xdr:row>
      <xdr:rowOff>68580</xdr:rowOff>
    </xdr:to>
    <xdr:sp macro="" textlink="">
      <xdr:nvSpPr>
        <xdr:cNvPr id="5" name="Line 6">
          <a:extLst>
            <a:ext uri="{FF2B5EF4-FFF2-40B4-BE49-F238E27FC236}">
              <a16:creationId xmlns:a16="http://schemas.microsoft.com/office/drawing/2014/main" id="{08225D5E-3167-402A-B398-2379C6D0E797}"/>
            </a:ext>
          </a:extLst>
        </xdr:cNvPr>
        <xdr:cNvSpPr>
          <a:spLocks noChangeShapeType="1"/>
        </xdr:cNvSpPr>
      </xdr:nvSpPr>
      <xdr:spPr bwMode="auto">
        <a:xfrm flipV="1">
          <a:off x="3048000" y="2390775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18</xdr:row>
      <xdr:rowOff>76200</xdr:rowOff>
    </xdr:from>
    <xdr:to>
      <xdr:col>4</xdr:col>
      <xdr:colOff>7620</xdr:colOff>
      <xdr:row>19</xdr:row>
      <xdr:rowOff>91440</xdr:rowOff>
    </xdr:to>
    <xdr:sp macro="" textlink="">
      <xdr:nvSpPr>
        <xdr:cNvPr id="6" name="Line 8">
          <a:extLst>
            <a:ext uri="{FF2B5EF4-FFF2-40B4-BE49-F238E27FC236}">
              <a16:creationId xmlns:a16="http://schemas.microsoft.com/office/drawing/2014/main" id="{ABEBA273-8F4F-4A1F-8425-BADDD92CBF14}"/>
            </a:ext>
          </a:extLst>
        </xdr:cNvPr>
        <xdr:cNvSpPr>
          <a:spLocks noChangeShapeType="1"/>
        </xdr:cNvSpPr>
      </xdr:nvSpPr>
      <xdr:spPr bwMode="auto">
        <a:xfrm>
          <a:off x="3038475" y="3267075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17</xdr:row>
      <xdr:rowOff>60960</xdr:rowOff>
    </xdr:from>
    <xdr:to>
      <xdr:col>4</xdr:col>
      <xdr:colOff>15240</xdr:colOff>
      <xdr:row>18</xdr:row>
      <xdr:rowOff>68580</xdr:rowOff>
    </xdr:to>
    <xdr:sp macro="" textlink="">
      <xdr:nvSpPr>
        <xdr:cNvPr id="7" name="Line 9">
          <a:extLst>
            <a:ext uri="{FF2B5EF4-FFF2-40B4-BE49-F238E27FC236}">
              <a16:creationId xmlns:a16="http://schemas.microsoft.com/office/drawing/2014/main" id="{CEDD87FB-BBE1-4DAA-A18E-F09A3B9D5A19}"/>
            </a:ext>
          </a:extLst>
        </xdr:cNvPr>
        <xdr:cNvSpPr>
          <a:spLocks noChangeShapeType="1"/>
        </xdr:cNvSpPr>
      </xdr:nvSpPr>
      <xdr:spPr bwMode="auto">
        <a:xfrm flipV="1">
          <a:off x="3048000" y="3076575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14</xdr:row>
      <xdr:rowOff>53340</xdr:rowOff>
    </xdr:from>
    <xdr:to>
      <xdr:col>8</xdr:col>
      <xdr:colOff>0</xdr:colOff>
      <xdr:row>16</xdr:row>
      <xdr:rowOff>60960</xdr:rowOff>
    </xdr:to>
    <xdr:sp macro="" textlink="">
      <xdr:nvSpPr>
        <xdr:cNvPr id="8" name="Line 10">
          <a:extLst>
            <a:ext uri="{FF2B5EF4-FFF2-40B4-BE49-F238E27FC236}">
              <a16:creationId xmlns:a16="http://schemas.microsoft.com/office/drawing/2014/main" id="{46F90B68-B2EE-4127-BF74-DC7D7F3732BD}"/>
            </a:ext>
          </a:extLst>
        </xdr:cNvPr>
        <xdr:cNvSpPr>
          <a:spLocks noChangeShapeType="1"/>
        </xdr:cNvSpPr>
      </xdr:nvSpPr>
      <xdr:spPr bwMode="auto">
        <a:xfrm flipV="1">
          <a:off x="5133975" y="2562225"/>
          <a:ext cx="60960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16</xdr:row>
      <xdr:rowOff>68580</xdr:rowOff>
    </xdr:from>
    <xdr:to>
      <xdr:col>8</xdr:col>
      <xdr:colOff>0</xdr:colOff>
      <xdr:row>18</xdr:row>
      <xdr:rowOff>60960</xdr:rowOff>
    </xdr:to>
    <xdr:sp macro="" textlink="">
      <xdr:nvSpPr>
        <xdr:cNvPr id="9" name="Line 11">
          <a:extLst>
            <a:ext uri="{FF2B5EF4-FFF2-40B4-BE49-F238E27FC236}">
              <a16:creationId xmlns:a16="http://schemas.microsoft.com/office/drawing/2014/main" id="{2CF6E08B-375D-4D41-B175-8B58D8AA1E6E}"/>
            </a:ext>
          </a:extLst>
        </xdr:cNvPr>
        <xdr:cNvSpPr>
          <a:spLocks noChangeShapeType="1"/>
        </xdr:cNvSpPr>
      </xdr:nvSpPr>
      <xdr:spPr bwMode="auto">
        <a:xfrm>
          <a:off x="5143500" y="2914650"/>
          <a:ext cx="600075" cy="3333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14</xdr:row>
      <xdr:rowOff>76200</xdr:rowOff>
    </xdr:from>
    <xdr:to>
      <xdr:col>10</xdr:col>
      <xdr:colOff>7620</xdr:colOff>
      <xdr:row>15</xdr:row>
      <xdr:rowOff>91440</xdr:rowOff>
    </xdr:to>
    <xdr:sp macro="" textlink="">
      <xdr:nvSpPr>
        <xdr:cNvPr id="10" name="Line 12">
          <a:extLst>
            <a:ext uri="{FF2B5EF4-FFF2-40B4-BE49-F238E27FC236}">
              <a16:creationId xmlns:a16="http://schemas.microsoft.com/office/drawing/2014/main" id="{96D122B1-D021-486D-A522-E3A3DC1D6AD5}"/>
            </a:ext>
          </a:extLst>
        </xdr:cNvPr>
        <xdr:cNvSpPr>
          <a:spLocks noChangeShapeType="1"/>
        </xdr:cNvSpPr>
      </xdr:nvSpPr>
      <xdr:spPr bwMode="auto">
        <a:xfrm>
          <a:off x="6353175" y="2581275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7620</xdr:colOff>
      <xdr:row>13</xdr:row>
      <xdr:rowOff>60960</xdr:rowOff>
    </xdr:from>
    <xdr:to>
      <xdr:col>10</xdr:col>
      <xdr:colOff>15240</xdr:colOff>
      <xdr:row>14</xdr:row>
      <xdr:rowOff>68580</xdr:rowOff>
    </xdr:to>
    <xdr:sp macro="" textlink="">
      <xdr:nvSpPr>
        <xdr:cNvPr id="11" name="Line 13">
          <a:extLst>
            <a:ext uri="{FF2B5EF4-FFF2-40B4-BE49-F238E27FC236}">
              <a16:creationId xmlns:a16="http://schemas.microsoft.com/office/drawing/2014/main" id="{20AF29F7-DC88-4D9F-ABDE-6081FA0338DB}"/>
            </a:ext>
          </a:extLst>
        </xdr:cNvPr>
        <xdr:cNvSpPr>
          <a:spLocks noChangeShapeType="1"/>
        </xdr:cNvSpPr>
      </xdr:nvSpPr>
      <xdr:spPr bwMode="auto">
        <a:xfrm flipV="1">
          <a:off x="6362700" y="2390775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18</xdr:row>
      <xdr:rowOff>76200</xdr:rowOff>
    </xdr:from>
    <xdr:to>
      <xdr:col>10</xdr:col>
      <xdr:colOff>7620</xdr:colOff>
      <xdr:row>19</xdr:row>
      <xdr:rowOff>91440</xdr:rowOff>
    </xdr:to>
    <xdr:sp macro="" textlink="">
      <xdr:nvSpPr>
        <xdr:cNvPr id="12" name="Line 14">
          <a:extLst>
            <a:ext uri="{FF2B5EF4-FFF2-40B4-BE49-F238E27FC236}">
              <a16:creationId xmlns:a16="http://schemas.microsoft.com/office/drawing/2014/main" id="{5ACEDE64-8B78-421F-ACF3-1DBAD5CAABE0}"/>
            </a:ext>
          </a:extLst>
        </xdr:cNvPr>
        <xdr:cNvSpPr>
          <a:spLocks noChangeShapeType="1"/>
        </xdr:cNvSpPr>
      </xdr:nvSpPr>
      <xdr:spPr bwMode="auto">
        <a:xfrm>
          <a:off x="6353175" y="3267075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7620</xdr:colOff>
      <xdr:row>17</xdr:row>
      <xdr:rowOff>60960</xdr:rowOff>
    </xdr:from>
    <xdr:to>
      <xdr:col>10</xdr:col>
      <xdr:colOff>15240</xdr:colOff>
      <xdr:row>18</xdr:row>
      <xdr:rowOff>68580</xdr:rowOff>
    </xdr:to>
    <xdr:sp macro="" textlink="">
      <xdr:nvSpPr>
        <xdr:cNvPr id="13" name="Line 15">
          <a:extLst>
            <a:ext uri="{FF2B5EF4-FFF2-40B4-BE49-F238E27FC236}">
              <a16:creationId xmlns:a16="http://schemas.microsoft.com/office/drawing/2014/main" id="{FE8BCEE0-2B61-42EF-BB37-D90AC538D19E}"/>
            </a:ext>
          </a:extLst>
        </xdr:cNvPr>
        <xdr:cNvSpPr>
          <a:spLocks noChangeShapeType="1"/>
        </xdr:cNvSpPr>
      </xdr:nvSpPr>
      <xdr:spPr bwMode="auto">
        <a:xfrm flipV="1">
          <a:off x="6362700" y="3076575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53340</xdr:rowOff>
    </xdr:from>
    <xdr:to>
      <xdr:col>2</xdr:col>
      <xdr:colOff>0</xdr:colOff>
      <xdr:row>25</xdr:row>
      <xdr:rowOff>60960</xdr:rowOff>
    </xdr:to>
    <xdr:sp macro="" textlink="">
      <xdr:nvSpPr>
        <xdr:cNvPr id="14" name="Line 16">
          <a:extLst>
            <a:ext uri="{FF2B5EF4-FFF2-40B4-BE49-F238E27FC236}">
              <a16:creationId xmlns:a16="http://schemas.microsoft.com/office/drawing/2014/main" id="{2393D7D9-0DAE-4397-82DD-9655244C44E0}"/>
            </a:ext>
          </a:extLst>
        </xdr:cNvPr>
        <xdr:cNvSpPr>
          <a:spLocks noChangeShapeType="1"/>
        </xdr:cNvSpPr>
      </xdr:nvSpPr>
      <xdr:spPr bwMode="auto">
        <a:xfrm flipV="1">
          <a:off x="1819275" y="4105275"/>
          <a:ext cx="60960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7620</xdr:colOff>
      <xdr:row>25</xdr:row>
      <xdr:rowOff>60960</xdr:rowOff>
    </xdr:from>
    <xdr:to>
      <xdr:col>2</xdr:col>
      <xdr:colOff>0</xdr:colOff>
      <xdr:row>27</xdr:row>
      <xdr:rowOff>53340</xdr:rowOff>
    </xdr:to>
    <xdr:sp macro="" textlink="">
      <xdr:nvSpPr>
        <xdr:cNvPr id="15" name="Line 17">
          <a:extLst>
            <a:ext uri="{FF2B5EF4-FFF2-40B4-BE49-F238E27FC236}">
              <a16:creationId xmlns:a16="http://schemas.microsoft.com/office/drawing/2014/main" id="{15C811DB-1085-4AEA-9FD6-384D73246589}"/>
            </a:ext>
          </a:extLst>
        </xdr:cNvPr>
        <xdr:cNvSpPr>
          <a:spLocks noChangeShapeType="1"/>
        </xdr:cNvSpPr>
      </xdr:nvSpPr>
      <xdr:spPr bwMode="auto">
        <a:xfrm>
          <a:off x="1828800" y="4448175"/>
          <a:ext cx="600075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23</xdr:row>
      <xdr:rowOff>76200</xdr:rowOff>
    </xdr:from>
    <xdr:to>
      <xdr:col>4</xdr:col>
      <xdr:colOff>7620</xdr:colOff>
      <xdr:row>24</xdr:row>
      <xdr:rowOff>91440</xdr:rowOff>
    </xdr:to>
    <xdr:sp macro="" textlink="">
      <xdr:nvSpPr>
        <xdr:cNvPr id="16" name="Line 18">
          <a:extLst>
            <a:ext uri="{FF2B5EF4-FFF2-40B4-BE49-F238E27FC236}">
              <a16:creationId xmlns:a16="http://schemas.microsoft.com/office/drawing/2014/main" id="{C6677860-26A9-4DA0-93B1-19B6D4A3E4A6}"/>
            </a:ext>
          </a:extLst>
        </xdr:cNvPr>
        <xdr:cNvSpPr>
          <a:spLocks noChangeShapeType="1"/>
        </xdr:cNvSpPr>
      </xdr:nvSpPr>
      <xdr:spPr bwMode="auto">
        <a:xfrm>
          <a:off x="3038475" y="4124325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22</xdr:row>
      <xdr:rowOff>60960</xdr:rowOff>
    </xdr:from>
    <xdr:to>
      <xdr:col>4</xdr:col>
      <xdr:colOff>15240</xdr:colOff>
      <xdr:row>23</xdr:row>
      <xdr:rowOff>68580</xdr:rowOff>
    </xdr:to>
    <xdr:sp macro="" textlink="">
      <xdr:nvSpPr>
        <xdr:cNvPr id="17" name="Line 19">
          <a:extLst>
            <a:ext uri="{FF2B5EF4-FFF2-40B4-BE49-F238E27FC236}">
              <a16:creationId xmlns:a16="http://schemas.microsoft.com/office/drawing/2014/main" id="{0A4FD35F-9C03-47BC-A2E7-059AB5815B26}"/>
            </a:ext>
          </a:extLst>
        </xdr:cNvPr>
        <xdr:cNvSpPr>
          <a:spLocks noChangeShapeType="1"/>
        </xdr:cNvSpPr>
      </xdr:nvSpPr>
      <xdr:spPr bwMode="auto">
        <a:xfrm flipV="1">
          <a:off x="3048000" y="3933825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76200</xdr:rowOff>
    </xdr:from>
    <xdr:to>
      <xdr:col>4</xdr:col>
      <xdr:colOff>7620</xdr:colOff>
      <xdr:row>28</xdr:row>
      <xdr:rowOff>91440</xdr:rowOff>
    </xdr:to>
    <xdr:sp macro="" textlink="">
      <xdr:nvSpPr>
        <xdr:cNvPr id="18" name="Line 20">
          <a:extLst>
            <a:ext uri="{FF2B5EF4-FFF2-40B4-BE49-F238E27FC236}">
              <a16:creationId xmlns:a16="http://schemas.microsoft.com/office/drawing/2014/main" id="{500F62C9-F044-46C3-A81F-A2C604732C12}"/>
            </a:ext>
          </a:extLst>
        </xdr:cNvPr>
        <xdr:cNvSpPr>
          <a:spLocks noChangeShapeType="1"/>
        </xdr:cNvSpPr>
      </xdr:nvSpPr>
      <xdr:spPr bwMode="auto">
        <a:xfrm>
          <a:off x="3038475" y="4810125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26</xdr:row>
      <xdr:rowOff>60960</xdr:rowOff>
    </xdr:from>
    <xdr:to>
      <xdr:col>4</xdr:col>
      <xdr:colOff>15240</xdr:colOff>
      <xdr:row>27</xdr:row>
      <xdr:rowOff>68580</xdr:rowOff>
    </xdr:to>
    <xdr:sp macro="" textlink="">
      <xdr:nvSpPr>
        <xdr:cNvPr id="19" name="Line 21">
          <a:extLst>
            <a:ext uri="{FF2B5EF4-FFF2-40B4-BE49-F238E27FC236}">
              <a16:creationId xmlns:a16="http://schemas.microsoft.com/office/drawing/2014/main" id="{668FC4B2-1E1E-456A-A447-4D2BDB4E0248}"/>
            </a:ext>
          </a:extLst>
        </xdr:cNvPr>
        <xdr:cNvSpPr>
          <a:spLocks noChangeShapeType="1"/>
        </xdr:cNvSpPr>
      </xdr:nvSpPr>
      <xdr:spPr bwMode="auto">
        <a:xfrm flipV="1">
          <a:off x="3048000" y="4619625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36</xdr:row>
      <xdr:rowOff>53340</xdr:rowOff>
    </xdr:from>
    <xdr:to>
      <xdr:col>2</xdr:col>
      <xdr:colOff>0</xdr:colOff>
      <xdr:row>38</xdr:row>
      <xdr:rowOff>60960</xdr:rowOff>
    </xdr:to>
    <xdr:sp macro="" textlink="">
      <xdr:nvSpPr>
        <xdr:cNvPr id="20" name="Line 22">
          <a:extLst>
            <a:ext uri="{FF2B5EF4-FFF2-40B4-BE49-F238E27FC236}">
              <a16:creationId xmlns:a16="http://schemas.microsoft.com/office/drawing/2014/main" id="{7C22B06A-5DAB-475B-B645-0998688BD961}"/>
            </a:ext>
          </a:extLst>
        </xdr:cNvPr>
        <xdr:cNvSpPr>
          <a:spLocks noChangeShapeType="1"/>
        </xdr:cNvSpPr>
      </xdr:nvSpPr>
      <xdr:spPr bwMode="auto">
        <a:xfrm flipV="1">
          <a:off x="1819275" y="6334125"/>
          <a:ext cx="60960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7620</xdr:colOff>
      <xdr:row>38</xdr:row>
      <xdr:rowOff>60960</xdr:rowOff>
    </xdr:from>
    <xdr:to>
      <xdr:col>2</xdr:col>
      <xdr:colOff>0</xdr:colOff>
      <xdr:row>40</xdr:row>
      <xdr:rowOff>53340</xdr:rowOff>
    </xdr:to>
    <xdr:sp macro="" textlink="">
      <xdr:nvSpPr>
        <xdr:cNvPr id="21" name="Line 23">
          <a:extLst>
            <a:ext uri="{FF2B5EF4-FFF2-40B4-BE49-F238E27FC236}">
              <a16:creationId xmlns:a16="http://schemas.microsoft.com/office/drawing/2014/main" id="{37488E0E-BD9E-4362-9C6F-0284D6A0AEDC}"/>
            </a:ext>
          </a:extLst>
        </xdr:cNvPr>
        <xdr:cNvSpPr>
          <a:spLocks noChangeShapeType="1"/>
        </xdr:cNvSpPr>
      </xdr:nvSpPr>
      <xdr:spPr bwMode="auto">
        <a:xfrm>
          <a:off x="1828800" y="6677025"/>
          <a:ext cx="600075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36</xdr:row>
      <xdr:rowOff>76200</xdr:rowOff>
    </xdr:from>
    <xdr:to>
      <xdr:col>4</xdr:col>
      <xdr:colOff>7620</xdr:colOff>
      <xdr:row>37</xdr:row>
      <xdr:rowOff>91440</xdr:rowOff>
    </xdr:to>
    <xdr:sp macro="" textlink="">
      <xdr:nvSpPr>
        <xdr:cNvPr id="22" name="Line 24">
          <a:extLst>
            <a:ext uri="{FF2B5EF4-FFF2-40B4-BE49-F238E27FC236}">
              <a16:creationId xmlns:a16="http://schemas.microsoft.com/office/drawing/2014/main" id="{D97693CD-1489-46A3-A4BA-1B9E273F24B6}"/>
            </a:ext>
          </a:extLst>
        </xdr:cNvPr>
        <xdr:cNvSpPr>
          <a:spLocks noChangeShapeType="1"/>
        </xdr:cNvSpPr>
      </xdr:nvSpPr>
      <xdr:spPr bwMode="auto">
        <a:xfrm>
          <a:off x="3038475" y="6353175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35</xdr:row>
      <xdr:rowOff>60960</xdr:rowOff>
    </xdr:from>
    <xdr:to>
      <xdr:col>4</xdr:col>
      <xdr:colOff>15240</xdr:colOff>
      <xdr:row>36</xdr:row>
      <xdr:rowOff>68580</xdr:rowOff>
    </xdr:to>
    <xdr:sp macro="" textlink="">
      <xdr:nvSpPr>
        <xdr:cNvPr id="23" name="Line 25">
          <a:extLst>
            <a:ext uri="{FF2B5EF4-FFF2-40B4-BE49-F238E27FC236}">
              <a16:creationId xmlns:a16="http://schemas.microsoft.com/office/drawing/2014/main" id="{640469D9-0503-4B00-8DC6-008337563CAD}"/>
            </a:ext>
          </a:extLst>
        </xdr:cNvPr>
        <xdr:cNvSpPr>
          <a:spLocks noChangeShapeType="1"/>
        </xdr:cNvSpPr>
      </xdr:nvSpPr>
      <xdr:spPr bwMode="auto">
        <a:xfrm flipV="1">
          <a:off x="3048000" y="6162675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40</xdr:row>
      <xdr:rowOff>76200</xdr:rowOff>
    </xdr:from>
    <xdr:to>
      <xdr:col>4</xdr:col>
      <xdr:colOff>7620</xdr:colOff>
      <xdr:row>41</xdr:row>
      <xdr:rowOff>91440</xdr:rowOff>
    </xdr:to>
    <xdr:sp macro="" textlink="">
      <xdr:nvSpPr>
        <xdr:cNvPr id="24" name="Line 26">
          <a:extLst>
            <a:ext uri="{FF2B5EF4-FFF2-40B4-BE49-F238E27FC236}">
              <a16:creationId xmlns:a16="http://schemas.microsoft.com/office/drawing/2014/main" id="{10ACEEA5-CCD4-4A8D-87ED-93DB7C984AC4}"/>
            </a:ext>
          </a:extLst>
        </xdr:cNvPr>
        <xdr:cNvSpPr>
          <a:spLocks noChangeShapeType="1"/>
        </xdr:cNvSpPr>
      </xdr:nvSpPr>
      <xdr:spPr bwMode="auto">
        <a:xfrm>
          <a:off x="3038475" y="7038975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39</xdr:row>
      <xdr:rowOff>60960</xdr:rowOff>
    </xdr:from>
    <xdr:to>
      <xdr:col>4</xdr:col>
      <xdr:colOff>15240</xdr:colOff>
      <xdr:row>40</xdr:row>
      <xdr:rowOff>68580</xdr:rowOff>
    </xdr:to>
    <xdr:sp macro="" textlink="">
      <xdr:nvSpPr>
        <xdr:cNvPr id="25" name="Line 27">
          <a:extLst>
            <a:ext uri="{FF2B5EF4-FFF2-40B4-BE49-F238E27FC236}">
              <a16:creationId xmlns:a16="http://schemas.microsoft.com/office/drawing/2014/main" id="{87944140-93C4-486D-B1AF-54726CAD0B62}"/>
            </a:ext>
          </a:extLst>
        </xdr:cNvPr>
        <xdr:cNvSpPr>
          <a:spLocks noChangeShapeType="1"/>
        </xdr:cNvSpPr>
      </xdr:nvSpPr>
      <xdr:spPr bwMode="auto">
        <a:xfrm flipV="1">
          <a:off x="3048000" y="6848475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36</xdr:row>
      <xdr:rowOff>53340</xdr:rowOff>
    </xdr:from>
    <xdr:to>
      <xdr:col>8</xdr:col>
      <xdr:colOff>0</xdr:colOff>
      <xdr:row>38</xdr:row>
      <xdr:rowOff>60960</xdr:rowOff>
    </xdr:to>
    <xdr:sp macro="" textlink="">
      <xdr:nvSpPr>
        <xdr:cNvPr id="26" name="Line 28">
          <a:extLst>
            <a:ext uri="{FF2B5EF4-FFF2-40B4-BE49-F238E27FC236}">
              <a16:creationId xmlns:a16="http://schemas.microsoft.com/office/drawing/2014/main" id="{6F0F83C1-753F-4B88-8CF2-541BE804FBF4}"/>
            </a:ext>
          </a:extLst>
        </xdr:cNvPr>
        <xdr:cNvSpPr>
          <a:spLocks noChangeShapeType="1"/>
        </xdr:cNvSpPr>
      </xdr:nvSpPr>
      <xdr:spPr bwMode="auto">
        <a:xfrm flipV="1">
          <a:off x="5133975" y="6334125"/>
          <a:ext cx="60960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38</xdr:row>
      <xdr:rowOff>60960</xdr:rowOff>
    </xdr:from>
    <xdr:to>
      <xdr:col>8</xdr:col>
      <xdr:colOff>0</xdr:colOff>
      <xdr:row>40</xdr:row>
      <xdr:rowOff>53340</xdr:rowOff>
    </xdr:to>
    <xdr:sp macro="" textlink="">
      <xdr:nvSpPr>
        <xdr:cNvPr id="27" name="Line 29">
          <a:extLst>
            <a:ext uri="{FF2B5EF4-FFF2-40B4-BE49-F238E27FC236}">
              <a16:creationId xmlns:a16="http://schemas.microsoft.com/office/drawing/2014/main" id="{E3EE2BFD-84F3-47A2-B963-781E949CF587}"/>
            </a:ext>
          </a:extLst>
        </xdr:cNvPr>
        <xdr:cNvSpPr>
          <a:spLocks noChangeShapeType="1"/>
        </xdr:cNvSpPr>
      </xdr:nvSpPr>
      <xdr:spPr bwMode="auto">
        <a:xfrm>
          <a:off x="5143500" y="6677025"/>
          <a:ext cx="600075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36</xdr:row>
      <xdr:rowOff>76200</xdr:rowOff>
    </xdr:from>
    <xdr:to>
      <xdr:col>10</xdr:col>
      <xdr:colOff>7620</xdr:colOff>
      <xdr:row>37</xdr:row>
      <xdr:rowOff>91440</xdr:rowOff>
    </xdr:to>
    <xdr:sp macro="" textlink="">
      <xdr:nvSpPr>
        <xdr:cNvPr id="28" name="Line 30">
          <a:extLst>
            <a:ext uri="{FF2B5EF4-FFF2-40B4-BE49-F238E27FC236}">
              <a16:creationId xmlns:a16="http://schemas.microsoft.com/office/drawing/2014/main" id="{589D83A9-2DCF-44DC-88F4-A308981A340F}"/>
            </a:ext>
          </a:extLst>
        </xdr:cNvPr>
        <xdr:cNvSpPr>
          <a:spLocks noChangeShapeType="1"/>
        </xdr:cNvSpPr>
      </xdr:nvSpPr>
      <xdr:spPr bwMode="auto">
        <a:xfrm>
          <a:off x="6353175" y="6353175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7620</xdr:colOff>
      <xdr:row>35</xdr:row>
      <xdr:rowOff>60960</xdr:rowOff>
    </xdr:from>
    <xdr:to>
      <xdr:col>10</xdr:col>
      <xdr:colOff>15240</xdr:colOff>
      <xdr:row>36</xdr:row>
      <xdr:rowOff>68580</xdr:rowOff>
    </xdr:to>
    <xdr:sp macro="" textlink="">
      <xdr:nvSpPr>
        <xdr:cNvPr id="29" name="Line 31">
          <a:extLst>
            <a:ext uri="{FF2B5EF4-FFF2-40B4-BE49-F238E27FC236}">
              <a16:creationId xmlns:a16="http://schemas.microsoft.com/office/drawing/2014/main" id="{E311EE7E-6AB7-41AD-9AEA-E3BCCB7A3D4C}"/>
            </a:ext>
          </a:extLst>
        </xdr:cNvPr>
        <xdr:cNvSpPr>
          <a:spLocks noChangeShapeType="1"/>
        </xdr:cNvSpPr>
      </xdr:nvSpPr>
      <xdr:spPr bwMode="auto">
        <a:xfrm flipV="1">
          <a:off x="6362700" y="6162675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40</xdr:row>
      <xdr:rowOff>76200</xdr:rowOff>
    </xdr:from>
    <xdr:to>
      <xdr:col>10</xdr:col>
      <xdr:colOff>7620</xdr:colOff>
      <xdr:row>41</xdr:row>
      <xdr:rowOff>91440</xdr:rowOff>
    </xdr:to>
    <xdr:sp macro="" textlink="">
      <xdr:nvSpPr>
        <xdr:cNvPr id="30" name="Line 32">
          <a:extLst>
            <a:ext uri="{FF2B5EF4-FFF2-40B4-BE49-F238E27FC236}">
              <a16:creationId xmlns:a16="http://schemas.microsoft.com/office/drawing/2014/main" id="{B7BA9DF8-D539-4C49-BF50-BF265CDC205B}"/>
            </a:ext>
          </a:extLst>
        </xdr:cNvPr>
        <xdr:cNvSpPr>
          <a:spLocks noChangeShapeType="1"/>
        </xdr:cNvSpPr>
      </xdr:nvSpPr>
      <xdr:spPr bwMode="auto">
        <a:xfrm>
          <a:off x="6353175" y="7038975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7620</xdr:colOff>
      <xdr:row>39</xdr:row>
      <xdr:rowOff>60960</xdr:rowOff>
    </xdr:from>
    <xdr:to>
      <xdr:col>10</xdr:col>
      <xdr:colOff>15240</xdr:colOff>
      <xdr:row>40</xdr:row>
      <xdr:rowOff>68580</xdr:rowOff>
    </xdr:to>
    <xdr:sp macro="" textlink="">
      <xdr:nvSpPr>
        <xdr:cNvPr id="31" name="Line 33">
          <a:extLst>
            <a:ext uri="{FF2B5EF4-FFF2-40B4-BE49-F238E27FC236}">
              <a16:creationId xmlns:a16="http://schemas.microsoft.com/office/drawing/2014/main" id="{B116C428-5F2C-4857-823E-DEABE6F171FC}"/>
            </a:ext>
          </a:extLst>
        </xdr:cNvPr>
        <xdr:cNvSpPr>
          <a:spLocks noChangeShapeType="1"/>
        </xdr:cNvSpPr>
      </xdr:nvSpPr>
      <xdr:spPr bwMode="auto">
        <a:xfrm flipV="1">
          <a:off x="6362700" y="6848475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251460</xdr:colOff>
      <xdr:row>20</xdr:row>
      <xdr:rowOff>38100</xdr:rowOff>
    </xdr:from>
    <xdr:to>
      <xdr:col>3</xdr:col>
      <xdr:colOff>236220</xdr:colOff>
      <xdr:row>21</xdr:row>
      <xdr:rowOff>91440</xdr:rowOff>
    </xdr:to>
    <xdr:sp macro="" textlink="">
      <xdr:nvSpPr>
        <xdr:cNvPr id="32" name="Text Box 38">
          <a:extLst>
            <a:ext uri="{FF2B5EF4-FFF2-40B4-BE49-F238E27FC236}">
              <a16:creationId xmlns:a16="http://schemas.microsoft.com/office/drawing/2014/main" id="{905B1BF5-7ADE-4045-AE01-7045A666E2E1}"/>
            </a:ext>
          </a:extLst>
        </xdr:cNvPr>
        <xdr:cNvSpPr txBox="1">
          <a:spLocks noChangeArrowheads="1"/>
        </xdr:cNvSpPr>
      </xdr:nvSpPr>
      <xdr:spPr bwMode="auto">
        <a:xfrm>
          <a:off x="2676525" y="3571875"/>
          <a:ext cx="600075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=C15*I15</a:t>
          </a:r>
        </a:p>
      </xdr:txBody>
    </xdr:sp>
    <xdr:clientData/>
  </xdr:twoCellAnchor>
  <xdr:twoCellAnchor>
    <xdr:from>
      <xdr:col>2</xdr:col>
      <xdr:colOff>289560</xdr:colOff>
      <xdr:row>21</xdr:row>
      <xdr:rowOff>91440</xdr:rowOff>
    </xdr:from>
    <xdr:to>
      <xdr:col>2</xdr:col>
      <xdr:colOff>358140</xdr:colOff>
      <xdr:row>23</xdr:row>
      <xdr:rowOff>7620</xdr:rowOff>
    </xdr:to>
    <xdr:sp macro="" textlink="">
      <xdr:nvSpPr>
        <xdr:cNvPr id="33" name="Line 39">
          <a:extLst>
            <a:ext uri="{FF2B5EF4-FFF2-40B4-BE49-F238E27FC236}">
              <a16:creationId xmlns:a16="http://schemas.microsoft.com/office/drawing/2014/main" id="{51C4CF8F-9221-4D8D-9F49-E177B39EB2BE}"/>
            </a:ext>
          </a:extLst>
        </xdr:cNvPr>
        <xdr:cNvSpPr>
          <a:spLocks noChangeShapeType="1"/>
        </xdr:cNvSpPr>
      </xdr:nvSpPr>
      <xdr:spPr bwMode="auto">
        <a:xfrm flipH="1">
          <a:off x="2714625" y="3800475"/>
          <a:ext cx="76200" cy="2571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13</xdr:col>
      <xdr:colOff>266700</xdr:colOff>
      <xdr:row>2</xdr:row>
      <xdr:rowOff>38100</xdr:rowOff>
    </xdr:from>
    <xdr:to>
      <xdr:col>29</xdr:col>
      <xdr:colOff>48956</xdr:colOff>
      <xdr:row>50</xdr:row>
      <xdr:rowOff>8773</xdr:rowOff>
    </xdr:to>
    <xdr:pic>
      <xdr:nvPicPr>
        <xdr:cNvPr id="34" name="图片 33">
          <a:extLst>
            <a:ext uri="{FF2B5EF4-FFF2-40B4-BE49-F238E27FC236}">
              <a16:creationId xmlns:a16="http://schemas.microsoft.com/office/drawing/2014/main" id="{0B32C9AA-CE96-77EC-ED43-F646B725DE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15500" y="428625"/>
          <a:ext cx="9535856" cy="825742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4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650-2"/>
      <sheetName val="Page 650-2 中文"/>
      <sheetName val="Page 653-655"/>
      <sheetName val="Page 653-655 中文"/>
      <sheetName val="Page 655 bottom, 656 top"/>
      <sheetName val="Page 655 bottom, 656 top 中文"/>
      <sheetName val="Page 657 bottom, 658 top"/>
      <sheetName val="Page 657 bottom, 658 top 中文"/>
      <sheetName val="Page 659"/>
      <sheetName val="Page 659 中文"/>
      <sheetName val="Page 660"/>
      <sheetName val="Page 660 中文"/>
      <sheetName val="Page 661"/>
      <sheetName val="Page 661 中文"/>
      <sheetName val="Page 663"/>
      <sheetName val="Page 663 中文"/>
      <sheetName val="Page 664"/>
      <sheetName val="Page 664中文"/>
      <sheetName val="Page 666"/>
      <sheetName val="Page 666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S30" sqref="S30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65921-E405-4434-802D-926C7E25D0A9}">
  <sheetPr codeName="Sheet2"/>
  <dimension ref="A1:L45"/>
  <sheetViews>
    <sheetView tabSelected="1" workbookViewId="0">
      <selection activeCell="L54" sqref="L54"/>
    </sheetView>
  </sheetViews>
  <sheetFormatPr defaultRowHeight="13.2" x14ac:dyDescent="0.25"/>
  <cols>
    <col min="1" max="1" width="26.5546875" style="2" customWidth="1"/>
    <col min="2" max="5" width="8.88671875" style="2"/>
    <col min="6" max="6" width="3.88671875" style="2" customWidth="1"/>
    <col min="7" max="11" width="8.88671875" style="2"/>
    <col min="12" max="12" width="18.44140625" style="2" bestFit="1" customWidth="1"/>
    <col min="13" max="256" width="8.88671875" style="2"/>
    <col min="257" max="257" width="26.5546875" style="2" customWidth="1"/>
    <col min="258" max="261" width="8.88671875" style="2"/>
    <col min="262" max="262" width="3.88671875" style="2" customWidth="1"/>
    <col min="263" max="267" width="8.88671875" style="2"/>
    <col min="268" max="268" width="18.44140625" style="2" bestFit="1" customWidth="1"/>
    <col min="269" max="512" width="8.88671875" style="2"/>
    <col min="513" max="513" width="26.5546875" style="2" customWidth="1"/>
    <col min="514" max="517" width="8.88671875" style="2"/>
    <col min="518" max="518" width="3.88671875" style="2" customWidth="1"/>
    <col min="519" max="523" width="8.88671875" style="2"/>
    <col min="524" max="524" width="18.44140625" style="2" bestFit="1" customWidth="1"/>
    <col min="525" max="768" width="8.88671875" style="2"/>
    <col min="769" max="769" width="26.5546875" style="2" customWidth="1"/>
    <col min="770" max="773" width="8.88671875" style="2"/>
    <col min="774" max="774" width="3.88671875" style="2" customWidth="1"/>
    <col min="775" max="779" width="8.88671875" style="2"/>
    <col min="780" max="780" width="18.44140625" style="2" bestFit="1" customWidth="1"/>
    <col min="781" max="1024" width="8.88671875" style="2"/>
    <col min="1025" max="1025" width="26.5546875" style="2" customWidth="1"/>
    <col min="1026" max="1029" width="8.88671875" style="2"/>
    <col min="1030" max="1030" width="3.88671875" style="2" customWidth="1"/>
    <col min="1031" max="1035" width="8.88671875" style="2"/>
    <col min="1036" max="1036" width="18.44140625" style="2" bestFit="1" customWidth="1"/>
    <col min="1037" max="1280" width="8.88671875" style="2"/>
    <col min="1281" max="1281" width="26.5546875" style="2" customWidth="1"/>
    <col min="1282" max="1285" width="8.88671875" style="2"/>
    <col min="1286" max="1286" width="3.88671875" style="2" customWidth="1"/>
    <col min="1287" max="1291" width="8.88671875" style="2"/>
    <col min="1292" max="1292" width="18.44140625" style="2" bestFit="1" customWidth="1"/>
    <col min="1293" max="1536" width="8.88671875" style="2"/>
    <col min="1537" max="1537" width="26.5546875" style="2" customWidth="1"/>
    <col min="1538" max="1541" width="8.88671875" style="2"/>
    <col min="1542" max="1542" width="3.88671875" style="2" customWidth="1"/>
    <col min="1543" max="1547" width="8.88671875" style="2"/>
    <col min="1548" max="1548" width="18.44140625" style="2" bestFit="1" customWidth="1"/>
    <col min="1549" max="1792" width="8.88671875" style="2"/>
    <col min="1793" max="1793" width="26.5546875" style="2" customWidth="1"/>
    <col min="1794" max="1797" width="8.88671875" style="2"/>
    <col min="1798" max="1798" width="3.88671875" style="2" customWidth="1"/>
    <col min="1799" max="1803" width="8.88671875" style="2"/>
    <col min="1804" max="1804" width="18.44140625" style="2" bestFit="1" customWidth="1"/>
    <col min="1805" max="2048" width="8.88671875" style="2"/>
    <col min="2049" max="2049" width="26.5546875" style="2" customWidth="1"/>
    <col min="2050" max="2053" width="8.88671875" style="2"/>
    <col min="2054" max="2054" width="3.88671875" style="2" customWidth="1"/>
    <col min="2055" max="2059" width="8.88671875" style="2"/>
    <col min="2060" max="2060" width="18.44140625" style="2" bestFit="1" customWidth="1"/>
    <col min="2061" max="2304" width="8.88671875" style="2"/>
    <col min="2305" max="2305" width="26.5546875" style="2" customWidth="1"/>
    <col min="2306" max="2309" width="8.88671875" style="2"/>
    <col min="2310" max="2310" width="3.88671875" style="2" customWidth="1"/>
    <col min="2311" max="2315" width="8.88671875" style="2"/>
    <col min="2316" max="2316" width="18.44140625" style="2" bestFit="1" customWidth="1"/>
    <col min="2317" max="2560" width="8.88671875" style="2"/>
    <col min="2561" max="2561" width="26.5546875" style="2" customWidth="1"/>
    <col min="2562" max="2565" width="8.88671875" style="2"/>
    <col min="2566" max="2566" width="3.88671875" style="2" customWidth="1"/>
    <col min="2567" max="2571" width="8.88671875" style="2"/>
    <col min="2572" max="2572" width="18.44140625" style="2" bestFit="1" customWidth="1"/>
    <col min="2573" max="2816" width="8.88671875" style="2"/>
    <col min="2817" max="2817" width="26.5546875" style="2" customWidth="1"/>
    <col min="2818" max="2821" width="8.88671875" style="2"/>
    <col min="2822" max="2822" width="3.88671875" style="2" customWidth="1"/>
    <col min="2823" max="2827" width="8.88671875" style="2"/>
    <col min="2828" max="2828" width="18.44140625" style="2" bestFit="1" customWidth="1"/>
    <col min="2829" max="3072" width="8.88671875" style="2"/>
    <col min="3073" max="3073" width="26.5546875" style="2" customWidth="1"/>
    <col min="3074" max="3077" width="8.88671875" style="2"/>
    <col min="3078" max="3078" width="3.88671875" style="2" customWidth="1"/>
    <col min="3079" max="3083" width="8.88671875" style="2"/>
    <col min="3084" max="3084" width="18.44140625" style="2" bestFit="1" customWidth="1"/>
    <col min="3085" max="3328" width="8.88671875" style="2"/>
    <col min="3329" max="3329" width="26.5546875" style="2" customWidth="1"/>
    <col min="3330" max="3333" width="8.88671875" style="2"/>
    <col min="3334" max="3334" width="3.88671875" style="2" customWidth="1"/>
    <col min="3335" max="3339" width="8.88671875" style="2"/>
    <col min="3340" max="3340" width="18.44140625" style="2" bestFit="1" customWidth="1"/>
    <col min="3341" max="3584" width="8.88671875" style="2"/>
    <col min="3585" max="3585" width="26.5546875" style="2" customWidth="1"/>
    <col min="3586" max="3589" width="8.88671875" style="2"/>
    <col min="3590" max="3590" width="3.88671875" style="2" customWidth="1"/>
    <col min="3591" max="3595" width="8.88671875" style="2"/>
    <col min="3596" max="3596" width="18.44140625" style="2" bestFit="1" customWidth="1"/>
    <col min="3597" max="3840" width="8.88671875" style="2"/>
    <col min="3841" max="3841" width="26.5546875" style="2" customWidth="1"/>
    <col min="3842" max="3845" width="8.88671875" style="2"/>
    <col min="3846" max="3846" width="3.88671875" style="2" customWidth="1"/>
    <col min="3847" max="3851" width="8.88671875" style="2"/>
    <col min="3852" max="3852" width="18.44140625" style="2" bestFit="1" customWidth="1"/>
    <col min="3853" max="4096" width="8.88671875" style="2"/>
    <col min="4097" max="4097" width="26.5546875" style="2" customWidth="1"/>
    <col min="4098" max="4101" width="8.88671875" style="2"/>
    <col min="4102" max="4102" width="3.88671875" style="2" customWidth="1"/>
    <col min="4103" max="4107" width="8.88671875" style="2"/>
    <col min="4108" max="4108" width="18.44140625" style="2" bestFit="1" customWidth="1"/>
    <col min="4109" max="4352" width="8.88671875" style="2"/>
    <col min="4353" max="4353" width="26.5546875" style="2" customWidth="1"/>
    <col min="4354" max="4357" width="8.88671875" style="2"/>
    <col min="4358" max="4358" width="3.88671875" style="2" customWidth="1"/>
    <col min="4359" max="4363" width="8.88671875" style="2"/>
    <col min="4364" max="4364" width="18.44140625" style="2" bestFit="1" customWidth="1"/>
    <col min="4365" max="4608" width="8.88671875" style="2"/>
    <col min="4609" max="4609" width="26.5546875" style="2" customWidth="1"/>
    <col min="4610" max="4613" width="8.88671875" style="2"/>
    <col min="4614" max="4614" width="3.88671875" style="2" customWidth="1"/>
    <col min="4615" max="4619" width="8.88671875" style="2"/>
    <col min="4620" max="4620" width="18.44140625" style="2" bestFit="1" customWidth="1"/>
    <col min="4621" max="4864" width="8.88671875" style="2"/>
    <col min="4865" max="4865" width="26.5546875" style="2" customWidth="1"/>
    <col min="4866" max="4869" width="8.88671875" style="2"/>
    <col min="4870" max="4870" width="3.88671875" style="2" customWidth="1"/>
    <col min="4871" max="4875" width="8.88671875" style="2"/>
    <col min="4876" max="4876" width="18.44140625" style="2" bestFit="1" customWidth="1"/>
    <col min="4877" max="5120" width="8.88671875" style="2"/>
    <col min="5121" max="5121" width="26.5546875" style="2" customWidth="1"/>
    <col min="5122" max="5125" width="8.88671875" style="2"/>
    <col min="5126" max="5126" width="3.88671875" style="2" customWidth="1"/>
    <col min="5127" max="5131" width="8.88671875" style="2"/>
    <col min="5132" max="5132" width="18.44140625" style="2" bestFit="1" customWidth="1"/>
    <col min="5133" max="5376" width="8.88671875" style="2"/>
    <col min="5377" max="5377" width="26.5546875" style="2" customWidth="1"/>
    <col min="5378" max="5381" width="8.88671875" style="2"/>
    <col min="5382" max="5382" width="3.88671875" style="2" customWidth="1"/>
    <col min="5383" max="5387" width="8.88671875" style="2"/>
    <col min="5388" max="5388" width="18.44140625" style="2" bestFit="1" customWidth="1"/>
    <col min="5389" max="5632" width="8.88671875" style="2"/>
    <col min="5633" max="5633" width="26.5546875" style="2" customWidth="1"/>
    <col min="5634" max="5637" width="8.88671875" style="2"/>
    <col min="5638" max="5638" width="3.88671875" style="2" customWidth="1"/>
    <col min="5639" max="5643" width="8.88671875" style="2"/>
    <col min="5644" max="5644" width="18.44140625" style="2" bestFit="1" customWidth="1"/>
    <col min="5645" max="5888" width="8.88671875" style="2"/>
    <col min="5889" max="5889" width="26.5546875" style="2" customWidth="1"/>
    <col min="5890" max="5893" width="8.88671875" style="2"/>
    <col min="5894" max="5894" width="3.88671875" style="2" customWidth="1"/>
    <col min="5895" max="5899" width="8.88671875" style="2"/>
    <col min="5900" max="5900" width="18.44140625" style="2" bestFit="1" customWidth="1"/>
    <col min="5901" max="6144" width="8.88671875" style="2"/>
    <col min="6145" max="6145" width="26.5546875" style="2" customWidth="1"/>
    <col min="6146" max="6149" width="8.88671875" style="2"/>
    <col min="6150" max="6150" width="3.88671875" style="2" customWidth="1"/>
    <col min="6151" max="6155" width="8.88671875" style="2"/>
    <col min="6156" max="6156" width="18.44140625" style="2" bestFit="1" customWidth="1"/>
    <col min="6157" max="6400" width="8.88671875" style="2"/>
    <col min="6401" max="6401" width="26.5546875" style="2" customWidth="1"/>
    <col min="6402" max="6405" width="8.88671875" style="2"/>
    <col min="6406" max="6406" width="3.88671875" style="2" customWidth="1"/>
    <col min="6407" max="6411" width="8.88671875" style="2"/>
    <col min="6412" max="6412" width="18.44140625" style="2" bestFit="1" customWidth="1"/>
    <col min="6413" max="6656" width="8.88671875" style="2"/>
    <col min="6657" max="6657" width="26.5546875" style="2" customWidth="1"/>
    <col min="6658" max="6661" width="8.88671875" style="2"/>
    <col min="6662" max="6662" width="3.88671875" style="2" customWidth="1"/>
    <col min="6663" max="6667" width="8.88671875" style="2"/>
    <col min="6668" max="6668" width="18.44140625" style="2" bestFit="1" customWidth="1"/>
    <col min="6669" max="6912" width="8.88671875" style="2"/>
    <col min="6913" max="6913" width="26.5546875" style="2" customWidth="1"/>
    <col min="6914" max="6917" width="8.88671875" style="2"/>
    <col min="6918" max="6918" width="3.88671875" style="2" customWidth="1"/>
    <col min="6919" max="6923" width="8.88671875" style="2"/>
    <col min="6924" max="6924" width="18.44140625" style="2" bestFit="1" customWidth="1"/>
    <col min="6925" max="7168" width="8.88671875" style="2"/>
    <col min="7169" max="7169" width="26.5546875" style="2" customWidth="1"/>
    <col min="7170" max="7173" width="8.88671875" style="2"/>
    <col min="7174" max="7174" width="3.88671875" style="2" customWidth="1"/>
    <col min="7175" max="7179" width="8.88671875" style="2"/>
    <col min="7180" max="7180" width="18.44140625" style="2" bestFit="1" customWidth="1"/>
    <col min="7181" max="7424" width="8.88671875" style="2"/>
    <col min="7425" max="7425" width="26.5546875" style="2" customWidth="1"/>
    <col min="7426" max="7429" width="8.88671875" style="2"/>
    <col min="7430" max="7430" width="3.88671875" style="2" customWidth="1"/>
    <col min="7431" max="7435" width="8.88671875" style="2"/>
    <col min="7436" max="7436" width="18.44140625" style="2" bestFit="1" customWidth="1"/>
    <col min="7437" max="7680" width="8.88671875" style="2"/>
    <col min="7681" max="7681" width="26.5546875" style="2" customWidth="1"/>
    <col min="7682" max="7685" width="8.88671875" style="2"/>
    <col min="7686" max="7686" width="3.88671875" style="2" customWidth="1"/>
    <col min="7687" max="7691" width="8.88671875" style="2"/>
    <col min="7692" max="7692" width="18.44140625" style="2" bestFit="1" customWidth="1"/>
    <col min="7693" max="7936" width="8.88671875" style="2"/>
    <col min="7937" max="7937" width="26.5546875" style="2" customWidth="1"/>
    <col min="7938" max="7941" width="8.88671875" style="2"/>
    <col min="7942" max="7942" width="3.88671875" style="2" customWidth="1"/>
    <col min="7943" max="7947" width="8.88671875" style="2"/>
    <col min="7948" max="7948" width="18.44140625" style="2" bestFit="1" customWidth="1"/>
    <col min="7949" max="8192" width="8.88671875" style="2"/>
    <col min="8193" max="8193" width="26.5546875" style="2" customWidth="1"/>
    <col min="8194" max="8197" width="8.88671875" style="2"/>
    <col min="8198" max="8198" width="3.88671875" style="2" customWidth="1"/>
    <col min="8199" max="8203" width="8.88671875" style="2"/>
    <col min="8204" max="8204" width="18.44140625" style="2" bestFit="1" customWidth="1"/>
    <col min="8205" max="8448" width="8.88671875" style="2"/>
    <col min="8449" max="8449" width="26.5546875" style="2" customWidth="1"/>
    <col min="8450" max="8453" width="8.88671875" style="2"/>
    <col min="8454" max="8454" width="3.88671875" style="2" customWidth="1"/>
    <col min="8455" max="8459" width="8.88671875" style="2"/>
    <col min="8460" max="8460" width="18.44140625" style="2" bestFit="1" customWidth="1"/>
    <col min="8461" max="8704" width="8.88671875" style="2"/>
    <col min="8705" max="8705" width="26.5546875" style="2" customWidth="1"/>
    <col min="8706" max="8709" width="8.88671875" style="2"/>
    <col min="8710" max="8710" width="3.88671875" style="2" customWidth="1"/>
    <col min="8711" max="8715" width="8.88671875" style="2"/>
    <col min="8716" max="8716" width="18.44140625" style="2" bestFit="1" customWidth="1"/>
    <col min="8717" max="8960" width="8.88671875" style="2"/>
    <col min="8961" max="8961" width="26.5546875" style="2" customWidth="1"/>
    <col min="8962" max="8965" width="8.88671875" style="2"/>
    <col min="8966" max="8966" width="3.88671875" style="2" customWidth="1"/>
    <col min="8967" max="8971" width="8.88671875" style="2"/>
    <col min="8972" max="8972" width="18.44140625" style="2" bestFit="1" customWidth="1"/>
    <col min="8973" max="9216" width="8.88671875" style="2"/>
    <col min="9217" max="9217" width="26.5546875" style="2" customWidth="1"/>
    <col min="9218" max="9221" width="8.88671875" style="2"/>
    <col min="9222" max="9222" width="3.88671875" style="2" customWidth="1"/>
    <col min="9223" max="9227" width="8.88671875" style="2"/>
    <col min="9228" max="9228" width="18.44140625" style="2" bestFit="1" customWidth="1"/>
    <col min="9229" max="9472" width="8.88671875" style="2"/>
    <col min="9473" max="9473" width="26.5546875" style="2" customWidth="1"/>
    <col min="9474" max="9477" width="8.88671875" style="2"/>
    <col min="9478" max="9478" width="3.88671875" style="2" customWidth="1"/>
    <col min="9479" max="9483" width="8.88671875" style="2"/>
    <col min="9484" max="9484" width="18.44140625" style="2" bestFit="1" customWidth="1"/>
    <col min="9485" max="9728" width="8.88671875" style="2"/>
    <col min="9729" max="9729" width="26.5546875" style="2" customWidth="1"/>
    <col min="9730" max="9733" width="8.88671875" style="2"/>
    <col min="9734" max="9734" width="3.88671875" style="2" customWidth="1"/>
    <col min="9735" max="9739" width="8.88671875" style="2"/>
    <col min="9740" max="9740" width="18.44140625" style="2" bestFit="1" customWidth="1"/>
    <col min="9741" max="9984" width="8.88671875" style="2"/>
    <col min="9985" max="9985" width="26.5546875" style="2" customWidth="1"/>
    <col min="9986" max="9989" width="8.88671875" style="2"/>
    <col min="9990" max="9990" width="3.88671875" style="2" customWidth="1"/>
    <col min="9991" max="9995" width="8.88671875" style="2"/>
    <col min="9996" max="9996" width="18.44140625" style="2" bestFit="1" customWidth="1"/>
    <col min="9997" max="10240" width="8.88671875" style="2"/>
    <col min="10241" max="10241" width="26.5546875" style="2" customWidth="1"/>
    <col min="10242" max="10245" width="8.88671875" style="2"/>
    <col min="10246" max="10246" width="3.88671875" style="2" customWidth="1"/>
    <col min="10247" max="10251" width="8.88671875" style="2"/>
    <col min="10252" max="10252" width="18.44140625" style="2" bestFit="1" customWidth="1"/>
    <col min="10253" max="10496" width="8.88671875" style="2"/>
    <col min="10497" max="10497" width="26.5546875" style="2" customWidth="1"/>
    <col min="10498" max="10501" width="8.88671875" style="2"/>
    <col min="10502" max="10502" width="3.88671875" style="2" customWidth="1"/>
    <col min="10503" max="10507" width="8.88671875" style="2"/>
    <col min="10508" max="10508" width="18.44140625" style="2" bestFit="1" customWidth="1"/>
    <col min="10509" max="10752" width="8.88671875" style="2"/>
    <col min="10753" max="10753" width="26.5546875" style="2" customWidth="1"/>
    <col min="10754" max="10757" width="8.88671875" style="2"/>
    <col min="10758" max="10758" width="3.88671875" style="2" customWidth="1"/>
    <col min="10759" max="10763" width="8.88671875" style="2"/>
    <col min="10764" max="10764" width="18.44140625" style="2" bestFit="1" customWidth="1"/>
    <col min="10765" max="11008" width="8.88671875" style="2"/>
    <col min="11009" max="11009" width="26.5546875" style="2" customWidth="1"/>
    <col min="11010" max="11013" width="8.88671875" style="2"/>
    <col min="11014" max="11014" width="3.88671875" style="2" customWidth="1"/>
    <col min="11015" max="11019" width="8.88671875" style="2"/>
    <col min="11020" max="11020" width="18.44140625" style="2" bestFit="1" customWidth="1"/>
    <col min="11021" max="11264" width="8.88671875" style="2"/>
    <col min="11265" max="11265" width="26.5546875" style="2" customWidth="1"/>
    <col min="11266" max="11269" width="8.88671875" style="2"/>
    <col min="11270" max="11270" width="3.88671875" style="2" customWidth="1"/>
    <col min="11271" max="11275" width="8.88671875" style="2"/>
    <col min="11276" max="11276" width="18.44140625" style="2" bestFit="1" customWidth="1"/>
    <col min="11277" max="11520" width="8.88671875" style="2"/>
    <col min="11521" max="11521" width="26.5546875" style="2" customWidth="1"/>
    <col min="11522" max="11525" width="8.88671875" style="2"/>
    <col min="11526" max="11526" width="3.88671875" style="2" customWidth="1"/>
    <col min="11527" max="11531" width="8.88671875" style="2"/>
    <col min="11532" max="11532" width="18.44140625" style="2" bestFit="1" customWidth="1"/>
    <col min="11533" max="11776" width="8.88671875" style="2"/>
    <col min="11777" max="11777" width="26.5546875" style="2" customWidth="1"/>
    <col min="11778" max="11781" width="8.88671875" style="2"/>
    <col min="11782" max="11782" width="3.88671875" style="2" customWidth="1"/>
    <col min="11783" max="11787" width="8.88671875" style="2"/>
    <col min="11788" max="11788" width="18.44140625" style="2" bestFit="1" customWidth="1"/>
    <col min="11789" max="12032" width="8.88671875" style="2"/>
    <col min="12033" max="12033" width="26.5546875" style="2" customWidth="1"/>
    <col min="12034" max="12037" width="8.88671875" style="2"/>
    <col min="12038" max="12038" width="3.88671875" style="2" customWidth="1"/>
    <col min="12039" max="12043" width="8.88671875" style="2"/>
    <col min="12044" max="12044" width="18.44140625" style="2" bestFit="1" customWidth="1"/>
    <col min="12045" max="12288" width="8.88671875" style="2"/>
    <col min="12289" max="12289" width="26.5546875" style="2" customWidth="1"/>
    <col min="12290" max="12293" width="8.88671875" style="2"/>
    <col min="12294" max="12294" width="3.88671875" style="2" customWidth="1"/>
    <col min="12295" max="12299" width="8.88671875" style="2"/>
    <col min="12300" max="12300" width="18.44140625" style="2" bestFit="1" customWidth="1"/>
    <col min="12301" max="12544" width="8.88671875" style="2"/>
    <col min="12545" max="12545" width="26.5546875" style="2" customWidth="1"/>
    <col min="12546" max="12549" width="8.88671875" style="2"/>
    <col min="12550" max="12550" width="3.88671875" style="2" customWidth="1"/>
    <col min="12551" max="12555" width="8.88671875" style="2"/>
    <col min="12556" max="12556" width="18.44140625" style="2" bestFit="1" customWidth="1"/>
    <col min="12557" max="12800" width="8.88671875" style="2"/>
    <col min="12801" max="12801" width="26.5546875" style="2" customWidth="1"/>
    <col min="12802" max="12805" width="8.88671875" style="2"/>
    <col min="12806" max="12806" width="3.88671875" style="2" customWidth="1"/>
    <col min="12807" max="12811" width="8.88671875" style="2"/>
    <col min="12812" max="12812" width="18.44140625" style="2" bestFit="1" customWidth="1"/>
    <col min="12813" max="13056" width="8.88671875" style="2"/>
    <col min="13057" max="13057" width="26.5546875" style="2" customWidth="1"/>
    <col min="13058" max="13061" width="8.88671875" style="2"/>
    <col min="13062" max="13062" width="3.88671875" style="2" customWidth="1"/>
    <col min="13063" max="13067" width="8.88671875" style="2"/>
    <col min="13068" max="13068" width="18.44140625" style="2" bestFit="1" customWidth="1"/>
    <col min="13069" max="13312" width="8.88671875" style="2"/>
    <col min="13313" max="13313" width="26.5546875" style="2" customWidth="1"/>
    <col min="13314" max="13317" width="8.88671875" style="2"/>
    <col min="13318" max="13318" width="3.88671875" style="2" customWidth="1"/>
    <col min="13319" max="13323" width="8.88671875" style="2"/>
    <col min="13324" max="13324" width="18.44140625" style="2" bestFit="1" customWidth="1"/>
    <col min="13325" max="13568" width="8.88671875" style="2"/>
    <col min="13569" max="13569" width="26.5546875" style="2" customWidth="1"/>
    <col min="13570" max="13573" width="8.88671875" style="2"/>
    <col min="13574" max="13574" width="3.88671875" style="2" customWidth="1"/>
    <col min="13575" max="13579" width="8.88671875" style="2"/>
    <col min="13580" max="13580" width="18.44140625" style="2" bestFit="1" customWidth="1"/>
    <col min="13581" max="13824" width="8.88671875" style="2"/>
    <col min="13825" max="13825" width="26.5546875" style="2" customWidth="1"/>
    <col min="13826" max="13829" width="8.88671875" style="2"/>
    <col min="13830" max="13830" width="3.88671875" style="2" customWidth="1"/>
    <col min="13831" max="13835" width="8.88671875" style="2"/>
    <col min="13836" max="13836" width="18.44140625" style="2" bestFit="1" customWidth="1"/>
    <col min="13837" max="14080" width="8.88671875" style="2"/>
    <col min="14081" max="14081" width="26.5546875" style="2" customWidth="1"/>
    <col min="14082" max="14085" width="8.88671875" style="2"/>
    <col min="14086" max="14086" width="3.88671875" style="2" customWidth="1"/>
    <col min="14087" max="14091" width="8.88671875" style="2"/>
    <col min="14092" max="14092" width="18.44140625" style="2" bestFit="1" customWidth="1"/>
    <col min="14093" max="14336" width="8.88671875" style="2"/>
    <col min="14337" max="14337" width="26.5546875" style="2" customWidth="1"/>
    <col min="14338" max="14341" width="8.88671875" style="2"/>
    <col min="14342" max="14342" width="3.88671875" style="2" customWidth="1"/>
    <col min="14343" max="14347" width="8.88671875" style="2"/>
    <col min="14348" max="14348" width="18.44140625" style="2" bestFit="1" customWidth="1"/>
    <col min="14349" max="14592" width="8.88671875" style="2"/>
    <col min="14593" max="14593" width="26.5546875" style="2" customWidth="1"/>
    <col min="14594" max="14597" width="8.88671875" style="2"/>
    <col min="14598" max="14598" width="3.88671875" style="2" customWidth="1"/>
    <col min="14599" max="14603" width="8.88671875" style="2"/>
    <col min="14604" max="14604" width="18.44140625" style="2" bestFit="1" customWidth="1"/>
    <col min="14605" max="14848" width="8.88671875" style="2"/>
    <col min="14849" max="14849" width="26.5546875" style="2" customWidth="1"/>
    <col min="14850" max="14853" width="8.88671875" style="2"/>
    <col min="14854" max="14854" width="3.88671875" style="2" customWidth="1"/>
    <col min="14855" max="14859" width="8.88671875" style="2"/>
    <col min="14860" max="14860" width="18.44140625" style="2" bestFit="1" customWidth="1"/>
    <col min="14861" max="15104" width="8.88671875" style="2"/>
    <col min="15105" max="15105" width="26.5546875" style="2" customWidth="1"/>
    <col min="15106" max="15109" width="8.88671875" style="2"/>
    <col min="15110" max="15110" width="3.88671875" style="2" customWidth="1"/>
    <col min="15111" max="15115" width="8.88671875" style="2"/>
    <col min="15116" max="15116" width="18.44140625" style="2" bestFit="1" customWidth="1"/>
    <col min="15117" max="15360" width="8.88671875" style="2"/>
    <col min="15361" max="15361" width="26.5546875" style="2" customWidth="1"/>
    <col min="15362" max="15365" width="8.88671875" style="2"/>
    <col min="15366" max="15366" width="3.88671875" style="2" customWidth="1"/>
    <col min="15367" max="15371" width="8.88671875" style="2"/>
    <col min="15372" max="15372" width="18.44140625" style="2" bestFit="1" customWidth="1"/>
    <col min="15373" max="15616" width="8.88671875" style="2"/>
    <col min="15617" max="15617" width="26.5546875" style="2" customWidth="1"/>
    <col min="15618" max="15621" width="8.88671875" style="2"/>
    <col min="15622" max="15622" width="3.88671875" style="2" customWidth="1"/>
    <col min="15623" max="15627" width="8.88671875" style="2"/>
    <col min="15628" max="15628" width="18.44140625" style="2" bestFit="1" customWidth="1"/>
    <col min="15629" max="15872" width="8.88671875" style="2"/>
    <col min="15873" max="15873" width="26.5546875" style="2" customWidth="1"/>
    <col min="15874" max="15877" width="8.88671875" style="2"/>
    <col min="15878" max="15878" width="3.88671875" style="2" customWidth="1"/>
    <col min="15879" max="15883" width="8.88671875" style="2"/>
    <col min="15884" max="15884" width="18.44140625" style="2" bestFit="1" customWidth="1"/>
    <col min="15885" max="16128" width="8.88671875" style="2"/>
    <col min="16129" max="16129" width="26.5546875" style="2" customWidth="1"/>
    <col min="16130" max="16133" width="8.88671875" style="2"/>
    <col min="16134" max="16134" width="3.88671875" style="2" customWidth="1"/>
    <col min="16135" max="16139" width="8.88671875" style="2"/>
    <col min="16140" max="16140" width="18.44140625" style="2" bestFit="1" customWidth="1"/>
    <col min="16141" max="16384" width="8.88671875" style="2"/>
  </cols>
  <sheetData>
    <row r="1" spans="1:12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3" t="s">
        <v>1</v>
      </c>
      <c r="D2" s="3" t="s">
        <v>2</v>
      </c>
      <c r="G2" s="3"/>
    </row>
    <row r="3" spans="1:12" ht="15.6" x14ac:dyDescent="0.35">
      <c r="A3" s="2" t="s">
        <v>3</v>
      </c>
      <c r="B3" s="4">
        <v>0.12</v>
      </c>
      <c r="D3" s="2" t="s">
        <v>4</v>
      </c>
      <c r="E3" s="5">
        <f>(1+B5-B9)/((1+B5)*(B8-B9))</f>
        <v>0.30874021684718816</v>
      </c>
      <c r="F3" s="2" t="str">
        <f ca="1">_xlfn.FORMULATEXT(E3)</f>
        <v>=(1+B5-B9)/((1+B5)*(B8-B9))</v>
      </c>
    </row>
    <row r="4" spans="1:12" ht="15.6" x14ac:dyDescent="0.35">
      <c r="A4" s="2" t="s">
        <v>5</v>
      </c>
      <c r="B4" s="4">
        <v>0.3</v>
      </c>
      <c r="D4" s="2" t="s">
        <v>6</v>
      </c>
      <c r="E4" s="5">
        <f>(B8-1-B5)/((1+B5)*(B8-B9))</f>
        <v>0.63465600956790613</v>
      </c>
      <c r="F4" s="2" t="str">
        <f ca="1">_xlfn.FORMULATEXT(E4)</f>
        <v>=(B8-1-B5)/((1+B5)*(B8-B9))</v>
      </c>
    </row>
    <row r="5" spans="1:12" x14ac:dyDescent="0.25">
      <c r="A5" s="2" t="s">
        <v>7</v>
      </c>
      <c r="B5" s="4">
        <v>0.06</v>
      </c>
    </row>
    <row r="7" spans="1:12" x14ac:dyDescent="0.25">
      <c r="A7" s="3" t="s">
        <v>8</v>
      </c>
    </row>
    <row r="8" spans="1:12" x14ac:dyDescent="0.25">
      <c r="A8" s="2" t="s">
        <v>9</v>
      </c>
      <c r="B8" s="2">
        <f>EXP(B3+B4)</f>
        <v>1.5219615556186337</v>
      </c>
      <c r="C8" s="2" t="str">
        <f ca="1">_xlfn.FORMULATEXT(B8)&amp;" , note that a valid alternative is 'Up' = EXP("&amp;CHAR(COLUMN(B4)+64)&amp;ROW(B4)&amp;")"</f>
        <v>=EXP(B3+B4) , note that a valid alternative is 'Up' = EXP(B4)</v>
      </c>
    </row>
    <row r="9" spans="1:12" x14ac:dyDescent="0.25">
      <c r="A9" s="2" t="s">
        <v>10</v>
      </c>
      <c r="B9" s="2">
        <f>EXP(B3-B4)</f>
        <v>0.835270211411272</v>
      </c>
      <c r="C9" s="2" t="str">
        <f ca="1">_xlfn.FORMULATEXT(B9)&amp;" , note that a valid alternative is 'Down' = EXP(-"&amp;CHAR(COLUMN(B4)+64)&amp;ROW(B4)&amp;")"</f>
        <v>=EXP(B3-B4) , note that a valid alternative is 'Down' = EXP(-B4)</v>
      </c>
    </row>
    <row r="12" spans="1:12" x14ac:dyDescent="0.25">
      <c r="A12" s="3" t="s">
        <v>11</v>
      </c>
      <c r="G12" s="3" t="s">
        <v>12</v>
      </c>
    </row>
    <row r="13" spans="1:12" x14ac:dyDescent="0.25">
      <c r="A13" s="3"/>
      <c r="G13" s="3"/>
    </row>
    <row r="14" spans="1:12" x14ac:dyDescent="0.25">
      <c r="E14" s="6">
        <v>150</v>
      </c>
      <c r="K14" s="7">
        <f>E3^2</f>
        <v>9.5320521498848773E-2</v>
      </c>
      <c r="L14" s="2" t="str">
        <f ca="1">_xlfn.FORMULATEXT(K14)</f>
        <v>=E3^2</v>
      </c>
    </row>
    <row r="15" spans="1:12" x14ac:dyDescent="0.25">
      <c r="C15" s="6">
        <v>100</v>
      </c>
      <c r="E15" s="6"/>
      <c r="I15" s="7">
        <f>E3</f>
        <v>0.30874021684718816</v>
      </c>
      <c r="K15" s="7"/>
    </row>
    <row r="16" spans="1:12" x14ac:dyDescent="0.25">
      <c r="C16" s="6"/>
      <c r="E16" s="6">
        <v>80</v>
      </c>
      <c r="I16" s="6"/>
      <c r="K16" s="7">
        <f>E3*E4</f>
        <v>0.19594383401736645</v>
      </c>
      <c r="L16" s="2" t="str">
        <f ca="1">_xlfn.FORMULATEXT(K16)</f>
        <v>=E3*E4</v>
      </c>
    </row>
    <row r="17" spans="1:12" x14ac:dyDescent="0.25">
      <c r="A17" s="2">
        <v>-50</v>
      </c>
      <c r="C17" s="6"/>
      <c r="E17" s="6"/>
      <c r="G17" s="2">
        <v>1</v>
      </c>
      <c r="I17" s="6"/>
      <c r="K17" s="7"/>
    </row>
    <row r="18" spans="1:12" x14ac:dyDescent="0.25">
      <c r="C18" s="6"/>
      <c r="E18" s="6">
        <f>E16</f>
        <v>80</v>
      </c>
      <c r="I18" s="6"/>
      <c r="K18" s="7">
        <f>E3*E4</f>
        <v>0.19594383401736645</v>
      </c>
      <c r="L18" s="2" t="str">
        <f ca="1">_xlfn.FORMULATEXT(K18)</f>
        <v>=E3*E4</v>
      </c>
    </row>
    <row r="19" spans="1:12" x14ac:dyDescent="0.25">
      <c r="C19" s="6">
        <v>-50</v>
      </c>
      <c r="E19" s="6"/>
      <c r="I19" s="7">
        <f>E4</f>
        <v>0.63465600956790613</v>
      </c>
      <c r="K19" s="7"/>
    </row>
    <row r="20" spans="1:12" x14ac:dyDescent="0.25">
      <c r="E20" s="6">
        <v>-60</v>
      </c>
      <c r="K20" s="7">
        <f>E4^2</f>
        <v>0.40278825048065814</v>
      </c>
      <c r="L20" s="2" t="str">
        <f ca="1">_xlfn.FORMULATEXT(K20)</f>
        <v>=E4^2</v>
      </c>
    </row>
    <row r="22" spans="1:12" x14ac:dyDescent="0.25">
      <c r="A22" s="3" t="s">
        <v>13</v>
      </c>
    </row>
    <row r="23" spans="1:12" x14ac:dyDescent="0.25">
      <c r="E23" s="7">
        <f>E14*K14</f>
        <v>14.298078224827316</v>
      </c>
      <c r="F23" s="2" t="str">
        <f ca="1">_xlfn.FORMULATEXT(E23)</f>
        <v>=E14*K14</v>
      </c>
    </row>
    <row r="24" spans="1:12" x14ac:dyDescent="0.25">
      <c r="C24" s="7">
        <f>C15*I15</f>
        <v>30.874021684718816</v>
      </c>
      <c r="E24" s="7"/>
    </row>
    <row r="25" spans="1:12" x14ac:dyDescent="0.25">
      <c r="C25" s="6"/>
      <c r="E25" s="7">
        <f>E16*K16</f>
        <v>15.675506721389317</v>
      </c>
      <c r="F25" s="2" t="str">
        <f ca="1">_xlfn.FORMULATEXT(E25)</f>
        <v>=E16*K16</v>
      </c>
    </row>
    <row r="26" spans="1:12" x14ac:dyDescent="0.25">
      <c r="A26" s="2">
        <f>A17*G17</f>
        <v>-50</v>
      </c>
      <c r="C26" s="6"/>
      <c r="E26" s="7"/>
    </row>
    <row r="27" spans="1:12" x14ac:dyDescent="0.25">
      <c r="C27" s="6"/>
      <c r="E27" s="7">
        <f>E18*K18</f>
        <v>15.675506721389317</v>
      </c>
      <c r="F27" s="2" t="str">
        <f ca="1">_xlfn.FORMULATEXT(E27)</f>
        <v>=E18*K18</v>
      </c>
    </row>
    <row r="28" spans="1:12" x14ac:dyDescent="0.25">
      <c r="C28" s="6">
        <f>C19*I19</f>
        <v>-31.732800478395305</v>
      </c>
      <c r="E28" s="7"/>
    </row>
    <row r="29" spans="1:12" x14ac:dyDescent="0.25">
      <c r="E29" s="7">
        <f>E20*K20</f>
        <v>-24.16729502883949</v>
      </c>
      <c r="F29" s="2" t="str">
        <f ca="1">_xlfn.FORMULATEXT(E29)</f>
        <v>=E20*K20</v>
      </c>
    </row>
    <row r="30" spans="1:12" x14ac:dyDescent="0.25">
      <c r="E30" s="6"/>
    </row>
    <row r="31" spans="1:12" x14ac:dyDescent="0.25">
      <c r="A31" s="8" t="s">
        <v>14</v>
      </c>
      <c r="B31" s="9"/>
      <c r="C31" s="10">
        <f>SUM(A23:E29)</f>
        <v>-29.376982154910024</v>
      </c>
      <c r="D31" s="2" t="str">
        <f ca="1">_xlfn.FORMULATEXT(C31)</f>
        <v>=SUM(A23:E29)</v>
      </c>
    </row>
    <row r="34" spans="1:12" x14ac:dyDescent="0.25">
      <c r="A34" s="3" t="s">
        <v>15</v>
      </c>
      <c r="G34" s="3" t="s">
        <v>16</v>
      </c>
    </row>
    <row r="35" spans="1:12" x14ac:dyDescent="0.25">
      <c r="A35" s="3"/>
    </row>
    <row r="36" spans="1:12" x14ac:dyDescent="0.25">
      <c r="E36" s="6">
        <v>150</v>
      </c>
      <c r="K36" s="7">
        <f>E36*K14</f>
        <v>14.298078224827316</v>
      </c>
      <c r="L36" s="2" t="str">
        <f ca="1">_xlfn.FORMULATEXT(K36)</f>
        <v>=E36*K14</v>
      </c>
    </row>
    <row r="37" spans="1:12" x14ac:dyDescent="0.25">
      <c r="C37" s="6">
        <v>100</v>
      </c>
      <c r="E37" s="6"/>
      <c r="I37" s="7">
        <f>C37*I15</f>
        <v>30.874021684718816</v>
      </c>
      <c r="K37" s="7"/>
    </row>
    <row r="38" spans="1:12" x14ac:dyDescent="0.25">
      <c r="C38" s="6"/>
      <c r="E38" s="6">
        <v>80</v>
      </c>
      <c r="I38" s="6"/>
      <c r="K38" s="7">
        <f>E38*K16</f>
        <v>15.675506721389317</v>
      </c>
      <c r="L38" s="2" t="str">
        <f ca="1">_xlfn.FORMULATEXT(K38)</f>
        <v>=E38*K16</v>
      </c>
    </row>
    <row r="39" spans="1:12" x14ac:dyDescent="0.25">
      <c r="A39" s="2">
        <v>-50</v>
      </c>
      <c r="C39" s="6"/>
      <c r="E39" s="6"/>
      <c r="G39" s="2">
        <f>A39*G17</f>
        <v>-50</v>
      </c>
      <c r="I39" s="6"/>
      <c r="K39" s="6"/>
    </row>
    <row r="40" spans="1:12" x14ac:dyDescent="0.25">
      <c r="C40" s="6"/>
      <c r="E40" s="6">
        <v>0</v>
      </c>
      <c r="I40" s="6"/>
      <c r="K40" s="6">
        <f>E40*K18</f>
        <v>0</v>
      </c>
    </row>
    <row r="41" spans="1:12" x14ac:dyDescent="0.25">
      <c r="C41" s="6">
        <v>0</v>
      </c>
      <c r="E41" s="6"/>
      <c r="I41" s="6">
        <f>C41*I19</f>
        <v>0</v>
      </c>
      <c r="K41" s="6"/>
    </row>
    <row r="42" spans="1:12" x14ac:dyDescent="0.25">
      <c r="E42" s="6">
        <v>0</v>
      </c>
      <c r="K42" s="6">
        <f>E42*K20</f>
        <v>0</v>
      </c>
    </row>
    <row r="45" spans="1:12" x14ac:dyDescent="0.25">
      <c r="G45" s="8" t="s">
        <v>16</v>
      </c>
      <c r="H45" s="9"/>
      <c r="I45" s="9"/>
      <c r="J45" s="9"/>
      <c r="K45" s="10">
        <f>SUM(G36:K42)</f>
        <v>10.847606630935452</v>
      </c>
      <c r="L45" s="2" t="str">
        <f ca="1">_xlfn.FORMULATEXT(K45)</f>
        <v>=SUM(G36:K42)</v>
      </c>
    </row>
  </sheetData>
  <mergeCells count="1">
    <mergeCell ref="A1:L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653-655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2024-12-12T07:39:31Z</dcterms:modified>
</cp:coreProperties>
</file>