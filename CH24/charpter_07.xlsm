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24\"/>
    </mc:Choice>
  </mc:AlternateContent>
  <xr:revisionPtr revIDLastSave="0" documentId="13_ncr:1_{5EA2D71F-6857-4DB3-AB90-A7C15C2A41D4}" xr6:coauthVersionLast="47" xr6:coauthVersionMax="47" xr10:uidLastSave="{00000000-0000-0000-0000-000000000000}"/>
  <bookViews>
    <workbookView xWindow="-38520" yWindow="-120" windowWidth="38640" windowHeight="21120" activeTab="1" xr2:uid="{EA6F33A8-FE0E-48B1-8C74-8B2321C6BA8B}"/>
  </bookViews>
  <sheets>
    <sheet name="Sheet1" sheetId="1" r:id="rId1"/>
    <sheet name="Page 664" sheetId="2" r:id="rId2"/>
  </sheets>
  <externalReferences>
    <externalReference r:id="rId3"/>
  </externalReferences>
  <definedNames>
    <definedName name="Down">#REF!</definedName>
    <definedName name="init">#REF!</definedName>
    <definedName name="qd">#REF!</definedName>
    <definedName name="qu">#REF!</definedName>
    <definedName name="rf">#REF!</definedName>
    <definedName name="rp">#REF!</definedName>
    <definedName name="solver_adj" localSheetId="1" hidden="1">'Page 664'!$B$11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100</definedName>
    <definedName name="solver_lin" localSheetId="1" hidden="1">2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2</definedName>
    <definedName name="solver_nod" localSheetId="1" hidden="1">2147483647</definedName>
    <definedName name="solver_num" localSheetId="1" hidden="1">0</definedName>
    <definedName name="solver_nwt" localSheetId="1" hidden="1">1</definedName>
    <definedName name="solver_opt" localSheetId="1" hidden="1">'Page 664'!$B$47</definedName>
    <definedName name="solver_pre" localSheetId="1" hidden="1">0.000001</definedName>
    <definedName name="solver_rbv" localSheetId="1" hidden="1">1</definedName>
    <definedName name="solver_rlx" localSheetId="1" hidden="1">1</definedName>
    <definedName name="solver_rsd" localSheetId="1" hidden="1">0</definedName>
    <definedName name="solver_scl" localSheetId="1" hidden="1">2</definedName>
    <definedName name="solver_sho" localSheetId="1" hidden="1">2</definedName>
    <definedName name="solver_ssz" localSheetId="1" hidden="1">100</definedName>
    <definedName name="solver_tim" localSheetId="1" hidden="1">100</definedName>
    <definedName name="solver_tol" localSheetId="1" hidden="1">0.05</definedName>
    <definedName name="solver_typ" localSheetId="1" hidden="1">3</definedName>
    <definedName name="solver_val" localSheetId="1" hidden="1">0</definedName>
    <definedName name="solver_ver" localSheetId="1" hidden="1">3</definedName>
    <definedName name="Up">#REF!</definedName>
  </definedNam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46" i="2" l="1"/>
  <c r="C39" i="2"/>
  <c r="D37" i="2" s="1"/>
  <c r="E34" i="2"/>
  <c r="F33" i="2"/>
  <c r="G32" i="2"/>
  <c r="H31" i="2"/>
  <c r="J30" i="2"/>
  <c r="B25" i="2"/>
  <c r="C23" i="2"/>
  <c r="B12" i="2"/>
  <c r="G34" i="2" s="1"/>
  <c r="B8" i="2"/>
  <c r="B7" i="2"/>
  <c r="B5" i="2"/>
  <c r="H4" i="2"/>
  <c r="B4" i="2"/>
  <c r="D21" i="2" s="1"/>
  <c r="B3" i="2"/>
  <c r="B2" i="2"/>
  <c r="J20" i="2" s="1"/>
  <c r="C44" i="2"/>
  <c r="K38" i="2"/>
  <c r="K36" i="2"/>
  <c r="K34" i="2"/>
  <c r="K32" i="2"/>
  <c r="K30" i="2"/>
  <c r="K22" i="2"/>
  <c r="K20" i="2"/>
  <c r="C7" i="2"/>
  <c r="K18" i="2"/>
  <c r="K16" i="2"/>
  <c r="C12" i="2"/>
  <c r="K14" i="2"/>
  <c r="C8" i="2"/>
  <c r="K45" i="2"/>
  <c r="J36" i="2" l="1"/>
  <c r="J34" i="2"/>
  <c r="H19" i="2"/>
  <c r="H15" i="2"/>
  <c r="H21" i="2"/>
  <c r="G16" i="2"/>
  <c r="J22" i="2"/>
  <c r="F35" i="2"/>
  <c r="J14" i="2"/>
  <c r="J16" i="2"/>
  <c r="H35" i="2"/>
  <c r="G36" i="2"/>
  <c r="F17" i="2"/>
  <c r="E18" i="2"/>
  <c r="H17" i="2"/>
  <c r="G18" i="2"/>
  <c r="H37" i="2"/>
  <c r="J18" i="2"/>
  <c r="J38" i="2"/>
  <c r="J32" i="2"/>
  <c r="F19" i="2"/>
  <c r="G20" i="2"/>
  <c r="H33" i="2"/>
  <c r="B44" i="2" l="1"/>
  <c r="B47" i="2" s="1"/>
</calcChain>
</file>

<file path=xl/sharedStrings.xml><?xml version="1.0" encoding="utf-8"?>
<sst xmlns="http://schemas.openxmlformats.org/spreadsheetml/2006/main" count="22" uniqueCount="22">
  <si>
    <t>BIOTECH PROJECT, BINOMIAL TREE FOR THE CASH FLOWS</t>
  </si>
  <si>
    <t>Marketing phase, Initial revenue</t>
  </si>
  <si>
    <r>
      <t>T</t>
    </r>
    <r>
      <rPr>
        <sz val="10"/>
        <rFont val="Arial"/>
        <family val="2"/>
      </rPr>
      <t>he expected return and variance of return</t>
    </r>
  </si>
  <si>
    <t>Marketing, annual cost</t>
  </si>
  <si>
    <t>is given by:</t>
  </si>
  <si>
    <t>Clinical annual cost</t>
  </si>
  <si>
    <t>Expected</t>
  </si>
  <si>
    <t>Initial, annual cost</t>
  </si>
  <si>
    <t>Sigma</t>
  </si>
  <si>
    <t>Up</t>
  </si>
  <si>
    <t>Down</t>
  </si>
  <si>
    <t>State prices</t>
  </si>
  <si>
    <r>
      <t xml:space="preserve">    q</t>
    </r>
    <r>
      <rPr>
        <vertAlign val="subscript"/>
        <sz val="10"/>
        <rFont val="Arial"/>
        <family val="2"/>
      </rPr>
      <t>u</t>
    </r>
  </si>
  <si>
    <r>
      <t xml:space="preserve">    q</t>
    </r>
    <r>
      <rPr>
        <vertAlign val="subscript"/>
        <sz val="10"/>
        <rFont val="Arial"/>
        <family val="2"/>
      </rPr>
      <t>d</t>
    </r>
  </si>
  <si>
    <t>Net cash flows</t>
  </si>
  <si>
    <t>Time line</t>
  </si>
  <si>
    <t>State prices (to start of market phase)</t>
  </si>
  <si>
    <t>Binomial tree valuation</t>
  </si>
  <si>
    <t>Target</t>
  </si>
  <si>
    <t>DCF valuation</t>
  </si>
  <si>
    <t>DCF valuation - 
binomial tree value</t>
  </si>
  <si>
    <t>&lt;-- Should be zero for correct state prices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</si>
</sst>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.0000"/>
    <numFmt numFmtId="177" formatCode="0_ "/>
  </numFmts>
  <fonts count="8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>
      <alignment vertical="center"/>
    </xf>
    <xf numFmtId="0" fontId="2" fillId="0" borderId="0"/>
    <xf numFmtId="9" fontId="2" fillId="0" borderId="0" applyFont="0" applyFill="0" applyBorder="0" applyAlignment="0" applyProtection="0"/>
  </cellStyleXfs>
  <cellXfs count="19">
    <xf numFmtId="0" fontId="0" fillId="0" borderId="0" xfId="0">
      <alignment vertical="center"/>
    </xf>
    <xf numFmtId="0" fontId="3" fillId="0" borderId="0" xfId="1" applyFont="1" applyAlignment="1">
      <alignment horizontal="center"/>
    </xf>
    <xf numFmtId="0" fontId="2" fillId="0" borderId="0" xfId="1"/>
    <xf numFmtId="3" fontId="2" fillId="0" borderId="0" xfId="1" applyNumberFormat="1"/>
    <xf numFmtId="0" fontId="4" fillId="0" borderId="0" xfId="1" applyFont="1"/>
    <xf numFmtId="9" fontId="2" fillId="0" borderId="0" xfId="1" applyNumberFormat="1"/>
    <xf numFmtId="9" fontId="2" fillId="0" borderId="0" xfId="2"/>
    <xf numFmtId="0" fontId="2" fillId="2" borderId="0" xfId="1" applyFill="1"/>
    <xf numFmtId="176" fontId="2" fillId="2" borderId="0" xfId="1" applyNumberFormat="1" applyFill="1"/>
    <xf numFmtId="3" fontId="2" fillId="0" borderId="0" xfId="1" applyNumberFormat="1" applyAlignment="1">
      <alignment horizontal="center"/>
    </xf>
    <xf numFmtId="0" fontId="4" fillId="0" borderId="0" xfId="1" applyFont="1" applyAlignment="1">
      <alignment horizontal="center"/>
    </xf>
    <xf numFmtId="176" fontId="2" fillId="0" borderId="0" xfId="1" applyNumberFormat="1" applyAlignment="1">
      <alignment horizontal="center"/>
    </xf>
    <xf numFmtId="176" fontId="2" fillId="0" borderId="0" xfId="1" applyNumberFormat="1"/>
    <xf numFmtId="0" fontId="2" fillId="0" borderId="0" xfId="1" applyAlignment="1">
      <alignment horizontal="left" indent="1"/>
    </xf>
    <xf numFmtId="0" fontId="4" fillId="2" borderId="0" xfId="1" applyFont="1" applyFill="1" applyAlignment="1">
      <alignment horizontal="left" vertical="center" wrapText="1" indent="1"/>
    </xf>
    <xf numFmtId="3" fontId="2" fillId="2" borderId="0" xfId="1" applyNumberFormat="1" applyFill="1"/>
    <xf numFmtId="0" fontId="6" fillId="0" borderId="0" xfId="1" applyFont="1" applyAlignment="1">
      <alignment horizontal="center"/>
    </xf>
    <xf numFmtId="0" fontId="2" fillId="0" borderId="0" xfId="1" applyAlignment="1">
      <alignment horizontal="center"/>
    </xf>
    <xf numFmtId="177" fontId="7" fillId="0" borderId="0" xfId="1" applyNumberFormat="1" applyFont="1" applyAlignment="1">
      <alignment horizontal="center"/>
    </xf>
  </cellXfs>
  <cellStyles count="3">
    <cellStyle name="百分比 2" xfId="2" xr:uid="{E81A3905-10D0-49E4-8652-075697CF705C}"/>
    <cellStyle name="常规" xfId="0" builtinId="0"/>
    <cellStyle name="常规 2" xfId="1" xr:uid="{43413263-7EC3-43E3-9771-A1F5AAE07A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</xdr:colOff>
      <xdr:row>17</xdr:row>
      <xdr:rowOff>91440</xdr:rowOff>
    </xdr:from>
    <xdr:to>
      <xdr:col>5</xdr:col>
      <xdr:colOff>22860</xdr:colOff>
      <xdr:row>20</xdr:row>
      <xdr:rowOff>83820</xdr:rowOff>
    </xdr:to>
    <xdr:sp macro="" textlink="">
      <xdr:nvSpPr>
        <xdr:cNvPr id="2" name="Line 1">
          <a:extLst>
            <a:ext uri="{FF2B5EF4-FFF2-40B4-BE49-F238E27FC236}">
              <a16:creationId xmlns:a16="http://schemas.microsoft.com/office/drawing/2014/main" id="{7B005344-2F09-428E-89C1-35F4C6DCC73E}"/>
            </a:ext>
          </a:extLst>
        </xdr:cNvPr>
        <xdr:cNvSpPr>
          <a:spLocks noChangeShapeType="1"/>
        </xdr:cNvSpPr>
      </xdr:nvSpPr>
      <xdr:spPr bwMode="auto">
        <a:xfrm flipV="1">
          <a:off x="3810000" y="3114675"/>
          <a:ext cx="771525" cy="504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20</xdr:row>
      <xdr:rowOff>68580</xdr:rowOff>
    </xdr:from>
    <xdr:to>
      <xdr:col>5</xdr:col>
      <xdr:colOff>0</xdr:colOff>
      <xdr:row>22</xdr:row>
      <xdr:rowOff>106680</xdr:rowOff>
    </xdr:to>
    <xdr:sp macro="" textlink="">
      <xdr:nvSpPr>
        <xdr:cNvPr id="3" name="Line 2">
          <a:extLst>
            <a:ext uri="{FF2B5EF4-FFF2-40B4-BE49-F238E27FC236}">
              <a16:creationId xmlns:a16="http://schemas.microsoft.com/office/drawing/2014/main" id="{79837FEB-30B1-4B27-A79B-C546FFA047D1}"/>
            </a:ext>
          </a:extLst>
        </xdr:cNvPr>
        <xdr:cNvSpPr>
          <a:spLocks noChangeShapeType="1"/>
        </xdr:cNvSpPr>
      </xdr:nvSpPr>
      <xdr:spPr bwMode="auto">
        <a:xfrm>
          <a:off x="3819525" y="3600450"/>
          <a:ext cx="74295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17</xdr:row>
      <xdr:rowOff>91440</xdr:rowOff>
    </xdr:from>
    <xdr:to>
      <xdr:col>6</xdr:col>
      <xdr:colOff>7620</xdr:colOff>
      <xdr:row>18</xdr:row>
      <xdr:rowOff>91440</xdr:rowOff>
    </xdr:to>
    <xdr:sp macro="" textlink="">
      <xdr:nvSpPr>
        <xdr:cNvPr id="4" name="Line 3">
          <a:extLst>
            <a:ext uri="{FF2B5EF4-FFF2-40B4-BE49-F238E27FC236}">
              <a16:creationId xmlns:a16="http://schemas.microsoft.com/office/drawing/2014/main" id="{4ABDF928-954C-410B-B9E3-FB2FCE679DAE}"/>
            </a:ext>
          </a:extLst>
        </xdr:cNvPr>
        <xdr:cNvSpPr>
          <a:spLocks noChangeShapeType="1"/>
        </xdr:cNvSpPr>
      </xdr:nvSpPr>
      <xdr:spPr bwMode="auto">
        <a:xfrm>
          <a:off x="4581525" y="3114675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16</xdr:row>
      <xdr:rowOff>53340</xdr:rowOff>
    </xdr:from>
    <xdr:to>
      <xdr:col>6</xdr:col>
      <xdr:colOff>0</xdr:colOff>
      <xdr:row>17</xdr:row>
      <xdr:rowOff>91440</xdr:rowOff>
    </xdr:to>
    <xdr:sp macro="" textlink="">
      <xdr:nvSpPr>
        <xdr:cNvPr id="5" name="Line 4">
          <a:extLst>
            <a:ext uri="{FF2B5EF4-FFF2-40B4-BE49-F238E27FC236}">
              <a16:creationId xmlns:a16="http://schemas.microsoft.com/office/drawing/2014/main" id="{DE887EB6-5ED8-4D46-8AD8-9DBF2138FAC0}"/>
            </a:ext>
          </a:extLst>
        </xdr:cNvPr>
        <xdr:cNvSpPr>
          <a:spLocks noChangeShapeType="1"/>
        </xdr:cNvSpPr>
      </xdr:nvSpPr>
      <xdr:spPr bwMode="auto">
        <a:xfrm flipV="1">
          <a:off x="4581525" y="2905125"/>
          <a:ext cx="65722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16</xdr:row>
      <xdr:rowOff>53340</xdr:rowOff>
    </xdr:from>
    <xdr:to>
      <xdr:col>7</xdr:col>
      <xdr:colOff>0</xdr:colOff>
      <xdr:row>17</xdr:row>
      <xdr:rowOff>68580</xdr:rowOff>
    </xdr:to>
    <xdr:sp macro="" textlink="">
      <xdr:nvSpPr>
        <xdr:cNvPr id="6" name="Line 5">
          <a:extLst>
            <a:ext uri="{FF2B5EF4-FFF2-40B4-BE49-F238E27FC236}">
              <a16:creationId xmlns:a16="http://schemas.microsoft.com/office/drawing/2014/main" id="{982AACE7-67BA-4000-B3A2-E980410E38B7}"/>
            </a:ext>
          </a:extLst>
        </xdr:cNvPr>
        <xdr:cNvSpPr>
          <a:spLocks noChangeShapeType="1"/>
        </xdr:cNvSpPr>
      </xdr:nvSpPr>
      <xdr:spPr bwMode="auto">
        <a:xfrm>
          <a:off x="5238750" y="290512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518160</xdr:colOff>
      <xdr:row>15</xdr:row>
      <xdr:rowOff>68580</xdr:rowOff>
    </xdr:from>
    <xdr:to>
      <xdr:col>7</xdr:col>
      <xdr:colOff>0</xdr:colOff>
      <xdr:row>16</xdr:row>
      <xdr:rowOff>60960</xdr:rowOff>
    </xdr:to>
    <xdr:sp macro="" textlink="">
      <xdr:nvSpPr>
        <xdr:cNvPr id="7" name="Line 6">
          <a:extLst>
            <a:ext uri="{FF2B5EF4-FFF2-40B4-BE49-F238E27FC236}">
              <a16:creationId xmlns:a16="http://schemas.microsoft.com/office/drawing/2014/main" id="{A60CA6CE-F05A-4157-966B-F20CCA5B91F4}"/>
            </a:ext>
          </a:extLst>
        </xdr:cNvPr>
        <xdr:cNvSpPr>
          <a:spLocks noChangeShapeType="1"/>
        </xdr:cNvSpPr>
      </xdr:nvSpPr>
      <xdr:spPr bwMode="auto">
        <a:xfrm flipV="1">
          <a:off x="5076825" y="2743200"/>
          <a:ext cx="828675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17</xdr:row>
      <xdr:rowOff>68580</xdr:rowOff>
    </xdr:from>
    <xdr:to>
      <xdr:col>7</xdr:col>
      <xdr:colOff>0</xdr:colOff>
      <xdr:row>18</xdr:row>
      <xdr:rowOff>76200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23AF749B-BBF5-4590-9D3A-6647AF007E36}"/>
            </a:ext>
          </a:extLst>
        </xdr:cNvPr>
        <xdr:cNvSpPr>
          <a:spLocks noChangeShapeType="1"/>
        </xdr:cNvSpPr>
      </xdr:nvSpPr>
      <xdr:spPr bwMode="auto">
        <a:xfrm flipV="1">
          <a:off x="5257800" y="3086100"/>
          <a:ext cx="6477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18</xdr:row>
      <xdr:rowOff>91440</xdr:rowOff>
    </xdr:from>
    <xdr:to>
      <xdr:col>7</xdr:col>
      <xdr:colOff>0</xdr:colOff>
      <xdr:row>19</xdr:row>
      <xdr:rowOff>91440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33BF4D06-B151-4B2B-8A39-922C9CF19A4B}"/>
            </a:ext>
          </a:extLst>
        </xdr:cNvPr>
        <xdr:cNvSpPr>
          <a:spLocks noChangeShapeType="1"/>
        </xdr:cNvSpPr>
      </xdr:nvSpPr>
      <xdr:spPr bwMode="auto">
        <a:xfrm>
          <a:off x="5248275" y="3286125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15</xdr:row>
      <xdr:rowOff>68580</xdr:rowOff>
    </xdr:from>
    <xdr:to>
      <xdr:col>8</xdr:col>
      <xdr:colOff>15240</xdr:colOff>
      <xdr:row>16</xdr:row>
      <xdr:rowOff>68580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94955B4-8376-4EC1-8FEA-B65A21E575D1}"/>
            </a:ext>
          </a:extLst>
        </xdr:cNvPr>
        <xdr:cNvSpPr>
          <a:spLocks noChangeShapeType="1"/>
        </xdr:cNvSpPr>
      </xdr:nvSpPr>
      <xdr:spPr bwMode="auto">
        <a:xfrm>
          <a:off x="5915025" y="27432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14</xdr:row>
      <xdr:rowOff>76200</xdr:rowOff>
    </xdr:from>
    <xdr:to>
      <xdr:col>8</xdr:col>
      <xdr:colOff>0</xdr:colOff>
      <xdr:row>15</xdr:row>
      <xdr:rowOff>68580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6E7EACF5-00F9-414D-87BC-A2F93D3F435E}"/>
            </a:ext>
          </a:extLst>
        </xdr:cNvPr>
        <xdr:cNvSpPr>
          <a:spLocks noChangeShapeType="1"/>
        </xdr:cNvSpPr>
      </xdr:nvSpPr>
      <xdr:spPr bwMode="auto">
        <a:xfrm flipV="1">
          <a:off x="5924550" y="2581275"/>
          <a:ext cx="590550" cy="1619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495300</xdr:colOff>
      <xdr:row>16</xdr:row>
      <xdr:rowOff>68580</xdr:rowOff>
    </xdr:from>
    <xdr:to>
      <xdr:col>8</xdr:col>
      <xdr:colOff>15240</xdr:colOff>
      <xdr:row>17</xdr:row>
      <xdr:rowOff>68580</xdr:rowOff>
    </xdr:to>
    <xdr:sp macro="" textlink="">
      <xdr:nvSpPr>
        <xdr:cNvPr id="12" name="Line 11">
          <a:extLst>
            <a:ext uri="{FF2B5EF4-FFF2-40B4-BE49-F238E27FC236}">
              <a16:creationId xmlns:a16="http://schemas.microsoft.com/office/drawing/2014/main" id="{4924D20C-140B-4CDD-B2C9-809CCF8A6652}"/>
            </a:ext>
          </a:extLst>
        </xdr:cNvPr>
        <xdr:cNvSpPr>
          <a:spLocks noChangeShapeType="1"/>
        </xdr:cNvSpPr>
      </xdr:nvSpPr>
      <xdr:spPr bwMode="auto">
        <a:xfrm flipV="1">
          <a:off x="5734050" y="2914650"/>
          <a:ext cx="8001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17</xdr:row>
      <xdr:rowOff>76200</xdr:rowOff>
    </xdr:from>
    <xdr:to>
      <xdr:col>8</xdr:col>
      <xdr:colOff>7620</xdr:colOff>
      <xdr:row>18</xdr:row>
      <xdr:rowOff>91440</xdr:rowOff>
    </xdr:to>
    <xdr:sp macro="" textlink="">
      <xdr:nvSpPr>
        <xdr:cNvPr id="13" name="Line 12">
          <a:extLst>
            <a:ext uri="{FF2B5EF4-FFF2-40B4-BE49-F238E27FC236}">
              <a16:creationId xmlns:a16="http://schemas.microsoft.com/office/drawing/2014/main" id="{6BA75F0D-10B9-4CB5-A834-073A17F34BCA}"/>
            </a:ext>
          </a:extLst>
        </xdr:cNvPr>
        <xdr:cNvSpPr>
          <a:spLocks noChangeShapeType="1"/>
        </xdr:cNvSpPr>
      </xdr:nvSpPr>
      <xdr:spPr bwMode="auto">
        <a:xfrm>
          <a:off x="5915025" y="3095625"/>
          <a:ext cx="6096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18</xdr:row>
      <xdr:rowOff>99060</xdr:rowOff>
    </xdr:from>
    <xdr:to>
      <xdr:col>8</xdr:col>
      <xdr:colOff>15240</xdr:colOff>
      <xdr:row>19</xdr:row>
      <xdr:rowOff>91440</xdr:rowOff>
    </xdr:to>
    <xdr:sp macro="" textlink="">
      <xdr:nvSpPr>
        <xdr:cNvPr id="14" name="Line 13">
          <a:extLst>
            <a:ext uri="{FF2B5EF4-FFF2-40B4-BE49-F238E27FC236}">
              <a16:creationId xmlns:a16="http://schemas.microsoft.com/office/drawing/2014/main" id="{CDE1AF06-CAA7-4436-9D0F-D3C5E8A1E31F}"/>
            </a:ext>
          </a:extLst>
        </xdr:cNvPr>
        <xdr:cNvSpPr>
          <a:spLocks noChangeShapeType="1"/>
        </xdr:cNvSpPr>
      </xdr:nvSpPr>
      <xdr:spPr bwMode="auto">
        <a:xfrm flipV="1">
          <a:off x="5905500" y="3286125"/>
          <a:ext cx="6286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19</xdr:row>
      <xdr:rowOff>99060</xdr:rowOff>
    </xdr:from>
    <xdr:to>
      <xdr:col>8</xdr:col>
      <xdr:colOff>7620</xdr:colOff>
      <xdr:row>20</xdr:row>
      <xdr:rowOff>91440</xdr:rowOff>
    </xdr:to>
    <xdr:sp macro="" textlink="">
      <xdr:nvSpPr>
        <xdr:cNvPr id="15" name="Line 14">
          <a:extLst>
            <a:ext uri="{FF2B5EF4-FFF2-40B4-BE49-F238E27FC236}">
              <a16:creationId xmlns:a16="http://schemas.microsoft.com/office/drawing/2014/main" id="{8E4E119D-6A66-4A42-A1F9-5774472E32E4}"/>
            </a:ext>
          </a:extLst>
        </xdr:cNvPr>
        <xdr:cNvSpPr>
          <a:spLocks noChangeShapeType="1"/>
        </xdr:cNvSpPr>
      </xdr:nvSpPr>
      <xdr:spPr bwMode="auto">
        <a:xfrm>
          <a:off x="5905500" y="34575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20</xdr:row>
      <xdr:rowOff>68580</xdr:rowOff>
    </xdr:from>
    <xdr:to>
      <xdr:col>5</xdr:col>
      <xdr:colOff>0</xdr:colOff>
      <xdr:row>22</xdr:row>
      <xdr:rowOff>106680</xdr:rowOff>
    </xdr:to>
    <xdr:sp macro="" textlink="">
      <xdr:nvSpPr>
        <xdr:cNvPr id="16" name="Line 15">
          <a:extLst>
            <a:ext uri="{FF2B5EF4-FFF2-40B4-BE49-F238E27FC236}">
              <a16:creationId xmlns:a16="http://schemas.microsoft.com/office/drawing/2014/main" id="{5FC48BCC-F647-4FB3-86D9-0F22A2D4067F}"/>
            </a:ext>
          </a:extLst>
        </xdr:cNvPr>
        <xdr:cNvSpPr>
          <a:spLocks noChangeShapeType="1"/>
        </xdr:cNvSpPr>
      </xdr:nvSpPr>
      <xdr:spPr bwMode="auto">
        <a:xfrm>
          <a:off x="3819525" y="3600450"/>
          <a:ext cx="74295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17</xdr:row>
      <xdr:rowOff>76200</xdr:rowOff>
    </xdr:from>
    <xdr:to>
      <xdr:col>8</xdr:col>
      <xdr:colOff>7620</xdr:colOff>
      <xdr:row>18</xdr:row>
      <xdr:rowOff>91440</xdr:rowOff>
    </xdr:to>
    <xdr:sp macro="" textlink="">
      <xdr:nvSpPr>
        <xdr:cNvPr id="17" name="Line 16">
          <a:extLst>
            <a:ext uri="{FF2B5EF4-FFF2-40B4-BE49-F238E27FC236}">
              <a16:creationId xmlns:a16="http://schemas.microsoft.com/office/drawing/2014/main" id="{A0718F81-D335-4C94-83AB-06705A71332C}"/>
            </a:ext>
          </a:extLst>
        </xdr:cNvPr>
        <xdr:cNvSpPr>
          <a:spLocks noChangeShapeType="1"/>
        </xdr:cNvSpPr>
      </xdr:nvSpPr>
      <xdr:spPr bwMode="auto">
        <a:xfrm>
          <a:off x="5915025" y="3095625"/>
          <a:ext cx="6096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14</xdr:row>
      <xdr:rowOff>60960</xdr:rowOff>
    </xdr:from>
    <xdr:to>
      <xdr:col>9</xdr:col>
      <xdr:colOff>7620</xdr:colOff>
      <xdr:row>15</xdr:row>
      <xdr:rowOff>76200</xdr:rowOff>
    </xdr:to>
    <xdr:sp macro="" textlink="">
      <xdr:nvSpPr>
        <xdr:cNvPr id="18" name="Line 17">
          <a:extLst>
            <a:ext uri="{FF2B5EF4-FFF2-40B4-BE49-F238E27FC236}">
              <a16:creationId xmlns:a16="http://schemas.microsoft.com/office/drawing/2014/main" id="{82517133-1002-494E-9A36-49119DA7BBA5}"/>
            </a:ext>
          </a:extLst>
        </xdr:cNvPr>
        <xdr:cNvSpPr>
          <a:spLocks noChangeShapeType="1"/>
        </xdr:cNvSpPr>
      </xdr:nvSpPr>
      <xdr:spPr bwMode="auto">
        <a:xfrm>
          <a:off x="6524625" y="2562225"/>
          <a:ext cx="5143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13</xdr:row>
      <xdr:rowOff>68580</xdr:rowOff>
    </xdr:from>
    <xdr:to>
      <xdr:col>9</xdr:col>
      <xdr:colOff>7620</xdr:colOff>
      <xdr:row>14</xdr:row>
      <xdr:rowOff>68580</xdr:rowOff>
    </xdr:to>
    <xdr:sp macro="" textlink="">
      <xdr:nvSpPr>
        <xdr:cNvPr id="19" name="Line 18">
          <a:extLst>
            <a:ext uri="{FF2B5EF4-FFF2-40B4-BE49-F238E27FC236}">
              <a16:creationId xmlns:a16="http://schemas.microsoft.com/office/drawing/2014/main" id="{DA1B6059-A291-4F06-9DAC-7F454EE6273A}"/>
            </a:ext>
          </a:extLst>
        </xdr:cNvPr>
        <xdr:cNvSpPr>
          <a:spLocks noChangeShapeType="1"/>
        </xdr:cNvSpPr>
      </xdr:nvSpPr>
      <xdr:spPr bwMode="auto">
        <a:xfrm flipV="1">
          <a:off x="6534150" y="2400300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15</xdr:row>
      <xdr:rowOff>76200</xdr:rowOff>
    </xdr:from>
    <xdr:to>
      <xdr:col>9</xdr:col>
      <xdr:colOff>15240</xdr:colOff>
      <xdr:row>16</xdr:row>
      <xdr:rowOff>76200</xdr:rowOff>
    </xdr:to>
    <xdr:sp macro="" textlink="">
      <xdr:nvSpPr>
        <xdr:cNvPr id="20" name="Line 19">
          <a:extLst>
            <a:ext uri="{FF2B5EF4-FFF2-40B4-BE49-F238E27FC236}">
              <a16:creationId xmlns:a16="http://schemas.microsoft.com/office/drawing/2014/main" id="{B717E419-CFE6-4FB3-AA46-75DA7F9D2538}"/>
            </a:ext>
          </a:extLst>
        </xdr:cNvPr>
        <xdr:cNvSpPr>
          <a:spLocks noChangeShapeType="1"/>
        </xdr:cNvSpPr>
      </xdr:nvSpPr>
      <xdr:spPr bwMode="auto">
        <a:xfrm flipV="1">
          <a:off x="6534150" y="2752725"/>
          <a:ext cx="5143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16</xdr:row>
      <xdr:rowOff>76200</xdr:rowOff>
    </xdr:from>
    <xdr:to>
      <xdr:col>9</xdr:col>
      <xdr:colOff>0</xdr:colOff>
      <xdr:row>17</xdr:row>
      <xdr:rowOff>76200</xdr:rowOff>
    </xdr:to>
    <xdr:sp macro="" textlink="">
      <xdr:nvSpPr>
        <xdr:cNvPr id="21" name="Line 20">
          <a:extLst>
            <a:ext uri="{FF2B5EF4-FFF2-40B4-BE49-F238E27FC236}">
              <a16:creationId xmlns:a16="http://schemas.microsoft.com/office/drawing/2014/main" id="{6EF91F6D-CCB9-46CA-B589-0DC40C4C270B}"/>
            </a:ext>
          </a:extLst>
        </xdr:cNvPr>
        <xdr:cNvSpPr>
          <a:spLocks noChangeShapeType="1"/>
        </xdr:cNvSpPr>
      </xdr:nvSpPr>
      <xdr:spPr bwMode="auto">
        <a:xfrm>
          <a:off x="6534150" y="2924175"/>
          <a:ext cx="4953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17</xdr:row>
      <xdr:rowOff>83820</xdr:rowOff>
    </xdr:from>
    <xdr:to>
      <xdr:col>9</xdr:col>
      <xdr:colOff>0</xdr:colOff>
      <xdr:row>18</xdr:row>
      <xdr:rowOff>91440</xdr:rowOff>
    </xdr:to>
    <xdr:sp macro="" textlink="">
      <xdr:nvSpPr>
        <xdr:cNvPr id="22" name="Line 21">
          <a:extLst>
            <a:ext uri="{FF2B5EF4-FFF2-40B4-BE49-F238E27FC236}">
              <a16:creationId xmlns:a16="http://schemas.microsoft.com/office/drawing/2014/main" id="{447FD8D2-A266-456D-BFCC-3C12596A2C96}"/>
            </a:ext>
          </a:extLst>
        </xdr:cNvPr>
        <xdr:cNvSpPr>
          <a:spLocks noChangeShapeType="1"/>
        </xdr:cNvSpPr>
      </xdr:nvSpPr>
      <xdr:spPr bwMode="auto">
        <a:xfrm flipV="1">
          <a:off x="6524625" y="3105150"/>
          <a:ext cx="5048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18</xdr:row>
      <xdr:rowOff>106680</xdr:rowOff>
    </xdr:from>
    <xdr:to>
      <xdr:col>9</xdr:col>
      <xdr:colOff>0</xdr:colOff>
      <xdr:row>19</xdr:row>
      <xdr:rowOff>76200</xdr:rowOff>
    </xdr:to>
    <xdr:sp macro="" textlink="">
      <xdr:nvSpPr>
        <xdr:cNvPr id="23" name="Line 22">
          <a:extLst>
            <a:ext uri="{FF2B5EF4-FFF2-40B4-BE49-F238E27FC236}">
              <a16:creationId xmlns:a16="http://schemas.microsoft.com/office/drawing/2014/main" id="{34F7FBF5-9198-469A-91B8-D6420FAF572F}"/>
            </a:ext>
          </a:extLst>
        </xdr:cNvPr>
        <xdr:cNvSpPr>
          <a:spLocks noChangeShapeType="1"/>
        </xdr:cNvSpPr>
      </xdr:nvSpPr>
      <xdr:spPr bwMode="auto">
        <a:xfrm>
          <a:off x="6534150" y="3295650"/>
          <a:ext cx="4953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19</xdr:row>
      <xdr:rowOff>76200</xdr:rowOff>
    </xdr:from>
    <xdr:to>
      <xdr:col>9</xdr:col>
      <xdr:colOff>7620</xdr:colOff>
      <xdr:row>20</xdr:row>
      <xdr:rowOff>91440</xdr:rowOff>
    </xdr:to>
    <xdr:sp macro="" textlink="">
      <xdr:nvSpPr>
        <xdr:cNvPr id="24" name="Line 23">
          <a:extLst>
            <a:ext uri="{FF2B5EF4-FFF2-40B4-BE49-F238E27FC236}">
              <a16:creationId xmlns:a16="http://schemas.microsoft.com/office/drawing/2014/main" id="{857BFBDC-5654-43B1-8441-2C6BFD16BC3C}"/>
            </a:ext>
          </a:extLst>
        </xdr:cNvPr>
        <xdr:cNvSpPr>
          <a:spLocks noChangeShapeType="1"/>
        </xdr:cNvSpPr>
      </xdr:nvSpPr>
      <xdr:spPr bwMode="auto">
        <a:xfrm flipV="1">
          <a:off x="6515100" y="3438525"/>
          <a:ext cx="5238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20</xdr:row>
      <xdr:rowOff>99060</xdr:rowOff>
    </xdr:from>
    <xdr:to>
      <xdr:col>9</xdr:col>
      <xdr:colOff>7620</xdr:colOff>
      <xdr:row>21</xdr:row>
      <xdr:rowOff>91440</xdr:rowOff>
    </xdr:to>
    <xdr:sp macro="" textlink="">
      <xdr:nvSpPr>
        <xdr:cNvPr id="25" name="Line 24">
          <a:extLst>
            <a:ext uri="{FF2B5EF4-FFF2-40B4-BE49-F238E27FC236}">
              <a16:creationId xmlns:a16="http://schemas.microsoft.com/office/drawing/2014/main" id="{FC4E0443-5A1C-4B06-8C3F-E8CFA82D8A7C}"/>
            </a:ext>
          </a:extLst>
        </xdr:cNvPr>
        <xdr:cNvSpPr>
          <a:spLocks noChangeShapeType="1"/>
        </xdr:cNvSpPr>
      </xdr:nvSpPr>
      <xdr:spPr bwMode="auto">
        <a:xfrm>
          <a:off x="6534150" y="3629025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7620</xdr:colOff>
      <xdr:row>33</xdr:row>
      <xdr:rowOff>91440</xdr:rowOff>
    </xdr:from>
    <xdr:to>
      <xdr:col>5</xdr:col>
      <xdr:colOff>22860</xdr:colOff>
      <xdr:row>36</xdr:row>
      <xdr:rowOff>83820</xdr:rowOff>
    </xdr:to>
    <xdr:sp macro="" textlink="">
      <xdr:nvSpPr>
        <xdr:cNvPr id="26" name="Line 25">
          <a:extLst>
            <a:ext uri="{FF2B5EF4-FFF2-40B4-BE49-F238E27FC236}">
              <a16:creationId xmlns:a16="http://schemas.microsoft.com/office/drawing/2014/main" id="{4D922721-97F6-496A-A601-A944DF80E7F8}"/>
            </a:ext>
          </a:extLst>
        </xdr:cNvPr>
        <xdr:cNvSpPr>
          <a:spLocks noChangeShapeType="1"/>
        </xdr:cNvSpPr>
      </xdr:nvSpPr>
      <xdr:spPr bwMode="auto">
        <a:xfrm flipV="1">
          <a:off x="3810000" y="5857875"/>
          <a:ext cx="771525" cy="504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15240</xdr:colOff>
      <xdr:row>36</xdr:row>
      <xdr:rowOff>68580</xdr:rowOff>
    </xdr:from>
    <xdr:to>
      <xdr:col>5</xdr:col>
      <xdr:colOff>0</xdr:colOff>
      <xdr:row>38</xdr:row>
      <xdr:rowOff>106680</xdr:rowOff>
    </xdr:to>
    <xdr:sp macro="" textlink="">
      <xdr:nvSpPr>
        <xdr:cNvPr id="27" name="Line 26">
          <a:extLst>
            <a:ext uri="{FF2B5EF4-FFF2-40B4-BE49-F238E27FC236}">
              <a16:creationId xmlns:a16="http://schemas.microsoft.com/office/drawing/2014/main" id="{91E546BE-2FDB-48D9-8114-887D694ED412}"/>
            </a:ext>
          </a:extLst>
        </xdr:cNvPr>
        <xdr:cNvSpPr>
          <a:spLocks noChangeShapeType="1"/>
        </xdr:cNvSpPr>
      </xdr:nvSpPr>
      <xdr:spPr bwMode="auto">
        <a:xfrm>
          <a:off x="3819525" y="6343650"/>
          <a:ext cx="742950" cy="3810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33</xdr:row>
      <xdr:rowOff>91440</xdr:rowOff>
    </xdr:from>
    <xdr:to>
      <xdr:col>6</xdr:col>
      <xdr:colOff>7620</xdr:colOff>
      <xdr:row>34</xdr:row>
      <xdr:rowOff>91440</xdr:rowOff>
    </xdr:to>
    <xdr:sp macro="" textlink="">
      <xdr:nvSpPr>
        <xdr:cNvPr id="28" name="Line 27">
          <a:extLst>
            <a:ext uri="{FF2B5EF4-FFF2-40B4-BE49-F238E27FC236}">
              <a16:creationId xmlns:a16="http://schemas.microsoft.com/office/drawing/2014/main" id="{367B80F4-4D7B-4009-86B9-BE7B6210E7EC}"/>
            </a:ext>
          </a:extLst>
        </xdr:cNvPr>
        <xdr:cNvSpPr>
          <a:spLocks noChangeShapeType="1"/>
        </xdr:cNvSpPr>
      </xdr:nvSpPr>
      <xdr:spPr bwMode="auto">
        <a:xfrm>
          <a:off x="4581525" y="5857875"/>
          <a:ext cx="6667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15240</xdr:colOff>
      <xdr:row>32</xdr:row>
      <xdr:rowOff>53340</xdr:rowOff>
    </xdr:from>
    <xdr:to>
      <xdr:col>6</xdr:col>
      <xdr:colOff>0</xdr:colOff>
      <xdr:row>33</xdr:row>
      <xdr:rowOff>91440</xdr:rowOff>
    </xdr:to>
    <xdr:sp macro="" textlink="">
      <xdr:nvSpPr>
        <xdr:cNvPr id="29" name="Line 28">
          <a:extLst>
            <a:ext uri="{FF2B5EF4-FFF2-40B4-BE49-F238E27FC236}">
              <a16:creationId xmlns:a16="http://schemas.microsoft.com/office/drawing/2014/main" id="{734E71FA-C7F7-4698-86D0-397F17C0294D}"/>
            </a:ext>
          </a:extLst>
        </xdr:cNvPr>
        <xdr:cNvSpPr>
          <a:spLocks noChangeShapeType="1"/>
        </xdr:cNvSpPr>
      </xdr:nvSpPr>
      <xdr:spPr bwMode="auto">
        <a:xfrm flipV="1">
          <a:off x="4581525" y="5648325"/>
          <a:ext cx="657225" cy="209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32</xdr:row>
      <xdr:rowOff>53340</xdr:rowOff>
    </xdr:from>
    <xdr:to>
      <xdr:col>7</xdr:col>
      <xdr:colOff>0</xdr:colOff>
      <xdr:row>33</xdr:row>
      <xdr:rowOff>68580</xdr:rowOff>
    </xdr:to>
    <xdr:sp macro="" textlink="">
      <xdr:nvSpPr>
        <xdr:cNvPr id="30" name="Line 29">
          <a:extLst>
            <a:ext uri="{FF2B5EF4-FFF2-40B4-BE49-F238E27FC236}">
              <a16:creationId xmlns:a16="http://schemas.microsoft.com/office/drawing/2014/main" id="{FAD6B866-252E-4F21-9244-3960AD69B366}"/>
            </a:ext>
          </a:extLst>
        </xdr:cNvPr>
        <xdr:cNvSpPr>
          <a:spLocks noChangeShapeType="1"/>
        </xdr:cNvSpPr>
      </xdr:nvSpPr>
      <xdr:spPr bwMode="auto">
        <a:xfrm>
          <a:off x="5238750" y="5648325"/>
          <a:ext cx="66675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0</xdr:colOff>
      <xdr:row>31</xdr:row>
      <xdr:rowOff>68580</xdr:rowOff>
    </xdr:from>
    <xdr:to>
      <xdr:col>7</xdr:col>
      <xdr:colOff>0</xdr:colOff>
      <xdr:row>32</xdr:row>
      <xdr:rowOff>45720</xdr:rowOff>
    </xdr:to>
    <xdr:sp macro="" textlink="">
      <xdr:nvSpPr>
        <xdr:cNvPr id="31" name="Line 30">
          <a:extLst>
            <a:ext uri="{FF2B5EF4-FFF2-40B4-BE49-F238E27FC236}">
              <a16:creationId xmlns:a16="http://schemas.microsoft.com/office/drawing/2014/main" id="{ED0F9B3C-7ECC-4461-96C1-267CCD6498DB}"/>
            </a:ext>
          </a:extLst>
        </xdr:cNvPr>
        <xdr:cNvSpPr>
          <a:spLocks noChangeShapeType="1"/>
        </xdr:cNvSpPr>
      </xdr:nvSpPr>
      <xdr:spPr bwMode="auto">
        <a:xfrm flipV="1">
          <a:off x="5238750" y="5486400"/>
          <a:ext cx="666750" cy="152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15240</xdr:colOff>
      <xdr:row>33</xdr:row>
      <xdr:rowOff>68580</xdr:rowOff>
    </xdr:from>
    <xdr:to>
      <xdr:col>7</xdr:col>
      <xdr:colOff>0</xdr:colOff>
      <xdr:row>34</xdr:row>
      <xdr:rowOff>76200</xdr:rowOff>
    </xdr:to>
    <xdr:sp macro="" textlink="">
      <xdr:nvSpPr>
        <xdr:cNvPr id="32" name="Line 31">
          <a:extLst>
            <a:ext uri="{FF2B5EF4-FFF2-40B4-BE49-F238E27FC236}">
              <a16:creationId xmlns:a16="http://schemas.microsoft.com/office/drawing/2014/main" id="{1283FA17-6390-45F1-BB41-51099DE75EB9}"/>
            </a:ext>
          </a:extLst>
        </xdr:cNvPr>
        <xdr:cNvSpPr>
          <a:spLocks noChangeShapeType="1"/>
        </xdr:cNvSpPr>
      </xdr:nvSpPr>
      <xdr:spPr bwMode="auto">
        <a:xfrm flipV="1">
          <a:off x="5257800" y="5829300"/>
          <a:ext cx="6477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7620</xdr:colOff>
      <xdr:row>34</xdr:row>
      <xdr:rowOff>91440</xdr:rowOff>
    </xdr:from>
    <xdr:to>
      <xdr:col>7</xdr:col>
      <xdr:colOff>0</xdr:colOff>
      <xdr:row>35</xdr:row>
      <xdr:rowOff>91440</xdr:rowOff>
    </xdr:to>
    <xdr:sp macro="" textlink="">
      <xdr:nvSpPr>
        <xdr:cNvPr id="33" name="Line 32">
          <a:extLst>
            <a:ext uri="{FF2B5EF4-FFF2-40B4-BE49-F238E27FC236}">
              <a16:creationId xmlns:a16="http://schemas.microsoft.com/office/drawing/2014/main" id="{6ADD4A08-C466-4F12-B212-88212C676DB6}"/>
            </a:ext>
          </a:extLst>
        </xdr:cNvPr>
        <xdr:cNvSpPr>
          <a:spLocks noChangeShapeType="1"/>
        </xdr:cNvSpPr>
      </xdr:nvSpPr>
      <xdr:spPr bwMode="auto">
        <a:xfrm>
          <a:off x="5248275" y="6029325"/>
          <a:ext cx="6572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31</xdr:row>
      <xdr:rowOff>68580</xdr:rowOff>
    </xdr:from>
    <xdr:to>
      <xdr:col>8</xdr:col>
      <xdr:colOff>15240</xdr:colOff>
      <xdr:row>32</xdr:row>
      <xdr:rowOff>68580</xdr:rowOff>
    </xdr:to>
    <xdr:sp macro="" textlink="">
      <xdr:nvSpPr>
        <xdr:cNvPr id="34" name="Line 33">
          <a:extLst>
            <a:ext uri="{FF2B5EF4-FFF2-40B4-BE49-F238E27FC236}">
              <a16:creationId xmlns:a16="http://schemas.microsoft.com/office/drawing/2014/main" id="{95D9AF43-2B9E-4EFD-BB03-27C788B84C95}"/>
            </a:ext>
          </a:extLst>
        </xdr:cNvPr>
        <xdr:cNvSpPr>
          <a:spLocks noChangeShapeType="1"/>
        </xdr:cNvSpPr>
      </xdr:nvSpPr>
      <xdr:spPr bwMode="auto">
        <a:xfrm>
          <a:off x="5915025" y="5486400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15240</xdr:colOff>
      <xdr:row>30</xdr:row>
      <xdr:rowOff>60960</xdr:rowOff>
    </xdr:from>
    <xdr:to>
      <xdr:col>8</xdr:col>
      <xdr:colOff>15240</xdr:colOff>
      <xdr:row>31</xdr:row>
      <xdr:rowOff>68580</xdr:rowOff>
    </xdr:to>
    <xdr:sp macro="" textlink="">
      <xdr:nvSpPr>
        <xdr:cNvPr id="35" name="Line 34">
          <a:extLst>
            <a:ext uri="{FF2B5EF4-FFF2-40B4-BE49-F238E27FC236}">
              <a16:creationId xmlns:a16="http://schemas.microsoft.com/office/drawing/2014/main" id="{B2475D90-FFBE-435F-A41A-9BD3E737EE60}"/>
            </a:ext>
          </a:extLst>
        </xdr:cNvPr>
        <xdr:cNvSpPr>
          <a:spLocks noChangeShapeType="1"/>
        </xdr:cNvSpPr>
      </xdr:nvSpPr>
      <xdr:spPr bwMode="auto">
        <a:xfrm flipV="1">
          <a:off x="5924550" y="5305425"/>
          <a:ext cx="609600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487680</xdr:colOff>
      <xdr:row>32</xdr:row>
      <xdr:rowOff>68580</xdr:rowOff>
    </xdr:from>
    <xdr:to>
      <xdr:col>8</xdr:col>
      <xdr:colOff>15240</xdr:colOff>
      <xdr:row>33</xdr:row>
      <xdr:rowOff>76200</xdr:rowOff>
    </xdr:to>
    <xdr:sp macro="" textlink="">
      <xdr:nvSpPr>
        <xdr:cNvPr id="36" name="Line 35">
          <a:extLst>
            <a:ext uri="{FF2B5EF4-FFF2-40B4-BE49-F238E27FC236}">
              <a16:creationId xmlns:a16="http://schemas.microsoft.com/office/drawing/2014/main" id="{43850435-0C9B-4D71-8DFB-6867902F1575}"/>
            </a:ext>
          </a:extLst>
        </xdr:cNvPr>
        <xdr:cNvSpPr>
          <a:spLocks noChangeShapeType="1"/>
        </xdr:cNvSpPr>
      </xdr:nvSpPr>
      <xdr:spPr bwMode="auto">
        <a:xfrm flipV="1">
          <a:off x="5724525" y="5657850"/>
          <a:ext cx="8096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7620</xdr:colOff>
      <xdr:row>33</xdr:row>
      <xdr:rowOff>76200</xdr:rowOff>
    </xdr:from>
    <xdr:to>
      <xdr:col>8</xdr:col>
      <xdr:colOff>7620</xdr:colOff>
      <xdr:row>34</xdr:row>
      <xdr:rowOff>91440</xdr:rowOff>
    </xdr:to>
    <xdr:sp macro="" textlink="">
      <xdr:nvSpPr>
        <xdr:cNvPr id="37" name="Line 36">
          <a:extLst>
            <a:ext uri="{FF2B5EF4-FFF2-40B4-BE49-F238E27FC236}">
              <a16:creationId xmlns:a16="http://schemas.microsoft.com/office/drawing/2014/main" id="{3B6C96AB-0B98-487B-88F9-D690F65E7514}"/>
            </a:ext>
          </a:extLst>
        </xdr:cNvPr>
        <xdr:cNvSpPr>
          <a:spLocks noChangeShapeType="1"/>
        </xdr:cNvSpPr>
      </xdr:nvSpPr>
      <xdr:spPr bwMode="auto">
        <a:xfrm>
          <a:off x="5915025" y="5838825"/>
          <a:ext cx="60960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34</xdr:row>
      <xdr:rowOff>99060</xdr:rowOff>
    </xdr:from>
    <xdr:to>
      <xdr:col>8</xdr:col>
      <xdr:colOff>15240</xdr:colOff>
      <xdr:row>35</xdr:row>
      <xdr:rowOff>91440</xdr:rowOff>
    </xdr:to>
    <xdr:sp macro="" textlink="">
      <xdr:nvSpPr>
        <xdr:cNvPr id="38" name="Line 37">
          <a:extLst>
            <a:ext uri="{FF2B5EF4-FFF2-40B4-BE49-F238E27FC236}">
              <a16:creationId xmlns:a16="http://schemas.microsoft.com/office/drawing/2014/main" id="{987EA3B2-2F27-4E95-93ED-D8449FD7D2A6}"/>
            </a:ext>
          </a:extLst>
        </xdr:cNvPr>
        <xdr:cNvSpPr>
          <a:spLocks noChangeShapeType="1"/>
        </xdr:cNvSpPr>
      </xdr:nvSpPr>
      <xdr:spPr bwMode="auto">
        <a:xfrm flipV="1">
          <a:off x="5905500" y="6029325"/>
          <a:ext cx="6286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35</xdr:row>
      <xdr:rowOff>99060</xdr:rowOff>
    </xdr:from>
    <xdr:to>
      <xdr:col>8</xdr:col>
      <xdr:colOff>7620</xdr:colOff>
      <xdr:row>36</xdr:row>
      <xdr:rowOff>91440</xdr:rowOff>
    </xdr:to>
    <xdr:sp macro="" textlink="">
      <xdr:nvSpPr>
        <xdr:cNvPr id="39" name="Line 38">
          <a:extLst>
            <a:ext uri="{FF2B5EF4-FFF2-40B4-BE49-F238E27FC236}">
              <a16:creationId xmlns:a16="http://schemas.microsoft.com/office/drawing/2014/main" id="{758D7F07-543C-452F-A68B-596AAE93ADA5}"/>
            </a:ext>
          </a:extLst>
        </xdr:cNvPr>
        <xdr:cNvSpPr>
          <a:spLocks noChangeShapeType="1"/>
        </xdr:cNvSpPr>
      </xdr:nvSpPr>
      <xdr:spPr bwMode="auto">
        <a:xfrm>
          <a:off x="5905500" y="6200775"/>
          <a:ext cx="6191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30</xdr:row>
      <xdr:rowOff>60960</xdr:rowOff>
    </xdr:from>
    <xdr:to>
      <xdr:col>9</xdr:col>
      <xdr:colOff>7620</xdr:colOff>
      <xdr:row>31</xdr:row>
      <xdr:rowOff>76200</xdr:rowOff>
    </xdr:to>
    <xdr:sp macro="" textlink="">
      <xdr:nvSpPr>
        <xdr:cNvPr id="40" name="Line 39">
          <a:extLst>
            <a:ext uri="{FF2B5EF4-FFF2-40B4-BE49-F238E27FC236}">
              <a16:creationId xmlns:a16="http://schemas.microsoft.com/office/drawing/2014/main" id="{E395B7DA-B69A-4AC6-BFC9-A36FF7348744}"/>
            </a:ext>
          </a:extLst>
        </xdr:cNvPr>
        <xdr:cNvSpPr>
          <a:spLocks noChangeShapeType="1"/>
        </xdr:cNvSpPr>
      </xdr:nvSpPr>
      <xdr:spPr bwMode="auto">
        <a:xfrm>
          <a:off x="6524625" y="5305425"/>
          <a:ext cx="51435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29</xdr:row>
      <xdr:rowOff>68580</xdr:rowOff>
    </xdr:from>
    <xdr:to>
      <xdr:col>9</xdr:col>
      <xdr:colOff>7620</xdr:colOff>
      <xdr:row>30</xdr:row>
      <xdr:rowOff>68580</xdr:rowOff>
    </xdr:to>
    <xdr:sp macro="" textlink="">
      <xdr:nvSpPr>
        <xdr:cNvPr id="41" name="Line 40">
          <a:extLst>
            <a:ext uri="{FF2B5EF4-FFF2-40B4-BE49-F238E27FC236}">
              <a16:creationId xmlns:a16="http://schemas.microsoft.com/office/drawing/2014/main" id="{6C920B48-E4E4-458A-B1DF-4987C5FDC958}"/>
            </a:ext>
          </a:extLst>
        </xdr:cNvPr>
        <xdr:cNvSpPr>
          <a:spLocks noChangeShapeType="1"/>
        </xdr:cNvSpPr>
      </xdr:nvSpPr>
      <xdr:spPr bwMode="auto">
        <a:xfrm flipV="1">
          <a:off x="6534150" y="5143500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31</xdr:row>
      <xdr:rowOff>76200</xdr:rowOff>
    </xdr:from>
    <xdr:to>
      <xdr:col>9</xdr:col>
      <xdr:colOff>15240</xdr:colOff>
      <xdr:row>32</xdr:row>
      <xdr:rowOff>76200</xdr:rowOff>
    </xdr:to>
    <xdr:sp macro="" textlink="">
      <xdr:nvSpPr>
        <xdr:cNvPr id="42" name="Line 41">
          <a:extLst>
            <a:ext uri="{FF2B5EF4-FFF2-40B4-BE49-F238E27FC236}">
              <a16:creationId xmlns:a16="http://schemas.microsoft.com/office/drawing/2014/main" id="{100CBABF-05B2-466F-8AD1-D7D69822C506}"/>
            </a:ext>
          </a:extLst>
        </xdr:cNvPr>
        <xdr:cNvSpPr>
          <a:spLocks noChangeShapeType="1"/>
        </xdr:cNvSpPr>
      </xdr:nvSpPr>
      <xdr:spPr bwMode="auto">
        <a:xfrm flipV="1">
          <a:off x="6534150" y="5495925"/>
          <a:ext cx="51435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32</xdr:row>
      <xdr:rowOff>76200</xdr:rowOff>
    </xdr:from>
    <xdr:to>
      <xdr:col>9</xdr:col>
      <xdr:colOff>0</xdr:colOff>
      <xdr:row>33</xdr:row>
      <xdr:rowOff>76200</xdr:rowOff>
    </xdr:to>
    <xdr:sp macro="" textlink="">
      <xdr:nvSpPr>
        <xdr:cNvPr id="43" name="Line 42">
          <a:extLst>
            <a:ext uri="{FF2B5EF4-FFF2-40B4-BE49-F238E27FC236}">
              <a16:creationId xmlns:a16="http://schemas.microsoft.com/office/drawing/2014/main" id="{5E2FF4A3-FE4C-4E66-B249-7C7802E7B46D}"/>
            </a:ext>
          </a:extLst>
        </xdr:cNvPr>
        <xdr:cNvSpPr>
          <a:spLocks noChangeShapeType="1"/>
        </xdr:cNvSpPr>
      </xdr:nvSpPr>
      <xdr:spPr bwMode="auto">
        <a:xfrm>
          <a:off x="6534150" y="5667375"/>
          <a:ext cx="495300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7620</xdr:colOff>
      <xdr:row>33</xdr:row>
      <xdr:rowOff>83820</xdr:rowOff>
    </xdr:from>
    <xdr:to>
      <xdr:col>9</xdr:col>
      <xdr:colOff>0</xdr:colOff>
      <xdr:row>34</xdr:row>
      <xdr:rowOff>91440</xdr:rowOff>
    </xdr:to>
    <xdr:sp macro="" textlink="">
      <xdr:nvSpPr>
        <xdr:cNvPr id="44" name="Line 43">
          <a:extLst>
            <a:ext uri="{FF2B5EF4-FFF2-40B4-BE49-F238E27FC236}">
              <a16:creationId xmlns:a16="http://schemas.microsoft.com/office/drawing/2014/main" id="{3A98B55D-3624-44FB-A214-6D3B66E3BCA7}"/>
            </a:ext>
          </a:extLst>
        </xdr:cNvPr>
        <xdr:cNvSpPr>
          <a:spLocks noChangeShapeType="1"/>
        </xdr:cNvSpPr>
      </xdr:nvSpPr>
      <xdr:spPr bwMode="auto">
        <a:xfrm flipV="1">
          <a:off x="6524625" y="5848350"/>
          <a:ext cx="504825" cy="1809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34</xdr:row>
      <xdr:rowOff>106680</xdr:rowOff>
    </xdr:from>
    <xdr:to>
      <xdr:col>9</xdr:col>
      <xdr:colOff>0</xdr:colOff>
      <xdr:row>35</xdr:row>
      <xdr:rowOff>76200</xdr:rowOff>
    </xdr:to>
    <xdr:sp macro="" textlink="">
      <xdr:nvSpPr>
        <xdr:cNvPr id="45" name="Line 44">
          <a:extLst>
            <a:ext uri="{FF2B5EF4-FFF2-40B4-BE49-F238E27FC236}">
              <a16:creationId xmlns:a16="http://schemas.microsoft.com/office/drawing/2014/main" id="{DB59F2BA-229B-4528-BEE0-B9D08E04C36F}"/>
            </a:ext>
          </a:extLst>
        </xdr:cNvPr>
        <xdr:cNvSpPr>
          <a:spLocks noChangeShapeType="1"/>
        </xdr:cNvSpPr>
      </xdr:nvSpPr>
      <xdr:spPr bwMode="auto">
        <a:xfrm>
          <a:off x="6534150" y="6038850"/>
          <a:ext cx="495300" cy="1428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0</xdr:colOff>
      <xdr:row>35</xdr:row>
      <xdr:rowOff>76200</xdr:rowOff>
    </xdr:from>
    <xdr:to>
      <xdr:col>9</xdr:col>
      <xdr:colOff>7620</xdr:colOff>
      <xdr:row>36</xdr:row>
      <xdr:rowOff>91440</xdr:rowOff>
    </xdr:to>
    <xdr:sp macro="" textlink="">
      <xdr:nvSpPr>
        <xdr:cNvPr id="46" name="Line 45">
          <a:extLst>
            <a:ext uri="{FF2B5EF4-FFF2-40B4-BE49-F238E27FC236}">
              <a16:creationId xmlns:a16="http://schemas.microsoft.com/office/drawing/2014/main" id="{3FB826F9-9272-4319-8187-3D2F46281F0C}"/>
            </a:ext>
          </a:extLst>
        </xdr:cNvPr>
        <xdr:cNvSpPr>
          <a:spLocks noChangeShapeType="1"/>
        </xdr:cNvSpPr>
      </xdr:nvSpPr>
      <xdr:spPr bwMode="auto">
        <a:xfrm flipV="1">
          <a:off x="6515100" y="6181725"/>
          <a:ext cx="523875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8</xdr:col>
      <xdr:colOff>15240</xdr:colOff>
      <xdr:row>36</xdr:row>
      <xdr:rowOff>99060</xdr:rowOff>
    </xdr:from>
    <xdr:to>
      <xdr:col>9</xdr:col>
      <xdr:colOff>7620</xdr:colOff>
      <xdr:row>37</xdr:row>
      <xdr:rowOff>91440</xdr:rowOff>
    </xdr:to>
    <xdr:sp macro="" textlink="">
      <xdr:nvSpPr>
        <xdr:cNvPr id="47" name="Line 46">
          <a:extLst>
            <a:ext uri="{FF2B5EF4-FFF2-40B4-BE49-F238E27FC236}">
              <a16:creationId xmlns:a16="http://schemas.microsoft.com/office/drawing/2014/main" id="{E692996C-E4CA-41C8-9F91-4BE22791DACB}"/>
            </a:ext>
          </a:extLst>
        </xdr:cNvPr>
        <xdr:cNvSpPr>
          <a:spLocks noChangeShapeType="1"/>
        </xdr:cNvSpPr>
      </xdr:nvSpPr>
      <xdr:spPr bwMode="auto">
        <a:xfrm>
          <a:off x="6534150" y="6372225"/>
          <a:ext cx="504825" cy="171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472440</xdr:colOff>
      <xdr:row>20</xdr:row>
      <xdr:rowOff>83820</xdr:rowOff>
    </xdr:from>
    <xdr:to>
      <xdr:col>4</xdr:col>
      <xdr:colOff>7620</xdr:colOff>
      <xdr:row>22</xdr:row>
      <xdr:rowOff>106680</xdr:rowOff>
    </xdr:to>
    <xdr:sp macro="" textlink="">
      <xdr:nvSpPr>
        <xdr:cNvPr id="48" name="Line 47">
          <a:extLst>
            <a:ext uri="{FF2B5EF4-FFF2-40B4-BE49-F238E27FC236}">
              <a16:creationId xmlns:a16="http://schemas.microsoft.com/office/drawing/2014/main" id="{1FC1BE13-308D-4892-A41E-C1D6D27F6A78}"/>
            </a:ext>
          </a:extLst>
        </xdr:cNvPr>
        <xdr:cNvSpPr>
          <a:spLocks noChangeShapeType="1"/>
        </xdr:cNvSpPr>
      </xdr:nvSpPr>
      <xdr:spPr bwMode="auto">
        <a:xfrm flipH="1">
          <a:off x="3057525" y="3619500"/>
          <a:ext cx="752475" cy="3619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449580</xdr:colOff>
      <xdr:row>22</xdr:row>
      <xdr:rowOff>121920</xdr:rowOff>
    </xdr:from>
    <xdr:to>
      <xdr:col>4</xdr:col>
      <xdr:colOff>22860</xdr:colOff>
      <xdr:row>24</xdr:row>
      <xdr:rowOff>106680</xdr:rowOff>
    </xdr:to>
    <xdr:sp macro="" textlink="">
      <xdr:nvSpPr>
        <xdr:cNvPr id="49" name="Line 48">
          <a:extLst>
            <a:ext uri="{FF2B5EF4-FFF2-40B4-BE49-F238E27FC236}">
              <a16:creationId xmlns:a16="http://schemas.microsoft.com/office/drawing/2014/main" id="{934C4D1D-AC52-4062-B208-B81A2D081F3F}"/>
            </a:ext>
          </a:extLst>
        </xdr:cNvPr>
        <xdr:cNvSpPr>
          <a:spLocks noChangeShapeType="1"/>
        </xdr:cNvSpPr>
      </xdr:nvSpPr>
      <xdr:spPr bwMode="auto">
        <a:xfrm>
          <a:off x="3028950" y="4000500"/>
          <a:ext cx="79057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15240</xdr:colOff>
      <xdr:row>22</xdr:row>
      <xdr:rowOff>114300</xdr:rowOff>
    </xdr:from>
    <xdr:to>
      <xdr:col>2</xdr:col>
      <xdr:colOff>472440</xdr:colOff>
      <xdr:row>24</xdr:row>
      <xdr:rowOff>83820</xdr:rowOff>
    </xdr:to>
    <xdr:sp macro="" textlink="">
      <xdr:nvSpPr>
        <xdr:cNvPr id="50" name="Line 49">
          <a:extLst>
            <a:ext uri="{FF2B5EF4-FFF2-40B4-BE49-F238E27FC236}">
              <a16:creationId xmlns:a16="http://schemas.microsoft.com/office/drawing/2014/main" id="{95190645-7194-4359-85B9-CF15EBD74FE4}"/>
            </a:ext>
          </a:extLst>
        </xdr:cNvPr>
        <xdr:cNvSpPr>
          <a:spLocks noChangeShapeType="1"/>
        </xdr:cNvSpPr>
      </xdr:nvSpPr>
      <xdr:spPr bwMode="auto">
        <a:xfrm flipH="1">
          <a:off x="2600325" y="3990975"/>
          <a:ext cx="45720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36</xdr:row>
      <xdr:rowOff>83820</xdr:rowOff>
    </xdr:from>
    <xdr:to>
      <xdr:col>4</xdr:col>
      <xdr:colOff>7620</xdr:colOff>
      <xdr:row>38</xdr:row>
      <xdr:rowOff>91440</xdr:rowOff>
    </xdr:to>
    <xdr:sp macro="" textlink="">
      <xdr:nvSpPr>
        <xdr:cNvPr id="51" name="Line 50">
          <a:extLst>
            <a:ext uri="{FF2B5EF4-FFF2-40B4-BE49-F238E27FC236}">
              <a16:creationId xmlns:a16="http://schemas.microsoft.com/office/drawing/2014/main" id="{F79D59F8-4082-46EF-B5CA-3E8FF0484479}"/>
            </a:ext>
          </a:extLst>
        </xdr:cNvPr>
        <xdr:cNvSpPr>
          <a:spLocks noChangeShapeType="1"/>
        </xdr:cNvSpPr>
      </xdr:nvSpPr>
      <xdr:spPr bwMode="auto">
        <a:xfrm flipH="1">
          <a:off x="3190875" y="6362700"/>
          <a:ext cx="619125" cy="3524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7620</xdr:colOff>
      <xdr:row>38</xdr:row>
      <xdr:rowOff>91440</xdr:rowOff>
    </xdr:from>
    <xdr:to>
      <xdr:col>3</xdr:col>
      <xdr:colOff>0</xdr:colOff>
      <xdr:row>40</xdr:row>
      <xdr:rowOff>91440</xdr:rowOff>
    </xdr:to>
    <xdr:sp macro="" textlink="">
      <xdr:nvSpPr>
        <xdr:cNvPr id="52" name="Line 51">
          <a:extLst>
            <a:ext uri="{FF2B5EF4-FFF2-40B4-BE49-F238E27FC236}">
              <a16:creationId xmlns:a16="http://schemas.microsoft.com/office/drawing/2014/main" id="{D7F4D183-DBDA-4B50-BF13-1582FB050EAD}"/>
            </a:ext>
          </a:extLst>
        </xdr:cNvPr>
        <xdr:cNvSpPr>
          <a:spLocks noChangeShapeType="1"/>
        </xdr:cNvSpPr>
      </xdr:nvSpPr>
      <xdr:spPr bwMode="auto">
        <a:xfrm flipH="1">
          <a:off x="2590800" y="6715125"/>
          <a:ext cx="60007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480060</xdr:colOff>
      <xdr:row>38</xdr:row>
      <xdr:rowOff>106680</xdr:rowOff>
    </xdr:from>
    <xdr:to>
      <xdr:col>4</xdr:col>
      <xdr:colOff>0</xdr:colOff>
      <xdr:row>40</xdr:row>
      <xdr:rowOff>76200</xdr:rowOff>
    </xdr:to>
    <xdr:sp macro="" textlink="">
      <xdr:nvSpPr>
        <xdr:cNvPr id="53" name="Line 52">
          <a:extLst>
            <a:ext uri="{FF2B5EF4-FFF2-40B4-BE49-F238E27FC236}">
              <a16:creationId xmlns:a16="http://schemas.microsoft.com/office/drawing/2014/main" id="{3DEF4D7D-C79F-4D53-9DB7-D6898728ECCC}"/>
            </a:ext>
          </a:extLst>
        </xdr:cNvPr>
        <xdr:cNvSpPr>
          <a:spLocks noChangeShapeType="1"/>
        </xdr:cNvSpPr>
      </xdr:nvSpPr>
      <xdr:spPr bwMode="auto">
        <a:xfrm>
          <a:off x="3057525" y="6724650"/>
          <a:ext cx="742950" cy="314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11</xdr:col>
      <xdr:colOff>723900</xdr:colOff>
      <xdr:row>1</xdr:row>
      <xdr:rowOff>104775</xdr:rowOff>
    </xdr:from>
    <xdr:to>
      <xdr:col>31</xdr:col>
      <xdr:colOff>74106</xdr:colOff>
      <xdr:row>52</xdr:row>
      <xdr:rowOff>151753</xdr:rowOff>
    </xdr:to>
    <xdr:pic>
      <xdr:nvPicPr>
        <xdr:cNvPr id="54" name="图片 53">
          <a:extLst>
            <a:ext uri="{FF2B5EF4-FFF2-40B4-BE49-F238E27FC236}">
              <a16:creationId xmlns:a16="http://schemas.microsoft.com/office/drawing/2014/main" id="{9E12642D-559E-5F03-F1BE-B7D5E8CE6E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334625" y="323850"/>
          <a:ext cx="12294681" cy="9010003"/>
        </a:xfrm>
        <a:prstGeom prst="rect">
          <a:avLst/>
        </a:prstGeom>
      </xdr:spPr>
    </xdr:pic>
    <xdr:clientData/>
  </xdr:twoCellAnchor>
  <xdr:twoCellAnchor editAs="oneCell">
    <xdr:from>
      <xdr:col>10</xdr:col>
      <xdr:colOff>1946413</xdr:colOff>
      <xdr:row>17</xdr:row>
      <xdr:rowOff>8283</xdr:rowOff>
    </xdr:from>
    <xdr:to>
      <xdr:col>18</xdr:col>
      <xdr:colOff>345889</xdr:colOff>
      <xdr:row>44</xdr:row>
      <xdr:rowOff>141893</xdr:rowOff>
    </xdr:to>
    <xdr:pic>
      <xdr:nvPicPr>
        <xdr:cNvPr id="55" name="图片 54">
          <a:extLst>
            <a:ext uri="{FF2B5EF4-FFF2-40B4-BE49-F238E27FC236}">
              <a16:creationId xmlns:a16="http://schemas.microsoft.com/office/drawing/2014/main" id="{1AA12539-F502-7946-92E7-A9B164EE36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616109" y="3056283"/>
          <a:ext cx="5389997" cy="4829849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lizhengdong\&#20132;&#26131;&#26694;&#26550;\5_&#24037;&#20855;&#31665;\_&#20070;&#24211;\&#32534;&#31243;\Excel\&#36130;&#21153;&#37329;&#34701;&#24314;&#27169;&#31532;&#19977;&#29256;&#65288;&#29992;ECCEL&#24037;&#20855;&#65289;\Chapter%20files\fm3_chapter24.xls" TargetMode="External"/><Relationship Id="rId1" Type="http://schemas.openxmlformats.org/officeDocument/2006/relationships/externalLinkPath" Target="/lizhengdong/&#20132;&#26131;&#26694;&#26550;/5_&#24037;&#20855;&#31665;/_&#20070;&#24211;/&#32534;&#31243;/Excel/&#36130;&#21153;&#37329;&#34701;&#24314;&#27169;&#31532;&#19977;&#29256;&#65288;&#29992;ECCEL&#24037;&#20855;&#65289;/Chapter%20files/fm3_chapter24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ge 650-2"/>
      <sheetName val="Page 650-2 中文"/>
      <sheetName val="Page 653-655"/>
      <sheetName val="Page 653-655 中文"/>
      <sheetName val="Page 655 bottom, 656 top"/>
      <sheetName val="Page 655 bottom, 656 top 中文"/>
      <sheetName val="Page 657 bottom, 658 top"/>
      <sheetName val="Page 657 bottom, 658 top 中文"/>
      <sheetName val="Page 659"/>
      <sheetName val="Page 659 中文"/>
      <sheetName val="Page 660"/>
      <sheetName val="Page 660 中文"/>
      <sheetName val="Page 661"/>
      <sheetName val="Page 661 中文"/>
      <sheetName val="Page 663"/>
      <sheetName val="Page 663 中文"/>
      <sheetName val="Page 664"/>
      <sheetName val="Page 664中文"/>
      <sheetName val="Page 666"/>
      <sheetName val="Page 666中文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3">
          <cell r="B3">
            <v>0.1</v>
          </cell>
        </row>
        <row r="6">
          <cell r="C6">
            <v>-1000</v>
          </cell>
        </row>
        <row r="7">
          <cell r="E7">
            <v>-2000</v>
          </cell>
        </row>
        <row r="9">
          <cell r="C9">
            <v>-15000</v>
          </cell>
          <cell r="D9">
            <v>20000</v>
          </cell>
        </row>
        <row r="15">
          <cell r="B15">
            <v>-267.53173503999926</v>
          </cell>
        </row>
      </sheetData>
      <sheetData sheetId="15"/>
      <sheetData sheetId="16"/>
      <sheetData sheetId="17"/>
      <sheetData sheetId="18"/>
      <sheetData sheetId="19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"/>
  <sheetViews>
    <sheetView workbookViewId="0">
      <selection activeCell="F9" sqref="F9"/>
    </sheetView>
  </sheetViews>
  <sheetFormatPr defaultRowHeight="13.8" x14ac:dyDescent="0.25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8A396B-4459-4D33-B0B3-4B859A12B5C6}">
  <sheetPr codeName="Sheet12"/>
  <dimension ref="A1:K47"/>
  <sheetViews>
    <sheetView showZeros="0" tabSelected="1" showOutlineSymbols="0" zoomScale="115" zoomScaleNormal="115" workbookViewId="0">
      <selection activeCell="G34" sqref="G34"/>
    </sheetView>
  </sheetViews>
  <sheetFormatPr defaultRowHeight="13.2" x14ac:dyDescent="0.25"/>
  <cols>
    <col min="1" max="1" width="27.88671875" style="2" customWidth="1"/>
    <col min="2" max="2" width="9.6640625" style="2" customWidth="1"/>
    <col min="3" max="4" width="8.88671875" style="2" customWidth="1"/>
    <col min="5" max="5" width="11.109375" style="2" customWidth="1"/>
    <col min="6" max="6" width="9.88671875" style="2" bestFit="1" customWidth="1"/>
    <col min="7" max="7" width="9.6640625" style="2" bestFit="1" customWidth="1"/>
    <col min="8" max="8" width="8.88671875" style="2"/>
    <col min="9" max="9" width="7.5546875" style="2" customWidth="1"/>
    <col min="10" max="10" width="9" style="2" customWidth="1"/>
    <col min="11" max="11" width="28.5546875" style="2" bestFit="1" customWidth="1"/>
    <col min="12" max="12" width="17.109375" style="2" customWidth="1"/>
    <col min="13" max="13" width="7.6640625" style="2" customWidth="1"/>
    <col min="14" max="14" width="8.88671875" style="2"/>
    <col min="15" max="15" width="12.88671875" style="2" bestFit="1" customWidth="1"/>
    <col min="16" max="256" width="8.88671875" style="2"/>
    <col min="257" max="257" width="27.88671875" style="2" customWidth="1"/>
    <col min="258" max="258" width="9.6640625" style="2" customWidth="1"/>
    <col min="259" max="260" width="8.88671875" style="2"/>
    <col min="261" max="261" width="11.109375" style="2" customWidth="1"/>
    <col min="262" max="262" width="9.88671875" style="2" bestFit="1" customWidth="1"/>
    <col min="263" max="263" width="9.6640625" style="2" bestFit="1" customWidth="1"/>
    <col min="264" max="264" width="8.88671875" style="2"/>
    <col min="265" max="265" width="7.5546875" style="2" customWidth="1"/>
    <col min="266" max="266" width="9" style="2" customWidth="1"/>
    <col min="267" max="267" width="28.5546875" style="2" bestFit="1" customWidth="1"/>
    <col min="268" max="268" width="17.109375" style="2" customWidth="1"/>
    <col min="269" max="269" width="7.6640625" style="2" customWidth="1"/>
    <col min="270" max="270" width="8.88671875" style="2"/>
    <col min="271" max="271" width="12.88671875" style="2" bestFit="1" customWidth="1"/>
    <col min="272" max="512" width="8.88671875" style="2"/>
    <col min="513" max="513" width="27.88671875" style="2" customWidth="1"/>
    <col min="514" max="514" width="9.6640625" style="2" customWidth="1"/>
    <col min="515" max="516" width="8.88671875" style="2"/>
    <col min="517" max="517" width="11.109375" style="2" customWidth="1"/>
    <col min="518" max="518" width="9.88671875" style="2" bestFit="1" customWidth="1"/>
    <col min="519" max="519" width="9.6640625" style="2" bestFit="1" customWidth="1"/>
    <col min="520" max="520" width="8.88671875" style="2"/>
    <col min="521" max="521" width="7.5546875" style="2" customWidth="1"/>
    <col min="522" max="522" width="9" style="2" customWidth="1"/>
    <col min="523" max="523" width="28.5546875" style="2" bestFit="1" customWidth="1"/>
    <col min="524" max="524" width="17.109375" style="2" customWidth="1"/>
    <col min="525" max="525" width="7.6640625" style="2" customWidth="1"/>
    <col min="526" max="526" width="8.88671875" style="2"/>
    <col min="527" max="527" width="12.88671875" style="2" bestFit="1" customWidth="1"/>
    <col min="528" max="768" width="8.88671875" style="2"/>
    <col min="769" max="769" width="27.88671875" style="2" customWidth="1"/>
    <col min="770" max="770" width="9.6640625" style="2" customWidth="1"/>
    <col min="771" max="772" width="8.88671875" style="2"/>
    <col min="773" max="773" width="11.109375" style="2" customWidth="1"/>
    <col min="774" max="774" width="9.88671875" style="2" bestFit="1" customWidth="1"/>
    <col min="775" max="775" width="9.6640625" style="2" bestFit="1" customWidth="1"/>
    <col min="776" max="776" width="8.88671875" style="2"/>
    <col min="777" max="777" width="7.5546875" style="2" customWidth="1"/>
    <col min="778" max="778" width="9" style="2" customWidth="1"/>
    <col min="779" max="779" width="28.5546875" style="2" bestFit="1" customWidth="1"/>
    <col min="780" max="780" width="17.109375" style="2" customWidth="1"/>
    <col min="781" max="781" width="7.6640625" style="2" customWidth="1"/>
    <col min="782" max="782" width="8.88671875" style="2"/>
    <col min="783" max="783" width="12.88671875" style="2" bestFit="1" customWidth="1"/>
    <col min="784" max="1024" width="8.88671875" style="2"/>
    <col min="1025" max="1025" width="27.88671875" style="2" customWidth="1"/>
    <col min="1026" max="1026" width="9.6640625" style="2" customWidth="1"/>
    <col min="1027" max="1028" width="8.88671875" style="2"/>
    <col min="1029" max="1029" width="11.109375" style="2" customWidth="1"/>
    <col min="1030" max="1030" width="9.88671875" style="2" bestFit="1" customWidth="1"/>
    <col min="1031" max="1031" width="9.6640625" style="2" bestFit="1" customWidth="1"/>
    <col min="1032" max="1032" width="8.88671875" style="2"/>
    <col min="1033" max="1033" width="7.5546875" style="2" customWidth="1"/>
    <col min="1034" max="1034" width="9" style="2" customWidth="1"/>
    <col min="1035" max="1035" width="28.5546875" style="2" bestFit="1" customWidth="1"/>
    <col min="1036" max="1036" width="17.109375" style="2" customWidth="1"/>
    <col min="1037" max="1037" width="7.6640625" style="2" customWidth="1"/>
    <col min="1038" max="1038" width="8.88671875" style="2"/>
    <col min="1039" max="1039" width="12.88671875" style="2" bestFit="1" customWidth="1"/>
    <col min="1040" max="1280" width="8.88671875" style="2"/>
    <col min="1281" max="1281" width="27.88671875" style="2" customWidth="1"/>
    <col min="1282" max="1282" width="9.6640625" style="2" customWidth="1"/>
    <col min="1283" max="1284" width="8.88671875" style="2"/>
    <col min="1285" max="1285" width="11.109375" style="2" customWidth="1"/>
    <col min="1286" max="1286" width="9.88671875" style="2" bestFit="1" customWidth="1"/>
    <col min="1287" max="1287" width="9.6640625" style="2" bestFit="1" customWidth="1"/>
    <col min="1288" max="1288" width="8.88671875" style="2"/>
    <col min="1289" max="1289" width="7.5546875" style="2" customWidth="1"/>
    <col min="1290" max="1290" width="9" style="2" customWidth="1"/>
    <col min="1291" max="1291" width="28.5546875" style="2" bestFit="1" customWidth="1"/>
    <col min="1292" max="1292" width="17.109375" style="2" customWidth="1"/>
    <col min="1293" max="1293" width="7.6640625" style="2" customWidth="1"/>
    <col min="1294" max="1294" width="8.88671875" style="2"/>
    <col min="1295" max="1295" width="12.88671875" style="2" bestFit="1" customWidth="1"/>
    <col min="1296" max="1536" width="8.88671875" style="2"/>
    <col min="1537" max="1537" width="27.88671875" style="2" customWidth="1"/>
    <col min="1538" max="1538" width="9.6640625" style="2" customWidth="1"/>
    <col min="1539" max="1540" width="8.88671875" style="2"/>
    <col min="1541" max="1541" width="11.109375" style="2" customWidth="1"/>
    <col min="1542" max="1542" width="9.88671875" style="2" bestFit="1" customWidth="1"/>
    <col min="1543" max="1543" width="9.6640625" style="2" bestFit="1" customWidth="1"/>
    <col min="1544" max="1544" width="8.88671875" style="2"/>
    <col min="1545" max="1545" width="7.5546875" style="2" customWidth="1"/>
    <col min="1546" max="1546" width="9" style="2" customWidth="1"/>
    <col min="1547" max="1547" width="28.5546875" style="2" bestFit="1" customWidth="1"/>
    <col min="1548" max="1548" width="17.109375" style="2" customWidth="1"/>
    <col min="1549" max="1549" width="7.6640625" style="2" customWidth="1"/>
    <col min="1550" max="1550" width="8.88671875" style="2"/>
    <col min="1551" max="1551" width="12.88671875" style="2" bestFit="1" customWidth="1"/>
    <col min="1552" max="1792" width="8.88671875" style="2"/>
    <col min="1793" max="1793" width="27.88671875" style="2" customWidth="1"/>
    <col min="1794" max="1794" width="9.6640625" style="2" customWidth="1"/>
    <col min="1795" max="1796" width="8.88671875" style="2"/>
    <col min="1797" max="1797" width="11.109375" style="2" customWidth="1"/>
    <col min="1798" max="1798" width="9.88671875" style="2" bestFit="1" customWidth="1"/>
    <col min="1799" max="1799" width="9.6640625" style="2" bestFit="1" customWidth="1"/>
    <col min="1800" max="1800" width="8.88671875" style="2"/>
    <col min="1801" max="1801" width="7.5546875" style="2" customWidth="1"/>
    <col min="1802" max="1802" width="9" style="2" customWidth="1"/>
    <col min="1803" max="1803" width="28.5546875" style="2" bestFit="1" customWidth="1"/>
    <col min="1804" max="1804" width="17.109375" style="2" customWidth="1"/>
    <col min="1805" max="1805" width="7.6640625" style="2" customWidth="1"/>
    <col min="1806" max="1806" width="8.88671875" style="2"/>
    <col min="1807" max="1807" width="12.88671875" style="2" bestFit="1" customWidth="1"/>
    <col min="1808" max="2048" width="8.88671875" style="2"/>
    <col min="2049" max="2049" width="27.88671875" style="2" customWidth="1"/>
    <col min="2050" max="2050" width="9.6640625" style="2" customWidth="1"/>
    <col min="2051" max="2052" width="8.88671875" style="2"/>
    <col min="2053" max="2053" width="11.109375" style="2" customWidth="1"/>
    <col min="2054" max="2054" width="9.88671875" style="2" bestFit="1" customWidth="1"/>
    <col min="2055" max="2055" width="9.6640625" style="2" bestFit="1" customWidth="1"/>
    <col min="2056" max="2056" width="8.88671875" style="2"/>
    <col min="2057" max="2057" width="7.5546875" style="2" customWidth="1"/>
    <col min="2058" max="2058" width="9" style="2" customWidth="1"/>
    <col min="2059" max="2059" width="28.5546875" style="2" bestFit="1" customWidth="1"/>
    <col min="2060" max="2060" width="17.109375" style="2" customWidth="1"/>
    <col min="2061" max="2061" width="7.6640625" style="2" customWidth="1"/>
    <col min="2062" max="2062" width="8.88671875" style="2"/>
    <col min="2063" max="2063" width="12.88671875" style="2" bestFit="1" customWidth="1"/>
    <col min="2064" max="2304" width="8.88671875" style="2"/>
    <col min="2305" max="2305" width="27.88671875" style="2" customWidth="1"/>
    <col min="2306" max="2306" width="9.6640625" style="2" customWidth="1"/>
    <col min="2307" max="2308" width="8.88671875" style="2"/>
    <col min="2309" max="2309" width="11.109375" style="2" customWidth="1"/>
    <col min="2310" max="2310" width="9.88671875" style="2" bestFit="1" customWidth="1"/>
    <col min="2311" max="2311" width="9.6640625" style="2" bestFit="1" customWidth="1"/>
    <col min="2312" max="2312" width="8.88671875" style="2"/>
    <col min="2313" max="2313" width="7.5546875" style="2" customWidth="1"/>
    <col min="2314" max="2314" width="9" style="2" customWidth="1"/>
    <col min="2315" max="2315" width="28.5546875" style="2" bestFit="1" customWidth="1"/>
    <col min="2316" max="2316" width="17.109375" style="2" customWidth="1"/>
    <col min="2317" max="2317" width="7.6640625" style="2" customWidth="1"/>
    <col min="2318" max="2318" width="8.88671875" style="2"/>
    <col min="2319" max="2319" width="12.88671875" style="2" bestFit="1" customWidth="1"/>
    <col min="2320" max="2560" width="8.88671875" style="2"/>
    <col min="2561" max="2561" width="27.88671875" style="2" customWidth="1"/>
    <col min="2562" max="2562" width="9.6640625" style="2" customWidth="1"/>
    <col min="2563" max="2564" width="8.88671875" style="2"/>
    <col min="2565" max="2565" width="11.109375" style="2" customWidth="1"/>
    <col min="2566" max="2566" width="9.88671875" style="2" bestFit="1" customWidth="1"/>
    <col min="2567" max="2567" width="9.6640625" style="2" bestFit="1" customWidth="1"/>
    <col min="2568" max="2568" width="8.88671875" style="2"/>
    <col min="2569" max="2569" width="7.5546875" style="2" customWidth="1"/>
    <col min="2570" max="2570" width="9" style="2" customWidth="1"/>
    <col min="2571" max="2571" width="28.5546875" style="2" bestFit="1" customWidth="1"/>
    <col min="2572" max="2572" width="17.109375" style="2" customWidth="1"/>
    <col min="2573" max="2573" width="7.6640625" style="2" customWidth="1"/>
    <col min="2574" max="2574" width="8.88671875" style="2"/>
    <col min="2575" max="2575" width="12.88671875" style="2" bestFit="1" customWidth="1"/>
    <col min="2576" max="2816" width="8.88671875" style="2"/>
    <col min="2817" max="2817" width="27.88671875" style="2" customWidth="1"/>
    <col min="2818" max="2818" width="9.6640625" style="2" customWidth="1"/>
    <col min="2819" max="2820" width="8.88671875" style="2"/>
    <col min="2821" max="2821" width="11.109375" style="2" customWidth="1"/>
    <col min="2822" max="2822" width="9.88671875" style="2" bestFit="1" customWidth="1"/>
    <col min="2823" max="2823" width="9.6640625" style="2" bestFit="1" customWidth="1"/>
    <col min="2824" max="2824" width="8.88671875" style="2"/>
    <col min="2825" max="2825" width="7.5546875" style="2" customWidth="1"/>
    <col min="2826" max="2826" width="9" style="2" customWidth="1"/>
    <col min="2827" max="2827" width="28.5546875" style="2" bestFit="1" customWidth="1"/>
    <col min="2828" max="2828" width="17.109375" style="2" customWidth="1"/>
    <col min="2829" max="2829" width="7.6640625" style="2" customWidth="1"/>
    <col min="2830" max="2830" width="8.88671875" style="2"/>
    <col min="2831" max="2831" width="12.88671875" style="2" bestFit="1" customWidth="1"/>
    <col min="2832" max="3072" width="8.88671875" style="2"/>
    <col min="3073" max="3073" width="27.88671875" style="2" customWidth="1"/>
    <col min="3074" max="3074" width="9.6640625" style="2" customWidth="1"/>
    <col min="3075" max="3076" width="8.88671875" style="2"/>
    <col min="3077" max="3077" width="11.109375" style="2" customWidth="1"/>
    <col min="3078" max="3078" width="9.88671875" style="2" bestFit="1" customWidth="1"/>
    <col min="3079" max="3079" width="9.6640625" style="2" bestFit="1" customWidth="1"/>
    <col min="3080" max="3080" width="8.88671875" style="2"/>
    <col min="3081" max="3081" width="7.5546875" style="2" customWidth="1"/>
    <col min="3082" max="3082" width="9" style="2" customWidth="1"/>
    <col min="3083" max="3083" width="28.5546875" style="2" bestFit="1" customWidth="1"/>
    <col min="3084" max="3084" width="17.109375" style="2" customWidth="1"/>
    <col min="3085" max="3085" width="7.6640625" style="2" customWidth="1"/>
    <col min="3086" max="3086" width="8.88671875" style="2"/>
    <col min="3087" max="3087" width="12.88671875" style="2" bestFit="1" customWidth="1"/>
    <col min="3088" max="3328" width="8.88671875" style="2"/>
    <col min="3329" max="3329" width="27.88671875" style="2" customWidth="1"/>
    <col min="3330" max="3330" width="9.6640625" style="2" customWidth="1"/>
    <col min="3331" max="3332" width="8.88671875" style="2"/>
    <col min="3333" max="3333" width="11.109375" style="2" customWidth="1"/>
    <col min="3334" max="3334" width="9.88671875" style="2" bestFit="1" customWidth="1"/>
    <col min="3335" max="3335" width="9.6640625" style="2" bestFit="1" customWidth="1"/>
    <col min="3336" max="3336" width="8.88671875" style="2"/>
    <col min="3337" max="3337" width="7.5546875" style="2" customWidth="1"/>
    <col min="3338" max="3338" width="9" style="2" customWidth="1"/>
    <col min="3339" max="3339" width="28.5546875" style="2" bestFit="1" customWidth="1"/>
    <col min="3340" max="3340" width="17.109375" style="2" customWidth="1"/>
    <col min="3341" max="3341" width="7.6640625" style="2" customWidth="1"/>
    <col min="3342" max="3342" width="8.88671875" style="2"/>
    <col min="3343" max="3343" width="12.88671875" style="2" bestFit="1" customWidth="1"/>
    <col min="3344" max="3584" width="8.88671875" style="2"/>
    <col min="3585" max="3585" width="27.88671875" style="2" customWidth="1"/>
    <col min="3586" max="3586" width="9.6640625" style="2" customWidth="1"/>
    <col min="3587" max="3588" width="8.88671875" style="2"/>
    <col min="3589" max="3589" width="11.109375" style="2" customWidth="1"/>
    <col min="3590" max="3590" width="9.88671875" style="2" bestFit="1" customWidth="1"/>
    <col min="3591" max="3591" width="9.6640625" style="2" bestFit="1" customWidth="1"/>
    <col min="3592" max="3592" width="8.88671875" style="2"/>
    <col min="3593" max="3593" width="7.5546875" style="2" customWidth="1"/>
    <col min="3594" max="3594" width="9" style="2" customWidth="1"/>
    <col min="3595" max="3595" width="28.5546875" style="2" bestFit="1" customWidth="1"/>
    <col min="3596" max="3596" width="17.109375" style="2" customWidth="1"/>
    <col min="3597" max="3597" width="7.6640625" style="2" customWidth="1"/>
    <col min="3598" max="3598" width="8.88671875" style="2"/>
    <col min="3599" max="3599" width="12.88671875" style="2" bestFit="1" customWidth="1"/>
    <col min="3600" max="3840" width="8.88671875" style="2"/>
    <col min="3841" max="3841" width="27.88671875" style="2" customWidth="1"/>
    <col min="3842" max="3842" width="9.6640625" style="2" customWidth="1"/>
    <col min="3843" max="3844" width="8.88671875" style="2"/>
    <col min="3845" max="3845" width="11.109375" style="2" customWidth="1"/>
    <col min="3846" max="3846" width="9.88671875" style="2" bestFit="1" customWidth="1"/>
    <col min="3847" max="3847" width="9.6640625" style="2" bestFit="1" customWidth="1"/>
    <col min="3848" max="3848" width="8.88671875" style="2"/>
    <col min="3849" max="3849" width="7.5546875" style="2" customWidth="1"/>
    <col min="3850" max="3850" width="9" style="2" customWidth="1"/>
    <col min="3851" max="3851" width="28.5546875" style="2" bestFit="1" customWidth="1"/>
    <col min="3852" max="3852" width="17.109375" style="2" customWidth="1"/>
    <col min="3853" max="3853" width="7.6640625" style="2" customWidth="1"/>
    <col min="3854" max="3854" width="8.88671875" style="2"/>
    <col min="3855" max="3855" width="12.88671875" style="2" bestFit="1" customWidth="1"/>
    <col min="3856" max="4096" width="8.88671875" style="2"/>
    <col min="4097" max="4097" width="27.88671875" style="2" customWidth="1"/>
    <col min="4098" max="4098" width="9.6640625" style="2" customWidth="1"/>
    <col min="4099" max="4100" width="8.88671875" style="2"/>
    <col min="4101" max="4101" width="11.109375" style="2" customWidth="1"/>
    <col min="4102" max="4102" width="9.88671875" style="2" bestFit="1" customWidth="1"/>
    <col min="4103" max="4103" width="9.6640625" style="2" bestFit="1" customWidth="1"/>
    <col min="4104" max="4104" width="8.88671875" style="2"/>
    <col min="4105" max="4105" width="7.5546875" style="2" customWidth="1"/>
    <col min="4106" max="4106" width="9" style="2" customWidth="1"/>
    <col min="4107" max="4107" width="28.5546875" style="2" bestFit="1" customWidth="1"/>
    <col min="4108" max="4108" width="17.109375" style="2" customWidth="1"/>
    <col min="4109" max="4109" width="7.6640625" style="2" customWidth="1"/>
    <col min="4110" max="4110" width="8.88671875" style="2"/>
    <col min="4111" max="4111" width="12.88671875" style="2" bestFit="1" customWidth="1"/>
    <col min="4112" max="4352" width="8.88671875" style="2"/>
    <col min="4353" max="4353" width="27.88671875" style="2" customWidth="1"/>
    <col min="4354" max="4354" width="9.6640625" style="2" customWidth="1"/>
    <col min="4355" max="4356" width="8.88671875" style="2"/>
    <col min="4357" max="4357" width="11.109375" style="2" customWidth="1"/>
    <col min="4358" max="4358" width="9.88671875" style="2" bestFit="1" customWidth="1"/>
    <col min="4359" max="4359" width="9.6640625" style="2" bestFit="1" customWidth="1"/>
    <col min="4360" max="4360" width="8.88671875" style="2"/>
    <col min="4361" max="4361" width="7.5546875" style="2" customWidth="1"/>
    <col min="4362" max="4362" width="9" style="2" customWidth="1"/>
    <col min="4363" max="4363" width="28.5546875" style="2" bestFit="1" customWidth="1"/>
    <col min="4364" max="4364" width="17.109375" style="2" customWidth="1"/>
    <col min="4365" max="4365" width="7.6640625" style="2" customWidth="1"/>
    <col min="4366" max="4366" width="8.88671875" style="2"/>
    <col min="4367" max="4367" width="12.88671875" style="2" bestFit="1" customWidth="1"/>
    <col min="4368" max="4608" width="8.88671875" style="2"/>
    <col min="4609" max="4609" width="27.88671875" style="2" customWidth="1"/>
    <col min="4610" max="4610" width="9.6640625" style="2" customWidth="1"/>
    <col min="4611" max="4612" width="8.88671875" style="2"/>
    <col min="4613" max="4613" width="11.109375" style="2" customWidth="1"/>
    <col min="4614" max="4614" width="9.88671875" style="2" bestFit="1" customWidth="1"/>
    <col min="4615" max="4615" width="9.6640625" style="2" bestFit="1" customWidth="1"/>
    <col min="4616" max="4616" width="8.88671875" style="2"/>
    <col min="4617" max="4617" width="7.5546875" style="2" customWidth="1"/>
    <col min="4618" max="4618" width="9" style="2" customWidth="1"/>
    <col min="4619" max="4619" width="28.5546875" style="2" bestFit="1" customWidth="1"/>
    <col min="4620" max="4620" width="17.109375" style="2" customWidth="1"/>
    <col min="4621" max="4621" width="7.6640625" style="2" customWidth="1"/>
    <col min="4622" max="4622" width="8.88671875" style="2"/>
    <col min="4623" max="4623" width="12.88671875" style="2" bestFit="1" customWidth="1"/>
    <col min="4624" max="4864" width="8.88671875" style="2"/>
    <col min="4865" max="4865" width="27.88671875" style="2" customWidth="1"/>
    <col min="4866" max="4866" width="9.6640625" style="2" customWidth="1"/>
    <col min="4867" max="4868" width="8.88671875" style="2"/>
    <col min="4869" max="4869" width="11.109375" style="2" customWidth="1"/>
    <col min="4870" max="4870" width="9.88671875" style="2" bestFit="1" customWidth="1"/>
    <col min="4871" max="4871" width="9.6640625" style="2" bestFit="1" customWidth="1"/>
    <col min="4872" max="4872" width="8.88671875" style="2"/>
    <col min="4873" max="4873" width="7.5546875" style="2" customWidth="1"/>
    <col min="4874" max="4874" width="9" style="2" customWidth="1"/>
    <col min="4875" max="4875" width="28.5546875" style="2" bestFit="1" customWidth="1"/>
    <col min="4876" max="4876" width="17.109375" style="2" customWidth="1"/>
    <col min="4877" max="4877" width="7.6640625" style="2" customWidth="1"/>
    <col min="4878" max="4878" width="8.88671875" style="2"/>
    <col min="4879" max="4879" width="12.88671875" style="2" bestFit="1" customWidth="1"/>
    <col min="4880" max="5120" width="8.88671875" style="2"/>
    <col min="5121" max="5121" width="27.88671875" style="2" customWidth="1"/>
    <col min="5122" max="5122" width="9.6640625" style="2" customWidth="1"/>
    <col min="5123" max="5124" width="8.88671875" style="2"/>
    <col min="5125" max="5125" width="11.109375" style="2" customWidth="1"/>
    <col min="5126" max="5126" width="9.88671875" style="2" bestFit="1" customWidth="1"/>
    <col min="5127" max="5127" width="9.6640625" style="2" bestFit="1" customWidth="1"/>
    <col min="5128" max="5128" width="8.88671875" style="2"/>
    <col min="5129" max="5129" width="7.5546875" style="2" customWidth="1"/>
    <col min="5130" max="5130" width="9" style="2" customWidth="1"/>
    <col min="5131" max="5131" width="28.5546875" style="2" bestFit="1" customWidth="1"/>
    <col min="5132" max="5132" width="17.109375" style="2" customWidth="1"/>
    <col min="5133" max="5133" width="7.6640625" style="2" customWidth="1"/>
    <col min="5134" max="5134" width="8.88671875" style="2"/>
    <col min="5135" max="5135" width="12.88671875" style="2" bestFit="1" customWidth="1"/>
    <col min="5136" max="5376" width="8.88671875" style="2"/>
    <col min="5377" max="5377" width="27.88671875" style="2" customWidth="1"/>
    <col min="5378" max="5378" width="9.6640625" style="2" customWidth="1"/>
    <col min="5379" max="5380" width="8.88671875" style="2"/>
    <col min="5381" max="5381" width="11.109375" style="2" customWidth="1"/>
    <col min="5382" max="5382" width="9.88671875" style="2" bestFit="1" customWidth="1"/>
    <col min="5383" max="5383" width="9.6640625" style="2" bestFit="1" customWidth="1"/>
    <col min="5384" max="5384" width="8.88671875" style="2"/>
    <col min="5385" max="5385" width="7.5546875" style="2" customWidth="1"/>
    <col min="5386" max="5386" width="9" style="2" customWidth="1"/>
    <col min="5387" max="5387" width="28.5546875" style="2" bestFit="1" customWidth="1"/>
    <col min="5388" max="5388" width="17.109375" style="2" customWidth="1"/>
    <col min="5389" max="5389" width="7.6640625" style="2" customWidth="1"/>
    <col min="5390" max="5390" width="8.88671875" style="2"/>
    <col min="5391" max="5391" width="12.88671875" style="2" bestFit="1" customWidth="1"/>
    <col min="5392" max="5632" width="8.88671875" style="2"/>
    <col min="5633" max="5633" width="27.88671875" style="2" customWidth="1"/>
    <col min="5634" max="5634" width="9.6640625" style="2" customWidth="1"/>
    <col min="5635" max="5636" width="8.88671875" style="2"/>
    <col min="5637" max="5637" width="11.109375" style="2" customWidth="1"/>
    <col min="5638" max="5638" width="9.88671875" style="2" bestFit="1" customWidth="1"/>
    <col min="5639" max="5639" width="9.6640625" style="2" bestFit="1" customWidth="1"/>
    <col min="5640" max="5640" width="8.88671875" style="2"/>
    <col min="5641" max="5641" width="7.5546875" style="2" customWidth="1"/>
    <col min="5642" max="5642" width="9" style="2" customWidth="1"/>
    <col min="5643" max="5643" width="28.5546875" style="2" bestFit="1" customWidth="1"/>
    <col min="5644" max="5644" width="17.109375" style="2" customWidth="1"/>
    <col min="5645" max="5645" width="7.6640625" style="2" customWidth="1"/>
    <col min="5646" max="5646" width="8.88671875" style="2"/>
    <col min="5647" max="5647" width="12.88671875" style="2" bestFit="1" customWidth="1"/>
    <col min="5648" max="5888" width="8.88671875" style="2"/>
    <col min="5889" max="5889" width="27.88671875" style="2" customWidth="1"/>
    <col min="5890" max="5890" width="9.6640625" style="2" customWidth="1"/>
    <col min="5891" max="5892" width="8.88671875" style="2"/>
    <col min="5893" max="5893" width="11.109375" style="2" customWidth="1"/>
    <col min="5894" max="5894" width="9.88671875" style="2" bestFit="1" customWidth="1"/>
    <col min="5895" max="5895" width="9.6640625" style="2" bestFit="1" customWidth="1"/>
    <col min="5896" max="5896" width="8.88671875" style="2"/>
    <col min="5897" max="5897" width="7.5546875" style="2" customWidth="1"/>
    <col min="5898" max="5898" width="9" style="2" customWidth="1"/>
    <col min="5899" max="5899" width="28.5546875" style="2" bestFit="1" customWidth="1"/>
    <col min="5900" max="5900" width="17.109375" style="2" customWidth="1"/>
    <col min="5901" max="5901" width="7.6640625" style="2" customWidth="1"/>
    <col min="5902" max="5902" width="8.88671875" style="2"/>
    <col min="5903" max="5903" width="12.88671875" style="2" bestFit="1" customWidth="1"/>
    <col min="5904" max="6144" width="8.88671875" style="2"/>
    <col min="6145" max="6145" width="27.88671875" style="2" customWidth="1"/>
    <col min="6146" max="6146" width="9.6640625" style="2" customWidth="1"/>
    <col min="6147" max="6148" width="8.88671875" style="2"/>
    <col min="6149" max="6149" width="11.109375" style="2" customWidth="1"/>
    <col min="6150" max="6150" width="9.88671875" style="2" bestFit="1" customWidth="1"/>
    <col min="6151" max="6151" width="9.6640625" style="2" bestFit="1" customWidth="1"/>
    <col min="6152" max="6152" width="8.88671875" style="2"/>
    <col min="6153" max="6153" width="7.5546875" style="2" customWidth="1"/>
    <col min="6154" max="6154" width="9" style="2" customWidth="1"/>
    <col min="6155" max="6155" width="28.5546875" style="2" bestFit="1" customWidth="1"/>
    <col min="6156" max="6156" width="17.109375" style="2" customWidth="1"/>
    <col min="6157" max="6157" width="7.6640625" style="2" customWidth="1"/>
    <col min="6158" max="6158" width="8.88671875" style="2"/>
    <col min="6159" max="6159" width="12.88671875" style="2" bestFit="1" customWidth="1"/>
    <col min="6160" max="6400" width="8.88671875" style="2"/>
    <col min="6401" max="6401" width="27.88671875" style="2" customWidth="1"/>
    <col min="6402" max="6402" width="9.6640625" style="2" customWidth="1"/>
    <col min="6403" max="6404" width="8.88671875" style="2"/>
    <col min="6405" max="6405" width="11.109375" style="2" customWidth="1"/>
    <col min="6406" max="6406" width="9.88671875" style="2" bestFit="1" customWidth="1"/>
    <col min="6407" max="6407" width="9.6640625" style="2" bestFit="1" customWidth="1"/>
    <col min="6408" max="6408" width="8.88671875" style="2"/>
    <col min="6409" max="6409" width="7.5546875" style="2" customWidth="1"/>
    <col min="6410" max="6410" width="9" style="2" customWidth="1"/>
    <col min="6411" max="6411" width="28.5546875" style="2" bestFit="1" customWidth="1"/>
    <col min="6412" max="6412" width="17.109375" style="2" customWidth="1"/>
    <col min="6413" max="6413" width="7.6640625" style="2" customWidth="1"/>
    <col min="6414" max="6414" width="8.88671875" style="2"/>
    <col min="6415" max="6415" width="12.88671875" style="2" bestFit="1" customWidth="1"/>
    <col min="6416" max="6656" width="8.88671875" style="2"/>
    <col min="6657" max="6657" width="27.88671875" style="2" customWidth="1"/>
    <col min="6658" max="6658" width="9.6640625" style="2" customWidth="1"/>
    <col min="6659" max="6660" width="8.88671875" style="2"/>
    <col min="6661" max="6661" width="11.109375" style="2" customWidth="1"/>
    <col min="6662" max="6662" width="9.88671875" style="2" bestFit="1" customWidth="1"/>
    <col min="6663" max="6663" width="9.6640625" style="2" bestFit="1" customWidth="1"/>
    <col min="6664" max="6664" width="8.88671875" style="2"/>
    <col min="6665" max="6665" width="7.5546875" style="2" customWidth="1"/>
    <col min="6666" max="6666" width="9" style="2" customWidth="1"/>
    <col min="6667" max="6667" width="28.5546875" style="2" bestFit="1" customWidth="1"/>
    <col min="6668" max="6668" width="17.109375" style="2" customWidth="1"/>
    <col min="6669" max="6669" width="7.6640625" style="2" customWidth="1"/>
    <col min="6670" max="6670" width="8.88671875" style="2"/>
    <col min="6671" max="6671" width="12.88671875" style="2" bestFit="1" customWidth="1"/>
    <col min="6672" max="6912" width="8.88671875" style="2"/>
    <col min="6913" max="6913" width="27.88671875" style="2" customWidth="1"/>
    <col min="6914" max="6914" width="9.6640625" style="2" customWidth="1"/>
    <col min="6915" max="6916" width="8.88671875" style="2"/>
    <col min="6917" max="6917" width="11.109375" style="2" customWidth="1"/>
    <col min="6918" max="6918" width="9.88671875" style="2" bestFit="1" customWidth="1"/>
    <col min="6919" max="6919" width="9.6640625" style="2" bestFit="1" customWidth="1"/>
    <col min="6920" max="6920" width="8.88671875" style="2"/>
    <col min="6921" max="6921" width="7.5546875" style="2" customWidth="1"/>
    <col min="6922" max="6922" width="9" style="2" customWidth="1"/>
    <col min="6923" max="6923" width="28.5546875" style="2" bestFit="1" customWidth="1"/>
    <col min="6924" max="6924" width="17.109375" style="2" customWidth="1"/>
    <col min="6925" max="6925" width="7.6640625" style="2" customWidth="1"/>
    <col min="6926" max="6926" width="8.88671875" style="2"/>
    <col min="6927" max="6927" width="12.88671875" style="2" bestFit="1" customWidth="1"/>
    <col min="6928" max="7168" width="8.88671875" style="2"/>
    <col min="7169" max="7169" width="27.88671875" style="2" customWidth="1"/>
    <col min="7170" max="7170" width="9.6640625" style="2" customWidth="1"/>
    <col min="7171" max="7172" width="8.88671875" style="2"/>
    <col min="7173" max="7173" width="11.109375" style="2" customWidth="1"/>
    <col min="7174" max="7174" width="9.88671875" style="2" bestFit="1" customWidth="1"/>
    <col min="7175" max="7175" width="9.6640625" style="2" bestFit="1" customWidth="1"/>
    <col min="7176" max="7176" width="8.88671875" style="2"/>
    <col min="7177" max="7177" width="7.5546875" style="2" customWidth="1"/>
    <col min="7178" max="7178" width="9" style="2" customWidth="1"/>
    <col min="7179" max="7179" width="28.5546875" style="2" bestFit="1" customWidth="1"/>
    <col min="7180" max="7180" width="17.109375" style="2" customWidth="1"/>
    <col min="7181" max="7181" width="7.6640625" style="2" customWidth="1"/>
    <col min="7182" max="7182" width="8.88671875" style="2"/>
    <col min="7183" max="7183" width="12.88671875" style="2" bestFit="1" customWidth="1"/>
    <col min="7184" max="7424" width="8.88671875" style="2"/>
    <col min="7425" max="7425" width="27.88671875" style="2" customWidth="1"/>
    <col min="7426" max="7426" width="9.6640625" style="2" customWidth="1"/>
    <col min="7427" max="7428" width="8.88671875" style="2"/>
    <col min="7429" max="7429" width="11.109375" style="2" customWidth="1"/>
    <col min="7430" max="7430" width="9.88671875" style="2" bestFit="1" customWidth="1"/>
    <col min="7431" max="7431" width="9.6640625" style="2" bestFit="1" customWidth="1"/>
    <col min="7432" max="7432" width="8.88671875" style="2"/>
    <col min="7433" max="7433" width="7.5546875" style="2" customWidth="1"/>
    <col min="7434" max="7434" width="9" style="2" customWidth="1"/>
    <col min="7435" max="7435" width="28.5546875" style="2" bestFit="1" customWidth="1"/>
    <col min="7436" max="7436" width="17.109375" style="2" customWidth="1"/>
    <col min="7437" max="7437" width="7.6640625" style="2" customWidth="1"/>
    <col min="7438" max="7438" width="8.88671875" style="2"/>
    <col min="7439" max="7439" width="12.88671875" style="2" bestFit="1" customWidth="1"/>
    <col min="7440" max="7680" width="8.88671875" style="2"/>
    <col min="7681" max="7681" width="27.88671875" style="2" customWidth="1"/>
    <col min="7682" max="7682" width="9.6640625" style="2" customWidth="1"/>
    <col min="7683" max="7684" width="8.88671875" style="2"/>
    <col min="7685" max="7685" width="11.109375" style="2" customWidth="1"/>
    <col min="7686" max="7686" width="9.88671875" style="2" bestFit="1" customWidth="1"/>
    <col min="7687" max="7687" width="9.6640625" style="2" bestFit="1" customWidth="1"/>
    <col min="7688" max="7688" width="8.88671875" style="2"/>
    <col min="7689" max="7689" width="7.5546875" style="2" customWidth="1"/>
    <col min="7690" max="7690" width="9" style="2" customWidth="1"/>
    <col min="7691" max="7691" width="28.5546875" style="2" bestFit="1" customWidth="1"/>
    <col min="7692" max="7692" width="17.109375" style="2" customWidth="1"/>
    <col min="7693" max="7693" width="7.6640625" style="2" customWidth="1"/>
    <col min="7694" max="7694" width="8.88671875" style="2"/>
    <col min="7695" max="7695" width="12.88671875" style="2" bestFit="1" customWidth="1"/>
    <col min="7696" max="7936" width="8.88671875" style="2"/>
    <col min="7937" max="7937" width="27.88671875" style="2" customWidth="1"/>
    <col min="7938" max="7938" width="9.6640625" style="2" customWidth="1"/>
    <col min="7939" max="7940" width="8.88671875" style="2"/>
    <col min="7941" max="7941" width="11.109375" style="2" customWidth="1"/>
    <col min="7942" max="7942" width="9.88671875" style="2" bestFit="1" customWidth="1"/>
    <col min="7943" max="7943" width="9.6640625" style="2" bestFit="1" customWidth="1"/>
    <col min="7944" max="7944" width="8.88671875" style="2"/>
    <col min="7945" max="7945" width="7.5546875" style="2" customWidth="1"/>
    <col min="7946" max="7946" width="9" style="2" customWidth="1"/>
    <col min="7947" max="7947" width="28.5546875" style="2" bestFit="1" customWidth="1"/>
    <col min="7948" max="7948" width="17.109375" style="2" customWidth="1"/>
    <col min="7949" max="7949" width="7.6640625" style="2" customWidth="1"/>
    <col min="7950" max="7950" width="8.88671875" style="2"/>
    <col min="7951" max="7951" width="12.88671875" style="2" bestFit="1" customWidth="1"/>
    <col min="7952" max="8192" width="8.88671875" style="2"/>
    <col min="8193" max="8193" width="27.88671875" style="2" customWidth="1"/>
    <col min="8194" max="8194" width="9.6640625" style="2" customWidth="1"/>
    <col min="8195" max="8196" width="8.88671875" style="2"/>
    <col min="8197" max="8197" width="11.109375" style="2" customWidth="1"/>
    <col min="8198" max="8198" width="9.88671875" style="2" bestFit="1" customWidth="1"/>
    <col min="8199" max="8199" width="9.6640625" style="2" bestFit="1" customWidth="1"/>
    <col min="8200" max="8200" width="8.88671875" style="2"/>
    <col min="8201" max="8201" width="7.5546875" style="2" customWidth="1"/>
    <col min="8202" max="8202" width="9" style="2" customWidth="1"/>
    <col min="8203" max="8203" width="28.5546875" style="2" bestFit="1" customWidth="1"/>
    <col min="8204" max="8204" width="17.109375" style="2" customWidth="1"/>
    <col min="8205" max="8205" width="7.6640625" style="2" customWidth="1"/>
    <col min="8206" max="8206" width="8.88671875" style="2"/>
    <col min="8207" max="8207" width="12.88671875" style="2" bestFit="1" customWidth="1"/>
    <col min="8208" max="8448" width="8.88671875" style="2"/>
    <col min="8449" max="8449" width="27.88671875" style="2" customWidth="1"/>
    <col min="8450" max="8450" width="9.6640625" style="2" customWidth="1"/>
    <col min="8451" max="8452" width="8.88671875" style="2"/>
    <col min="8453" max="8453" width="11.109375" style="2" customWidth="1"/>
    <col min="8454" max="8454" width="9.88671875" style="2" bestFit="1" customWidth="1"/>
    <col min="8455" max="8455" width="9.6640625" style="2" bestFit="1" customWidth="1"/>
    <col min="8456" max="8456" width="8.88671875" style="2"/>
    <col min="8457" max="8457" width="7.5546875" style="2" customWidth="1"/>
    <col min="8458" max="8458" width="9" style="2" customWidth="1"/>
    <col min="8459" max="8459" width="28.5546875" style="2" bestFit="1" customWidth="1"/>
    <col min="8460" max="8460" width="17.109375" style="2" customWidth="1"/>
    <col min="8461" max="8461" width="7.6640625" style="2" customWidth="1"/>
    <col min="8462" max="8462" width="8.88671875" style="2"/>
    <col min="8463" max="8463" width="12.88671875" style="2" bestFit="1" customWidth="1"/>
    <col min="8464" max="8704" width="8.88671875" style="2"/>
    <col min="8705" max="8705" width="27.88671875" style="2" customWidth="1"/>
    <col min="8706" max="8706" width="9.6640625" style="2" customWidth="1"/>
    <col min="8707" max="8708" width="8.88671875" style="2"/>
    <col min="8709" max="8709" width="11.109375" style="2" customWidth="1"/>
    <col min="8710" max="8710" width="9.88671875" style="2" bestFit="1" customWidth="1"/>
    <col min="8711" max="8711" width="9.6640625" style="2" bestFit="1" customWidth="1"/>
    <col min="8712" max="8712" width="8.88671875" style="2"/>
    <col min="8713" max="8713" width="7.5546875" style="2" customWidth="1"/>
    <col min="8714" max="8714" width="9" style="2" customWidth="1"/>
    <col min="8715" max="8715" width="28.5546875" style="2" bestFit="1" customWidth="1"/>
    <col min="8716" max="8716" width="17.109375" style="2" customWidth="1"/>
    <col min="8717" max="8717" width="7.6640625" style="2" customWidth="1"/>
    <col min="8718" max="8718" width="8.88671875" style="2"/>
    <col min="8719" max="8719" width="12.88671875" style="2" bestFit="1" customWidth="1"/>
    <col min="8720" max="8960" width="8.88671875" style="2"/>
    <col min="8961" max="8961" width="27.88671875" style="2" customWidth="1"/>
    <col min="8962" max="8962" width="9.6640625" style="2" customWidth="1"/>
    <col min="8963" max="8964" width="8.88671875" style="2"/>
    <col min="8965" max="8965" width="11.109375" style="2" customWidth="1"/>
    <col min="8966" max="8966" width="9.88671875" style="2" bestFit="1" customWidth="1"/>
    <col min="8967" max="8967" width="9.6640625" style="2" bestFit="1" customWidth="1"/>
    <col min="8968" max="8968" width="8.88671875" style="2"/>
    <col min="8969" max="8969" width="7.5546875" style="2" customWidth="1"/>
    <col min="8970" max="8970" width="9" style="2" customWidth="1"/>
    <col min="8971" max="8971" width="28.5546875" style="2" bestFit="1" customWidth="1"/>
    <col min="8972" max="8972" width="17.109375" style="2" customWidth="1"/>
    <col min="8973" max="8973" width="7.6640625" style="2" customWidth="1"/>
    <col min="8974" max="8974" width="8.88671875" style="2"/>
    <col min="8975" max="8975" width="12.88671875" style="2" bestFit="1" customWidth="1"/>
    <col min="8976" max="9216" width="8.88671875" style="2"/>
    <col min="9217" max="9217" width="27.88671875" style="2" customWidth="1"/>
    <col min="9218" max="9218" width="9.6640625" style="2" customWidth="1"/>
    <col min="9219" max="9220" width="8.88671875" style="2"/>
    <col min="9221" max="9221" width="11.109375" style="2" customWidth="1"/>
    <col min="9222" max="9222" width="9.88671875" style="2" bestFit="1" customWidth="1"/>
    <col min="9223" max="9223" width="9.6640625" style="2" bestFit="1" customWidth="1"/>
    <col min="9224" max="9224" width="8.88671875" style="2"/>
    <col min="9225" max="9225" width="7.5546875" style="2" customWidth="1"/>
    <col min="9226" max="9226" width="9" style="2" customWidth="1"/>
    <col min="9227" max="9227" width="28.5546875" style="2" bestFit="1" customWidth="1"/>
    <col min="9228" max="9228" width="17.109375" style="2" customWidth="1"/>
    <col min="9229" max="9229" width="7.6640625" style="2" customWidth="1"/>
    <col min="9230" max="9230" width="8.88671875" style="2"/>
    <col min="9231" max="9231" width="12.88671875" style="2" bestFit="1" customWidth="1"/>
    <col min="9232" max="9472" width="8.88671875" style="2"/>
    <col min="9473" max="9473" width="27.88671875" style="2" customWidth="1"/>
    <col min="9474" max="9474" width="9.6640625" style="2" customWidth="1"/>
    <col min="9475" max="9476" width="8.88671875" style="2"/>
    <col min="9477" max="9477" width="11.109375" style="2" customWidth="1"/>
    <col min="9478" max="9478" width="9.88671875" style="2" bestFit="1" customWidth="1"/>
    <col min="9479" max="9479" width="9.6640625" style="2" bestFit="1" customWidth="1"/>
    <col min="9480" max="9480" width="8.88671875" style="2"/>
    <col min="9481" max="9481" width="7.5546875" style="2" customWidth="1"/>
    <col min="9482" max="9482" width="9" style="2" customWidth="1"/>
    <col min="9483" max="9483" width="28.5546875" style="2" bestFit="1" customWidth="1"/>
    <col min="9484" max="9484" width="17.109375" style="2" customWidth="1"/>
    <col min="9485" max="9485" width="7.6640625" style="2" customWidth="1"/>
    <col min="9486" max="9486" width="8.88671875" style="2"/>
    <col min="9487" max="9487" width="12.88671875" style="2" bestFit="1" customWidth="1"/>
    <col min="9488" max="9728" width="8.88671875" style="2"/>
    <col min="9729" max="9729" width="27.88671875" style="2" customWidth="1"/>
    <col min="9730" max="9730" width="9.6640625" style="2" customWidth="1"/>
    <col min="9731" max="9732" width="8.88671875" style="2"/>
    <col min="9733" max="9733" width="11.109375" style="2" customWidth="1"/>
    <col min="9734" max="9734" width="9.88671875" style="2" bestFit="1" customWidth="1"/>
    <col min="9735" max="9735" width="9.6640625" style="2" bestFit="1" customWidth="1"/>
    <col min="9736" max="9736" width="8.88671875" style="2"/>
    <col min="9737" max="9737" width="7.5546875" style="2" customWidth="1"/>
    <col min="9738" max="9738" width="9" style="2" customWidth="1"/>
    <col min="9739" max="9739" width="28.5546875" style="2" bestFit="1" customWidth="1"/>
    <col min="9740" max="9740" width="17.109375" style="2" customWidth="1"/>
    <col min="9741" max="9741" width="7.6640625" style="2" customWidth="1"/>
    <col min="9742" max="9742" width="8.88671875" style="2"/>
    <col min="9743" max="9743" width="12.88671875" style="2" bestFit="1" customWidth="1"/>
    <col min="9744" max="9984" width="8.88671875" style="2"/>
    <col min="9985" max="9985" width="27.88671875" style="2" customWidth="1"/>
    <col min="9986" max="9986" width="9.6640625" style="2" customWidth="1"/>
    <col min="9987" max="9988" width="8.88671875" style="2"/>
    <col min="9989" max="9989" width="11.109375" style="2" customWidth="1"/>
    <col min="9990" max="9990" width="9.88671875" style="2" bestFit="1" customWidth="1"/>
    <col min="9991" max="9991" width="9.6640625" style="2" bestFit="1" customWidth="1"/>
    <col min="9992" max="9992" width="8.88671875" style="2"/>
    <col min="9993" max="9993" width="7.5546875" style="2" customWidth="1"/>
    <col min="9994" max="9994" width="9" style="2" customWidth="1"/>
    <col min="9995" max="9995" width="28.5546875" style="2" bestFit="1" customWidth="1"/>
    <col min="9996" max="9996" width="17.109375" style="2" customWidth="1"/>
    <col min="9997" max="9997" width="7.6640625" style="2" customWidth="1"/>
    <col min="9998" max="9998" width="8.88671875" style="2"/>
    <col min="9999" max="9999" width="12.88671875" style="2" bestFit="1" customWidth="1"/>
    <col min="10000" max="10240" width="8.88671875" style="2"/>
    <col min="10241" max="10241" width="27.88671875" style="2" customWidth="1"/>
    <col min="10242" max="10242" width="9.6640625" style="2" customWidth="1"/>
    <col min="10243" max="10244" width="8.88671875" style="2"/>
    <col min="10245" max="10245" width="11.109375" style="2" customWidth="1"/>
    <col min="10246" max="10246" width="9.88671875" style="2" bestFit="1" customWidth="1"/>
    <col min="10247" max="10247" width="9.6640625" style="2" bestFit="1" customWidth="1"/>
    <col min="10248" max="10248" width="8.88671875" style="2"/>
    <col min="10249" max="10249" width="7.5546875" style="2" customWidth="1"/>
    <col min="10250" max="10250" width="9" style="2" customWidth="1"/>
    <col min="10251" max="10251" width="28.5546875" style="2" bestFit="1" customWidth="1"/>
    <col min="10252" max="10252" width="17.109375" style="2" customWidth="1"/>
    <col min="10253" max="10253" width="7.6640625" style="2" customWidth="1"/>
    <col min="10254" max="10254" width="8.88671875" style="2"/>
    <col min="10255" max="10255" width="12.88671875" style="2" bestFit="1" customWidth="1"/>
    <col min="10256" max="10496" width="8.88671875" style="2"/>
    <col min="10497" max="10497" width="27.88671875" style="2" customWidth="1"/>
    <col min="10498" max="10498" width="9.6640625" style="2" customWidth="1"/>
    <col min="10499" max="10500" width="8.88671875" style="2"/>
    <col min="10501" max="10501" width="11.109375" style="2" customWidth="1"/>
    <col min="10502" max="10502" width="9.88671875" style="2" bestFit="1" customWidth="1"/>
    <col min="10503" max="10503" width="9.6640625" style="2" bestFit="1" customWidth="1"/>
    <col min="10504" max="10504" width="8.88671875" style="2"/>
    <col min="10505" max="10505" width="7.5546875" style="2" customWidth="1"/>
    <col min="10506" max="10506" width="9" style="2" customWidth="1"/>
    <col min="10507" max="10507" width="28.5546875" style="2" bestFit="1" customWidth="1"/>
    <col min="10508" max="10508" width="17.109375" style="2" customWidth="1"/>
    <col min="10509" max="10509" width="7.6640625" style="2" customWidth="1"/>
    <col min="10510" max="10510" width="8.88671875" style="2"/>
    <col min="10511" max="10511" width="12.88671875" style="2" bestFit="1" customWidth="1"/>
    <col min="10512" max="10752" width="8.88671875" style="2"/>
    <col min="10753" max="10753" width="27.88671875" style="2" customWidth="1"/>
    <col min="10754" max="10754" width="9.6640625" style="2" customWidth="1"/>
    <col min="10755" max="10756" width="8.88671875" style="2"/>
    <col min="10757" max="10757" width="11.109375" style="2" customWidth="1"/>
    <col min="10758" max="10758" width="9.88671875" style="2" bestFit="1" customWidth="1"/>
    <col min="10759" max="10759" width="9.6640625" style="2" bestFit="1" customWidth="1"/>
    <col min="10760" max="10760" width="8.88671875" style="2"/>
    <col min="10761" max="10761" width="7.5546875" style="2" customWidth="1"/>
    <col min="10762" max="10762" width="9" style="2" customWidth="1"/>
    <col min="10763" max="10763" width="28.5546875" style="2" bestFit="1" customWidth="1"/>
    <col min="10764" max="10764" width="17.109375" style="2" customWidth="1"/>
    <col min="10765" max="10765" width="7.6640625" style="2" customWidth="1"/>
    <col min="10766" max="10766" width="8.88671875" style="2"/>
    <col min="10767" max="10767" width="12.88671875" style="2" bestFit="1" customWidth="1"/>
    <col min="10768" max="11008" width="8.88671875" style="2"/>
    <col min="11009" max="11009" width="27.88671875" style="2" customWidth="1"/>
    <col min="11010" max="11010" width="9.6640625" style="2" customWidth="1"/>
    <col min="11011" max="11012" width="8.88671875" style="2"/>
    <col min="11013" max="11013" width="11.109375" style="2" customWidth="1"/>
    <col min="11014" max="11014" width="9.88671875" style="2" bestFit="1" customWidth="1"/>
    <col min="11015" max="11015" width="9.6640625" style="2" bestFit="1" customWidth="1"/>
    <col min="11016" max="11016" width="8.88671875" style="2"/>
    <col min="11017" max="11017" width="7.5546875" style="2" customWidth="1"/>
    <col min="11018" max="11018" width="9" style="2" customWidth="1"/>
    <col min="11019" max="11019" width="28.5546875" style="2" bestFit="1" customWidth="1"/>
    <col min="11020" max="11020" width="17.109375" style="2" customWidth="1"/>
    <col min="11021" max="11021" width="7.6640625" style="2" customWidth="1"/>
    <col min="11022" max="11022" width="8.88671875" style="2"/>
    <col min="11023" max="11023" width="12.88671875" style="2" bestFit="1" customWidth="1"/>
    <col min="11024" max="11264" width="8.88671875" style="2"/>
    <col min="11265" max="11265" width="27.88671875" style="2" customWidth="1"/>
    <col min="11266" max="11266" width="9.6640625" style="2" customWidth="1"/>
    <col min="11267" max="11268" width="8.88671875" style="2"/>
    <col min="11269" max="11269" width="11.109375" style="2" customWidth="1"/>
    <col min="11270" max="11270" width="9.88671875" style="2" bestFit="1" customWidth="1"/>
    <col min="11271" max="11271" width="9.6640625" style="2" bestFit="1" customWidth="1"/>
    <col min="11272" max="11272" width="8.88671875" style="2"/>
    <col min="11273" max="11273" width="7.5546875" style="2" customWidth="1"/>
    <col min="11274" max="11274" width="9" style="2" customWidth="1"/>
    <col min="11275" max="11275" width="28.5546875" style="2" bestFit="1" customWidth="1"/>
    <col min="11276" max="11276" width="17.109375" style="2" customWidth="1"/>
    <col min="11277" max="11277" width="7.6640625" style="2" customWidth="1"/>
    <col min="11278" max="11278" width="8.88671875" style="2"/>
    <col min="11279" max="11279" width="12.88671875" style="2" bestFit="1" customWidth="1"/>
    <col min="11280" max="11520" width="8.88671875" style="2"/>
    <col min="11521" max="11521" width="27.88671875" style="2" customWidth="1"/>
    <col min="11522" max="11522" width="9.6640625" style="2" customWidth="1"/>
    <col min="11523" max="11524" width="8.88671875" style="2"/>
    <col min="11525" max="11525" width="11.109375" style="2" customWidth="1"/>
    <col min="11526" max="11526" width="9.88671875" style="2" bestFit="1" customWidth="1"/>
    <col min="11527" max="11527" width="9.6640625" style="2" bestFit="1" customWidth="1"/>
    <col min="11528" max="11528" width="8.88671875" style="2"/>
    <col min="11529" max="11529" width="7.5546875" style="2" customWidth="1"/>
    <col min="11530" max="11530" width="9" style="2" customWidth="1"/>
    <col min="11531" max="11531" width="28.5546875" style="2" bestFit="1" customWidth="1"/>
    <col min="11532" max="11532" width="17.109375" style="2" customWidth="1"/>
    <col min="11533" max="11533" width="7.6640625" style="2" customWidth="1"/>
    <col min="11534" max="11534" width="8.88671875" style="2"/>
    <col min="11535" max="11535" width="12.88671875" style="2" bestFit="1" customWidth="1"/>
    <col min="11536" max="11776" width="8.88671875" style="2"/>
    <col min="11777" max="11777" width="27.88671875" style="2" customWidth="1"/>
    <col min="11778" max="11778" width="9.6640625" style="2" customWidth="1"/>
    <col min="11779" max="11780" width="8.88671875" style="2"/>
    <col min="11781" max="11781" width="11.109375" style="2" customWidth="1"/>
    <col min="11782" max="11782" width="9.88671875" style="2" bestFit="1" customWidth="1"/>
    <col min="11783" max="11783" width="9.6640625" style="2" bestFit="1" customWidth="1"/>
    <col min="11784" max="11784" width="8.88671875" style="2"/>
    <col min="11785" max="11785" width="7.5546875" style="2" customWidth="1"/>
    <col min="11786" max="11786" width="9" style="2" customWidth="1"/>
    <col min="11787" max="11787" width="28.5546875" style="2" bestFit="1" customWidth="1"/>
    <col min="11788" max="11788" width="17.109375" style="2" customWidth="1"/>
    <col min="11789" max="11789" width="7.6640625" style="2" customWidth="1"/>
    <col min="11790" max="11790" width="8.88671875" style="2"/>
    <col min="11791" max="11791" width="12.88671875" style="2" bestFit="1" customWidth="1"/>
    <col min="11792" max="12032" width="8.88671875" style="2"/>
    <col min="12033" max="12033" width="27.88671875" style="2" customWidth="1"/>
    <col min="12034" max="12034" width="9.6640625" style="2" customWidth="1"/>
    <col min="12035" max="12036" width="8.88671875" style="2"/>
    <col min="12037" max="12037" width="11.109375" style="2" customWidth="1"/>
    <col min="12038" max="12038" width="9.88671875" style="2" bestFit="1" customWidth="1"/>
    <col min="12039" max="12039" width="9.6640625" style="2" bestFit="1" customWidth="1"/>
    <col min="12040" max="12040" width="8.88671875" style="2"/>
    <col min="12041" max="12041" width="7.5546875" style="2" customWidth="1"/>
    <col min="12042" max="12042" width="9" style="2" customWidth="1"/>
    <col min="12043" max="12043" width="28.5546875" style="2" bestFit="1" customWidth="1"/>
    <col min="12044" max="12044" width="17.109375" style="2" customWidth="1"/>
    <col min="12045" max="12045" width="7.6640625" style="2" customWidth="1"/>
    <col min="12046" max="12046" width="8.88671875" style="2"/>
    <col min="12047" max="12047" width="12.88671875" style="2" bestFit="1" customWidth="1"/>
    <col min="12048" max="12288" width="8.88671875" style="2"/>
    <col min="12289" max="12289" width="27.88671875" style="2" customWidth="1"/>
    <col min="12290" max="12290" width="9.6640625" style="2" customWidth="1"/>
    <col min="12291" max="12292" width="8.88671875" style="2"/>
    <col min="12293" max="12293" width="11.109375" style="2" customWidth="1"/>
    <col min="12294" max="12294" width="9.88671875" style="2" bestFit="1" customWidth="1"/>
    <col min="12295" max="12295" width="9.6640625" style="2" bestFit="1" customWidth="1"/>
    <col min="12296" max="12296" width="8.88671875" style="2"/>
    <col min="12297" max="12297" width="7.5546875" style="2" customWidth="1"/>
    <col min="12298" max="12298" width="9" style="2" customWidth="1"/>
    <col min="12299" max="12299" width="28.5546875" style="2" bestFit="1" customWidth="1"/>
    <col min="12300" max="12300" width="17.109375" style="2" customWidth="1"/>
    <col min="12301" max="12301" width="7.6640625" style="2" customWidth="1"/>
    <col min="12302" max="12302" width="8.88671875" style="2"/>
    <col min="12303" max="12303" width="12.88671875" style="2" bestFit="1" customWidth="1"/>
    <col min="12304" max="12544" width="8.88671875" style="2"/>
    <col min="12545" max="12545" width="27.88671875" style="2" customWidth="1"/>
    <col min="12546" max="12546" width="9.6640625" style="2" customWidth="1"/>
    <col min="12547" max="12548" width="8.88671875" style="2"/>
    <col min="12549" max="12549" width="11.109375" style="2" customWidth="1"/>
    <col min="12550" max="12550" width="9.88671875" style="2" bestFit="1" customWidth="1"/>
    <col min="12551" max="12551" width="9.6640625" style="2" bestFit="1" customWidth="1"/>
    <col min="12552" max="12552" width="8.88671875" style="2"/>
    <col min="12553" max="12553" width="7.5546875" style="2" customWidth="1"/>
    <col min="12554" max="12554" width="9" style="2" customWidth="1"/>
    <col min="12555" max="12555" width="28.5546875" style="2" bestFit="1" customWidth="1"/>
    <col min="12556" max="12556" width="17.109375" style="2" customWidth="1"/>
    <col min="12557" max="12557" width="7.6640625" style="2" customWidth="1"/>
    <col min="12558" max="12558" width="8.88671875" style="2"/>
    <col min="12559" max="12559" width="12.88671875" style="2" bestFit="1" customWidth="1"/>
    <col min="12560" max="12800" width="8.88671875" style="2"/>
    <col min="12801" max="12801" width="27.88671875" style="2" customWidth="1"/>
    <col min="12802" max="12802" width="9.6640625" style="2" customWidth="1"/>
    <col min="12803" max="12804" width="8.88671875" style="2"/>
    <col min="12805" max="12805" width="11.109375" style="2" customWidth="1"/>
    <col min="12806" max="12806" width="9.88671875" style="2" bestFit="1" customWidth="1"/>
    <col min="12807" max="12807" width="9.6640625" style="2" bestFit="1" customWidth="1"/>
    <col min="12808" max="12808" width="8.88671875" style="2"/>
    <col min="12809" max="12809" width="7.5546875" style="2" customWidth="1"/>
    <col min="12810" max="12810" width="9" style="2" customWidth="1"/>
    <col min="12811" max="12811" width="28.5546875" style="2" bestFit="1" customWidth="1"/>
    <col min="12812" max="12812" width="17.109375" style="2" customWidth="1"/>
    <col min="12813" max="12813" width="7.6640625" style="2" customWidth="1"/>
    <col min="12814" max="12814" width="8.88671875" style="2"/>
    <col min="12815" max="12815" width="12.88671875" style="2" bestFit="1" customWidth="1"/>
    <col min="12816" max="13056" width="8.88671875" style="2"/>
    <col min="13057" max="13057" width="27.88671875" style="2" customWidth="1"/>
    <col min="13058" max="13058" width="9.6640625" style="2" customWidth="1"/>
    <col min="13059" max="13060" width="8.88671875" style="2"/>
    <col min="13061" max="13061" width="11.109375" style="2" customWidth="1"/>
    <col min="13062" max="13062" width="9.88671875" style="2" bestFit="1" customWidth="1"/>
    <col min="13063" max="13063" width="9.6640625" style="2" bestFit="1" customWidth="1"/>
    <col min="13064" max="13064" width="8.88671875" style="2"/>
    <col min="13065" max="13065" width="7.5546875" style="2" customWidth="1"/>
    <col min="13066" max="13066" width="9" style="2" customWidth="1"/>
    <col min="13067" max="13067" width="28.5546875" style="2" bestFit="1" customWidth="1"/>
    <col min="13068" max="13068" width="17.109375" style="2" customWidth="1"/>
    <col min="13069" max="13069" width="7.6640625" style="2" customWidth="1"/>
    <col min="13070" max="13070" width="8.88671875" style="2"/>
    <col min="13071" max="13071" width="12.88671875" style="2" bestFit="1" customWidth="1"/>
    <col min="13072" max="13312" width="8.88671875" style="2"/>
    <col min="13313" max="13313" width="27.88671875" style="2" customWidth="1"/>
    <col min="13314" max="13314" width="9.6640625" style="2" customWidth="1"/>
    <col min="13315" max="13316" width="8.88671875" style="2"/>
    <col min="13317" max="13317" width="11.109375" style="2" customWidth="1"/>
    <col min="13318" max="13318" width="9.88671875" style="2" bestFit="1" customWidth="1"/>
    <col min="13319" max="13319" width="9.6640625" style="2" bestFit="1" customWidth="1"/>
    <col min="13320" max="13320" width="8.88671875" style="2"/>
    <col min="13321" max="13321" width="7.5546875" style="2" customWidth="1"/>
    <col min="13322" max="13322" width="9" style="2" customWidth="1"/>
    <col min="13323" max="13323" width="28.5546875" style="2" bestFit="1" customWidth="1"/>
    <col min="13324" max="13324" width="17.109375" style="2" customWidth="1"/>
    <col min="13325" max="13325" width="7.6640625" style="2" customWidth="1"/>
    <col min="13326" max="13326" width="8.88671875" style="2"/>
    <col min="13327" max="13327" width="12.88671875" style="2" bestFit="1" customWidth="1"/>
    <col min="13328" max="13568" width="8.88671875" style="2"/>
    <col min="13569" max="13569" width="27.88671875" style="2" customWidth="1"/>
    <col min="13570" max="13570" width="9.6640625" style="2" customWidth="1"/>
    <col min="13571" max="13572" width="8.88671875" style="2"/>
    <col min="13573" max="13573" width="11.109375" style="2" customWidth="1"/>
    <col min="13574" max="13574" width="9.88671875" style="2" bestFit="1" customWidth="1"/>
    <col min="13575" max="13575" width="9.6640625" style="2" bestFit="1" customWidth="1"/>
    <col min="13576" max="13576" width="8.88671875" style="2"/>
    <col min="13577" max="13577" width="7.5546875" style="2" customWidth="1"/>
    <col min="13578" max="13578" width="9" style="2" customWidth="1"/>
    <col min="13579" max="13579" width="28.5546875" style="2" bestFit="1" customWidth="1"/>
    <col min="13580" max="13580" width="17.109375" style="2" customWidth="1"/>
    <col min="13581" max="13581" width="7.6640625" style="2" customWidth="1"/>
    <col min="13582" max="13582" width="8.88671875" style="2"/>
    <col min="13583" max="13583" width="12.88671875" style="2" bestFit="1" customWidth="1"/>
    <col min="13584" max="13824" width="8.88671875" style="2"/>
    <col min="13825" max="13825" width="27.88671875" style="2" customWidth="1"/>
    <col min="13826" max="13826" width="9.6640625" style="2" customWidth="1"/>
    <col min="13827" max="13828" width="8.88671875" style="2"/>
    <col min="13829" max="13829" width="11.109375" style="2" customWidth="1"/>
    <col min="13830" max="13830" width="9.88671875" style="2" bestFit="1" customWidth="1"/>
    <col min="13831" max="13831" width="9.6640625" style="2" bestFit="1" customWidth="1"/>
    <col min="13832" max="13832" width="8.88671875" style="2"/>
    <col min="13833" max="13833" width="7.5546875" style="2" customWidth="1"/>
    <col min="13834" max="13834" width="9" style="2" customWidth="1"/>
    <col min="13835" max="13835" width="28.5546875" style="2" bestFit="1" customWidth="1"/>
    <col min="13836" max="13836" width="17.109375" style="2" customWidth="1"/>
    <col min="13837" max="13837" width="7.6640625" style="2" customWidth="1"/>
    <col min="13838" max="13838" width="8.88671875" style="2"/>
    <col min="13839" max="13839" width="12.88671875" style="2" bestFit="1" customWidth="1"/>
    <col min="13840" max="14080" width="8.88671875" style="2"/>
    <col min="14081" max="14081" width="27.88671875" style="2" customWidth="1"/>
    <col min="14082" max="14082" width="9.6640625" style="2" customWidth="1"/>
    <col min="14083" max="14084" width="8.88671875" style="2"/>
    <col min="14085" max="14085" width="11.109375" style="2" customWidth="1"/>
    <col min="14086" max="14086" width="9.88671875" style="2" bestFit="1" customWidth="1"/>
    <col min="14087" max="14087" width="9.6640625" style="2" bestFit="1" customWidth="1"/>
    <col min="14088" max="14088" width="8.88671875" style="2"/>
    <col min="14089" max="14089" width="7.5546875" style="2" customWidth="1"/>
    <col min="14090" max="14090" width="9" style="2" customWidth="1"/>
    <col min="14091" max="14091" width="28.5546875" style="2" bestFit="1" customWidth="1"/>
    <col min="14092" max="14092" width="17.109375" style="2" customWidth="1"/>
    <col min="14093" max="14093" width="7.6640625" style="2" customWidth="1"/>
    <col min="14094" max="14094" width="8.88671875" style="2"/>
    <col min="14095" max="14095" width="12.88671875" style="2" bestFit="1" customWidth="1"/>
    <col min="14096" max="14336" width="8.88671875" style="2"/>
    <col min="14337" max="14337" width="27.88671875" style="2" customWidth="1"/>
    <col min="14338" max="14338" width="9.6640625" style="2" customWidth="1"/>
    <col min="14339" max="14340" width="8.88671875" style="2"/>
    <col min="14341" max="14341" width="11.109375" style="2" customWidth="1"/>
    <col min="14342" max="14342" width="9.88671875" style="2" bestFit="1" customWidth="1"/>
    <col min="14343" max="14343" width="9.6640625" style="2" bestFit="1" customWidth="1"/>
    <col min="14344" max="14344" width="8.88671875" style="2"/>
    <col min="14345" max="14345" width="7.5546875" style="2" customWidth="1"/>
    <col min="14346" max="14346" width="9" style="2" customWidth="1"/>
    <col min="14347" max="14347" width="28.5546875" style="2" bestFit="1" customWidth="1"/>
    <col min="14348" max="14348" width="17.109375" style="2" customWidth="1"/>
    <col min="14349" max="14349" width="7.6640625" style="2" customWidth="1"/>
    <col min="14350" max="14350" width="8.88671875" style="2"/>
    <col min="14351" max="14351" width="12.88671875" style="2" bestFit="1" customWidth="1"/>
    <col min="14352" max="14592" width="8.88671875" style="2"/>
    <col min="14593" max="14593" width="27.88671875" style="2" customWidth="1"/>
    <col min="14594" max="14594" width="9.6640625" style="2" customWidth="1"/>
    <col min="14595" max="14596" width="8.88671875" style="2"/>
    <col min="14597" max="14597" width="11.109375" style="2" customWidth="1"/>
    <col min="14598" max="14598" width="9.88671875" style="2" bestFit="1" customWidth="1"/>
    <col min="14599" max="14599" width="9.6640625" style="2" bestFit="1" customWidth="1"/>
    <col min="14600" max="14600" width="8.88671875" style="2"/>
    <col min="14601" max="14601" width="7.5546875" style="2" customWidth="1"/>
    <col min="14602" max="14602" width="9" style="2" customWidth="1"/>
    <col min="14603" max="14603" width="28.5546875" style="2" bestFit="1" customWidth="1"/>
    <col min="14604" max="14604" width="17.109375" style="2" customWidth="1"/>
    <col min="14605" max="14605" width="7.6640625" style="2" customWidth="1"/>
    <col min="14606" max="14606" width="8.88671875" style="2"/>
    <col min="14607" max="14607" width="12.88671875" style="2" bestFit="1" customWidth="1"/>
    <col min="14608" max="14848" width="8.88671875" style="2"/>
    <col min="14849" max="14849" width="27.88671875" style="2" customWidth="1"/>
    <col min="14850" max="14850" width="9.6640625" style="2" customWidth="1"/>
    <col min="14851" max="14852" width="8.88671875" style="2"/>
    <col min="14853" max="14853" width="11.109375" style="2" customWidth="1"/>
    <col min="14854" max="14854" width="9.88671875" style="2" bestFit="1" customWidth="1"/>
    <col min="14855" max="14855" width="9.6640625" style="2" bestFit="1" customWidth="1"/>
    <col min="14856" max="14856" width="8.88671875" style="2"/>
    <col min="14857" max="14857" width="7.5546875" style="2" customWidth="1"/>
    <col min="14858" max="14858" width="9" style="2" customWidth="1"/>
    <col min="14859" max="14859" width="28.5546875" style="2" bestFit="1" customWidth="1"/>
    <col min="14860" max="14860" width="17.109375" style="2" customWidth="1"/>
    <col min="14861" max="14861" width="7.6640625" style="2" customWidth="1"/>
    <col min="14862" max="14862" width="8.88671875" style="2"/>
    <col min="14863" max="14863" width="12.88671875" style="2" bestFit="1" customWidth="1"/>
    <col min="14864" max="15104" width="8.88671875" style="2"/>
    <col min="15105" max="15105" width="27.88671875" style="2" customWidth="1"/>
    <col min="15106" max="15106" width="9.6640625" style="2" customWidth="1"/>
    <col min="15107" max="15108" width="8.88671875" style="2"/>
    <col min="15109" max="15109" width="11.109375" style="2" customWidth="1"/>
    <col min="15110" max="15110" width="9.88671875" style="2" bestFit="1" customWidth="1"/>
    <col min="15111" max="15111" width="9.6640625" style="2" bestFit="1" customWidth="1"/>
    <col min="15112" max="15112" width="8.88671875" style="2"/>
    <col min="15113" max="15113" width="7.5546875" style="2" customWidth="1"/>
    <col min="15114" max="15114" width="9" style="2" customWidth="1"/>
    <col min="15115" max="15115" width="28.5546875" style="2" bestFit="1" customWidth="1"/>
    <col min="15116" max="15116" width="17.109375" style="2" customWidth="1"/>
    <col min="15117" max="15117" width="7.6640625" style="2" customWidth="1"/>
    <col min="15118" max="15118" width="8.88671875" style="2"/>
    <col min="15119" max="15119" width="12.88671875" style="2" bestFit="1" customWidth="1"/>
    <col min="15120" max="15360" width="8.88671875" style="2"/>
    <col min="15361" max="15361" width="27.88671875" style="2" customWidth="1"/>
    <col min="15362" max="15362" width="9.6640625" style="2" customWidth="1"/>
    <col min="15363" max="15364" width="8.88671875" style="2"/>
    <col min="15365" max="15365" width="11.109375" style="2" customWidth="1"/>
    <col min="15366" max="15366" width="9.88671875" style="2" bestFit="1" customWidth="1"/>
    <col min="15367" max="15367" width="9.6640625" style="2" bestFit="1" customWidth="1"/>
    <col min="15368" max="15368" width="8.88671875" style="2"/>
    <col min="15369" max="15369" width="7.5546875" style="2" customWidth="1"/>
    <col min="15370" max="15370" width="9" style="2" customWidth="1"/>
    <col min="15371" max="15371" width="28.5546875" style="2" bestFit="1" customWidth="1"/>
    <col min="15372" max="15372" width="17.109375" style="2" customWidth="1"/>
    <col min="15373" max="15373" width="7.6640625" style="2" customWidth="1"/>
    <col min="15374" max="15374" width="8.88671875" style="2"/>
    <col min="15375" max="15375" width="12.88671875" style="2" bestFit="1" customWidth="1"/>
    <col min="15376" max="15616" width="8.88671875" style="2"/>
    <col min="15617" max="15617" width="27.88671875" style="2" customWidth="1"/>
    <col min="15618" max="15618" width="9.6640625" style="2" customWidth="1"/>
    <col min="15619" max="15620" width="8.88671875" style="2"/>
    <col min="15621" max="15621" width="11.109375" style="2" customWidth="1"/>
    <col min="15622" max="15622" width="9.88671875" style="2" bestFit="1" customWidth="1"/>
    <col min="15623" max="15623" width="9.6640625" style="2" bestFit="1" customWidth="1"/>
    <col min="15624" max="15624" width="8.88671875" style="2"/>
    <col min="15625" max="15625" width="7.5546875" style="2" customWidth="1"/>
    <col min="15626" max="15626" width="9" style="2" customWidth="1"/>
    <col min="15627" max="15627" width="28.5546875" style="2" bestFit="1" customWidth="1"/>
    <col min="15628" max="15628" width="17.109375" style="2" customWidth="1"/>
    <col min="15629" max="15629" width="7.6640625" style="2" customWidth="1"/>
    <col min="15630" max="15630" width="8.88671875" style="2"/>
    <col min="15631" max="15631" width="12.88671875" style="2" bestFit="1" customWidth="1"/>
    <col min="15632" max="15872" width="8.88671875" style="2"/>
    <col min="15873" max="15873" width="27.88671875" style="2" customWidth="1"/>
    <col min="15874" max="15874" width="9.6640625" style="2" customWidth="1"/>
    <col min="15875" max="15876" width="8.88671875" style="2"/>
    <col min="15877" max="15877" width="11.109375" style="2" customWidth="1"/>
    <col min="15878" max="15878" width="9.88671875" style="2" bestFit="1" customWidth="1"/>
    <col min="15879" max="15879" width="9.6640625" style="2" bestFit="1" customWidth="1"/>
    <col min="15880" max="15880" width="8.88671875" style="2"/>
    <col min="15881" max="15881" width="7.5546875" style="2" customWidth="1"/>
    <col min="15882" max="15882" width="9" style="2" customWidth="1"/>
    <col min="15883" max="15883" width="28.5546875" style="2" bestFit="1" customWidth="1"/>
    <col min="15884" max="15884" width="17.109375" style="2" customWidth="1"/>
    <col min="15885" max="15885" width="7.6640625" style="2" customWidth="1"/>
    <col min="15886" max="15886" width="8.88671875" style="2"/>
    <col min="15887" max="15887" width="12.88671875" style="2" bestFit="1" customWidth="1"/>
    <col min="15888" max="16128" width="8.88671875" style="2"/>
    <col min="16129" max="16129" width="27.88671875" style="2" customWidth="1"/>
    <col min="16130" max="16130" width="9.6640625" style="2" customWidth="1"/>
    <col min="16131" max="16132" width="8.88671875" style="2"/>
    <col min="16133" max="16133" width="11.109375" style="2" customWidth="1"/>
    <col min="16134" max="16134" width="9.88671875" style="2" bestFit="1" customWidth="1"/>
    <col min="16135" max="16135" width="9.6640625" style="2" bestFit="1" customWidth="1"/>
    <col min="16136" max="16136" width="8.88671875" style="2"/>
    <col min="16137" max="16137" width="7.5546875" style="2" customWidth="1"/>
    <col min="16138" max="16138" width="9" style="2" customWidth="1"/>
    <col min="16139" max="16139" width="28.5546875" style="2" bestFit="1" customWidth="1"/>
    <col min="16140" max="16140" width="17.109375" style="2" customWidth="1"/>
    <col min="16141" max="16141" width="7.6640625" style="2" customWidth="1"/>
    <col min="16142" max="16142" width="8.88671875" style="2"/>
    <col min="16143" max="16143" width="12.88671875" style="2" bestFit="1" customWidth="1"/>
    <col min="16144" max="16384" width="8.88671875" style="2"/>
  </cols>
  <sheetData>
    <row r="1" spans="1:11" ht="17.399999999999999" x14ac:dyDescent="0.3">
      <c r="A1" s="1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</row>
    <row r="2" spans="1:11" x14ac:dyDescent="0.25">
      <c r="A2" s="2" t="s">
        <v>1</v>
      </c>
      <c r="B2" s="3">
        <f>'[1]Page 663'!D9</f>
        <v>20000</v>
      </c>
      <c r="G2" s="4" t="s">
        <v>2</v>
      </c>
    </row>
    <row r="3" spans="1:11" x14ac:dyDescent="0.25">
      <c r="A3" s="2" t="s">
        <v>3</v>
      </c>
      <c r="B3" s="3">
        <f>-'[1]Page 663'!C9</f>
        <v>15000</v>
      </c>
      <c r="G3" s="2" t="s">
        <v>4</v>
      </c>
    </row>
    <row r="4" spans="1:11" x14ac:dyDescent="0.25">
      <c r="A4" s="2" t="s">
        <v>5</v>
      </c>
      <c r="B4" s="3">
        <f>-'[1]Page 663'!E7</f>
        <v>2000</v>
      </c>
      <c r="G4" s="2" t="s">
        <v>6</v>
      </c>
      <c r="H4" s="5">
        <f>'[1]Page 663'!B3</f>
        <v>0.1</v>
      </c>
    </row>
    <row r="5" spans="1:11" x14ac:dyDescent="0.25">
      <c r="A5" s="2" t="s">
        <v>7</v>
      </c>
      <c r="B5" s="3">
        <f>-'[1]Page 663'!C6</f>
        <v>1000</v>
      </c>
      <c r="G5" s="2" t="s">
        <v>8</v>
      </c>
      <c r="H5" s="6">
        <v>1</v>
      </c>
    </row>
    <row r="6" spans="1:11" x14ac:dyDescent="0.25">
      <c r="B6" s="3"/>
    </row>
    <row r="7" spans="1:11" x14ac:dyDescent="0.25">
      <c r="A7" s="2" t="s">
        <v>9</v>
      </c>
      <c r="B7" s="5">
        <f>EXP(H4+H5)</f>
        <v>3.0041660239464334</v>
      </c>
      <c r="C7" s="2" t="str">
        <f ca="1">_xlfn.FORMULATEXT(B7)</f>
        <v>=EXP(H4+H5)</v>
      </c>
    </row>
    <row r="8" spans="1:11" x14ac:dyDescent="0.25">
      <c r="A8" s="2" t="s">
        <v>10</v>
      </c>
      <c r="B8" s="5">
        <f>EXP(H4-H5)</f>
        <v>0.40656965974059911</v>
      </c>
      <c r="C8" s="2" t="str">
        <f ca="1">_xlfn.FORMULATEXT(B8)</f>
        <v>=EXP(H4-H5)</v>
      </c>
    </row>
    <row r="10" spans="1:11" x14ac:dyDescent="0.25">
      <c r="A10" s="2" t="s">
        <v>11</v>
      </c>
    </row>
    <row r="11" spans="1:11" ht="15.6" x14ac:dyDescent="0.35">
      <c r="A11" s="7" t="s">
        <v>12</v>
      </c>
      <c r="B11" s="8">
        <v>0.2868692748688334</v>
      </c>
    </row>
    <row r="12" spans="1:11" ht="15.6" x14ac:dyDescent="0.35">
      <c r="A12" s="7" t="s">
        <v>13</v>
      </c>
      <c r="B12" s="8">
        <f>1/1.06-B11</f>
        <v>0.65652695154626084</v>
      </c>
      <c r="C12" s="2" t="str">
        <f ca="1">_xlfn.FORMULATEXT(B12)</f>
        <v>=1/1.06-B11</v>
      </c>
    </row>
    <row r="14" spans="1:11" x14ac:dyDescent="0.25">
      <c r="B14" s="4" t="s">
        <v>14</v>
      </c>
      <c r="E14" s="9"/>
      <c r="F14" s="9"/>
      <c r="G14" s="9"/>
      <c r="H14" s="9"/>
      <c r="I14" s="9"/>
      <c r="J14" s="9">
        <f>B2*B7^4-B3</f>
        <v>1614017.3732993628</v>
      </c>
      <c r="K14" s="2" t="str">
        <f ca="1">_xlfn.FORMULATEXT(J14)</f>
        <v>=B2*B7^4-B3</v>
      </c>
    </row>
    <row r="15" spans="1:11" x14ac:dyDescent="0.25">
      <c r="E15" s="9"/>
      <c r="F15" s="9"/>
      <c r="G15" s="9"/>
      <c r="H15" s="9">
        <f>B2*B7^3-B3</f>
        <v>527252.77841315791</v>
      </c>
      <c r="I15" s="9"/>
      <c r="J15" s="9"/>
    </row>
    <row r="16" spans="1:11" x14ac:dyDescent="0.25">
      <c r="E16" s="9"/>
      <c r="F16" s="9"/>
      <c r="G16" s="9">
        <f>B2*B7^2-B3</f>
        <v>165500.26998868244</v>
      </c>
      <c r="H16" s="9"/>
      <c r="I16" s="9"/>
      <c r="J16" s="9">
        <f>B2*B7^3*B8-B3</f>
        <v>205463.52761283208</v>
      </c>
      <c r="K16" s="2" t="str">
        <f ca="1">_xlfn.FORMULATEXT(J16)</f>
        <v>=B2*B7^3*B8-B3</v>
      </c>
    </row>
    <row r="17" spans="1:11" x14ac:dyDescent="0.25">
      <c r="E17" s="9"/>
      <c r="F17" s="9">
        <f>$B$2*B7-$B$3</f>
        <v>45083.320478928668</v>
      </c>
      <c r="G17" s="9"/>
      <c r="H17" s="9">
        <f>B2*B7^2*B8-B3</f>
        <v>58385.933352384891</v>
      </c>
      <c r="I17" s="9"/>
      <c r="J17" s="9"/>
    </row>
    <row r="18" spans="1:11" x14ac:dyDescent="0.25">
      <c r="E18" s="9">
        <f>B2-$B$3</f>
        <v>5000</v>
      </c>
      <c r="F18" s="9"/>
      <c r="G18" s="9">
        <f>B2*B7*B8-B3</f>
        <v>9428.0551632034003</v>
      </c>
      <c r="H18" s="9"/>
      <c r="I18" s="9"/>
      <c r="J18" s="9">
        <f>B2*B7^2*B8^2-B3</f>
        <v>14836.493952825407</v>
      </c>
      <c r="K18" s="2" t="str">
        <f ca="1">_xlfn.FORMULATEXT(J18)</f>
        <v>=B2*B7^2*B8^2-B3</v>
      </c>
    </row>
    <row r="19" spans="1:11" x14ac:dyDescent="0.25">
      <c r="E19" s="9"/>
      <c r="F19" s="9">
        <f>B2*B8-B3</f>
        <v>-6868.6068051880175</v>
      </c>
      <c r="G19" s="9"/>
      <c r="H19" s="9">
        <f>B2*B7*B8^2-B3</f>
        <v>-5068.2939241718086</v>
      </c>
      <c r="I19" s="9"/>
      <c r="J19" s="9"/>
    </row>
    <row r="20" spans="1:11" x14ac:dyDescent="0.25">
      <c r="E20" s="9"/>
      <c r="F20" s="9"/>
      <c r="G20" s="9">
        <f>B2*B8^2-B3</f>
        <v>-11694.022235568269</v>
      </c>
      <c r="H20" s="9"/>
      <c r="I20" s="9"/>
      <c r="J20" s="9">
        <f>B2*B7*B8^3-B3</f>
        <v>-10962.069640106893</v>
      </c>
      <c r="K20" s="2" t="str">
        <f ca="1">_xlfn.FORMULATEXT(J20)</f>
        <v>=B2*B7*B8^3-B3</v>
      </c>
    </row>
    <row r="21" spans="1:11" x14ac:dyDescent="0.25">
      <c r="D21" s="3">
        <f>-B4</f>
        <v>-2000</v>
      </c>
      <c r="E21" s="9"/>
      <c r="F21" s="9"/>
      <c r="G21" s="9"/>
      <c r="H21" s="9">
        <f>B2*B8^3-B3</f>
        <v>-13655.889745205004</v>
      </c>
      <c r="I21" s="9"/>
      <c r="J21" s="9"/>
    </row>
    <row r="22" spans="1:11" x14ac:dyDescent="0.25">
      <c r="E22" s="9"/>
      <c r="F22" s="9"/>
      <c r="G22" s="9"/>
      <c r="H22" s="9"/>
      <c r="I22" s="9"/>
      <c r="J22" s="9">
        <f>B2*B8^4-B3</f>
        <v>-14453.525551054148</v>
      </c>
      <c r="K22" s="2" t="str">
        <f ca="1">_xlfn.FORMULATEXT(J22)</f>
        <v>=B2*B8^4-B3</v>
      </c>
    </row>
    <row r="23" spans="1:11" x14ac:dyDescent="0.25">
      <c r="C23" s="3">
        <f>-B4</f>
        <v>-2000</v>
      </c>
    </row>
    <row r="25" spans="1:11" x14ac:dyDescent="0.25">
      <c r="B25" s="3">
        <f>-B5</f>
        <v>-1000</v>
      </c>
      <c r="D25" s="3"/>
    </row>
    <row r="27" spans="1:11" s="4" customFormat="1" x14ac:dyDescent="0.25">
      <c r="A27" s="4" t="s">
        <v>15</v>
      </c>
      <c r="B27" s="18">
        <v>0</v>
      </c>
      <c r="C27" s="10">
        <v>1</v>
      </c>
      <c r="D27" s="10">
        <v>2</v>
      </c>
      <c r="E27" s="10">
        <v>3</v>
      </c>
      <c r="F27" s="10">
        <v>4</v>
      </c>
      <c r="G27" s="10">
        <v>5</v>
      </c>
      <c r="H27" s="10">
        <v>6</v>
      </c>
      <c r="I27" s="10"/>
      <c r="J27" s="10">
        <v>7</v>
      </c>
    </row>
    <row r="29" spans="1:11" x14ac:dyDescent="0.25">
      <c r="E29" s="16">
        <v>0</v>
      </c>
      <c r="F29" s="17">
        <v>1</v>
      </c>
      <c r="G29" s="17">
        <v>2</v>
      </c>
      <c r="H29" s="17">
        <v>3</v>
      </c>
      <c r="J29" s="17">
        <v>4</v>
      </c>
    </row>
    <row r="30" spans="1:11" x14ac:dyDescent="0.25">
      <c r="B30" s="4" t="s">
        <v>16</v>
      </c>
      <c r="J30" s="11">
        <f>B11^J27</f>
        <v>1.5987783162081006E-4</v>
      </c>
      <c r="K30" s="2" t="str">
        <f ca="1">_xlfn.FORMULATEXT(J30)</f>
        <v>=B11^J27</v>
      </c>
    </row>
    <row r="31" spans="1:11" x14ac:dyDescent="0.25">
      <c r="H31" s="11">
        <f>B11^6</f>
        <v>5.573194678792692E-4</v>
      </c>
      <c r="J31" s="11"/>
    </row>
    <row r="32" spans="1:11" x14ac:dyDescent="0.25">
      <c r="G32" s="11">
        <f>B11^5</f>
        <v>1.9427645854861767E-3</v>
      </c>
      <c r="J32" s="11">
        <f>B11^6*B12*COMBIN(4,3)</f>
        <v>1.4635810051366433E-3</v>
      </c>
      <c r="K32" s="2" t="str">
        <f ca="1">_xlfn.FORMULATEXT(J32)</f>
        <v>=B11^6*B12*COMBIN(4,3)</v>
      </c>
    </row>
    <row r="33" spans="1:11" x14ac:dyDescent="0.25">
      <c r="F33" s="11">
        <f>B11^4</f>
        <v>6.772299286406591E-3</v>
      </c>
      <c r="H33" s="11">
        <f>B11^5*B12*COMBIN(3,2)</f>
        <v>3.8264319326438241E-3</v>
      </c>
      <c r="J33" s="11"/>
    </row>
    <row r="34" spans="1:11" x14ac:dyDescent="0.25">
      <c r="E34" s="12">
        <f>B11^3</f>
        <v>2.3607614616459438E-2</v>
      </c>
      <c r="G34" s="11">
        <f>B11^4*B12*COMBIN(2,1)</f>
        <v>8.8923940109268736E-3</v>
      </c>
      <c r="J34" s="11">
        <f>B11^5*B12^2*COMBIN(4,2)</f>
        <v>5.0243113840758337E-3</v>
      </c>
      <c r="K34" s="2" t="str">
        <f ca="1">_xlfn.FORMULATEXT(J34)</f>
        <v>=B11^5*B12^2*COMBIN(4,2)</v>
      </c>
    </row>
    <row r="35" spans="1:11" x14ac:dyDescent="0.25">
      <c r="F35" s="11">
        <f>B11^3*B12</f>
        <v>1.5499035257423065E-2</v>
      </c>
      <c r="H35" s="11">
        <f>B11^4*B12^2*COMBIN(3,1)</f>
        <v>8.7571444979130716E-3</v>
      </c>
      <c r="J35" s="11"/>
    </row>
    <row r="36" spans="1:11" x14ac:dyDescent="0.25">
      <c r="G36" s="11">
        <f>B11^3*B12^2</f>
        <v>1.017553436946398E-2</v>
      </c>
      <c r="J36" s="11">
        <f>B11^4*B12^3*COMBIN(4,1)</f>
        <v>7.6657351752866393E-3</v>
      </c>
      <c r="K36" s="2" t="str">
        <f ca="1">_xlfn.FORMULATEXT(J36)</f>
        <v>=B11^4*B12^3*COMBIN(4,1)</v>
      </c>
    </row>
    <row r="37" spans="1:11" x14ac:dyDescent="0.25">
      <c r="D37" s="2">
        <f>C39*B11</f>
        <v>8.2293980863770294E-2</v>
      </c>
      <c r="H37" s="11">
        <f>B11^3*B12^3</f>
        <v>6.6805125599383904E-3</v>
      </c>
      <c r="J37" s="11"/>
    </row>
    <row r="38" spans="1:11" x14ac:dyDescent="0.25">
      <c r="J38" s="11">
        <f>B11^3*B12^4*COMBIN(4,0)</f>
        <v>4.3859365457428589E-3</v>
      </c>
      <c r="K38" s="2" t="str">
        <f ca="1">_xlfn.FORMULATEXT(J38)</f>
        <v>=B11^3*B12^4*COMBIN(4,0)</v>
      </c>
    </row>
    <row r="39" spans="1:11" x14ac:dyDescent="0.25">
      <c r="C39" s="12">
        <f>B11</f>
        <v>0.2868692748688334</v>
      </c>
    </row>
    <row r="41" spans="1:11" x14ac:dyDescent="0.25">
      <c r="B41" s="2">
        <v>1</v>
      </c>
    </row>
    <row r="44" spans="1:11" x14ac:dyDescent="0.25">
      <c r="A44" s="2" t="s">
        <v>17</v>
      </c>
      <c r="B44" s="3">
        <f>SUMPRODUCT(B14:J25,B30:J41)</f>
        <v>-267.53173550693907</v>
      </c>
      <c r="C44" s="2" t="str">
        <f ca="1">_xlfn.FORMULATEXT(B44)</f>
        <v>=SUMPRODUCT(B14:J25,B30:J41)</v>
      </c>
    </row>
    <row r="45" spans="1:11" x14ac:dyDescent="0.25">
      <c r="A45" s="2" t="s">
        <v>18</v>
      </c>
      <c r="B45" s="3"/>
      <c r="K45" s="2" t="str">
        <f ca="1">_xlfn.FORMULATEXT(J38)</f>
        <v>=B11^3*B12^4*COMBIN(4,0)</v>
      </c>
    </row>
    <row r="46" spans="1:11" x14ac:dyDescent="0.25">
      <c r="A46" s="13" t="s">
        <v>19</v>
      </c>
      <c r="B46" s="3">
        <f>'[1]Page 663'!B15</f>
        <v>-267.53173503999926</v>
      </c>
    </row>
    <row r="47" spans="1:11" ht="26.4" x14ac:dyDescent="0.25">
      <c r="A47" s="14" t="s">
        <v>20</v>
      </c>
      <c r="B47" s="15">
        <f>B44-B46</f>
        <v>-4.6693980948475655E-7</v>
      </c>
      <c r="C47" s="2" t="s">
        <v>21</v>
      </c>
    </row>
  </sheetData>
  <mergeCells count="1">
    <mergeCell ref="A1:K1"/>
  </mergeCells>
  <phoneticPr fontId="1" type="noConversion"/>
  <printOptions headings="1" gridLines="1"/>
  <pageMargins left="0.75" right="0.75" top="1" bottom="1" header="0.5" footer="0.5"/>
  <pageSetup orientation="portrait" horizontalDpi="4294967292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Page 664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2024-12-13T06:30:31Z</dcterms:modified>
</cp:coreProperties>
</file>