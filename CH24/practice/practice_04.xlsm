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practice\"/>
    </mc:Choice>
  </mc:AlternateContent>
  <xr:revisionPtr revIDLastSave="0" documentId="13_ncr:1_{17A780C4-E63D-4F42-9FD0-D947972F5343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4" sheetId="2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8" i="2"/>
  <c r="C9" i="2"/>
  <c r="C8" i="2"/>
  <c r="F3" i="2"/>
  <c r="F4" i="2"/>
  <c r="F12" i="2"/>
  <c r="F26" i="2"/>
  <c r="E4" i="2" l="1"/>
  <c r="E26" i="2" s="1"/>
  <c r="E3" i="2"/>
  <c r="D26" i="2" s="1"/>
  <c r="E12" i="2" l="1"/>
  <c r="D12" i="2"/>
</calcChain>
</file>

<file path=xl/sharedStrings.xml><?xml version="1.0" encoding="utf-8"?>
<sst xmlns="http://schemas.openxmlformats.org/spreadsheetml/2006/main" count="20" uniqueCount="13">
  <si>
    <t>Market data</t>
  </si>
  <si>
    <t>state prices</t>
  </si>
  <si>
    <t>Expected market return</t>
  </si>
  <si>
    <r>
      <t>q</t>
    </r>
    <r>
      <rPr>
        <vertAlign val="subscript"/>
        <sz val="10"/>
        <rFont val="Arial"/>
        <family val="2"/>
      </rPr>
      <t>u</t>
    </r>
  </si>
  <si>
    <t>Sigma of market return</t>
  </si>
  <si>
    <r>
      <t>q</t>
    </r>
    <r>
      <rPr>
        <vertAlign val="subscript"/>
        <sz val="10"/>
        <rFont val="Arial"/>
        <family val="2"/>
      </rPr>
      <t>d</t>
    </r>
  </si>
  <si>
    <t>Risk-free rate</t>
  </si>
  <si>
    <t>One-period "up" and "down" of market</t>
  </si>
  <si>
    <t>up</t>
  </si>
  <si>
    <t>down</t>
  </si>
  <si>
    <t>Data table:  Effect</t>
  </si>
  <si>
    <t>of risk-free rate on</t>
  </si>
  <si>
    <t>of sigma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</si>
</sst>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9" fontId="2" fillId="0" borderId="0" xfId="1" applyNumberFormat="1"/>
    <xf numFmtId="176" fontId="2" fillId="0" borderId="0" xfId="1" quotePrefix="1" applyNumberFormat="1"/>
    <xf numFmtId="0" fontId="2" fillId="0" borderId="0" xfId="1" applyAlignment="1">
      <alignment horizontal="center"/>
    </xf>
    <xf numFmtId="176" fontId="2" fillId="0" borderId="0" xfId="1" applyNumberFormat="1"/>
    <xf numFmtId="176" fontId="2" fillId="0" borderId="0" xfId="1" applyNumberFormat="1" applyAlignment="1">
      <alignment horizontal="right"/>
    </xf>
    <xf numFmtId="40" fontId="2" fillId="0" borderId="0" xfId="1" applyNumberFormat="1"/>
    <xf numFmtId="176" fontId="2" fillId="0" borderId="0" xfId="1" applyNumberFormat="1" applyAlignment="1">
      <alignment horizontal="center"/>
    </xf>
    <xf numFmtId="2" fontId="2" fillId="0" borderId="0" xfId="1" applyNumberFormat="1"/>
  </cellXfs>
  <cellStyles count="2">
    <cellStyle name="常规" xfId="0" builtinId="0"/>
    <cellStyle name="常规 2" xfId="1" xr:uid="{A2D7553C-48E7-4063-A92F-21CB881A8DB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126462</xdr:colOff>
      <xdr:row>0</xdr:row>
      <xdr:rowOff>0</xdr:rowOff>
    </xdr:from>
    <xdr:to>
      <xdr:col>23</xdr:col>
      <xdr:colOff>288803</xdr:colOff>
      <xdr:row>55</xdr:row>
      <xdr:rowOff>45279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1197312-2DCF-CCFC-20CD-09989644F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82847" y="0"/>
          <a:ext cx="9284360" cy="94310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L38" sqref="L3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A3AA-B4BF-4E69-8AC1-490690A1214E}">
  <sheetPr codeName="Sheet4"/>
  <dimension ref="A1:G65"/>
  <sheetViews>
    <sheetView tabSelected="1" zoomScale="160" zoomScaleNormal="160" workbookViewId="0">
      <selection activeCell="F11" sqref="F11"/>
    </sheetView>
  </sheetViews>
  <sheetFormatPr defaultRowHeight="13.2" x14ac:dyDescent="0.25"/>
  <cols>
    <col min="1" max="1" width="20.44140625" style="2" customWidth="1"/>
    <col min="2" max="256" width="8.88671875" style="2"/>
    <col min="257" max="257" width="20.44140625" style="2" customWidth="1"/>
    <col min="258" max="512" width="8.88671875" style="2"/>
    <col min="513" max="513" width="20.44140625" style="2" customWidth="1"/>
    <col min="514" max="768" width="8.88671875" style="2"/>
    <col min="769" max="769" width="20.44140625" style="2" customWidth="1"/>
    <col min="770" max="1024" width="8.88671875" style="2"/>
    <col min="1025" max="1025" width="20.44140625" style="2" customWidth="1"/>
    <col min="1026" max="1280" width="8.88671875" style="2"/>
    <col min="1281" max="1281" width="20.44140625" style="2" customWidth="1"/>
    <col min="1282" max="1536" width="8.88671875" style="2"/>
    <col min="1537" max="1537" width="20.44140625" style="2" customWidth="1"/>
    <col min="1538" max="1792" width="8.88671875" style="2"/>
    <col min="1793" max="1793" width="20.44140625" style="2" customWidth="1"/>
    <col min="1794" max="2048" width="8.88671875" style="2"/>
    <col min="2049" max="2049" width="20.44140625" style="2" customWidth="1"/>
    <col min="2050" max="2304" width="8.88671875" style="2"/>
    <col min="2305" max="2305" width="20.44140625" style="2" customWidth="1"/>
    <col min="2306" max="2560" width="8.88671875" style="2"/>
    <col min="2561" max="2561" width="20.44140625" style="2" customWidth="1"/>
    <col min="2562" max="2816" width="8.88671875" style="2"/>
    <col min="2817" max="2817" width="20.44140625" style="2" customWidth="1"/>
    <col min="2818" max="3072" width="8.88671875" style="2"/>
    <col min="3073" max="3073" width="20.44140625" style="2" customWidth="1"/>
    <col min="3074" max="3328" width="8.88671875" style="2"/>
    <col min="3329" max="3329" width="20.44140625" style="2" customWidth="1"/>
    <col min="3330" max="3584" width="8.88671875" style="2"/>
    <col min="3585" max="3585" width="20.44140625" style="2" customWidth="1"/>
    <col min="3586" max="3840" width="8.88671875" style="2"/>
    <col min="3841" max="3841" width="20.44140625" style="2" customWidth="1"/>
    <col min="3842" max="4096" width="8.88671875" style="2"/>
    <col min="4097" max="4097" width="20.44140625" style="2" customWidth="1"/>
    <col min="4098" max="4352" width="8.88671875" style="2"/>
    <col min="4353" max="4353" width="20.44140625" style="2" customWidth="1"/>
    <col min="4354" max="4608" width="8.88671875" style="2"/>
    <col min="4609" max="4609" width="20.44140625" style="2" customWidth="1"/>
    <col min="4610" max="4864" width="8.88671875" style="2"/>
    <col min="4865" max="4865" width="20.44140625" style="2" customWidth="1"/>
    <col min="4866" max="5120" width="8.88671875" style="2"/>
    <col min="5121" max="5121" width="20.44140625" style="2" customWidth="1"/>
    <col min="5122" max="5376" width="8.88671875" style="2"/>
    <col min="5377" max="5377" width="20.44140625" style="2" customWidth="1"/>
    <col min="5378" max="5632" width="8.88671875" style="2"/>
    <col min="5633" max="5633" width="20.44140625" style="2" customWidth="1"/>
    <col min="5634" max="5888" width="8.88671875" style="2"/>
    <col min="5889" max="5889" width="20.44140625" style="2" customWidth="1"/>
    <col min="5890" max="6144" width="8.88671875" style="2"/>
    <col min="6145" max="6145" width="20.44140625" style="2" customWidth="1"/>
    <col min="6146" max="6400" width="8.88671875" style="2"/>
    <col min="6401" max="6401" width="20.44140625" style="2" customWidth="1"/>
    <col min="6402" max="6656" width="8.88671875" style="2"/>
    <col min="6657" max="6657" width="20.44140625" style="2" customWidth="1"/>
    <col min="6658" max="6912" width="8.88671875" style="2"/>
    <col min="6913" max="6913" width="20.44140625" style="2" customWidth="1"/>
    <col min="6914" max="7168" width="8.88671875" style="2"/>
    <col min="7169" max="7169" width="20.44140625" style="2" customWidth="1"/>
    <col min="7170" max="7424" width="8.88671875" style="2"/>
    <col min="7425" max="7425" width="20.44140625" style="2" customWidth="1"/>
    <col min="7426" max="7680" width="8.88671875" style="2"/>
    <col min="7681" max="7681" width="20.44140625" style="2" customWidth="1"/>
    <col min="7682" max="7936" width="8.88671875" style="2"/>
    <col min="7937" max="7937" width="20.44140625" style="2" customWidth="1"/>
    <col min="7938" max="8192" width="8.88671875" style="2"/>
    <col min="8193" max="8193" width="20.44140625" style="2" customWidth="1"/>
    <col min="8194" max="8448" width="8.88671875" style="2"/>
    <col min="8449" max="8449" width="20.44140625" style="2" customWidth="1"/>
    <col min="8450" max="8704" width="8.88671875" style="2"/>
    <col min="8705" max="8705" width="20.44140625" style="2" customWidth="1"/>
    <col min="8706" max="8960" width="8.88671875" style="2"/>
    <col min="8961" max="8961" width="20.44140625" style="2" customWidth="1"/>
    <col min="8962" max="9216" width="8.88671875" style="2"/>
    <col min="9217" max="9217" width="20.44140625" style="2" customWidth="1"/>
    <col min="9218" max="9472" width="8.88671875" style="2"/>
    <col min="9473" max="9473" width="20.44140625" style="2" customWidth="1"/>
    <col min="9474" max="9728" width="8.88671875" style="2"/>
    <col min="9729" max="9729" width="20.44140625" style="2" customWidth="1"/>
    <col min="9730" max="9984" width="8.88671875" style="2"/>
    <col min="9985" max="9985" width="20.44140625" style="2" customWidth="1"/>
    <col min="9986" max="10240" width="8.88671875" style="2"/>
    <col min="10241" max="10241" width="20.44140625" style="2" customWidth="1"/>
    <col min="10242" max="10496" width="8.88671875" style="2"/>
    <col min="10497" max="10497" width="20.44140625" style="2" customWidth="1"/>
    <col min="10498" max="10752" width="8.88671875" style="2"/>
    <col min="10753" max="10753" width="20.44140625" style="2" customWidth="1"/>
    <col min="10754" max="11008" width="8.88671875" style="2"/>
    <col min="11009" max="11009" width="20.44140625" style="2" customWidth="1"/>
    <col min="11010" max="11264" width="8.88671875" style="2"/>
    <col min="11265" max="11265" width="20.44140625" style="2" customWidth="1"/>
    <col min="11266" max="11520" width="8.88671875" style="2"/>
    <col min="11521" max="11521" width="20.44140625" style="2" customWidth="1"/>
    <col min="11522" max="11776" width="8.88671875" style="2"/>
    <col min="11777" max="11777" width="20.44140625" style="2" customWidth="1"/>
    <col min="11778" max="12032" width="8.88671875" style="2"/>
    <col min="12033" max="12033" width="20.44140625" style="2" customWidth="1"/>
    <col min="12034" max="12288" width="8.88671875" style="2"/>
    <col min="12289" max="12289" width="20.44140625" style="2" customWidth="1"/>
    <col min="12290" max="12544" width="8.88671875" style="2"/>
    <col min="12545" max="12545" width="20.44140625" style="2" customWidth="1"/>
    <col min="12546" max="12800" width="8.88671875" style="2"/>
    <col min="12801" max="12801" width="20.44140625" style="2" customWidth="1"/>
    <col min="12802" max="13056" width="8.88671875" style="2"/>
    <col min="13057" max="13057" width="20.44140625" style="2" customWidth="1"/>
    <col min="13058" max="13312" width="8.88671875" style="2"/>
    <col min="13313" max="13313" width="20.44140625" style="2" customWidth="1"/>
    <col min="13314" max="13568" width="8.88671875" style="2"/>
    <col min="13569" max="13569" width="20.44140625" style="2" customWidth="1"/>
    <col min="13570" max="13824" width="8.88671875" style="2"/>
    <col min="13825" max="13825" width="20.44140625" style="2" customWidth="1"/>
    <col min="13826" max="14080" width="8.88671875" style="2"/>
    <col min="14081" max="14081" width="20.44140625" style="2" customWidth="1"/>
    <col min="14082" max="14336" width="8.88671875" style="2"/>
    <col min="14337" max="14337" width="20.44140625" style="2" customWidth="1"/>
    <col min="14338" max="14592" width="8.88671875" style="2"/>
    <col min="14593" max="14593" width="20.44140625" style="2" customWidth="1"/>
    <col min="14594" max="14848" width="8.88671875" style="2"/>
    <col min="14849" max="14849" width="20.44140625" style="2" customWidth="1"/>
    <col min="14850" max="15104" width="8.88671875" style="2"/>
    <col min="15105" max="15105" width="20.44140625" style="2" customWidth="1"/>
    <col min="15106" max="15360" width="8.88671875" style="2"/>
    <col min="15361" max="15361" width="20.44140625" style="2" customWidth="1"/>
    <col min="15362" max="15616" width="8.88671875" style="2"/>
    <col min="15617" max="15617" width="20.44140625" style="2" customWidth="1"/>
    <col min="15618" max="15872" width="8.88671875" style="2"/>
    <col min="15873" max="15873" width="20.44140625" style="2" customWidth="1"/>
    <col min="15874" max="16128" width="8.88671875" style="2"/>
    <col min="16129" max="16129" width="20.44140625" style="2" customWidth="1"/>
    <col min="16130" max="16384" width="8.88671875" style="2"/>
  </cols>
  <sheetData>
    <row r="1" spans="1:7" x14ac:dyDescent="0.25">
      <c r="A1" s="1"/>
    </row>
    <row r="2" spans="1:7" x14ac:dyDescent="0.25">
      <c r="A2" s="1" t="s">
        <v>0</v>
      </c>
      <c r="D2" s="1" t="s">
        <v>1</v>
      </c>
      <c r="G2" s="1"/>
    </row>
    <row r="3" spans="1:7" ht="15.6" x14ac:dyDescent="0.35">
      <c r="A3" s="2" t="s">
        <v>2</v>
      </c>
      <c r="B3" s="3">
        <v>0.15</v>
      </c>
      <c r="D3" s="2" t="s">
        <v>3</v>
      </c>
      <c r="E3" s="4">
        <f>(1+B5-B9)/((1+B5)*(B8-B9))</f>
        <v>0.25485741373143306</v>
      </c>
      <c r="F3" s="2" t="str">
        <f ca="1">_xlfn.FORMULATEXT(E3)</f>
        <v>=(1+B5-B9)/((1+B5)*(B8-B9))</v>
      </c>
    </row>
    <row r="4" spans="1:7" ht="15.6" x14ac:dyDescent="0.35">
      <c r="A4" s="2" t="s">
        <v>4</v>
      </c>
      <c r="B4" s="3">
        <v>0.2</v>
      </c>
      <c r="D4" s="2" t="s">
        <v>5</v>
      </c>
      <c r="E4" s="4">
        <f>(B8-1-B5)/((1+B5)*(B8-B9))</f>
        <v>0.67106851219449282</v>
      </c>
      <c r="F4" s="2" t="str">
        <f ca="1">_xlfn.FORMULATEXT(E4)</f>
        <v>=(B8-1-B5)/((1+B5)*(B8-B9))</v>
      </c>
    </row>
    <row r="5" spans="1:7" x14ac:dyDescent="0.25">
      <c r="A5" s="2" t="s">
        <v>6</v>
      </c>
      <c r="B5" s="3">
        <v>0.08</v>
      </c>
    </row>
    <row r="7" spans="1:7" x14ac:dyDescent="0.25">
      <c r="A7" s="1" t="s">
        <v>7</v>
      </c>
    </row>
    <row r="8" spans="1:7" x14ac:dyDescent="0.25">
      <c r="A8" s="2" t="s">
        <v>8</v>
      </c>
      <c r="B8" s="2">
        <f>EXP(B3+B4)</f>
        <v>1.4190675485932571</v>
      </c>
      <c r="C8" s="2" t="str">
        <f ca="1">_xlfn.FORMULATEXT(B8)</f>
        <v>=EXP(B3+B4)</v>
      </c>
    </row>
    <row r="9" spans="1:7" x14ac:dyDescent="0.25">
      <c r="A9" s="2" t="s">
        <v>9</v>
      </c>
      <c r="B9" s="2">
        <f>EXP(B3-B4)</f>
        <v>0.95122942450071402</v>
      </c>
      <c r="C9" s="2" t="str">
        <f ca="1">_xlfn.FORMULATEXT(B9)</f>
        <v>=EXP(B3-B4)</v>
      </c>
    </row>
    <row r="11" spans="1:7" ht="15.6" x14ac:dyDescent="0.35">
      <c r="D11" s="5" t="s">
        <v>3</v>
      </c>
      <c r="E11" s="5" t="s">
        <v>5</v>
      </c>
    </row>
    <row r="12" spans="1:7" x14ac:dyDescent="0.25">
      <c r="A12" s="2" t="s">
        <v>10</v>
      </c>
      <c r="D12" s="6">
        <f>E3</f>
        <v>0.25485741373143306</v>
      </c>
      <c r="E12" s="6">
        <f>E4</f>
        <v>0.67106851219449282</v>
      </c>
      <c r="F12" s="2" t="str">
        <f ca="1">_xlfn.FORMULATEXT(E12)&amp;" , data table header"</f>
        <v>=E4 , data table header</v>
      </c>
    </row>
    <row r="13" spans="1:7" x14ac:dyDescent="0.25">
      <c r="A13" s="2" t="s">
        <v>11</v>
      </c>
      <c r="C13" s="3">
        <v>0</v>
      </c>
      <c r="D13" s="6">
        <f t="dataTable" ref="D13:E22" dt2D="0" dtr="0" r1="B5" ca="1"/>
        <v>0.10424668915960059</v>
      </c>
      <c r="E13" s="6">
        <v>0.89575331084039944</v>
      </c>
    </row>
    <row r="14" spans="1:7" x14ac:dyDescent="0.25">
      <c r="A14" s="2" t="s">
        <v>1</v>
      </c>
      <c r="C14" s="3">
        <v>0.02</v>
      </c>
      <c r="D14" s="6">
        <v>0.1441142338992033</v>
      </c>
      <c r="E14" s="6">
        <v>0.83627792296354175</v>
      </c>
    </row>
    <row r="15" spans="1:7" x14ac:dyDescent="0.25">
      <c r="C15" s="3">
        <v>0.04</v>
      </c>
      <c r="D15" s="6">
        <v>0.18244841153343666</v>
      </c>
      <c r="E15" s="6">
        <v>0.77909005000502485</v>
      </c>
    </row>
    <row r="16" spans="1:7" x14ac:dyDescent="0.25">
      <c r="B16" s="3"/>
      <c r="C16" s="3">
        <v>0.06</v>
      </c>
      <c r="D16" s="6">
        <v>0.2193360164267556</v>
      </c>
      <c r="E16" s="4">
        <v>0.72406020998833875</v>
      </c>
    </row>
    <row r="17" spans="1:6" x14ac:dyDescent="0.25">
      <c r="B17" s="3"/>
      <c r="C17" s="3">
        <v>0.08</v>
      </c>
      <c r="D17" s="6">
        <v>0.25485741373143306</v>
      </c>
      <c r="E17" s="4">
        <v>0.67106851219449282</v>
      </c>
    </row>
    <row r="18" spans="1:6" x14ac:dyDescent="0.25">
      <c r="C18" s="3">
        <v>0.1</v>
      </c>
      <c r="D18" s="6">
        <v>0.28908712386139501</v>
      </c>
      <c r="E18" s="6">
        <v>0.62000378522951427</v>
      </c>
    </row>
    <row r="19" spans="1:6" x14ac:dyDescent="0.25">
      <c r="C19" s="3">
        <v>0.12</v>
      </c>
      <c r="D19" s="6">
        <v>0.32209434434385825</v>
      </c>
      <c r="E19" s="6">
        <v>0.57076279851328471</v>
      </c>
    </row>
    <row r="20" spans="1:6" x14ac:dyDescent="0.25">
      <c r="A20" s="1"/>
      <c r="C20" s="3">
        <v>0.14000000000000001</v>
      </c>
      <c r="D20" s="6">
        <v>0.35394341673921764</v>
      </c>
      <c r="E20" s="6">
        <v>0.52324956571692294</v>
      </c>
    </row>
    <row r="21" spans="1:6" x14ac:dyDescent="0.25">
      <c r="C21" s="3">
        <v>0.16</v>
      </c>
      <c r="D21" s="6">
        <v>0.38469424525887452</v>
      </c>
      <c r="E21" s="6">
        <v>0.47737472025836675</v>
      </c>
    </row>
    <row r="22" spans="1:6" x14ac:dyDescent="0.25">
      <c r="C22" s="3">
        <v>0.18</v>
      </c>
      <c r="D22" s="6">
        <v>0.41440267281176374</v>
      </c>
      <c r="E22" s="6">
        <v>0.43305495430688024</v>
      </c>
    </row>
    <row r="25" spans="1:6" ht="15.6" x14ac:dyDescent="0.35">
      <c r="A25" s="2" t="s">
        <v>10</v>
      </c>
      <c r="D25" s="5" t="s">
        <v>3</v>
      </c>
      <c r="E25" s="5" t="s">
        <v>5</v>
      </c>
    </row>
    <row r="26" spans="1:6" x14ac:dyDescent="0.25">
      <c r="A26" s="2" t="s">
        <v>12</v>
      </c>
      <c r="D26" s="6">
        <f>E3</f>
        <v>0.25485741373143306</v>
      </c>
      <c r="E26" s="6">
        <f>E4</f>
        <v>0.67106851219449282</v>
      </c>
      <c r="F26" s="2" t="str">
        <f ca="1">_xlfn.FORMULATEXT(E26)&amp;" , data table header"</f>
        <v>=E4 , data table header</v>
      </c>
    </row>
    <row r="27" spans="1:6" x14ac:dyDescent="0.25">
      <c r="A27" s="2" t="s">
        <v>1</v>
      </c>
      <c r="B27" s="3"/>
      <c r="C27" s="3">
        <v>0.05</v>
      </c>
      <c r="D27" s="6">
        <f t="dataTable" ref="D27:E40" dt2D="0" dtr="0" r1="B4"/>
        <v>-0.20051653323780796</v>
      </c>
      <c r="E27" s="6">
        <v>1.1264424591637341</v>
      </c>
    </row>
    <row r="28" spans="1:6" x14ac:dyDescent="0.25">
      <c r="B28" s="3"/>
      <c r="C28" s="3">
        <v>0.1</v>
      </c>
      <c r="D28" s="6">
        <v>0.11428718768030312</v>
      </c>
      <c r="E28" s="6">
        <v>0.81163873824562294</v>
      </c>
    </row>
    <row r="29" spans="1:6" x14ac:dyDescent="0.25">
      <c r="C29" s="3">
        <v>0.15</v>
      </c>
      <c r="D29" s="6">
        <v>0.2117256232229692</v>
      </c>
      <c r="E29" s="6">
        <v>0.71420030270295687</v>
      </c>
    </row>
    <row r="30" spans="1:6" x14ac:dyDescent="0.25">
      <c r="A30" s="1"/>
      <c r="C30" s="3">
        <v>0.2</v>
      </c>
      <c r="D30" s="6">
        <v>0.25485741373143306</v>
      </c>
      <c r="E30" s="6">
        <v>0.67106851219449282</v>
      </c>
    </row>
    <row r="31" spans="1:6" x14ac:dyDescent="0.25">
      <c r="C31" s="3">
        <v>0.25</v>
      </c>
      <c r="D31" s="6">
        <v>0.27630509472315101</v>
      </c>
      <c r="E31" s="7">
        <v>0.64962083120277503</v>
      </c>
    </row>
    <row r="32" spans="1:6" x14ac:dyDescent="0.25">
      <c r="C32" s="3">
        <v>0.3</v>
      </c>
      <c r="D32" s="6">
        <v>0.28695161415880538</v>
      </c>
      <c r="E32" s="7">
        <v>0.6389743117671205</v>
      </c>
    </row>
    <row r="33" spans="1:5" x14ac:dyDescent="0.25">
      <c r="C33" s="3">
        <v>0.35</v>
      </c>
      <c r="D33" s="6">
        <v>0.29146835323529746</v>
      </c>
      <c r="E33" s="7">
        <v>0.63445757269062864</v>
      </c>
    </row>
    <row r="34" spans="1:5" x14ac:dyDescent="0.25">
      <c r="C34" s="3">
        <v>0.4</v>
      </c>
      <c r="D34" s="6">
        <v>0.29219708818889645</v>
      </c>
      <c r="E34" s="7">
        <v>0.63372883773702948</v>
      </c>
    </row>
    <row r="35" spans="1:5" x14ac:dyDescent="0.25">
      <c r="C35" s="3">
        <v>0.45</v>
      </c>
      <c r="D35" s="6">
        <v>0.29044394219881342</v>
      </c>
      <c r="E35" s="7">
        <v>0.63548198372711273</v>
      </c>
    </row>
    <row r="36" spans="1:5" x14ac:dyDescent="0.25">
      <c r="C36" s="3">
        <v>0.5</v>
      </c>
      <c r="D36" s="6">
        <v>0.2869969375801294</v>
      </c>
      <c r="E36" s="7">
        <v>0.63892898834579637</v>
      </c>
    </row>
    <row r="37" spans="1:5" x14ac:dyDescent="0.25">
      <c r="C37" s="3">
        <v>0.55000000000000004</v>
      </c>
      <c r="D37" s="6">
        <v>0.28236122404720981</v>
      </c>
      <c r="E37" s="7">
        <v>0.64356470187871617</v>
      </c>
    </row>
    <row r="38" spans="1:5" x14ac:dyDescent="0.25">
      <c r="C38" s="3">
        <v>0.6</v>
      </c>
      <c r="D38" s="6">
        <v>0.27687667516624836</v>
      </c>
      <c r="E38" s="6">
        <v>0.64904925075967745</v>
      </c>
    </row>
    <row r="39" spans="1:5" x14ac:dyDescent="0.25">
      <c r="C39" s="3">
        <v>0.65</v>
      </c>
      <c r="D39" s="6">
        <v>0.27078119623880775</v>
      </c>
      <c r="E39" s="6">
        <v>0.65514472968711812</v>
      </c>
    </row>
    <row r="40" spans="1:5" x14ac:dyDescent="0.25">
      <c r="A40" s="1"/>
      <c r="C40" s="3">
        <v>0.7</v>
      </c>
      <c r="D40" s="6">
        <v>0.26424689077725222</v>
      </c>
      <c r="E40" s="6">
        <v>0.66167903514867366</v>
      </c>
    </row>
    <row r="43" spans="1:5" x14ac:dyDescent="0.25">
      <c r="B43" s="8"/>
    </row>
    <row r="46" spans="1:5" x14ac:dyDescent="0.25">
      <c r="A46" s="1"/>
    </row>
    <row r="47" spans="1:5" x14ac:dyDescent="0.25">
      <c r="B47" s="4"/>
    </row>
    <row r="48" spans="1:5" x14ac:dyDescent="0.25">
      <c r="B48" s="4"/>
    </row>
    <row r="49" spans="1:5" x14ac:dyDescent="0.25">
      <c r="B49" s="4"/>
    </row>
    <row r="51" spans="1:5" x14ac:dyDescent="0.25">
      <c r="A51" s="1"/>
    </row>
    <row r="52" spans="1:5" x14ac:dyDescent="0.25">
      <c r="E52" s="9"/>
    </row>
    <row r="53" spans="1:5" x14ac:dyDescent="0.25">
      <c r="C53" s="9"/>
      <c r="E53" s="9"/>
    </row>
    <row r="54" spans="1:5" x14ac:dyDescent="0.25">
      <c r="C54" s="9"/>
      <c r="E54" s="9"/>
    </row>
    <row r="55" spans="1:5" x14ac:dyDescent="0.25">
      <c r="C55" s="9"/>
      <c r="E55" s="9"/>
    </row>
    <row r="56" spans="1:5" x14ac:dyDescent="0.25">
      <c r="C56" s="9"/>
      <c r="E56" s="9"/>
    </row>
    <row r="57" spans="1:5" x14ac:dyDescent="0.25">
      <c r="C57" s="9"/>
      <c r="E57" s="9"/>
    </row>
    <row r="58" spans="1:5" x14ac:dyDescent="0.25">
      <c r="E58" s="9"/>
    </row>
    <row r="63" spans="1:5" x14ac:dyDescent="0.25">
      <c r="B63" s="10"/>
    </row>
    <row r="65" spans="2:2" x14ac:dyDescent="0.25">
      <c r="B65" s="8"/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2024-12-13T07:18:40Z</dcterms:modified>
</cp:coreProperties>
</file>