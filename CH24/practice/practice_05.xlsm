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4\practice\"/>
    </mc:Choice>
  </mc:AlternateContent>
  <xr:revisionPtr revIDLastSave="0" documentId="13_ncr:1_{C6B29206-80DA-4F86-9CB0-4075ED686B6C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Exercise 5 (2)" sheetId="3" r:id="rId2"/>
    <sheet name="Exercise 5" sheetId="2" r:id="rId3"/>
  </sheets>
  <definedNames>
    <definedName name="solver_adj" localSheetId="2" hidden="1">'Exercise 5'!$B$24</definedName>
    <definedName name="solver_adj" localSheetId="1" hidden="1">'Exercise 5 (2)'!$B$24</definedName>
    <definedName name="solver_cvg" localSheetId="2" hidden="1">0.0001</definedName>
    <definedName name="solver_cvg" localSheetId="1" hidden="1">0.0001</definedName>
    <definedName name="solver_drv" localSheetId="2" hidden="1">2</definedName>
    <definedName name="solver_drv" localSheetId="1" hidden="1">2</definedName>
    <definedName name="solver_eng" localSheetId="2" hidden="1">1</definedName>
    <definedName name="solver_eng" localSheetId="1" hidden="1">1</definedName>
    <definedName name="solver_est" localSheetId="2" hidden="1">1</definedName>
    <definedName name="solver_est" localSheetId="1" hidden="1">1</definedName>
    <definedName name="solver_itr" localSheetId="2" hidden="1">100</definedName>
    <definedName name="solver_itr" localSheetId="1" hidden="1">100</definedName>
    <definedName name="solver_lin" localSheetId="2" hidden="1">2</definedName>
    <definedName name="solver_lin" localSheetId="1" hidden="1">2</definedName>
    <definedName name="solver_mip" localSheetId="2" hidden="1">2147483647</definedName>
    <definedName name="solver_mip" localSheetId="1" hidden="1">2147483647</definedName>
    <definedName name="solver_mni" localSheetId="2" hidden="1">30</definedName>
    <definedName name="solver_mni" localSheetId="1" hidden="1">30</definedName>
    <definedName name="solver_mrt" localSheetId="2" hidden="1">0.075</definedName>
    <definedName name="solver_mrt" localSheetId="1" hidden="1">0.075</definedName>
    <definedName name="solver_msl" localSheetId="2" hidden="1">2</definedName>
    <definedName name="solver_msl" localSheetId="1" hidden="1">2</definedName>
    <definedName name="solver_neg" localSheetId="2" hidden="1">2</definedName>
    <definedName name="solver_neg" localSheetId="1" hidden="1">2</definedName>
    <definedName name="solver_nod" localSheetId="2" hidden="1">2147483647</definedName>
    <definedName name="solver_nod" localSheetId="1" hidden="1">2147483647</definedName>
    <definedName name="solver_num" localSheetId="2" hidden="1">0</definedName>
    <definedName name="solver_num" localSheetId="1" hidden="1">0</definedName>
    <definedName name="solver_nwt" localSheetId="2" hidden="1">1</definedName>
    <definedName name="solver_nwt" localSheetId="1" hidden="1">1</definedName>
    <definedName name="solver_opt" localSheetId="2" hidden="1">'Exercise 5'!$B$36</definedName>
    <definedName name="solver_opt" localSheetId="1" hidden="1">'Exercise 5 (2)'!$B$36</definedName>
    <definedName name="solver_pre" localSheetId="2" hidden="1">0.000001</definedName>
    <definedName name="solver_pre" localSheetId="1" hidden="1">0.000001</definedName>
    <definedName name="solver_rbv" localSheetId="2" hidden="1">2</definedName>
    <definedName name="solver_rbv" localSheetId="1" hidden="1">2</definedName>
    <definedName name="solver_rlx" localSheetId="2" hidden="1">2</definedName>
    <definedName name="solver_rlx" localSheetId="1" hidden="1">2</definedName>
    <definedName name="solver_rsd" localSheetId="2" hidden="1">0</definedName>
    <definedName name="solver_rsd" localSheetId="1" hidden="1">0</definedName>
    <definedName name="solver_scl" localSheetId="2" hidden="1">2</definedName>
    <definedName name="solver_scl" localSheetId="1" hidden="1">2</definedName>
    <definedName name="solver_sho" localSheetId="2" hidden="1">2</definedName>
    <definedName name="solver_sho" localSheetId="1" hidden="1">2</definedName>
    <definedName name="solver_ssz" localSheetId="2" hidden="1">100</definedName>
    <definedName name="solver_ssz" localSheetId="1" hidden="1">100</definedName>
    <definedName name="solver_tim" localSheetId="2" hidden="1">100</definedName>
    <definedName name="solver_tim" localSheetId="1" hidden="1">100</definedName>
    <definedName name="solver_tol" localSheetId="2" hidden="1">0.05</definedName>
    <definedName name="solver_tol" localSheetId="1" hidden="1">0.05</definedName>
    <definedName name="solver_typ" localSheetId="2" hidden="1">3</definedName>
    <definedName name="solver_typ" localSheetId="1" hidden="1">3</definedName>
    <definedName name="solver_val" localSheetId="2" hidden="1">0</definedName>
    <definedName name="solver_val" localSheetId="1" hidden="1">0</definedName>
    <definedName name="solver_ver" localSheetId="2" hidden="1">3</definedName>
    <definedName name="solver_ver" localSheetId="1" hidden="1">3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0" i="3" l="1"/>
  <c r="B23" i="3"/>
  <c r="C29" i="3" s="1"/>
  <c r="D18" i="3"/>
  <c r="C18" i="3"/>
  <c r="B18" i="3"/>
  <c r="E34" i="2"/>
  <c r="C33" i="2"/>
  <c r="B23" i="2"/>
  <c r="E32" i="2" s="1"/>
  <c r="D18" i="2"/>
  <c r="C18" i="2"/>
  <c r="B19" i="2" s="1"/>
  <c r="B18" i="2"/>
  <c r="B19" i="3" l="1"/>
  <c r="E28" i="3"/>
  <c r="B36" i="3" s="1"/>
  <c r="E28" i="2"/>
  <c r="C29" i="2"/>
  <c r="E30" i="2"/>
  <c r="B38" i="3" l="1"/>
  <c r="B36" i="2"/>
  <c r="B38" i="2" s="1"/>
</calcChain>
</file>

<file path=xl/sharedStrings.xml><?xml version="1.0" encoding="utf-8"?>
<sst xmlns="http://schemas.openxmlformats.org/spreadsheetml/2006/main" count="32" uniqueCount="16">
  <si>
    <t>Matching state prices to the cost of capital</t>
  </si>
  <si>
    <t>Project cost of capital</t>
  </si>
  <si>
    <r>
      <t xml:space="preserve">&lt;-- This is the discount rate for the project if it has </t>
    </r>
    <r>
      <rPr>
        <b/>
        <sz val="10"/>
        <rFont val="Arial"/>
        <family val="2"/>
      </rPr>
      <t>no options</t>
    </r>
  </si>
  <si>
    <t>Risk-free rate</t>
  </si>
  <si>
    <t>Project cash flows</t>
  </si>
  <si>
    <r>
      <t>Project expected cash flows</t>
    </r>
    <r>
      <rPr>
        <sz val="10"/>
        <rFont val="Arial"/>
        <family val="2"/>
      </rPr>
      <t>:  Assumes equal state probabilities</t>
    </r>
  </si>
  <si>
    <t>Year</t>
  </si>
  <si>
    <t>Expected CF</t>
  </si>
  <si>
    <t>Project NPV</t>
  </si>
  <si>
    <t>State prices</t>
  </si>
  <si>
    <r>
      <t>q</t>
    </r>
    <r>
      <rPr>
        <vertAlign val="subscript"/>
        <sz val="10"/>
        <rFont val="Arial"/>
        <family val="2"/>
      </rPr>
      <t>u</t>
    </r>
  </si>
  <si>
    <r>
      <t>q</t>
    </r>
    <r>
      <rPr>
        <vertAlign val="subscript"/>
        <sz val="10"/>
        <rFont val="Arial"/>
        <family val="2"/>
      </rPr>
      <t>d</t>
    </r>
  </si>
  <si>
    <t>&lt;-- NOTE:  this was a case where Goal Seek worked better than Solver!!</t>
  </si>
  <si>
    <t>Project state-by-state discounting</t>
  </si>
  <si>
    <t>State-by-state NPV</t>
  </si>
  <si>
    <t>Target cell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</si>
</sst>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2">
    <xf numFmtId="0" fontId="0" fillId="0" borderId="0" xfId="0">
      <alignment vertical="center"/>
    </xf>
    <xf numFmtId="0" fontId="3" fillId="0" borderId="0" xfId="1" applyFont="1"/>
    <xf numFmtId="0" fontId="2" fillId="0" borderId="0" xfId="1"/>
    <xf numFmtId="9" fontId="2" fillId="0" borderId="0" xfId="1" applyNumberFormat="1"/>
    <xf numFmtId="0" fontId="4" fillId="0" borderId="0" xfId="1" applyFont="1"/>
    <xf numFmtId="0" fontId="2" fillId="0" borderId="0" xfId="1" applyAlignment="1">
      <alignment horizontal="center"/>
    </xf>
    <xf numFmtId="40" fontId="2" fillId="0" borderId="0" xfId="1" applyNumberFormat="1"/>
    <xf numFmtId="176" fontId="2" fillId="0" borderId="0" xfId="1" quotePrefix="1" applyNumberFormat="1"/>
    <xf numFmtId="176" fontId="2" fillId="0" borderId="0" xfId="1" applyNumberFormat="1" applyAlignment="1">
      <alignment horizontal="center"/>
    </xf>
    <xf numFmtId="2" fontId="2" fillId="0" borderId="0" xfId="1" applyNumberFormat="1"/>
    <xf numFmtId="0" fontId="2" fillId="2" borderId="0" xfId="1" applyFill="1"/>
    <xf numFmtId="2" fontId="2" fillId="2" borderId="0" xfId="1" applyNumberFormat="1" applyFill="1"/>
  </cellXfs>
  <cellStyles count="2">
    <cellStyle name="常规" xfId="0" builtinId="0"/>
    <cellStyle name="常规 2" xfId="1" xr:uid="{399EF57B-3CE8-4576-9D05-ADCED951EE2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53340</xdr:rowOff>
    </xdr:from>
    <xdr:to>
      <xdr:col>2</xdr:col>
      <xdr:colOff>0</xdr:colOff>
      <xdr:row>9</xdr:row>
      <xdr:rowOff>60960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186CC342-36BF-441D-A6D1-87046914C65A}"/>
            </a:ext>
          </a:extLst>
        </xdr:cNvPr>
        <xdr:cNvSpPr>
          <a:spLocks noChangeShapeType="1"/>
        </xdr:cNvSpPr>
      </xdr:nvSpPr>
      <xdr:spPr bwMode="auto">
        <a:xfrm flipV="1">
          <a:off x="1362075" y="1304925"/>
          <a:ext cx="60960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9</xdr:row>
      <xdr:rowOff>60960</xdr:rowOff>
    </xdr:from>
    <xdr:to>
      <xdr:col>1</xdr:col>
      <xdr:colOff>480060</xdr:colOff>
      <xdr:row>11</xdr:row>
      <xdr:rowOff>53340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9F201793-9E13-4182-AB73-37D0E13B98EC}"/>
            </a:ext>
          </a:extLst>
        </xdr:cNvPr>
        <xdr:cNvSpPr>
          <a:spLocks noChangeShapeType="1"/>
        </xdr:cNvSpPr>
      </xdr:nvSpPr>
      <xdr:spPr bwMode="auto">
        <a:xfrm>
          <a:off x="1362075" y="1647825"/>
          <a:ext cx="47625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7</xdr:row>
      <xdr:rowOff>76200</xdr:rowOff>
    </xdr:from>
    <xdr:to>
      <xdr:col>4</xdr:col>
      <xdr:colOff>7620</xdr:colOff>
      <xdr:row>8</xdr:row>
      <xdr:rowOff>91440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C38D8306-8335-4F8F-817A-051FD9E59E51}"/>
            </a:ext>
          </a:extLst>
        </xdr:cNvPr>
        <xdr:cNvSpPr>
          <a:spLocks noChangeShapeType="1"/>
        </xdr:cNvSpPr>
      </xdr:nvSpPr>
      <xdr:spPr bwMode="auto">
        <a:xfrm>
          <a:off x="2581275" y="1323975"/>
          <a:ext cx="61912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7620</xdr:colOff>
      <xdr:row>6</xdr:row>
      <xdr:rowOff>60960</xdr:rowOff>
    </xdr:from>
    <xdr:to>
      <xdr:col>4</xdr:col>
      <xdr:colOff>15240</xdr:colOff>
      <xdr:row>7</xdr:row>
      <xdr:rowOff>68580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92BF7BA8-921F-4511-A1D2-2E9ACCCAB458}"/>
            </a:ext>
          </a:extLst>
        </xdr:cNvPr>
        <xdr:cNvSpPr>
          <a:spLocks noChangeShapeType="1"/>
        </xdr:cNvSpPr>
      </xdr:nvSpPr>
      <xdr:spPr bwMode="auto">
        <a:xfrm flipV="1">
          <a:off x="2590800" y="1133475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11</xdr:row>
      <xdr:rowOff>76200</xdr:rowOff>
    </xdr:from>
    <xdr:to>
      <xdr:col>4</xdr:col>
      <xdr:colOff>7620</xdr:colOff>
      <xdr:row>12</xdr:row>
      <xdr:rowOff>91440</xdr:rowOff>
    </xdr:to>
    <xdr:sp macro="" textlink="">
      <xdr:nvSpPr>
        <xdr:cNvPr id="6" name="Line 5">
          <a:extLst>
            <a:ext uri="{FF2B5EF4-FFF2-40B4-BE49-F238E27FC236}">
              <a16:creationId xmlns:a16="http://schemas.microsoft.com/office/drawing/2014/main" id="{37A02C81-0DD4-41E7-9A13-48DC4D9D3D16}"/>
            </a:ext>
          </a:extLst>
        </xdr:cNvPr>
        <xdr:cNvSpPr>
          <a:spLocks noChangeShapeType="1"/>
        </xdr:cNvSpPr>
      </xdr:nvSpPr>
      <xdr:spPr bwMode="auto">
        <a:xfrm>
          <a:off x="2581275" y="2009775"/>
          <a:ext cx="61912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7620</xdr:colOff>
      <xdr:row>10</xdr:row>
      <xdr:rowOff>60960</xdr:rowOff>
    </xdr:from>
    <xdr:to>
      <xdr:col>4</xdr:col>
      <xdr:colOff>15240</xdr:colOff>
      <xdr:row>11</xdr:row>
      <xdr:rowOff>68580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B3E57AC8-9E17-4A99-AA9B-8DF8B32EAC70}"/>
            </a:ext>
          </a:extLst>
        </xdr:cNvPr>
        <xdr:cNvSpPr>
          <a:spLocks noChangeShapeType="1"/>
        </xdr:cNvSpPr>
      </xdr:nvSpPr>
      <xdr:spPr bwMode="auto">
        <a:xfrm flipV="1">
          <a:off x="2590800" y="1819275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28</xdr:row>
      <xdr:rowOff>53340</xdr:rowOff>
    </xdr:from>
    <xdr:to>
      <xdr:col>2</xdr:col>
      <xdr:colOff>0</xdr:colOff>
      <xdr:row>30</xdr:row>
      <xdr:rowOff>60960</xdr:rowOff>
    </xdr:to>
    <xdr:sp macro="" textlink="">
      <xdr:nvSpPr>
        <xdr:cNvPr id="8" name="Line 7">
          <a:extLst>
            <a:ext uri="{FF2B5EF4-FFF2-40B4-BE49-F238E27FC236}">
              <a16:creationId xmlns:a16="http://schemas.microsoft.com/office/drawing/2014/main" id="{FA2EC966-5CB9-4B99-B716-3D743F0CC748}"/>
            </a:ext>
          </a:extLst>
        </xdr:cNvPr>
        <xdr:cNvSpPr>
          <a:spLocks noChangeShapeType="1"/>
        </xdr:cNvSpPr>
      </xdr:nvSpPr>
      <xdr:spPr bwMode="auto">
        <a:xfrm flipV="1">
          <a:off x="1362075" y="4962525"/>
          <a:ext cx="60960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30</xdr:row>
      <xdr:rowOff>60960</xdr:rowOff>
    </xdr:from>
    <xdr:to>
      <xdr:col>1</xdr:col>
      <xdr:colOff>480060</xdr:colOff>
      <xdr:row>32</xdr:row>
      <xdr:rowOff>53340</xdr:rowOff>
    </xdr:to>
    <xdr:sp macro="" textlink="">
      <xdr:nvSpPr>
        <xdr:cNvPr id="9" name="Line 8">
          <a:extLst>
            <a:ext uri="{FF2B5EF4-FFF2-40B4-BE49-F238E27FC236}">
              <a16:creationId xmlns:a16="http://schemas.microsoft.com/office/drawing/2014/main" id="{F7F41687-F25D-4D51-9FAE-4320D79AFEDA}"/>
            </a:ext>
          </a:extLst>
        </xdr:cNvPr>
        <xdr:cNvSpPr>
          <a:spLocks noChangeShapeType="1"/>
        </xdr:cNvSpPr>
      </xdr:nvSpPr>
      <xdr:spPr bwMode="auto">
        <a:xfrm>
          <a:off x="1362075" y="5305425"/>
          <a:ext cx="47625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28</xdr:row>
      <xdr:rowOff>76200</xdr:rowOff>
    </xdr:from>
    <xdr:to>
      <xdr:col>4</xdr:col>
      <xdr:colOff>7620</xdr:colOff>
      <xdr:row>29</xdr:row>
      <xdr:rowOff>91440</xdr:rowOff>
    </xdr:to>
    <xdr:sp macro="" textlink="">
      <xdr:nvSpPr>
        <xdr:cNvPr id="10" name="Line 9">
          <a:extLst>
            <a:ext uri="{FF2B5EF4-FFF2-40B4-BE49-F238E27FC236}">
              <a16:creationId xmlns:a16="http://schemas.microsoft.com/office/drawing/2014/main" id="{432F5D6D-6012-4F5C-89FC-A07C1E16944A}"/>
            </a:ext>
          </a:extLst>
        </xdr:cNvPr>
        <xdr:cNvSpPr>
          <a:spLocks noChangeShapeType="1"/>
        </xdr:cNvSpPr>
      </xdr:nvSpPr>
      <xdr:spPr bwMode="auto">
        <a:xfrm>
          <a:off x="2581275" y="4981575"/>
          <a:ext cx="61912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7620</xdr:colOff>
      <xdr:row>27</xdr:row>
      <xdr:rowOff>60960</xdr:rowOff>
    </xdr:from>
    <xdr:to>
      <xdr:col>4</xdr:col>
      <xdr:colOff>15240</xdr:colOff>
      <xdr:row>28</xdr:row>
      <xdr:rowOff>68580</xdr:rowOff>
    </xdr:to>
    <xdr:sp macro="" textlink="">
      <xdr:nvSpPr>
        <xdr:cNvPr id="11" name="Line 10">
          <a:extLst>
            <a:ext uri="{FF2B5EF4-FFF2-40B4-BE49-F238E27FC236}">
              <a16:creationId xmlns:a16="http://schemas.microsoft.com/office/drawing/2014/main" id="{D5731717-135E-4842-923B-7CC2F7C9A1E6}"/>
            </a:ext>
          </a:extLst>
        </xdr:cNvPr>
        <xdr:cNvSpPr>
          <a:spLocks noChangeShapeType="1"/>
        </xdr:cNvSpPr>
      </xdr:nvSpPr>
      <xdr:spPr bwMode="auto">
        <a:xfrm flipV="1">
          <a:off x="2590800" y="4791075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32</xdr:row>
      <xdr:rowOff>76200</xdr:rowOff>
    </xdr:from>
    <xdr:to>
      <xdr:col>4</xdr:col>
      <xdr:colOff>7620</xdr:colOff>
      <xdr:row>33</xdr:row>
      <xdr:rowOff>91440</xdr:rowOff>
    </xdr:to>
    <xdr:sp macro="" textlink="">
      <xdr:nvSpPr>
        <xdr:cNvPr id="12" name="Line 11">
          <a:extLst>
            <a:ext uri="{FF2B5EF4-FFF2-40B4-BE49-F238E27FC236}">
              <a16:creationId xmlns:a16="http://schemas.microsoft.com/office/drawing/2014/main" id="{C26A70BC-FF73-44B9-8A7E-195E493B02F5}"/>
            </a:ext>
          </a:extLst>
        </xdr:cNvPr>
        <xdr:cNvSpPr>
          <a:spLocks noChangeShapeType="1"/>
        </xdr:cNvSpPr>
      </xdr:nvSpPr>
      <xdr:spPr bwMode="auto">
        <a:xfrm>
          <a:off x="2581275" y="5667375"/>
          <a:ext cx="61912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7620</xdr:colOff>
      <xdr:row>31</xdr:row>
      <xdr:rowOff>60960</xdr:rowOff>
    </xdr:from>
    <xdr:to>
      <xdr:col>4</xdr:col>
      <xdr:colOff>15240</xdr:colOff>
      <xdr:row>32</xdr:row>
      <xdr:rowOff>68580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7448D1F3-6CA1-4669-81D8-0ABBCB4083A1}"/>
            </a:ext>
          </a:extLst>
        </xdr:cNvPr>
        <xdr:cNvSpPr>
          <a:spLocks noChangeShapeType="1"/>
        </xdr:cNvSpPr>
      </xdr:nvSpPr>
      <xdr:spPr bwMode="auto">
        <a:xfrm flipV="1">
          <a:off x="2590800" y="5476875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10</xdr:col>
      <xdr:colOff>349789</xdr:colOff>
      <xdr:row>0</xdr:row>
      <xdr:rowOff>0</xdr:rowOff>
    </xdr:from>
    <xdr:to>
      <xdr:col>24</xdr:col>
      <xdr:colOff>495120</xdr:colOff>
      <xdr:row>49</xdr:row>
      <xdr:rowOff>72495</xdr:rowOff>
    </xdr:to>
    <xdr:pic>
      <xdr:nvPicPr>
        <xdr:cNvPr id="14" name="图片 13">
          <a:extLst>
            <a:ext uri="{FF2B5EF4-FFF2-40B4-BE49-F238E27FC236}">
              <a16:creationId xmlns:a16="http://schemas.microsoft.com/office/drawing/2014/main" id="{02CA9F13-73FB-4D16-BD65-164960F25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00169" y="0"/>
          <a:ext cx="8677826" cy="85783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53340</xdr:rowOff>
    </xdr:from>
    <xdr:to>
      <xdr:col>2</xdr:col>
      <xdr:colOff>0</xdr:colOff>
      <xdr:row>9</xdr:row>
      <xdr:rowOff>60960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D83466B7-89FA-4E30-A632-AA794D5C105D}"/>
            </a:ext>
          </a:extLst>
        </xdr:cNvPr>
        <xdr:cNvSpPr>
          <a:spLocks noChangeShapeType="1"/>
        </xdr:cNvSpPr>
      </xdr:nvSpPr>
      <xdr:spPr bwMode="auto">
        <a:xfrm flipV="1">
          <a:off x="1362075" y="1304925"/>
          <a:ext cx="60960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9</xdr:row>
      <xdr:rowOff>60960</xdr:rowOff>
    </xdr:from>
    <xdr:to>
      <xdr:col>1</xdr:col>
      <xdr:colOff>480060</xdr:colOff>
      <xdr:row>11</xdr:row>
      <xdr:rowOff>53340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D933940-A394-434C-A76E-264AC8E4C486}"/>
            </a:ext>
          </a:extLst>
        </xdr:cNvPr>
        <xdr:cNvSpPr>
          <a:spLocks noChangeShapeType="1"/>
        </xdr:cNvSpPr>
      </xdr:nvSpPr>
      <xdr:spPr bwMode="auto">
        <a:xfrm>
          <a:off x="1362075" y="1647825"/>
          <a:ext cx="47625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7</xdr:row>
      <xdr:rowOff>76200</xdr:rowOff>
    </xdr:from>
    <xdr:to>
      <xdr:col>4</xdr:col>
      <xdr:colOff>7620</xdr:colOff>
      <xdr:row>8</xdr:row>
      <xdr:rowOff>91440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18EFD8E1-BA11-477E-9485-BD805D738EAB}"/>
            </a:ext>
          </a:extLst>
        </xdr:cNvPr>
        <xdr:cNvSpPr>
          <a:spLocks noChangeShapeType="1"/>
        </xdr:cNvSpPr>
      </xdr:nvSpPr>
      <xdr:spPr bwMode="auto">
        <a:xfrm>
          <a:off x="2581275" y="1323975"/>
          <a:ext cx="61912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7620</xdr:colOff>
      <xdr:row>6</xdr:row>
      <xdr:rowOff>60960</xdr:rowOff>
    </xdr:from>
    <xdr:to>
      <xdr:col>4</xdr:col>
      <xdr:colOff>15240</xdr:colOff>
      <xdr:row>7</xdr:row>
      <xdr:rowOff>68580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5C7C7635-4625-4413-916E-B9D5708E3511}"/>
            </a:ext>
          </a:extLst>
        </xdr:cNvPr>
        <xdr:cNvSpPr>
          <a:spLocks noChangeShapeType="1"/>
        </xdr:cNvSpPr>
      </xdr:nvSpPr>
      <xdr:spPr bwMode="auto">
        <a:xfrm flipV="1">
          <a:off x="2590800" y="1133475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11</xdr:row>
      <xdr:rowOff>76200</xdr:rowOff>
    </xdr:from>
    <xdr:to>
      <xdr:col>4</xdr:col>
      <xdr:colOff>7620</xdr:colOff>
      <xdr:row>12</xdr:row>
      <xdr:rowOff>91440</xdr:rowOff>
    </xdr:to>
    <xdr:sp macro="" textlink="">
      <xdr:nvSpPr>
        <xdr:cNvPr id="6" name="Line 5">
          <a:extLst>
            <a:ext uri="{FF2B5EF4-FFF2-40B4-BE49-F238E27FC236}">
              <a16:creationId xmlns:a16="http://schemas.microsoft.com/office/drawing/2014/main" id="{ABC4FD15-1093-446C-BC2F-EF8165437119}"/>
            </a:ext>
          </a:extLst>
        </xdr:cNvPr>
        <xdr:cNvSpPr>
          <a:spLocks noChangeShapeType="1"/>
        </xdr:cNvSpPr>
      </xdr:nvSpPr>
      <xdr:spPr bwMode="auto">
        <a:xfrm>
          <a:off x="2581275" y="2009775"/>
          <a:ext cx="61912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7620</xdr:colOff>
      <xdr:row>10</xdr:row>
      <xdr:rowOff>60960</xdr:rowOff>
    </xdr:from>
    <xdr:to>
      <xdr:col>4</xdr:col>
      <xdr:colOff>15240</xdr:colOff>
      <xdr:row>11</xdr:row>
      <xdr:rowOff>68580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01CE65BB-16CC-49E6-BF10-122AAE910F74}"/>
            </a:ext>
          </a:extLst>
        </xdr:cNvPr>
        <xdr:cNvSpPr>
          <a:spLocks noChangeShapeType="1"/>
        </xdr:cNvSpPr>
      </xdr:nvSpPr>
      <xdr:spPr bwMode="auto">
        <a:xfrm flipV="1">
          <a:off x="2590800" y="1819275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28</xdr:row>
      <xdr:rowOff>53340</xdr:rowOff>
    </xdr:from>
    <xdr:to>
      <xdr:col>2</xdr:col>
      <xdr:colOff>0</xdr:colOff>
      <xdr:row>30</xdr:row>
      <xdr:rowOff>60960</xdr:rowOff>
    </xdr:to>
    <xdr:sp macro="" textlink="">
      <xdr:nvSpPr>
        <xdr:cNvPr id="8" name="Line 7">
          <a:extLst>
            <a:ext uri="{FF2B5EF4-FFF2-40B4-BE49-F238E27FC236}">
              <a16:creationId xmlns:a16="http://schemas.microsoft.com/office/drawing/2014/main" id="{BD9ECEFB-0D19-466B-A22E-38B0ED91B584}"/>
            </a:ext>
          </a:extLst>
        </xdr:cNvPr>
        <xdr:cNvSpPr>
          <a:spLocks noChangeShapeType="1"/>
        </xdr:cNvSpPr>
      </xdr:nvSpPr>
      <xdr:spPr bwMode="auto">
        <a:xfrm flipV="1">
          <a:off x="1362075" y="4962525"/>
          <a:ext cx="60960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30</xdr:row>
      <xdr:rowOff>60960</xdr:rowOff>
    </xdr:from>
    <xdr:to>
      <xdr:col>1</xdr:col>
      <xdr:colOff>480060</xdr:colOff>
      <xdr:row>32</xdr:row>
      <xdr:rowOff>53340</xdr:rowOff>
    </xdr:to>
    <xdr:sp macro="" textlink="">
      <xdr:nvSpPr>
        <xdr:cNvPr id="9" name="Line 8">
          <a:extLst>
            <a:ext uri="{FF2B5EF4-FFF2-40B4-BE49-F238E27FC236}">
              <a16:creationId xmlns:a16="http://schemas.microsoft.com/office/drawing/2014/main" id="{00B8573B-8490-4658-8312-4E244F159371}"/>
            </a:ext>
          </a:extLst>
        </xdr:cNvPr>
        <xdr:cNvSpPr>
          <a:spLocks noChangeShapeType="1"/>
        </xdr:cNvSpPr>
      </xdr:nvSpPr>
      <xdr:spPr bwMode="auto">
        <a:xfrm>
          <a:off x="1362075" y="5305425"/>
          <a:ext cx="47625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28</xdr:row>
      <xdr:rowOff>76200</xdr:rowOff>
    </xdr:from>
    <xdr:to>
      <xdr:col>4</xdr:col>
      <xdr:colOff>7620</xdr:colOff>
      <xdr:row>29</xdr:row>
      <xdr:rowOff>91440</xdr:rowOff>
    </xdr:to>
    <xdr:sp macro="" textlink="">
      <xdr:nvSpPr>
        <xdr:cNvPr id="10" name="Line 9">
          <a:extLst>
            <a:ext uri="{FF2B5EF4-FFF2-40B4-BE49-F238E27FC236}">
              <a16:creationId xmlns:a16="http://schemas.microsoft.com/office/drawing/2014/main" id="{E7548372-DCEE-45A6-A057-156234C26175}"/>
            </a:ext>
          </a:extLst>
        </xdr:cNvPr>
        <xdr:cNvSpPr>
          <a:spLocks noChangeShapeType="1"/>
        </xdr:cNvSpPr>
      </xdr:nvSpPr>
      <xdr:spPr bwMode="auto">
        <a:xfrm>
          <a:off x="2581275" y="4981575"/>
          <a:ext cx="61912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7620</xdr:colOff>
      <xdr:row>27</xdr:row>
      <xdr:rowOff>60960</xdr:rowOff>
    </xdr:from>
    <xdr:to>
      <xdr:col>4</xdr:col>
      <xdr:colOff>15240</xdr:colOff>
      <xdr:row>28</xdr:row>
      <xdr:rowOff>68580</xdr:rowOff>
    </xdr:to>
    <xdr:sp macro="" textlink="">
      <xdr:nvSpPr>
        <xdr:cNvPr id="11" name="Line 10">
          <a:extLst>
            <a:ext uri="{FF2B5EF4-FFF2-40B4-BE49-F238E27FC236}">
              <a16:creationId xmlns:a16="http://schemas.microsoft.com/office/drawing/2014/main" id="{CADC0ADD-4051-494E-96CC-89148AF10CB6}"/>
            </a:ext>
          </a:extLst>
        </xdr:cNvPr>
        <xdr:cNvSpPr>
          <a:spLocks noChangeShapeType="1"/>
        </xdr:cNvSpPr>
      </xdr:nvSpPr>
      <xdr:spPr bwMode="auto">
        <a:xfrm flipV="1">
          <a:off x="2590800" y="4791075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32</xdr:row>
      <xdr:rowOff>76200</xdr:rowOff>
    </xdr:from>
    <xdr:to>
      <xdr:col>4</xdr:col>
      <xdr:colOff>7620</xdr:colOff>
      <xdr:row>33</xdr:row>
      <xdr:rowOff>91440</xdr:rowOff>
    </xdr:to>
    <xdr:sp macro="" textlink="">
      <xdr:nvSpPr>
        <xdr:cNvPr id="12" name="Line 11">
          <a:extLst>
            <a:ext uri="{FF2B5EF4-FFF2-40B4-BE49-F238E27FC236}">
              <a16:creationId xmlns:a16="http://schemas.microsoft.com/office/drawing/2014/main" id="{6ECAB9FF-B902-4CDD-8182-E571C61CB25A}"/>
            </a:ext>
          </a:extLst>
        </xdr:cNvPr>
        <xdr:cNvSpPr>
          <a:spLocks noChangeShapeType="1"/>
        </xdr:cNvSpPr>
      </xdr:nvSpPr>
      <xdr:spPr bwMode="auto">
        <a:xfrm>
          <a:off x="2581275" y="5667375"/>
          <a:ext cx="61912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7620</xdr:colOff>
      <xdr:row>31</xdr:row>
      <xdr:rowOff>60960</xdr:rowOff>
    </xdr:from>
    <xdr:to>
      <xdr:col>4</xdr:col>
      <xdr:colOff>15240</xdr:colOff>
      <xdr:row>32</xdr:row>
      <xdr:rowOff>68580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46A264C3-75DB-45A5-8F6D-7925548F3567}"/>
            </a:ext>
          </a:extLst>
        </xdr:cNvPr>
        <xdr:cNvSpPr>
          <a:spLocks noChangeShapeType="1"/>
        </xdr:cNvSpPr>
      </xdr:nvSpPr>
      <xdr:spPr bwMode="auto">
        <a:xfrm flipV="1">
          <a:off x="2590800" y="5476875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10</xdr:col>
      <xdr:colOff>349789</xdr:colOff>
      <xdr:row>0</xdr:row>
      <xdr:rowOff>0</xdr:rowOff>
    </xdr:from>
    <xdr:to>
      <xdr:col>24</xdr:col>
      <xdr:colOff>495120</xdr:colOff>
      <xdr:row>49</xdr:row>
      <xdr:rowOff>72495</xdr:rowOff>
    </xdr:to>
    <xdr:pic>
      <xdr:nvPicPr>
        <xdr:cNvPr id="14" name="图片 13">
          <a:extLst>
            <a:ext uri="{FF2B5EF4-FFF2-40B4-BE49-F238E27FC236}">
              <a16:creationId xmlns:a16="http://schemas.microsoft.com/office/drawing/2014/main" id="{8A395B5B-18EB-4707-9BD1-14AA0B1467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85808" y="0"/>
          <a:ext cx="8659216" cy="843984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L31" sqref="L31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962D-A39F-4F4E-A586-B73CBFDDD266}">
  <sheetPr codeName="Sheet6"/>
  <dimension ref="A1:E38"/>
  <sheetViews>
    <sheetView tabSelected="1" zoomScale="130" zoomScaleNormal="130" workbookViewId="0">
      <selection activeCell="H29" sqref="H29"/>
    </sheetView>
  </sheetViews>
  <sheetFormatPr defaultRowHeight="13.2" x14ac:dyDescent="0.25"/>
  <cols>
    <col min="1" max="1" width="19.88671875" style="2" customWidth="1"/>
    <col min="2" max="256" width="8.88671875" style="2"/>
    <col min="257" max="257" width="19.88671875" style="2" customWidth="1"/>
    <col min="258" max="512" width="8.88671875" style="2"/>
    <col min="513" max="513" width="19.88671875" style="2" customWidth="1"/>
    <col min="514" max="768" width="8.88671875" style="2"/>
    <col min="769" max="769" width="19.88671875" style="2" customWidth="1"/>
    <col min="770" max="1024" width="8.88671875" style="2"/>
    <col min="1025" max="1025" width="19.88671875" style="2" customWidth="1"/>
    <col min="1026" max="1280" width="8.88671875" style="2"/>
    <col min="1281" max="1281" width="19.88671875" style="2" customWidth="1"/>
    <col min="1282" max="1536" width="8.88671875" style="2"/>
    <col min="1537" max="1537" width="19.88671875" style="2" customWidth="1"/>
    <col min="1538" max="1792" width="8.88671875" style="2"/>
    <col min="1793" max="1793" width="19.88671875" style="2" customWidth="1"/>
    <col min="1794" max="2048" width="8.88671875" style="2"/>
    <col min="2049" max="2049" width="19.88671875" style="2" customWidth="1"/>
    <col min="2050" max="2304" width="8.88671875" style="2"/>
    <col min="2305" max="2305" width="19.88671875" style="2" customWidth="1"/>
    <col min="2306" max="2560" width="8.88671875" style="2"/>
    <col min="2561" max="2561" width="19.88671875" style="2" customWidth="1"/>
    <col min="2562" max="2816" width="8.88671875" style="2"/>
    <col min="2817" max="2817" width="19.88671875" style="2" customWidth="1"/>
    <col min="2818" max="3072" width="8.88671875" style="2"/>
    <col min="3073" max="3073" width="19.88671875" style="2" customWidth="1"/>
    <col min="3074" max="3328" width="8.88671875" style="2"/>
    <col min="3329" max="3329" width="19.88671875" style="2" customWidth="1"/>
    <col min="3330" max="3584" width="8.88671875" style="2"/>
    <col min="3585" max="3585" width="19.88671875" style="2" customWidth="1"/>
    <col min="3586" max="3840" width="8.88671875" style="2"/>
    <col min="3841" max="3841" width="19.88671875" style="2" customWidth="1"/>
    <col min="3842" max="4096" width="8.88671875" style="2"/>
    <col min="4097" max="4097" width="19.88671875" style="2" customWidth="1"/>
    <col min="4098" max="4352" width="8.88671875" style="2"/>
    <col min="4353" max="4353" width="19.88671875" style="2" customWidth="1"/>
    <col min="4354" max="4608" width="8.88671875" style="2"/>
    <col min="4609" max="4609" width="19.88671875" style="2" customWidth="1"/>
    <col min="4610" max="4864" width="8.88671875" style="2"/>
    <col min="4865" max="4865" width="19.88671875" style="2" customWidth="1"/>
    <col min="4866" max="5120" width="8.88671875" style="2"/>
    <col min="5121" max="5121" width="19.88671875" style="2" customWidth="1"/>
    <col min="5122" max="5376" width="8.88671875" style="2"/>
    <col min="5377" max="5377" width="19.88671875" style="2" customWidth="1"/>
    <col min="5378" max="5632" width="8.88671875" style="2"/>
    <col min="5633" max="5633" width="19.88671875" style="2" customWidth="1"/>
    <col min="5634" max="5888" width="8.88671875" style="2"/>
    <col min="5889" max="5889" width="19.88671875" style="2" customWidth="1"/>
    <col min="5890" max="6144" width="8.88671875" style="2"/>
    <col min="6145" max="6145" width="19.88671875" style="2" customWidth="1"/>
    <col min="6146" max="6400" width="8.88671875" style="2"/>
    <col min="6401" max="6401" width="19.88671875" style="2" customWidth="1"/>
    <col min="6402" max="6656" width="8.88671875" style="2"/>
    <col min="6657" max="6657" width="19.88671875" style="2" customWidth="1"/>
    <col min="6658" max="6912" width="8.88671875" style="2"/>
    <col min="6913" max="6913" width="19.88671875" style="2" customWidth="1"/>
    <col min="6914" max="7168" width="8.88671875" style="2"/>
    <col min="7169" max="7169" width="19.88671875" style="2" customWidth="1"/>
    <col min="7170" max="7424" width="8.88671875" style="2"/>
    <col min="7425" max="7425" width="19.88671875" style="2" customWidth="1"/>
    <col min="7426" max="7680" width="8.88671875" style="2"/>
    <col min="7681" max="7681" width="19.88671875" style="2" customWidth="1"/>
    <col min="7682" max="7936" width="8.88671875" style="2"/>
    <col min="7937" max="7937" width="19.88671875" style="2" customWidth="1"/>
    <col min="7938" max="8192" width="8.88671875" style="2"/>
    <col min="8193" max="8193" width="19.88671875" style="2" customWidth="1"/>
    <col min="8194" max="8448" width="8.88671875" style="2"/>
    <col min="8449" max="8449" width="19.88671875" style="2" customWidth="1"/>
    <col min="8450" max="8704" width="8.88671875" style="2"/>
    <col min="8705" max="8705" width="19.88671875" style="2" customWidth="1"/>
    <col min="8706" max="8960" width="8.88671875" style="2"/>
    <col min="8961" max="8961" width="19.88671875" style="2" customWidth="1"/>
    <col min="8962" max="9216" width="8.88671875" style="2"/>
    <col min="9217" max="9217" width="19.88671875" style="2" customWidth="1"/>
    <col min="9218" max="9472" width="8.88671875" style="2"/>
    <col min="9473" max="9473" width="19.88671875" style="2" customWidth="1"/>
    <col min="9474" max="9728" width="8.88671875" style="2"/>
    <col min="9729" max="9729" width="19.88671875" style="2" customWidth="1"/>
    <col min="9730" max="9984" width="8.88671875" style="2"/>
    <col min="9985" max="9985" width="19.88671875" style="2" customWidth="1"/>
    <col min="9986" max="10240" width="8.88671875" style="2"/>
    <col min="10241" max="10241" width="19.88671875" style="2" customWidth="1"/>
    <col min="10242" max="10496" width="8.88671875" style="2"/>
    <col min="10497" max="10497" width="19.88671875" style="2" customWidth="1"/>
    <col min="10498" max="10752" width="8.88671875" style="2"/>
    <col min="10753" max="10753" width="19.88671875" style="2" customWidth="1"/>
    <col min="10754" max="11008" width="8.88671875" style="2"/>
    <col min="11009" max="11009" width="19.88671875" style="2" customWidth="1"/>
    <col min="11010" max="11264" width="8.88671875" style="2"/>
    <col min="11265" max="11265" width="19.88671875" style="2" customWidth="1"/>
    <col min="11266" max="11520" width="8.88671875" style="2"/>
    <col min="11521" max="11521" width="19.88671875" style="2" customWidth="1"/>
    <col min="11522" max="11776" width="8.88671875" style="2"/>
    <col min="11777" max="11777" width="19.88671875" style="2" customWidth="1"/>
    <col min="11778" max="12032" width="8.88671875" style="2"/>
    <col min="12033" max="12033" width="19.88671875" style="2" customWidth="1"/>
    <col min="12034" max="12288" width="8.88671875" style="2"/>
    <col min="12289" max="12289" width="19.88671875" style="2" customWidth="1"/>
    <col min="12290" max="12544" width="8.88671875" style="2"/>
    <col min="12545" max="12545" width="19.88671875" style="2" customWidth="1"/>
    <col min="12546" max="12800" width="8.88671875" style="2"/>
    <col min="12801" max="12801" width="19.88671875" style="2" customWidth="1"/>
    <col min="12802" max="13056" width="8.88671875" style="2"/>
    <col min="13057" max="13057" width="19.88671875" style="2" customWidth="1"/>
    <col min="13058" max="13312" width="8.88671875" style="2"/>
    <col min="13313" max="13313" width="19.88671875" style="2" customWidth="1"/>
    <col min="13314" max="13568" width="8.88671875" style="2"/>
    <col min="13569" max="13569" width="19.88671875" style="2" customWidth="1"/>
    <col min="13570" max="13824" width="8.88671875" style="2"/>
    <col min="13825" max="13825" width="19.88671875" style="2" customWidth="1"/>
    <col min="13826" max="14080" width="8.88671875" style="2"/>
    <col min="14081" max="14081" width="19.88671875" style="2" customWidth="1"/>
    <col min="14082" max="14336" width="8.88671875" style="2"/>
    <col min="14337" max="14337" width="19.88671875" style="2" customWidth="1"/>
    <col min="14338" max="14592" width="8.88671875" style="2"/>
    <col min="14593" max="14593" width="19.88671875" style="2" customWidth="1"/>
    <col min="14594" max="14848" width="8.88671875" style="2"/>
    <col min="14849" max="14849" width="19.88671875" style="2" customWidth="1"/>
    <col min="14850" max="15104" width="8.88671875" style="2"/>
    <col min="15105" max="15105" width="19.88671875" style="2" customWidth="1"/>
    <col min="15106" max="15360" width="8.88671875" style="2"/>
    <col min="15361" max="15361" width="19.88671875" style="2" customWidth="1"/>
    <col min="15362" max="15616" width="8.88671875" style="2"/>
    <col min="15617" max="15617" width="19.88671875" style="2" customWidth="1"/>
    <col min="15618" max="15872" width="8.88671875" style="2"/>
    <col min="15873" max="15873" width="19.88671875" style="2" customWidth="1"/>
    <col min="15874" max="16128" width="8.88671875" style="2"/>
    <col min="16129" max="16129" width="19.88671875" style="2" customWidth="1"/>
    <col min="16130" max="16384" width="8.88671875" style="2"/>
  </cols>
  <sheetData>
    <row r="1" spans="1:5" ht="17.399999999999999" x14ac:dyDescent="0.3">
      <c r="A1" s="1" t="s">
        <v>0</v>
      </c>
    </row>
    <row r="3" spans="1:5" x14ac:dyDescent="0.25">
      <c r="A3" s="2" t="s">
        <v>1</v>
      </c>
      <c r="B3" s="3">
        <v>0.3</v>
      </c>
      <c r="C3" s="2" t="s">
        <v>2</v>
      </c>
    </row>
    <row r="4" spans="1:5" x14ac:dyDescent="0.25">
      <c r="A4" s="2" t="s">
        <v>3</v>
      </c>
      <c r="B4" s="3">
        <v>0.05</v>
      </c>
    </row>
    <row r="6" spans="1:5" x14ac:dyDescent="0.25">
      <c r="A6" s="4" t="s">
        <v>4</v>
      </c>
    </row>
    <row r="7" spans="1:5" x14ac:dyDescent="0.25">
      <c r="E7" s="5">
        <v>180</v>
      </c>
    </row>
    <row r="8" spans="1:5" x14ac:dyDescent="0.25">
      <c r="C8" s="5">
        <v>130</v>
      </c>
      <c r="E8" s="5"/>
    </row>
    <row r="9" spans="1:5" x14ac:dyDescent="0.25">
      <c r="C9" s="5"/>
      <c r="E9" s="5">
        <v>90</v>
      </c>
    </row>
    <row r="10" spans="1:5" x14ac:dyDescent="0.25">
      <c r="A10" s="2">
        <v>-50</v>
      </c>
      <c r="C10" s="5"/>
      <c r="E10" s="5"/>
    </row>
    <row r="11" spans="1:5" x14ac:dyDescent="0.25">
      <c r="C11" s="5"/>
      <c r="E11" s="5">
        <v>60</v>
      </c>
    </row>
    <row r="12" spans="1:5" x14ac:dyDescent="0.25">
      <c r="C12" s="5">
        <v>-50</v>
      </c>
      <c r="E12" s="5"/>
    </row>
    <row r="13" spans="1:5" x14ac:dyDescent="0.25">
      <c r="E13" s="5">
        <v>-100</v>
      </c>
    </row>
    <row r="16" spans="1:5" x14ac:dyDescent="0.25">
      <c r="A16" s="4" t="s">
        <v>5</v>
      </c>
    </row>
    <row r="17" spans="1:5" x14ac:dyDescent="0.25">
      <c r="A17" s="2" t="s">
        <v>6</v>
      </c>
      <c r="B17" s="2">
        <v>0</v>
      </c>
      <c r="C17" s="2">
        <v>1</v>
      </c>
      <c r="D17" s="2">
        <v>2</v>
      </c>
    </row>
    <row r="18" spans="1:5" x14ac:dyDescent="0.25">
      <c r="A18" s="2" t="s">
        <v>7</v>
      </c>
      <c r="B18" s="2">
        <f>A10</f>
        <v>-50</v>
      </c>
      <c r="C18" s="2">
        <f>AVERAGE(C8:C12)</f>
        <v>40</v>
      </c>
      <c r="D18" s="2">
        <f>AVERAGE(E7:E13)</f>
        <v>57.5</v>
      </c>
    </row>
    <row r="19" spans="1:5" x14ac:dyDescent="0.25">
      <c r="A19" s="2" t="s">
        <v>8</v>
      </c>
      <c r="B19" s="6">
        <f>NPV(B3,C18:D18)+A10</f>
        <v>14.792899408284015</v>
      </c>
    </row>
    <row r="22" spans="1:5" x14ac:dyDescent="0.25">
      <c r="A22" s="4" t="s">
        <v>9</v>
      </c>
    </row>
    <row r="23" spans="1:5" ht="15.6" x14ac:dyDescent="0.35">
      <c r="A23" s="2" t="s">
        <v>10</v>
      </c>
      <c r="B23" s="7">
        <f>1/(1+B4)-B24</f>
        <v>0.41969837468814408</v>
      </c>
    </row>
    <row r="24" spans="1:5" ht="15.6" x14ac:dyDescent="0.35">
      <c r="A24" s="2" t="s">
        <v>11</v>
      </c>
      <c r="B24" s="7">
        <v>0.53268257769280825</v>
      </c>
      <c r="C24" s="2" t="s">
        <v>12</v>
      </c>
    </row>
    <row r="25" spans="1:5" x14ac:dyDescent="0.25">
      <c r="B25" s="7"/>
    </row>
    <row r="27" spans="1:5" x14ac:dyDescent="0.25">
      <c r="A27" s="4" t="s">
        <v>13</v>
      </c>
    </row>
    <row r="28" spans="1:5" x14ac:dyDescent="0.25">
      <c r="E28" s="8">
        <f>E7*B23^2</f>
        <v>31.70641062885656</v>
      </c>
    </row>
    <row r="29" spans="1:5" x14ac:dyDescent="0.25">
      <c r="C29" s="8">
        <f>C8*B23</f>
        <v>54.560788709458734</v>
      </c>
      <c r="E29" s="8"/>
    </row>
    <row r="30" spans="1:5" x14ac:dyDescent="0.25">
      <c r="C30" s="8"/>
      <c r="E30" s="8">
        <f>E9*B23*B24</f>
        <v>20.120941087412639</v>
      </c>
    </row>
    <row r="31" spans="1:5" x14ac:dyDescent="0.25">
      <c r="A31" s="2">
        <v>-50</v>
      </c>
      <c r="C31" s="8"/>
      <c r="E31" s="8"/>
    </row>
    <row r="32" spans="1:5" x14ac:dyDescent="0.25">
      <c r="C32" s="8"/>
      <c r="E32" s="8">
        <v>0</v>
      </c>
    </row>
    <row r="33" spans="1:5" x14ac:dyDescent="0.25">
      <c r="C33" s="8">
        <v>0</v>
      </c>
      <c r="E33" s="8"/>
    </row>
    <row r="34" spans="1:5" x14ac:dyDescent="0.25">
      <c r="E34" s="8">
        <v>0</v>
      </c>
    </row>
    <row r="36" spans="1:5" x14ac:dyDescent="0.25">
      <c r="A36" s="10" t="s">
        <v>14</v>
      </c>
      <c r="B36" s="11">
        <f>SUM(A28:E34)</f>
        <v>56.388140425727926</v>
      </c>
    </row>
    <row r="38" spans="1:5" x14ac:dyDescent="0.25">
      <c r="A38" s="2" t="s">
        <v>15</v>
      </c>
      <c r="B38" s="6">
        <f>B36-B19</f>
        <v>41.595241017443911</v>
      </c>
    </row>
  </sheetData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563AB-6595-4649-939E-B309C825A0D5}">
  <sheetPr codeName="Sheet5"/>
  <dimension ref="A1:E38"/>
  <sheetViews>
    <sheetView zoomScale="130" zoomScaleNormal="130" workbookViewId="0">
      <selection activeCell="F36" sqref="F36"/>
    </sheetView>
  </sheetViews>
  <sheetFormatPr defaultRowHeight="13.2" x14ac:dyDescent="0.25"/>
  <cols>
    <col min="1" max="1" width="19.88671875" style="2" customWidth="1"/>
    <col min="2" max="256" width="8.88671875" style="2"/>
    <col min="257" max="257" width="19.88671875" style="2" customWidth="1"/>
    <col min="258" max="512" width="8.88671875" style="2"/>
    <col min="513" max="513" width="19.88671875" style="2" customWidth="1"/>
    <col min="514" max="768" width="8.88671875" style="2"/>
    <col min="769" max="769" width="19.88671875" style="2" customWidth="1"/>
    <col min="770" max="1024" width="8.88671875" style="2"/>
    <col min="1025" max="1025" width="19.88671875" style="2" customWidth="1"/>
    <col min="1026" max="1280" width="8.88671875" style="2"/>
    <col min="1281" max="1281" width="19.88671875" style="2" customWidth="1"/>
    <col min="1282" max="1536" width="8.88671875" style="2"/>
    <col min="1537" max="1537" width="19.88671875" style="2" customWidth="1"/>
    <col min="1538" max="1792" width="8.88671875" style="2"/>
    <col min="1793" max="1793" width="19.88671875" style="2" customWidth="1"/>
    <col min="1794" max="2048" width="8.88671875" style="2"/>
    <col min="2049" max="2049" width="19.88671875" style="2" customWidth="1"/>
    <col min="2050" max="2304" width="8.88671875" style="2"/>
    <col min="2305" max="2305" width="19.88671875" style="2" customWidth="1"/>
    <col min="2306" max="2560" width="8.88671875" style="2"/>
    <col min="2561" max="2561" width="19.88671875" style="2" customWidth="1"/>
    <col min="2562" max="2816" width="8.88671875" style="2"/>
    <col min="2817" max="2817" width="19.88671875" style="2" customWidth="1"/>
    <col min="2818" max="3072" width="8.88671875" style="2"/>
    <col min="3073" max="3073" width="19.88671875" style="2" customWidth="1"/>
    <col min="3074" max="3328" width="8.88671875" style="2"/>
    <col min="3329" max="3329" width="19.88671875" style="2" customWidth="1"/>
    <col min="3330" max="3584" width="8.88671875" style="2"/>
    <col min="3585" max="3585" width="19.88671875" style="2" customWidth="1"/>
    <col min="3586" max="3840" width="8.88671875" style="2"/>
    <col min="3841" max="3841" width="19.88671875" style="2" customWidth="1"/>
    <col min="3842" max="4096" width="8.88671875" style="2"/>
    <col min="4097" max="4097" width="19.88671875" style="2" customWidth="1"/>
    <col min="4098" max="4352" width="8.88671875" style="2"/>
    <col min="4353" max="4353" width="19.88671875" style="2" customWidth="1"/>
    <col min="4354" max="4608" width="8.88671875" style="2"/>
    <col min="4609" max="4609" width="19.88671875" style="2" customWidth="1"/>
    <col min="4610" max="4864" width="8.88671875" style="2"/>
    <col min="4865" max="4865" width="19.88671875" style="2" customWidth="1"/>
    <col min="4866" max="5120" width="8.88671875" style="2"/>
    <col min="5121" max="5121" width="19.88671875" style="2" customWidth="1"/>
    <col min="5122" max="5376" width="8.88671875" style="2"/>
    <col min="5377" max="5377" width="19.88671875" style="2" customWidth="1"/>
    <col min="5378" max="5632" width="8.88671875" style="2"/>
    <col min="5633" max="5633" width="19.88671875" style="2" customWidth="1"/>
    <col min="5634" max="5888" width="8.88671875" style="2"/>
    <col min="5889" max="5889" width="19.88671875" style="2" customWidth="1"/>
    <col min="5890" max="6144" width="8.88671875" style="2"/>
    <col min="6145" max="6145" width="19.88671875" style="2" customWidth="1"/>
    <col min="6146" max="6400" width="8.88671875" style="2"/>
    <col min="6401" max="6401" width="19.88671875" style="2" customWidth="1"/>
    <col min="6402" max="6656" width="8.88671875" style="2"/>
    <col min="6657" max="6657" width="19.88671875" style="2" customWidth="1"/>
    <col min="6658" max="6912" width="8.88671875" style="2"/>
    <col min="6913" max="6913" width="19.88671875" style="2" customWidth="1"/>
    <col min="6914" max="7168" width="8.88671875" style="2"/>
    <col min="7169" max="7169" width="19.88671875" style="2" customWidth="1"/>
    <col min="7170" max="7424" width="8.88671875" style="2"/>
    <col min="7425" max="7425" width="19.88671875" style="2" customWidth="1"/>
    <col min="7426" max="7680" width="8.88671875" style="2"/>
    <col min="7681" max="7681" width="19.88671875" style="2" customWidth="1"/>
    <col min="7682" max="7936" width="8.88671875" style="2"/>
    <col min="7937" max="7937" width="19.88671875" style="2" customWidth="1"/>
    <col min="7938" max="8192" width="8.88671875" style="2"/>
    <col min="8193" max="8193" width="19.88671875" style="2" customWidth="1"/>
    <col min="8194" max="8448" width="8.88671875" style="2"/>
    <col min="8449" max="8449" width="19.88671875" style="2" customWidth="1"/>
    <col min="8450" max="8704" width="8.88671875" style="2"/>
    <col min="8705" max="8705" width="19.88671875" style="2" customWidth="1"/>
    <col min="8706" max="8960" width="8.88671875" style="2"/>
    <col min="8961" max="8961" width="19.88671875" style="2" customWidth="1"/>
    <col min="8962" max="9216" width="8.88671875" style="2"/>
    <col min="9217" max="9217" width="19.88671875" style="2" customWidth="1"/>
    <col min="9218" max="9472" width="8.88671875" style="2"/>
    <col min="9473" max="9473" width="19.88671875" style="2" customWidth="1"/>
    <col min="9474" max="9728" width="8.88671875" style="2"/>
    <col min="9729" max="9729" width="19.88671875" style="2" customWidth="1"/>
    <col min="9730" max="9984" width="8.88671875" style="2"/>
    <col min="9985" max="9985" width="19.88671875" style="2" customWidth="1"/>
    <col min="9986" max="10240" width="8.88671875" style="2"/>
    <col min="10241" max="10241" width="19.88671875" style="2" customWidth="1"/>
    <col min="10242" max="10496" width="8.88671875" style="2"/>
    <col min="10497" max="10497" width="19.88671875" style="2" customWidth="1"/>
    <col min="10498" max="10752" width="8.88671875" style="2"/>
    <col min="10753" max="10753" width="19.88671875" style="2" customWidth="1"/>
    <col min="10754" max="11008" width="8.88671875" style="2"/>
    <col min="11009" max="11009" width="19.88671875" style="2" customWidth="1"/>
    <col min="11010" max="11264" width="8.88671875" style="2"/>
    <col min="11265" max="11265" width="19.88671875" style="2" customWidth="1"/>
    <col min="11266" max="11520" width="8.88671875" style="2"/>
    <col min="11521" max="11521" width="19.88671875" style="2" customWidth="1"/>
    <col min="11522" max="11776" width="8.88671875" style="2"/>
    <col min="11777" max="11777" width="19.88671875" style="2" customWidth="1"/>
    <col min="11778" max="12032" width="8.88671875" style="2"/>
    <col min="12033" max="12033" width="19.88671875" style="2" customWidth="1"/>
    <col min="12034" max="12288" width="8.88671875" style="2"/>
    <col min="12289" max="12289" width="19.88671875" style="2" customWidth="1"/>
    <col min="12290" max="12544" width="8.88671875" style="2"/>
    <col min="12545" max="12545" width="19.88671875" style="2" customWidth="1"/>
    <col min="12546" max="12800" width="8.88671875" style="2"/>
    <col min="12801" max="12801" width="19.88671875" style="2" customWidth="1"/>
    <col min="12802" max="13056" width="8.88671875" style="2"/>
    <col min="13057" max="13057" width="19.88671875" style="2" customWidth="1"/>
    <col min="13058" max="13312" width="8.88671875" style="2"/>
    <col min="13313" max="13313" width="19.88671875" style="2" customWidth="1"/>
    <col min="13314" max="13568" width="8.88671875" style="2"/>
    <col min="13569" max="13569" width="19.88671875" style="2" customWidth="1"/>
    <col min="13570" max="13824" width="8.88671875" style="2"/>
    <col min="13825" max="13825" width="19.88671875" style="2" customWidth="1"/>
    <col min="13826" max="14080" width="8.88671875" style="2"/>
    <col min="14081" max="14081" width="19.88671875" style="2" customWidth="1"/>
    <col min="14082" max="14336" width="8.88671875" style="2"/>
    <col min="14337" max="14337" width="19.88671875" style="2" customWidth="1"/>
    <col min="14338" max="14592" width="8.88671875" style="2"/>
    <col min="14593" max="14593" width="19.88671875" style="2" customWidth="1"/>
    <col min="14594" max="14848" width="8.88671875" style="2"/>
    <col min="14849" max="14849" width="19.88671875" style="2" customWidth="1"/>
    <col min="14850" max="15104" width="8.88671875" style="2"/>
    <col min="15105" max="15105" width="19.88671875" style="2" customWidth="1"/>
    <col min="15106" max="15360" width="8.88671875" style="2"/>
    <col min="15361" max="15361" width="19.88671875" style="2" customWidth="1"/>
    <col min="15362" max="15616" width="8.88671875" style="2"/>
    <col min="15617" max="15617" width="19.88671875" style="2" customWidth="1"/>
    <col min="15618" max="15872" width="8.88671875" style="2"/>
    <col min="15873" max="15873" width="19.88671875" style="2" customWidth="1"/>
    <col min="15874" max="16128" width="8.88671875" style="2"/>
    <col min="16129" max="16129" width="19.88671875" style="2" customWidth="1"/>
    <col min="16130" max="16384" width="8.88671875" style="2"/>
  </cols>
  <sheetData>
    <row r="1" spans="1:5" ht="17.399999999999999" x14ac:dyDescent="0.3">
      <c r="A1" s="1" t="s">
        <v>0</v>
      </c>
    </row>
    <row r="3" spans="1:5" x14ac:dyDescent="0.25">
      <c r="A3" s="2" t="s">
        <v>1</v>
      </c>
      <c r="B3" s="3">
        <v>0.3</v>
      </c>
      <c r="C3" s="2" t="s">
        <v>2</v>
      </c>
    </row>
    <row r="4" spans="1:5" x14ac:dyDescent="0.25">
      <c r="A4" s="2" t="s">
        <v>3</v>
      </c>
      <c r="B4" s="3">
        <v>0.05</v>
      </c>
    </row>
    <row r="6" spans="1:5" x14ac:dyDescent="0.25">
      <c r="A6" s="4" t="s">
        <v>4</v>
      </c>
    </row>
    <row r="7" spans="1:5" x14ac:dyDescent="0.25">
      <c r="E7" s="5">
        <v>180</v>
      </c>
    </row>
    <row r="8" spans="1:5" x14ac:dyDescent="0.25">
      <c r="C8" s="5">
        <v>130</v>
      </c>
      <c r="E8" s="5"/>
    </row>
    <row r="9" spans="1:5" x14ac:dyDescent="0.25">
      <c r="C9" s="5"/>
      <c r="E9" s="5">
        <v>90</v>
      </c>
    </row>
    <row r="10" spans="1:5" x14ac:dyDescent="0.25">
      <c r="A10" s="2">
        <v>-50</v>
      </c>
      <c r="C10" s="5"/>
      <c r="E10" s="5"/>
    </row>
    <row r="11" spans="1:5" x14ac:dyDescent="0.25">
      <c r="C11" s="5"/>
      <c r="E11" s="5">
        <v>60</v>
      </c>
    </row>
    <row r="12" spans="1:5" x14ac:dyDescent="0.25">
      <c r="C12" s="5">
        <v>-50</v>
      </c>
      <c r="E12" s="5"/>
    </row>
    <row r="13" spans="1:5" x14ac:dyDescent="0.25">
      <c r="E13" s="5">
        <v>-100</v>
      </c>
    </row>
    <row r="16" spans="1:5" x14ac:dyDescent="0.25">
      <c r="A16" s="4" t="s">
        <v>5</v>
      </c>
    </row>
    <row r="17" spans="1:5" x14ac:dyDescent="0.25">
      <c r="A17" s="2" t="s">
        <v>6</v>
      </c>
      <c r="B17" s="2">
        <v>0</v>
      </c>
      <c r="C17" s="2">
        <v>1</v>
      </c>
      <c r="D17" s="2">
        <v>2</v>
      </c>
    </row>
    <row r="18" spans="1:5" x14ac:dyDescent="0.25">
      <c r="A18" s="2" t="s">
        <v>7</v>
      </c>
      <c r="B18" s="2">
        <f>A10</f>
        <v>-50</v>
      </c>
      <c r="C18" s="2">
        <f>AVERAGE(C8:C12)</f>
        <v>40</v>
      </c>
      <c r="D18" s="2">
        <f>AVERAGE(E7:E13)</f>
        <v>57.5</v>
      </c>
    </row>
    <row r="19" spans="1:5" x14ac:dyDescent="0.25">
      <c r="A19" s="2" t="s">
        <v>8</v>
      </c>
      <c r="B19" s="6">
        <f>NPV(B3,C18:D18)+A10</f>
        <v>14.792899408284015</v>
      </c>
    </row>
    <row r="22" spans="1:5" x14ac:dyDescent="0.25">
      <c r="A22" s="4" t="s">
        <v>9</v>
      </c>
    </row>
    <row r="23" spans="1:5" ht="15.6" x14ac:dyDescent="0.35">
      <c r="A23" s="2" t="s">
        <v>10</v>
      </c>
      <c r="B23" s="7">
        <f>1/(1+B4)-B24</f>
        <v>0.41969837468814408</v>
      </c>
    </row>
    <row r="24" spans="1:5" ht="15.6" x14ac:dyDescent="0.35">
      <c r="A24" s="2" t="s">
        <v>11</v>
      </c>
      <c r="B24" s="7">
        <v>0.53268257769280825</v>
      </c>
      <c r="C24" s="2" t="s">
        <v>12</v>
      </c>
    </row>
    <row r="25" spans="1:5" x14ac:dyDescent="0.25">
      <c r="B25" s="7"/>
    </row>
    <row r="27" spans="1:5" x14ac:dyDescent="0.25">
      <c r="A27" s="4" t="s">
        <v>13</v>
      </c>
    </row>
    <row r="28" spans="1:5" x14ac:dyDescent="0.25">
      <c r="E28" s="8">
        <f>E7*B23^2</f>
        <v>31.70641062885656</v>
      </c>
    </row>
    <row r="29" spans="1:5" x14ac:dyDescent="0.25">
      <c r="C29" s="8">
        <f>C8*B23</f>
        <v>54.560788709458734</v>
      </c>
      <c r="E29" s="8"/>
    </row>
    <row r="30" spans="1:5" x14ac:dyDescent="0.25">
      <c r="C30" s="8"/>
      <c r="E30" s="8">
        <f>E9*B23*B24</f>
        <v>20.120941087412639</v>
      </c>
    </row>
    <row r="31" spans="1:5" x14ac:dyDescent="0.25">
      <c r="A31" s="2">
        <v>-50</v>
      </c>
      <c r="C31" s="8"/>
      <c r="E31" s="8"/>
    </row>
    <row r="32" spans="1:5" x14ac:dyDescent="0.25">
      <c r="C32" s="8"/>
      <c r="E32" s="8">
        <f>E11*B23*B24</f>
        <v>13.413960724941759</v>
      </c>
    </row>
    <row r="33" spans="1:5" x14ac:dyDescent="0.25">
      <c r="C33" s="8">
        <f>C12*B24</f>
        <v>-26.634128884640411</v>
      </c>
      <c r="E33" s="8"/>
    </row>
    <row r="34" spans="1:5" x14ac:dyDescent="0.25">
      <c r="E34" s="8">
        <f>E13*B24^2</f>
        <v>-28.375072857745469</v>
      </c>
    </row>
    <row r="36" spans="1:5" x14ac:dyDescent="0.25">
      <c r="A36" s="2" t="s">
        <v>14</v>
      </c>
      <c r="B36" s="9">
        <f>SUM(A28:E34)</f>
        <v>14.792899408283805</v>
      </c>
    </row>
    <row r="38" spans="1:5" x14ac:dyDescent="0.25">
      <c r="A38" s="2" t="s">
        <v>15</v>
      </c>
      <c r="B38" s="6">
        <f>B36-B19</f>
        <v>-2.0961010704922955E-13</v>
      </c>
    </row>
  </sheetData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Exercise 5 (2)</vt:lpstr>
      <vt:lpstr>Exercise 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2024-12-13T07:17:07Z</dcterms:modified>
</cp:coreProperties>
</file>