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24\practice\"/>
    </mc:Choice>
  </mc:AlternateContent>
  <xr:revisionPtr revIDLastSave="0" documentId="13_ncr:1_{D6625761-AB31-4FAA-8C47-C1163F74A724}" xr6:coauthVersionLast="47" xr6:coauthVersionMax="47" xr10:uidLastSave="{00000000-0000-0000-0000-000000000000}"/>
  <bookViews>
    <workbookView xWindow="-38520" yWindow="-120" windowWidth="38640" windowHeight="21120" activeTab="1" xr2:uid="{EA6F33A8-FE0E-48B1-8C74-8B2321C6BA8B}"/>
  </bookViews>
  <sheets>
    <sheet name="Sheet1" sheetId="1" r:id="rId1"/>
    <sheet name="Exercise 1" sheetId="2" r:id="rId2"/>
  </sheets>
  <externalReferences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4" i="2" l="1"/>
  <c r="B13" i="2"/>
  <c r="B6" i="2"/>
  <c r="B23" i="2"/>
  <c r="C10" i="2"/>
  <c r="C9" i="2"/>
  <c r="C6" i="2"/>
  <c r="B18" i="2" l="1"/>
  <c r="B20" i="2" l="1"/>
  <c r="B19" i="2"/>
  <c r="B21" i="2" s="1"/>
  <c r="B22" i="2" l="1"/>
  <c r="B9" i="2" s="1"/>
  <c r="B10" i="2" s="1"/>
</calcChain>
</file>

<file path=xl/sharedStrings.xml><?xml version="1.0" encoding="utf-8"?>
<sst xmlns="http://schemas.openxmlformats.org/spreadsheetml/2006/main" count="30" uniqueCount="30">
  <si>
    <t>MACHINE REPLACEMENT</t>
  </si>
  <si>
    <t>Year</t>
  </si>
  <si>
    <t>CF of single machine</t>
  </si>
  <si>
    <t>&lt;-- This is the risk-adjusted discount rate.</t>
  </si>
  <si>
    <t>NPV of single machine</t>
  </si>
  <si>
    <t>Number of machines bought next year</t>
  </si>
  <si>
    <t>Option value of single machine purchased half a year from now</t>
  </si>
  <si>
    <t>NPV of total project</t>
  </si>
  <si>
    <t>Black-Scholes Option Pricing Formula</t>
  </si>
  <si>
    <t>S</t>
  </si>
  <si>
    <t>PV of machine CFs</t>
  </si>
  <si>
    <t>X</t>
  </si>
  <si>
    <t>Exercise price = Machine cost</t>
  </si>
  <si>
    <t>r</t>
  </si>
  <si>
    <t>Risk-free rate of interest</t>
  </si>
  <si>
    <t>T</t>
  </si>
  <si>
    <t>Time to maturity of option (in years)</t>
  </si>
  <si>
    <t>Sigma</t>
  </si>
  <si>
    <t>&lt;-- Volatility</t>
  </si>
  <si>
    <r>
      <t>d</t>
    </r>
    <r>
      <rPr>
        <vertAlign val="subscript"/>
        <sz val="10"/>
        <rFont val="Arial"/>
        <family val="2"/>
      </rPr>
      <t>1</t>
    </r>
  </si>
  <si>
    <t>&lt;-- (LN(S/X)+(r+0.5*sigma^2)*T)/(sigma*SQRT(T))</t>
  </si>
  <si>
    <r>
      <t>d</t>
    </r>
    <r>
      <rPr>
        <vertAlign val="subscript"/>
        <sz val="10"/>
        <rFont val="Arial"/>
        <family val="2"/>
      </rPr>
      <t>2</t>
    </r>
  </si>
  <si>
    <r>
      <t>&lt;-- d</t>
    </r>
    <r>
      <rPr>
        <vertAlign val="subscript"/>
        <sz val="10"/>
        <rFont val="Arial"/>
        <family val="2"/>
      </rPr>
      <t xml:space="preserve">1 </t>
    </r>
    <r>
      <rPr>
        <sz val="11"/>
        <color theme="1"/>
        <rFont val="等线"/>
        <family val="2"/>
        <charset val="134"/>
        <scheme val="minor"/>
      </rPr>
      <t>- sigma*SQRT(T)</t>
    </r>
  </si>
  <si>
    <r>
      <t>N(d</t>
    </r>
    <r>
      <rPr>
        <vertAlign val="subscript"/>
        <sz val="10"/>
        <rFont val="Arial"/>
        <family val="2"/>
      </rPr>
      <t>1</t>
    </r>
    <r>
      <rPr>
        <sz val="11"/>
        <color theme="1"/>
        <rFont val="等线"/>
        <family val="2"/>
        <charset val="134"/>
        <scheme val="minor"/>
      </rPr>
      <t>)</t>
    </r>
  </si>
  <si>
    <r>
      <t>&lt;--- Uses formula NormSDist(d</t>
    </r>
    <r>
      <rPr>
        <vertAlign val="subscript"/>
        <sz val="10"/>
        <rFont val="Arial"/>
        <family val="2"/>
      </rPr>
      <t>1</t>
    </r>
    <r>
      <rPr>
        <sz val="11"/>
        <color theme="1"/>
        <rFont val="等线"/>
        <family val="2"/>
        <charset val="134"/>
        <scheme val="minor"/>
      </rPr>
      <t>)</t>
    </r>
  </si>
  <si>
    <r>
      <t>N(d</t>
    </r>
    <r>
      <rPr>
        <vertAlign val="subscript"/>
        <sz val="10"/>
        <rFont val="Arial"/>
        <family val="2"/>
      </rPr>
      <t>2</t>
    </r>
    <r>
      <rPr>
        <sz val="11"/>
        <color theme="1"/>
        <rFont val="等线"/>
        <family val="2"/>
        <charset val="134"/>
        <scheme val="minor"/>
      </rPr>
      <t>)</t>
    </r>
  </si>
  <si>
    <r>
      <t>&lt;--- Uses formula NormSDist(d</t>
    </r>
    <r>
      <rPr>
        <vertAlign val="subscript"/>
        <sz val="10"/>
        <rFont val="Arial"/>
        <family val="2"/>
      </rPr>
      <t>2</t>
    </r>
    <r>
      <rPr>
        <sz val="11"/>
        <color theme="1"/>
        <rFont val="等线"/>
        <family val="2"/>
        <charset val="134"/>
        <scheme val="minor"/>
      </rPr>
      <t>)</t>
    </r>
  </si>
  <si>
    <t>Option value = BS call price</t>
  </si>
  <si>
    <r>
      <t>&lt;-- S*N(d</t>
    </r>
    <r>
      <rPr>
        <vertAlign val="subscript"/>
        <sz val="10"/>
        <rFont val="Arial"/>
        <family val="2"/>
      </rPr>
      <t>1</t>
    </r>
    <r>
      <rPr>
        <sz val="11"/>
        <color theme="1"/>
        <rFont val="等线"/>
        <family val="2"/>
        <charset val="134"/>
        <scheme val="minor"/>
      </rPr>
      <t>)-X*exp(-r*T)*N(d</t>
    </r>
    <r>
      <rPr>
        <vertAlign val="subscript"/>
        <sz val="10"/>
        <rFont val="Arial"/>
        <family val="2"/>
      </rPr>
      <t>2</t>
    </r>
    <r>
      <rPr>
        <sz val="11"/>
        <color theme="1"/>
        <rFont val="等线"/>
        <family val="2"/>
        <charset val="134"/>
        <scheme val="minor"/>
      </rPr>
      <t>)</t>
    </r>
  </si>
  <si>
    <t>Discount rate for machine cash flows(DCF)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</si>
</sst>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7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vertAlign val="subscript"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2" fillId="0" borderId="0"/>
    <xf numFmtId="9" fontId="2" fillId="0" borderId="0" applyFont="0" applyFill="0" applyBorder="0" applyAlignment="0" applyProtection="0"/>
  </cellStyleXfs>
  <cellXfs count="19">
    <xf numFmtId="0" fontId="0" fillId="0" borderId="0" xfId="0">
      <alignment vertical="center"/>
    </xf>
    <xf numFmtId="0" fontId="3" fillId="0" borderId="0" xfId="1" applyFont="1" applyAlignment="1">
      <alignment horizontal="center"/>
    </xf>
    <xf numFmtId="0" fontId="2" fillId="0" borderId="0" xfId="1"/>
    <xf numFmtId="0" fontId="2" fillId="0" borderId="0" xfId="1" applyAlignment="1">
      <alignment horizontal="center"/>
    </xf>
    <xf numFmtId="9" fontId="2" fillId="0" borderId="0" xfId="1" applyNumberFormat="1"/>
    <xf numFmtId="0" fontId="2" fillId="0" borderId="0" xfId="1" applyAlignment="1">
      <alignment vertical="center" wrapText="1"/>
    </xf>
    <xf numFmtId="2" fontId="2" fillId="0" borderId="0" xfId="1" applyNumberFormat="1"/>
    <xf numFmtId="9" fontId="4" fillId="0" borderId="0" xfId="2" applyFont="1" applyAlignment="1">
      <alignment horizontal="left"/>
    </xf>
    <xf numFmtId="9" fontId="5" fillId="0" borderId="0" xfId="2" applyFont="1" applyAlignment="1">
      <alignment horizontal="centerContinuous"/>
    </xf>
    <xf numFmtId="9" fontId="0" fillId="0" borderId="0" xfId="2" applyFont="1"/>
    <xf numFmtId="2" fontId="0" fillId="0" borderId="0" xfId="2" applyNumberFormat="1" applyFont="1"/>
    <xf numFmtId="9" fontId="0" fillId="0" borderId="0" xfId="2" quotePrefix="1" applyFont="1"/>
    <xf numFmtId="10" fontId="0" fillId="0" borderId="0" xfId="2" applyNumberFormat="1" applyFont="1"/>
    <xf numFmtId="0" fontId="0" fillId="0" borderId="0" xfId="2" applyNumberFormat="1" applyFont="1"/>
    <xf numFmtId="176" fontId="0" fillId="0" borderId="0" xfId="2" quotePrefix="1" applyNumberFormat="1" applyFont="1"/>
    <xf numFmtId="176" fontId="0" fillId="0" borderId="0" xfId="2" applyNumberFormat="1" applyFont="1"/>
    <xf numFmtId="0" fontId="2" fillId="2" borderId="0" xfId="1" applyFill="1"/>
    <xf numFmtId="2" fontId="2" fillId="2" borderId="0" xfId="1" applyNumberFormat="1" applyFill="1"/>
    <xf numFmtId="4" fontId="2" fillId="2" borderId="0" xfId="1" applyNumberFormat="1" applyFill="1"/>
  </cellXfs>
  <cellStyles count="3">
    <cellStyle name="百分比 2" xfId="2" xr:uid="{D74CE656-0130-41C0-8D54-CEEE2ABB6307}"/>
    <cellStyle name="常规" xfId="0" builtinId="0"/>
    <cellStyle name="常规 2" xfId="1" xr:uid="{251E9E52-8CEE-4EF1-AFE0-21B2E2F58A3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21981</xdr:colOff>
      <xdr:row>1</xdr:row>
      <xdr:rowOff>73269</xdr:rowOff>
    </xdr:from>
    <xdr:to>
      <xdr:col>26</xdr:col>
      <xdr:colOff>168015</xdr:colOff>
      <xdr:row>37</xdr:row>
      <xdr:rowOff>96856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B3901763-1236-B52B-A36C-E6200786B5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920404" y="293077"/>
          <a:ext cx="11088647" cy="6254988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BSCall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"/>
  <sheetViews>
    <sheetView workbookViewId="0">
      <selection activeCell="Y33" sqref="Y33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1C1A7-4C5D-45EC-A1FD-07947183E926}">
  <sheetPr codeName="Sheet2"/>
  <dimension ref="A1:G23"/>
  <sheetViews>
    <sheetView tabSelected="1" zoomScale="160" zoomScaleNormal="160" workbookViewId="0">
      <selection activeCell="F24" sqref="F24"/>
    </sheetView>
  </sheetViews>
  <sheetFormatPr defaultRowHeight="13.2" x14ac:dyDescent="0.25"/>
  <cols>
    <col min="1" max="1" width="53.109375" style="2" customWidth="1"/>
    <col min="2" max="256" width="8.88671875" style="2"/>
    <col min="257" max="257" width="53.109375" style="2" customWidth="1"/>
    <col min="258" max="512" width="8.88671875" style="2"/>
    <col min="513" max="513" width="53.109375" style="2" customWidth="1"/>
    <col min="514" max="768" width="8.88671875" style="2"/>
    <col min="769" max="769" width="53.109375" style="2" customWidth="1"/>
    <col min="770" max="1024" width="8.88671875" style="2"/>
    <col min="1025" max="1025" width="53.109375" style="2" customWidth="1"/>
    <col min="1026" max="1280" width="8.88671875" style="2"/>
    <col min="1281" max="1281" width="53.109375" style="2" customWidth="1"/>
    <col min="1282" max="1536" width="8.88671875" style="2"/>
    <col min="1537" max="1537" width="53.109375" style="2" customWidth="1"/>
    <col min="1538" max="1792" width="8.88671875" style="2"/>
    <col min="1793" max="1793" width="53.109375" style="2" customWidth="1"/>
    <col min="1794" max="2048" width="8.88671875" style="2"/>
    <col min="2049" max="2049" width="53.109375" style="2" customWidth="1"/>
    <col min="2050" max="2304" width="8.88671875" style="2"/>
    <col min="2305" max="2305" width="53.109375" style="2" customWidth="1"/>
    <col min="2306" max="2560" width="8.88671875" style="2"/>
    <col min="2561" max="2561" width="53.109375" style="2" customWidth="1"/>
    <col min="2562" max="2816" width="8.88671875" style="2"/>
    <col min="2817" max="2817" width="53.109375" style="2" customWidth="1"/>
    <col min="2818" max="3072" width="8.88671875" style="2"/>
    <col min="3073" max="3073" width="53.109375" style="2" customWidth="1"/>
    <col min="3074" max="3328" width="8.88671875" style="2"/>
    <col min="3329" max="3329" width="53.109375" style="2" customWidth="1"/>
    <col min="3330" max="3584" width="8.88671875" style="2"/>
    <col min="3585" max="3585" width="53.109375" style="2" customWidth="1"/>
    <col min="3586" max="3840" width="8.88671875" style="2"/>
    <col min="3841" max="3841" width="53.109375" style="2" customWidth="1"/>
    <col min="3842" max="4096" width="8.88671875" style="2"/>
    <col min="4097" max="4097" width="53.109375" style="2" customWidth="1"/>
    <col min="4098" max="4352" width="8.88671875" style="2"/>
    <col min="4353" max="4353" width="53.109375" style="2" customWidth="1"/>
    <col min="4354" max="4608" width="8.88671875" style="2"/>
    <col min="4609" max="4609" width="53.109375" style="2" customWidth="1"/>
    <col min="4610" max="4864" width="8.88671875" style="2"/>
    <col min="4865" max="4865" width="53.109375" style="2" customWidth="1"/>
    <col min="4866" max="5120" width="8.88671875" style="2"/>
    <col min="5121" max="5121" width="53.109375" style="2" customWidth="1"/>
    <col min="5122" max="5376" width="8.88671875" style="2"/>
    <col min="5377" max="5377" width="53.109375" style="2" customWidth="1"/>
    <col min="5378" max="5632" width="8.88671875" style="2"/>
    <col min="5633" max="5633" width="53.109375" style="2" customWidth="1"/>
    <col min="5634" max="5888" width="8.88671875" style="2"/>
    <col min="5889" max="5889" width="53.109375" style="2" customWidth="1"/>
    <col min="5890" max="6144" width="8.88671875" style="2"/>
    <col min="6145" max="6145" width="53.109375" style="2" customWidth="1"/>
    <col min="6146" max="6400" width="8.88671875" style="2"/>
    <col min="6401" max="6401" width="53.109375" style="2" customWidth="1"/>
    <col min="6402" max="6656" width="8.88671875" style="2"/>
    <col min="6657" max="6657" width="53.109375" style="2" customWidth="1"/>
    <col min="6658" max="6912" width="8.88671875" style="2"/>
    <col min="6913" max="6913" width="53.109375" style="2" customWidth="1"/>
    <col min="6914" max="7168" width="8.88671875" style="2"/>
    <col min="7169" max="7169" width="53.109375" style="2" customWidth="1"/>
    <col min="7170" max="7424" width="8.88671875" style="2"/>
    <col min="7425" max="7425" width="53.109375" style="2" customWidth="1"/>
    <col min="7426" max="7680" width="8.88671875" style="2"/>
    <col min="7681" max="7681" width="53.109375" style="2" customWidth="1"/>
    <col min="7682" max="7936" width="8.88671875" style="2"/>
    <col min="7937" max="7937" width="53.109375" style="2" customWidth="1"/>
    <col min="7938" max="8192" width="8.88671875" style="2"/>
    <col min="8193" max="8193" width="53.109375" style="2" customWidth="1"/>
    <col min="8194" max="8448" width="8.88671875" style="2"/>
    <col min="8449" max="8449" width="53.109375" style="2" customWidth="1"/>
    <col min="8450" max="8704" width="8.88671875" style="2"/>
    <col min="8705" max="8705" width="53.109375" style="2" customWidth="1"/>
    <col min="8706" max="8960" width="8.88671875" style="2"/>
    <col min="8961" max="8961" width="53.109375" style="2" customWidth="1"/>
    <col min="8962" max="9216" width="8.88671875" style="2"/>
    <col min="9217" max="9217" width="53.109375" style="2" customWidth="1"/>
    <col min="9218" max="9472" width="8.88671875" style="2"/>
    <col min="9473" max="9473" width="53.109375" style="2" customWidth="1"/>
    <col min="9474" max="9728" width="8.88671875" style="2"/>
    <col min="9729" max="9729" width="53.109375" style="2" customWidth="1"/>
    <col min="9730" max="9984" width="8.88671875" style="2"/>
    <col min="9985" max="9985" width="53.109375" style="2" customWidth="1"/>
    <col min="9986" max="10240" width="8.88671875" style="2"/>
    <col min="10241" max="10241" width="53.109375" style="2" customWidth="1"/>
    <col min="10242" max="10496" width="8.88671875" style="2"/>
    <col min="10497" max="10497" width="53.109375" style="2" customWidth="1"/>
    <col min="10498" max="10752" width="8.88671875" style="2"/>
    <col min="10753" max="10753" width="53.109375" style="2" customWidth="1"/>
    <col min="10754" max="11008" width="8.88671875" style="2"/>
    <col min="11009" max="11009" width="53.109375" style="2" customWidth="1"/>
    <col min="11010" max="11264" width="8.88671875" style="2"/>
    <col min="11265" max="11265" width="53.109375" style="2" customWidth="1"/>
    <col min="11266" max="11520" width="8.88671875" style="2"/>
    <col min="11521" max="11521" width="53.109375" style="2" customWidth="1"/>
    <col min="11522" max="11776" width="8.88671875" style="2"/>
    <col min="11777" max="11777" width="53.109375" style="2" customWidth="1"/>
    <col min="11778" max="12032" width="8.88671875" style="2"/>
    <col min="12033" max="12033" width="53.109375" style="2" customWidth="1"/>
    <col min="12034" max="12288" width="8.88671875" style="2"/>
    <col min="12289" max="12289" width="53.109375" style="2" customWidth="1"/>
    <col min="12290" max="12544" width="8.88671875" style="2"/>
    <col min="12545" max="12545" width="53.109375" style="2" customWidth="1"/>
    <col min="12546" max="12800" width="8.88671875" style="2"/>
    <col min="12801" max="12801" width="53.109375" style="2" customWidth="1"/>
    <col min="12802" max="13056" width="8.88671875" style="2"/>
    <col min="13057" max="13057" width="53.109375" style="2" customWidth="1"/>
    <col min="13058" max="13312" width="8.88671875" style="2"/>
    <col min="13313" max="13313" width="53.109375" style="2" customWidth="1"/>
    <col min="13314" max="13568" width="8.88671875" style="2"/>
    <col min="13569" max="13569" width="53.109375" style="2" customWidth="1"/>
    <col min="13570" max="13824" width="8.88671875" style="2"/>
    <col min="13825" max="13825" width="53.109375" style="2" customWidth="1"/>
    <col min="13826" max="14080" width="8.88671875" style="2"/>
    <col min="14081" max="14081" width="53.109375" style="2" customWidth="1"/>
    <col min="14082" max="14336" width="8.88671875" style="2"/>
    <col min="14337" max="14337" width="53.109375" style="2" customWidth="1"/>
    <col min="14338" max="14592" width="8.88671875" style="2"/>
    <col min="14593" max="14593" width="53.109375" style="2" customWidth="1"/>
    <col min="14594" max="14848" width="8.88671875" style="2"/>
    <col min="14849" max="14849" width="53.109375" style="2" customWidth="1"/>
    <col min="14850" max="15104" width="8.88671875" style="2"/>
    <col min="15105" max="15105" width="53.109375" style="2" customWidth="1"/>
    <col min="15106" max="15360" width="8.88671875" style="2"/>
    <col min="15361" max="15361" width="53.109375" style="2" customWidth="1"/>
    <col min="15362" max="15616" width="8.88671875" style="2"/>
    <col min="15617" max="15617" width="53.109375" style="2" customWidth="1"/>
    <col min="15618" max="15872" width="8.88671875" style="2"/>
    <col min="15873" max="15873" width="53.109375" style="2" customWidth="1"/>
    <col min="15874" max="16128" width="8.88671875" style="2"/>
    <col min="16129" max="16129" width="53.109375" style="2" customWidth="1"/>
    <col min="16130" max="16384" width="8.88671875" style="2"/>
  </cols>
  <sheetData>
    <row r="1" spans="1:7" ht="17.399999999999999" x14ac:dyDescent="0.3">
      <c r="A1" s="1" t="s">
        <v>0</v>
      </c>
      <c r="B1" s="1"/>
      <c r="C1" s="1"/>
      <c r="D1" s="1"/>
      <c r="E1" s="1"/>
      <c r="F1" s="1"/>
    </row>
    <row r="2" spans="1:7" x14ac:dyDescent="0.25">
      <c r="A2" s="2" t="s">
        <v>1</v>
      </c>
      <c r="B2" s="3">
        <v>0</v>
      </c>
      <c r="C2" s="3">
        <v>1</v>
      </c>
      <c r="D2" s="3">
        <v>2</v>
      </c>
      <c r="E2" s="3">
        <v>3</v>
      </c>
      <c r="F2" s="3">
        <v>4</v>
      </c>
    </row>
    <row r="3" spans="1:7" x14ac:dyDescent="0.25">
      <c r="A3" s="2" t="s">
        <v>2</v>
      </c>
      <c r="B3" s="2">
        <v>-550</v>
      </c>
      <c r="C3" s="2">
        <v>100</v>
      </c>
      <c r="D3" s="2">
        <v>200</v>
      </c>
      <c r="E3" s="2">
        <v>300</v>
      </c>
      <c r="F3" s="2">
        <v>400</v>
      </c>
    </row>
    <row r="5" spans="1:7" x14ac:dyDescent="0.25">
      <c r="A5" s="2" t="s">
        <v>29</v>
      </c>
      <c r="B5" s="4">
        <v>0.25</v>
      </c>
      <c r="C5" s="2" t="s">
        <v>3</v>
      </c>
    </row>
    <row r="6" spans="1:7" x14ac:dyDescent="0.25">
      <c r="A6" s="16" t="s">
        <v>4</v>
      </c>
      <c r="B6" s="18">
        <f>NPV(B5,C3:G3)+B3</f>
        <v>-24.560000000000059</v>
      </c>
      <c r="C6" s="5" t="str">
        <f ca="1">_xlfn.FORMULATEXT(B6)&amp;CHAR(10)&amp;"Therefore you would not recommend buying just one machine (part a of question)."</f>
        <v>=NPV(B5,C3:G3)+B3
Therefore you would not recommend buying just one machine (part a of question).</v>
      </c>
      <c r="D6" s="5"/>
      <c r="E6" s="5"/>
      <c r="F6" s="5"/>
      <c r="G6" s="5"/>
    </row>
    <row r="7" spans="1:7" x14ac:dyDescent="0.25">
      <c r="C7" s="5"/>
      <c r="D7" s="5"/>
      <c r="E7" s="5"/>
      <c r="F7" s="5"/>
      <c r="G7" s="5"/>
    </row>
    <row r="8" spans="1:7" x14ac:dyDescent="0.25">
      <c r="A8" s="2" t="s">
        <v>5</v>
      </c>
      <c r="B8" s="2">
        <v>9</v>
      </c>
    </row>
    <row r="9" spans="1:7" x14ac:dyDescent="0.25">
      <c r="A9" s="2" t="s">
        <v>6</v>
      </c>
      <c r="B9" s="6">
        <f>B22</f>
        <v>45.429366017060232</v>
      </c>
      <c r="C9" s="2" t="str">
        <f ca="1">_xlfn.FORMULATEXT(B9)</f>
        <v>=B22</v>
      </c>
    </row>
    <row r="10" spans="1:7" x14ac:dyDescent="0.25">
      <c r="A10" s="16" t="s">
        <v>7</v>
      </c>
      <c r="B10" s="17">
        <f>B6+B8*B9</f>
        <v>384.30429415354206</v>
      </c>
      <c r="C10" s="2" t="str">
        <f ca="1">_xlfn.FORMULATEXT(B10)</f>
        <v>=B6+B8*B9</v>
      </c>
    </row>
    <row r="12" spans="1:7" ht="15" x14ac:dyDescent="0.25">
      <c r="A12" s="7" t="s">
        <v>8</v>
      </c>
      <c r="B12" s="8"/>
      <c r="C12" s="8"/>
      <c r="D12" s="8"/>
      <c r="E12" s="8"/>
      <c r="F12" s="8"/>
    </row>
    <row r="13" spans="1:7" ht="13.8" x14ac:dyDescent="0.25">
      <c r="A13" s="9" t="s">
        <v>9</v>
      </c>
      <c r="B13" s="10">
        <f>NPV(B5,C3:G3)</f>
        <v>525.43999999999994</v>
      </c>
      <c r="C13" s="9" t="s">
        <v>10</v>
      </c>
      <c r="D13" s="9"/>
      <c r="E13" s="9"/>
      <c r="F13" s="9"/>
    </row>
    <row r="14" spans="1:7" ht="13.8" x14ac:dyDescent="0.25">
      <c r="A14" s="9" t="s">
        <v>11</v>
      </c>
      <c r="B14" s="10">
        <f>-B3</f>
        <v>550</v>
      </c>
      <c r="C14" s="9" t="s">
        <v>12</v>
      </c>
      <c r="D14" s="11"/>
      <c r="E14" s="9"/>
      <c r="F14" s="9"/>
    </row>
    <row r="15" spans="1:7" ht="13.8" x14ac:dyDescent="0.25">
      <c r="A15" s="9" t="s">
        <v>13</v>
      </c>
      <c r="B15" s="12">
        <v>0.1</v>
      </c>
      <c r="C15" s="9" t="s">
        <v>14</v>
      </c>
      <c r="D15" s="9"/>
      <c r="E15" s="9"/>
      <c r="F15" s="9"/>
    </row>
    <row r="16" spans="1:7" ht="13.8" x14ac:dyDescent="0.25">
      <c r="A16" s="9" t="s">
        <v>15</v>
      </c>
      <c r="B16" s="13">
        <v>0.5</v>
      </c>
      <c r="C16" s="9" t="s">
        <v>16</v>
      </c>
      <c r="D16" s="9"/>
      <c r="E16" s="9"/>
      <c r="F16" s="9"/>
    </row>
    <row r="17" spans="1:6" ht="13.8" x14ac:dyDescent="0.25">
      <c r="A17" s="9" t="s">
        <v>17</v>
      </c>
      <c r="B17" s="9">
        <v>0.3</v>
      </c>
      <c r="C17" s="9" t="s">
        <v>18</v>
      </c>
      <c r="D17" s="9"/>
      <c r="E17" s="9"/>
      <c r="F17" s="9"/>
    </row>
    <row r="18" spans="1:6" ht="15.6" x14ac:dyDescent="0.35">
      <c r="A18" s="9" t="s">
        <v>19</v>
      </c>
      <c r="B18" s="14">
        <f>(LN(B13/B14)+(B15+0.5*B17^2)*B16)/(B17*SQRT(B16))</f>
        <v>0.1264199849820464</v>
      </c>
      <c r="C18" s="9" t="s">
        <v>20</v>
      </c>
      <c r="D18" s="9"/>
      <c r="E18" s="9"/>
      <c r="F18" s="9"/>
    </row>
    <row r="19" spans="1:6" ht="15.6" x14ac:dyDescent="0.35">
      <c r="A19" s="9" t="s">
        <v>21</v>
      </c>
      <c r="B19" s="14">
        <f>B18-SQRT(B16)*B17</f>
        <v>-8.5712049373917854E-2</v>
      </c>
      <c r="C19" s="9" t="s">
        <v>22</v>
      </c>
      <c r="D19" s="9"/>
      <c r="E19" s="9"/>
      <c r="F19" s="9"/>
    </row>
    <row r="20" spans="1:6" ht="15.6" x14ac:dyDescent="0.35">
      <c r="A20" s="9" t="s">
        <v>23</v>
      </c>
      <c r="B20" s="15">
        <f>NORMSDIST(B18)</f>
        <v>0.55030025833059604</v>
      </c>
      <c r="C20" s="9" t="s">
        <v>24</v>
      </c>
      <c r="D20" s="9"/>
      <c r="E20" s="9"/>
      <c r="F20" s="9"/>
    </row>
    <row r="21" spans="1:6" ht="15.6" x14ac:dyDescent="0.35">
      <c r="A21" s="9" t="s">
        <v>25</v>
      </c>
      <c r="B21" s="15">
        <f>NORMSDIST(B19)</f>
        <v>0.46584766168284752</v>
      </c>
      <c r="C21" s="9" t="s">
        <v>26</v>
      </c>
      <c r="D21" s="9"/>
      <c r="E21" s="9"/>
      <c r="F21" s="9"/>
    </row>
    <row r="22" spans="1:6" ht="15.6" x14ac:dyDescent="0.35">
      <c r="A22" s="9" t="s">
        <v>27</v>
      </c>
      <c r="B22" s="10">
        <f>B13*B20-B14*EXP(-B15*B16)*B21</f>
        <v>45.429366017060232</v>
      </c>
      <c r="C22" s="9" t="s">
        <v>28</v>
      </c>
      <c r="D22" s="9"/>
      <c r="E22" s="9"/>
      <c r="F22" s="9"/>
    </row>
    <row r="23" spans="1:6" x14ac:dyDescent="0.25">
      <c r="B23" s="2">
        <f>[1]!BSCall(B13,B14,B16,B15,B17)</f>
        <v>45.429366017060232</v>
      </c>
    </row>
  </sheetData>
  <mergeCells count="2">
    <mergeCell ref="A1:F1"/>
    <mergeCell ref="C6:G7"/>
  </mergeCells>
  <phoneticPr fontId="1" type="noConversion"/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Exercise 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2024-12-13T07:20:16Z</dcterms:modified>
</cp:coreProperties>
</file>