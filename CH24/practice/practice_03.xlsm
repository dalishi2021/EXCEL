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4\practice\"/>
    </mc:Choice>
  </mc:AlternateContent>
  <xr:revisionPtr revIDLastSave="0" documentId="13_ncr:1_{243D5491-362F-4BBD-9568-91A918485B7A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3" sheetId="2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1" i="2" l="1"/>
  <c r="C58" i="2"/>
  <c r="E57" i="2" s="1"/>
  <c r="E69" i="2" s="1"/>
  <c r="C70" i="2" s="1"/>
  <c r="C54" i="2"/>
  <c r="E55" i="2" s="1"/>
  <c r="E67" i="2" s="1"/>
  <c r="E43" i="2"/>
  <c r="C38" i="2"/>
  <c r="C33" i="2"/>
  <c r="E32" i="2" s="1"/>
  <c r="E41" i="2" s="1"/>
  <c r="C29" i="2"/>
  <c r="E30" i="2" s="1"/>
  <c r="E39" i="2" s="1"/>
  <c r="E18" i="2"/>
  <c r="C8" i="2"/>
  <c r="C17" i="2" s="1"/>
  <c r="C4" i="2"/>
  <c r="E5" i="2" s="1"/>
  <c r="E14" i="2" s="1"/>
  <c r="E3" i="2"/>
  <c r="E12" i="2" s="1"/>
  <c r="C64" i="2"/>
  <c r="F65" i="2"/>
  <c r="C73" i="2"/>
  <c r="C45" i="2"/>
  <c r="E7" i="2" l="1"/>
  <c r="E16" i="2" s="1"/>
  <c r="C42" i="2"/>
  <c r="C13" i="2"/>
  <c r="B20" i="2" s="1"/>
  <c r="E53" i="2"/>
  <c r="E65" i="2" s="1"/>
  <c r="E28" i="2"/>
  <c r="E37" i="2" s="1"/>
  <c r="B45" i="2" s="1"/>
  <c r="C66" i="2" l="1"/>
  <c r="B73" i="2" s="1"/>
</calcChain>
</file>

<file path=xl/sharedStrings.xml><?xml version="1.0" encoding="utf-8"?>
<sst xmlns="http://schemas.openxmlformats.org/spreadsheetml/2006/main" count="22" uniqueCount="13">
  <si>
    <t>Project cash flows</t>
  </si>
  <si>
    <t>State prices</t>
  </si>
  <si>
    <r>
      <t>q</t>
    </r>
    <r>
      <rPr>
        <vertAlign val="subscript"/>
        <sz val="10"/>
        <rFont val="Arial"/>
        <family val="2"/>
      </rPr>
      <t>U</t>
    </r>
  </si>
  <si>
    <r>
      <t>q</t>
    </r>
    <r>
      <rPr>
        <vertAlign val="subscript"/>
        <sz val="10"/>
        <rFont val="Arial"/>
        <family val="2"/>
      </rPr>
      <t>D</t>
    </r>
  </si>
  <si>
    <t>Project valuation</t>
  </si>
  <si>
    <t>NPV</t>
  </si>
  <si>
    <t>Answer to part a</t>
  </si>
  <si>
    <t>Answer to part b</t>
  </si>
  <si>
    <t>state prices</t>
  </si>
  <si>
    <t>Answer to part c</t>
  </si>
  <si>
    <t>Initial project cash flows</t>
  </si>
  <si>
    <t>Cash flows accounting for abandonment at 100</t>
  </si>
  <si>
    <t>Salvage value, any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</si>
</sst>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/>
    <xf numFmtId="0" fontId="2" fillId="0" borderId="0" xfId="1"/>
    <xf numFmtId="0" fontId="2" fillId="0" borderId="0" xfId="1" applyAlignment="1">
      <alignment horizontal="center"/>
    </xf>
    <xf numFmtId="176" fontId="2" fillId="0" borderId="0" xfId="1" quotePrefix="1" applyNumberFormat="1"/>
  </cellXfs>
  <cellStyles count="2">
    <cellStyle name="常规" xfId="0" builtinId="0"/>
    <cellStyle name="常规 2" xfId="1" xr:uid="{F5BFA52B-CB9C-4550-91EB-C4965308281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53340</xdr:rowOff>
    </xdr:from>
    <xdr:to>
      <xdr:col>2</xdr:col>
      <xdr:colOff>0</xdr:colOff>
      <xdr:row>5</xdr:row>
      <xdr:rowOff>60960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599D1B71-80FB-4F23-8247-48E0527E780F}"/>
            </a:ext>
          </a:extLst>
        </xdr:cNvPr>
        <xdr:cNvSpPr>
          <a:spLocks noChangeShapeType="1"/>
        </xdr:cNvSpPr>
      </xdr:nvSpPr>
      <xdr:spPr bwMode="auto">
        <a:xfrm flipV="1">
          <a:off x="1600200" y="571500"/>
          <a:ext cx="609600" cy="400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60960</xdr:rowOff>
    </xdr:from>
    <xdr:to>
      <xdr:col>1</xdr:col>
      <xdr:colOff>480060</xdr:colOff>
      <xdr:row>7</xdr:row>
      <xdr:rowOff>53340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500201BB-2247-451B-8F5B-CAB6F4C4531E}"/>
            </a:ext>
          </a:extLst>
        </xdr:cNvPr>
        <xdr:cNvSpPr>
          <a:spLocks noChangeShapeType="1"/>
        </xdr:cNvSpPr>
      </xdr:nvSpPr>
      <xdr:spPr bwMode="auto">
        <a:xfrm>
          <a:off x="1600200" y="971550"/>
          <a:ext cx="47625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</xdr:row>
      <xdr:rowOff>76200</xdr:rowOff>
    </xdr:from>
    <xdr:to>
      <xdr:col>4</xdr:col>
      <xdr:colOff>7620</xdr:colOff>
      <xdr:row>4</xdr:row>
      <xdr:rowOff>91440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363212F5-ADE6-48AA-805C-AE0FAB6D3702}"/>
            </a:ext>
          </a:extLst>
        </xdr:cNvPr>
        <xdr:cNvSpPr>
          <a:spLocks noChangeShapeType="1"/>
        </xdr:cNvSpPr>
      </xdr:nvSpPr>
      <xdr:spPr bwMode="auto">
        <a:xfrm>
          <a:off x="2819400" y="590550"/>
          <a:ext cx="619125" cy="219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2</xdr:row>
      <xdr:rowOff>60960</xdr:rowOff>
    </xdr:from>
    <xdr:to>
      <xdr:col>4</xdr:col>
      <xdr:colOff>15240</xdr:colOff>
      <xdr:row>3</xdr:row>
      <xdr:rowOff>68580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AD01345A-EF64-4740-96EC-68CB27AB6893}"/>
            </a:ext>
          </a:extLst>
        </xdr:cNvPr>
        <xdr:cNvSpPr>
          <a:spLocks noChangeShapeType="1"/>
        </xdr:cNvSpPr>
      </xdr:nvSpPr>
      <xdr:spPr bwMode="auto">
        <a:xfrm flipV="1">
          <a:off x="2828925" y="4000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7</xdr:row>
      <xdr:rowOff>76200</xdr:rowOff>
    </xdr:from>
    <xdr:to>
      <xdr:col>4</xdr:col>
      <xdr:colOff>7620</xdr:colOff>
      <xdr:row>8</xdr:row>
      <xdr:rowOff>91440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E0604F44-8912-471E-839D-8D3DB37ECDC7}"/>
            </a:ext>
          </a:extLst>
        </xdr:cNvPr>
        <xdr:cNvSpPr>
          <a:spLocks noChangeShapeType="1"/>
        </xdr:cNvSpPr>
      </xdr:nvSpPr>
      <xdr:spPr bwMode="auto">
        <a:xfrm>
          <a:off x="2819400" y="1333500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6</xdr:row>
      <xdr:rowOff>60960</xdr:rowOff>
    </xdr:from>
    <xdr:to>
      <xdr:col>4</xdr:col>
      <xdr:colOff>15240</xdr:colOff>
      <xdr:row>7</xdr:row>
      <xdr:rowOff>68580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0BD2D2D2-769F-46AB-AA54-D16980F06317}"/>
            </a:ext>
          </a:extLst>
        </xdr:cNvPr>
        <xdr:cNvSpPr>
          <a:spLocks noChangeShapeType="1"/>
        </xdr:cNvSpPr>
      </xdr:nvSpPr>
      <xdr:spPr bwMode="auto">
        <a:xfrm flipV="1">
          <a:off x="2828925" y="114300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12</xdr:row>
      <xdr:rowOff>53340</xdr:rowOff>
    </xdr:from>
    <xdr:to>
      <xdr:col>2</xdr:col>
      <xdr:colOff>0</xdr:colOff>
      <xdr:row>14</xdr:row>
      <xdr:rowOff>60960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401FC14D-ACBF-4F85-A014-08CFE33902D6}"/>
            </a:ext>
          </a:extLst>
        </xdr:cNvPr>
        <xdr:cNvSpPr>
          <a:spLocks noChangeShapeType="1"/>
        </xdr:cNvSpPr>
      </xdr:nvSpPr>
      <xdr:spPr bwMode="auto">
        <a:xfrm flipV="1">
          <a:off x="1600200" y="2171700"/>
          <a:ext cx="6096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14</xdr:row>
      <xdr:rowOff>60960</xdr:rowOff>
    </xdr:from>
    <xdr:to>
      <xdr:col>1</xdr:col>
      <xdr:colOff>480060</xdr:colOff>
      <xdr:row>16</xdr:row>
      <xdr:rowOff>53340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533E610A-D41E-4D39-B534-7E1E84ED8523}"/>
            </a:ext>
          </a:extLst>
        </xdr:cNvPr>
        <xdr:cNvSpPr>
          <a:spLocks noChangeShapeType="1"/>
        </xdr:cNvSpPr>
      </xdr:nvSpPr>
      <xdr:spPr bwMode="auto">
        <a:xfrm>
          <a:off x="1600200" y="2514600"/>
          <a:ext cx="47625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12</xdr:row>
      <xdr:rowOff>76200</xdr:rowOff>
    </xdr:from>
    <xdr:to>
      <xdr:col>4</xdr:col>
      <xdr:colOff>7620</xdr:colOff>
      <xdr:row>13</xdr:row>
      <xdr:rowOff>91440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94D9D1B4-139C-4325-A9A1-4F2C1BCB08BF}"/>
            </a:ext>
          </a:extLst>
        </xdr:cNvPr>
        <xdr:cNvSpPr>
          <a:spLocks noChangeShapeType="1"/>
        </xdr:cNvSpPr>
      </xdr:nvSpPr>
      <xdr:spPr bwMode="auto">
        <a:xfrm>
          <a:off x="2819400" y="2190750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11</xdr:row>
      <xdr:rowOff>60960</xdr:rowOff>
    </xdr:from>
    <xdr:to>
      <xdr:col>4</xdr:col>
      <xdr:colOff>15240</xdr:colOff>
      <xdr:row>12</xdr:row>
      <xdr:rowOff>68580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EE9E8912-5679-4FB9-B445-067D3CC0FA2F}"/>
            </a:ext>
          </a:extLst>
        </xdr:cNvPr>
        <xdr:cNvSpPr>
          <a:spLocks noChangeShapeType="1"/>
        </xdr:cNvSpPr>
      </xdr:nvSpPr>
      <xdr:spPr bwMode="auto">
        <a:xfrm flipV="1">
          <a:off x="2828925" y="20002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16</xdr:row>
      <xdr:rowOff>76200</xdr:rowOff>
    </xdr:from>
    <xdr:to>
      <xdr:col>4</xdr:col>
      <xdr:colOff>7620</xdr:colOff>
      <xdr:row>17</xdr:row>
      <xdr:rowOff>91440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BCF620C2-5588-4E7B-80B9-1CC760053B67}"/>
            </a:ext>
          </a:extLst>
        </xdr:cNvPr>
        <xdr:cNvSpPr>
          <a:spLocks noChangeShapeType="1"/>
        </xdr:cNvSpPr>
      </xdr:nvSpPr>
      <xdr:spPr bwMode="auto">
        <a:xfrm>
          <a:off x="2819400" y="2876550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15</xdr:row>
      <xdr:rowOff>60960</xdr:rowOff>
    </xdr:from>
    <xdr:to>
      <xdr:col>4</xdr:col>
      <xdr:colOff>15240</xdr:colOff>
      <xdr:row>16</xdr:row>
      <xdr:rowOff>68580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1814104A-F30F-4CD0-9A7C-A60BA0325101}"/>
            </a:ext>
          </a:extLst>
        </xdr:cNvPr>
        <xdr:cNvSpPr>
          <a:spLocks noChangeShapeType="1"/>
        </xdr:cNvSpPr>
      </xdr:nvSpPr>
      <xdr:spPr bwMode="auto">
        <a:xfrm flipV="1">
          <a:off x="2828925" y="26860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53340</xdr:rowOff>
    </xdr:from>
    <xdr:to>
      <xdr:col>2</xdr:col>
      <xdr:colOff>0</xdr:colOff>
      <xdr:row>30</xdr:row>
      <xdr:rowOff>60960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21C45F26-4248-4464-A557-9524E96367CF}"/>
            </a:ext>
          </a:extLst>
        </xdr:cNvPr>
        <xdr:cNvSpPr>
          <a:spLocks noChangeShapeType="1"/>
        </xdr:cNvSpPr>
      </xdr:nvSpPr>
      <xdr:spPr bwMode="auto">
        <a:xfrm flipV="1">
          <a:off x="1600200" y="4914900"/>
          <a:ext cx="609600" cy="400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30</xdr:row>
      <xdr:rowOff>60960</xdr:rowOff>
    </xdr:from>
    <xdr:to>
      <xdr:col>1</xdr:col>
      <xdr:colOff>480060</xdr:colOff>
      <xdr:row>32</xdr:row>
      <xdr:rowOff>53340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B3C0039D-64C7-4A92-9C3D-759BBB8E7296}"/>
            </a:ext>
          </a:extLst>
        </xdr:cNvPr>
        <xdr:cNvSpPr>
          <a:spLocks noChangeShapeType="1"/>
        </xdr:cNvSpPr>
      </xdr:nvSpPr>
      <xdr:spPr bwMode="auto">
        <a:xfrm>
          <a:off x="1600200" y="5314950"/>
          <a:ext cx="47625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28</xdr:row>
      <xdr:rowOff>76200</xdr:rowOff>
    </xdr:from>
    <xdr:to>
      <xdr:col>4</xdr:col>
      <xdr:colOff>7620</xdr:colOff>
      <xdr:row>29</xdr:row>
      <xdr:rowOff>91440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68D5F458-D275-463A-B4F2-FA569794CB5D}"/>
            </a:ext>
          </a:extLst>
        </xdr:cNvPr>
        <xdr:cNvSpPr>
          <a:spLocks noChangeShapeType="1"/>
        </xdr:cNvSpPr>
      </xdr:nvSpPr>
      <xdr:spPr bwMode="auto">
        <a:xfrm>
          <a:off x="2819400" y="4933950"/>
          <a:ext cx="619125" cy="219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27</xdr:row>
      <xdr:rowOff>60960</xdr:rowOff>
    </xdr:from>
    <xdr:to>
      <xdr:col>4</xdr:col>
      <xdr:colOff>15240</xdr:colOff>
      <xdr:row>28</xdr:row>
      <xdr:rowOff>68580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7387ED4A-AE18-4BF1-8DA3-43A8C332E698}"/>
            </a:ext>
          </a:extLst>
        </xdr:cNvPr>
        <xdr:cNvSpPr>
          <a:spLocks noChangeShapeType="1"/>
        </xdr:cNvSpPr>
      </xdr:nvSpPr>
      <xdr:spPr bwMode="auto">
        <a:xfrm flipV="1">
          <a:off x="2828925" y="47434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32</xdr:row>
      <xdr:rowOff>76200</xdr:rowOff>
    </xdr:from>
    <xdr:to>
      <xdr:col>4</xdr:col>
      <xdr:colOff>7620</xdr:colOff>
      <xdr:row>33</xdr:row>
      <xdr:rowOff>91440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32997D60-D936-4D87-BCDA-874173D2B2FE}"/>
            </a:ext>
          </a:extLst>
        </xdr:cNvPr>
        <xdr:cNvSpPr>
          <a:spLocks noChangeShapeType="1"/>
        </xdr:cNvSpPr>
      </xdr:nvSpPr>
      <xdr:spPr bwMode="auto">
        <a:xfrm>
          <a:off x="2819400" y="5676900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31</xdr:row>
      <xdr:rowOff>60960</xdr:rowOff>
    </xdr:from>
    <xdr:to>
      <xdr:col>4</xdr:col>
      <xdr:colOff>15240</xdr:colOff>
      <xdr:row>32</xdr:row>
      <xdr:rowOff>68580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1420668B-068B-4F94-96C4-DED1296C42EA}"/>
            </a:ext>
          </a:extLst>
        </xdr:cNvPr>
        <xdr:cNvSpPr>
          <a:spLocks noChangeShapeType="1"/>
        </xdr:cNvSpPr>
      </xdr:nvSpPr>
      <xdr:spPr bwMode="auto">
        <a:xfrm flipV="1">
          <a:off x="2828925" y="548640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37</xdr:row>
      <xdr:rowOff>53340</xdr:rowOff>
    </xdr:from>
    <xdr:to>
      <xdr:col>2</xdr:col>
      <xdr:colOff>0</xdr:colOff>
      <xdr:row>39</xdr:row>
      <xdr:rowOff>60960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86A6A03C-7D79-4D2F-A811-708F7ACF89FC}"/>
            </a:ext>
          </a:extLst>
        </xdr:cNvPr>
        <xdr:cNvSpPr>
          <a:spLocks noChangeShapeType="1"/>
        </xdr:cNvSpPr>
      </xdr:nvSpPr>
      <xdr:spPr bwMode="auto">
        <a:xfrm flipV="1">
          <a:off x="1600200" y="6515100"/>
          <a:ext cx="6096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39</xdr:row>
      <xdr:rowOff>60960</xdr:rowOff>
    </xdr:from>
    <xdr:to>
      <xdr:col>1</xdr:col>
      <xdr:colOff>480060</xdr:colOff>
      <xdr:row>41</xdr:row>
      <xdr:rowOff>53340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7AEAB915-0CEF-49FC-88E5-3089EA702C57}"/>
            </a:ext>
          </a:extLst>
        </xdr:cNvPr>
        <xdr:cNvSpPr>
          <a:spLocks noChangeShapeType="1"/>
        </xdr:cNvSpPr>
      </xdr:nvSpPr>
      <xdr:spPr bwMode="auto">
        <a:xfrm>
          <a:off x="1600200" y="6858000"/>
          <a:ext cx="47625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37</xdr:row>
      <xdr:rowOff>76200</xdr:rowOff>
    </xdr:from>
    <xdr:to>
      <xdr:col>4</xdr:col>
      <xdr:colOff>7620</xdr:colOff>
      <xdr:row>38</xdr:row>
      <xdr:rowOff>91440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EE79F915-6F94-4C73-99D9-1692AD6B020B}"/>
            </a:ext>
          </a:extLst>
        </xdr:cNvPr>
        <xdr:cNvSpPr>
          <a:spLocks noChangeShapeType="1"/>
        </xdr:cNvSpPr>
      </xdr:nvSpPr>
      <xdr:spPr bwMode="auto">
        <a:xfrm>
          <a:off x="2819400" y="6534150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36</xdr:row>
      <xdr:rowOff>60960</xdr:rowOff>
    </xdr:from>
    <xdr:to>
      <xdr:col>4</xdr:col>
      <xdr:colOff>15240</xdr:colOff>
      <xdr:row>37</xdr:row>
      <xdr:rowOff>68580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C5E7F881-16B4-4315-B9A7-C0DCDCDB96C3}"/>
            </a:ext>
          </a:extLst>
        </xdr:cNvPr>
        <xdr:cNvSpPr>
          <a:spLocks noChangeShapeType="1"/>
        </xdr:cNvSpPr>
      </xdr:nvSpPr>
      <xdr:spPr bwMode="auto">
        <a:xfrm flipV="1">
          <a:off x="2828925" y="63436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41</xdr:row>
      <xdr:rowOff>76200</xdr:rowOff>
    </xdr:from>
    <xdr:to>
      <xdr:col>4</xdr:col>
      <xdr:colOff>7620</xdr:colOff>
      <xdr:row>42</xdr:row>
      <xdr:rowOff>91440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62011F2F-1421-4C24-9316-F2EF7A485379}"/>
            </a:ext>
          </a:extLst>
        </xdr:cNvPr>
        <xdr:cNvSpPr>
          <a:spLocks noChangeShapeType="1"/>
        </xdr:cNvSpPr>
      </xdr:nvSpPr>
      <xdr:spPr bwMode="auto">
        <a:xfrm>
          <a:off x="2819400" y="7219950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40</xdr:row>
      <xdr:rowOff>60960</xdr:rowOff>
    </xdr:from>
    <xdr:to>
      <xdr:col>4</xdr:col>
      <xdr:colOff>15240</xdr:colOff>
      <xdr:row>41</xdr:row>
      <xdr:rowOff>68580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70775F37-480C-452E-8EA2-1EA2B1993616}"/>
            </a:ext>
          </a:extLst>
        </xdr:cNvPr>
        <xdr:cNvSpPr>
          <a:spLocks noChangeShapeType="1"/>
        </xdr:cNvSpPr>
      </xdr:nvSpPr>
      <xdr:spPr bwMode="auto">
        <a:xfrm flipV="1">
          <a:off x="2828925" y="70294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53</xdr:row>
      <xdr:rowOff>53340</xdr:rowOff>
    </xdr:from>
    <xdr:to>
      <xdr:col>2</xdr:col>
      <xdr:colOff>0</xdr:colOff>
      <xdr:row>55</xdr:row>
      <xdr:rowOff>60960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4D16C3FF-83BD-4B8A-BBE0-F3169B4C08B3}"/>
            </a:ext>
          </a:extLst>
        </xdr:cNvPr>
        <xdr:cNvSpPr>
          <a:spLocks noChangeShapeType="1"/>
        </xdr:cNvSpPr>
      </xdr:nvSpPr>
      <xdr:spPr bwMode="auto">
        <a:xfrm flipV="1">
          <a:off x="1600200" y="9258300"/>
          <a:ext cx="609600" cy="400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55</xdr:row>
      <xdr:rowOff>60960</xdr:rowOff>
    </xdr:from>
    <xdr:to>
      <xdr:col>1</xdr:col>
      <xdr:colOff>480060</xdr:colOff>
      <xdr:row>57</xdr:row>
      <xdr:rowOff>53340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9A0E7E48-3BBA-4D94-A7F2-E5402709FA91}"/>
            </a:ext>
          </a:extLst>
        </xdr:cNvPr>
        <xdr:cNvSpPr>
          <a:spLocks noChangeShapeType="1"/>
        </xdr:cNvSpPr>
      </xdr:nvSpPr>
      <xdr:spPr bwMode="auto">
        <a:xfrm>
          <a:off x="1600200" y="9658350"/>
          <a:ext cx="47625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53</xdr:row>
      <xdr:rowOff>76200</xdr:rowOff>
    </xdr:from>
    <xdr:to>
      <xdr:col>4</xdr:col>
      <xdr:colOff>7620</xdr:colOff>
      <xdr:row>54</xdr:row>
      <xdr:rowOff>91440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4C858059-50FB-4CFE-9774-A94343708EA8}"/>
            </a:ext>
          </a:extLst>
        </xdr:cNvPr>
        <xdr:cNvSpPr>
          <a:spLocks noChangeShapeType="1"/>
        </xdr:cNvSpPr>
      </xdr:nvSpPr>
      <xdr:spPr bwMode="auto">
        <a:xfrm>
          <a:off x="2819400" y="9277350"/>
          <a:ext cx="619125" cy="219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52</xdr:row>
      <xdr:rowOff>60960</xdr:rowOff>
    </xdr:from>
    <xdr:to>
      <xdr:col>4</xdr:col>
      <xdr:colOff>15240</xdr:colOff>
      <xdr:row>53</xdr:row>
      <xdr:rowOff>68580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DEA8F7D9-653B-4704-B8B6-28CB19AE8F69}"/>
            </a:ext>
          </a:extLst>
        </xdr:cNvPr>
        <xdr:cNvSpPr>
          <a:spLocks noChangeShapeType="1"/>
        </xdr:cNvSpPr>
      </xdr:nvSpPr>
      <xdr:spPr bwMode="auto">
        <a:xfrm flipV="1">
          <a:off x="2828925" y="90868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57</xdr:row>
      <xdr:rowOff>76200</xdr:rowOff>
    </xdr:from>
    <xdr:to>
      <xdr:col>4</xdr:col>
      <xdr:colOff>7620</xdr:colOff>
      <xdr:row>58</xdr:row>
      <xdr:rowOff>91440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26642B8B-90BF-4925-A2D2-DA2BE0F45397}"/>
            </a:ext>
          </a:extLst>
        </xdr:cNvPr>
        <xdr:cNvSpPr>
          <a:spLocks noChangeShapeType="1"/>
        </xdr:cNvSpPr>
      </xdr:nvSpPr>
      <xdr:spPr bwMode="auto">
        <a:xfrm>
          <a:off x="2819400" y="10020300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56</xdr:row>
      <xdr:rowOff>60960</xdr:rowOff>
    </xdr:from>
    <xdr:to>
      <xdr:col>4</xdr:col>
      <xdr:colOff>15240</xdr:colOff>
      <xdr:row>57</xdr:row>
      <xdr:rowOff>68580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6CAD35BC-61F3-47C2-BFA2-33C6E70B277C}"/>
            </a:ext>
          </a:extLst>
        </xdr:cNvPr>
        <xdr:cNvSpPr>
          <a:spLocks noChangeShapeType="1"/>
        </xdr:cNvSpPr>
      </xdr:nvSpPr>
      <xdr:spPr bwMode="auto">
        <a:xfrm flipV="1">
          <a:off x="2828925" y="982980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65</xdr:row>
      <xdr:rowOff>53340</xdr:rowOff>
    </xdr:from>
    <xdr:to>
      <xdr:col>2</xdr:col>
      <xdr:colOff>0</xdr:colOff>
      <xdr:row>67</xdr:row>
      <xdr:rowOff>60960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5B647BD6-CB98-444C-9FA9-AEA3573A02DB}"/>
            </a:ext>
          </a:extLst>
        </xdr:cNvPr>
        <xdr:cNvSpPr>
          <a:spLocks noChangeShapeType="1"/>
        </xdr:cNvSpPr>
      </xdr:nvSpPr>
      <xdr:spPr bwMode="auto">
        <a:xfrm flipV="1">
          <a:off x="1600200" y="11372850"/>
          <a:ext cx="6096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67</xdr:row>
      <xdr:rowOff>60960</xdr:rowOff>
    </xdr:from>
    <xdr:to>
      <xdr:col>1</xdr:col>
      <xdr:colOff>480060</xdr:colOff>
      <xdr:row>69</xdr:row>
      <xdr:rowOff>53340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798EA4BF-0DE5-446B-BDA2-CE55EC8A89C0}"/>
            </a:ext>
          </a:extLst>
        </xdr:cNvPr>
        <xdr:cNvSpPr>
          <a:spLocks noChangeShapeType="1"/>
        </xdr:cNvSpPr>
      </xdr:nvSpPr>
      <xdr:spPr bwMode="auto">
        <a:xfrm>
          <a:off x="1600200" y="11715750"/>
          <a:ext cx="47625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65</xdr:row>
      <xdr:rowOff>76200</xdr:rowOff>
    </xdr:from>
    <xdr:to>
      <xdr:col>4</xdr:col>
      <xdr:colOff>7620</xdr:colOff>
      <xdr:row>66</xdr:row>
      <xdr:rowOff>91440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74284C2D-B18A-4AF4-AC87-481D13453A96}"/>
            </a:ext>
          </a:extLst>
        </xdr:cNvPr>
        <xdr:cNvSpPr>
          <a:spLocks noChangeShapeType="1"/>
        </xdr:cNvSpPr>
      </xdr:nvSpPr>
      <xdr:spPr bwMode="auto">
        <a:xfrm>
          <a:off x="2819400" y="11391900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64</xdr:row>
      <xdr:rowOff>60960</xdr:rowOff>
    </xdr:from>
    <xdr:to>
      <xdr:col>4</xdr:col>
      <xdr:colOff>15240</xdr:colOff>
      <xdr:row>65</xdr:row>
      <xdr:rowOff>68580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D3B3BACA-6FDB-476F-AD46-19C6D9C221E1}"/>
            </a:ext>
          </a:extLst>
        </xdr:cNvPr>
        <xdr:cNvSpPr>
          <a:spLocks noChangeShapeType="1"/>
        </xdr:cNvSpPr>
      </xdr:nvSpPr>
      <xdr:spPr bwMode="auto">
        <a:xfrm flipV="1">
          <a:off x="2828925" y="1120140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69</xdr:row>
      <xdr:rowOff>76200</xdr:rowOff>
    </xdr:from>
    <xdr:to>
      <xdr:col>4</xdr:col>
      <xdr:colOff>7620</xdr:colOff>
      <xdr:row>70</xdr:row>
      <xdr:rowOff>91440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DF543BF3-5CDD-47E6-9E6C-5CF3AE849574}"/>
            </a:ext>
          </a:extLst>
        </xdr:cNvPr>
        <xdr:cNvSpPr>
          <a:spLocks noChangeShapeType="1"/>
        </xdr:cNvSpPr>
      </xdr:nvSpPr>
      <xdr:spPr bwMode="auto">
        <a:xfrm>
          <a:off x="2819400" y="12077700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68</xdr:row>
      <xdr:rowOff>60960</xdr:rowOff>
    </xdr:from>
    <xdr:to>
      <xdr:col>4</xdr:col>
      <xdr:colOff>15240</xdr:colOff>
      <xdr:row>69</xdr:row>
      <xdr:rowOff>68580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DF90571A-11A7-461A-9EF6-D469CF5A11B8}"/>
            </a:ext>
          </a:extLst>
        </xdr:cNvPr>
        <xdr:cNvSpPr>
          <a:spLocks noChangeShapeType="1"/>
        </xdr:cNvSpPr>
      </xdr:nvSpPr>
      <xdr:spPr bwMode="auto">
        <a:xfrm flipV="1">
          <a:off x="2828925" y="1188720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68</xdr:row>
      <xdr:rowOff>60960</xdr:rowOff>
    </xdr:from>
    <xdr:to>
      <xdr:col>4</xdr:col>
      <xdr:colOff>15240</xdr:colOff>
      <xdr:row>69</xdr:row>
      <xdr:rowOff>68580</xdr:rowOff>
    </xdr:to>
    <xdr:sp macro="" textlink="">
      <xdr:nvSpPr>
        <xdr:cNvPr id="38" name="Line 38">
          <a:extLst>
            <a:ext uri="{FF2B5EF4-FFF2-40B4-BE49-F238E27FC236}">
              <a16:creationId xmlns:a16="http://schemas.microsoft.com/office/drawing/2014/main" id="{3F307880-B611-4E98-9D1C-30E59EDB81CE}"/>
            </a:ext>
          </a:extLst>
        </xdr:cNvPr>
        <xdr:cNvSpPr>
          <a:spLocks noChangeShapeType="1"/>
        </xdr:cNvSpPr>
      </xdr:nvSpPr>
      <xdr:spPr bwMode="auto">
        <a:xfrm flipV="1">
          <a:off x="2828925" y="1188720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68</xdr:row>
      <xdr:rowOff>60960</xdr:rowOff>
    </xdr:from>
    <xdr:to>
      <xdr:col>4</xdr:col>
      <xdr:colOff>15240</xdr:colOff>
      <xdr:row>69</xdr:row>
      <xdr:rowOff>68580</xdr:rowOff>
    </xdr:to>
    <xdr:sp macro="" textlink="">
      <xdr:nvSpPr>
        <xdr:cNvPr id="39" name="Line 41">
          <a:extLst>
            <a:ext uri="{FF2B5EF4-FFF2-40B4-BE49-F238E27FC236}">
              <a16:creationId xmlns:a16="http://schemas.microsoft.com/office/drawing/2014/main" id="{99B0DA20-E878-47B2-BFBC-FFBD15B007D7}"/>
            </a:ext>
          </a:extLst>
        </xdr:cNvPr>
        <xdr:cNvSpPr>
          <a:spLocks noChangeShapeType="1"/>
        </xdr:cNvSpPr>
      </xdr:nvSpPr>
      <xdr:spPr bwMode="auto">
        <a:xfrm flipV="1">
          <a:off x="2828925" y="1188720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10</xdr:col>
      <xdr:colOff>189767</xdr:colOff>
      <xdr:row>1</xdr:row>
      <xdr:rowOff>77666</xdr:rowOff>
    </xdr:from>
    <xdr:to>
      <xdr:col>21</xdr:col>
      <xdr:colOff>584102</xdr:colOff>
      <xdr:row>74</xdr:row>
      <xdr:rowOff>150936</xdr:rowOff>
    </xdr:to>
    <xdr:pic>
      <xdr:nvPicPr>
        <xdr:cNvPr id="40" name="图片 39">
          <a:extLst>
            <a:ext uri="{FF2B5EF4-FFF2-40B4-BE49-F238E27FC236}">
              <a16:creationId xmlns:a16="http://schemas.microsoft.com/office/drawing/2014/main" id="{96EFEBFE-EF68-F522-3F8B-A6861AEBAC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260248" y="246185"/>
          <a:ext cx="7080006" cy="125510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中文"/>
      <sheetName val="Exercise 4"/>
      <sheetName val="Exercise 4 中文"/>
      <sheetName val="Exercise 5"/>
      <sheetName val="Exercise 5 中文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3BAEE-F844-4DED-8C09-30AB06932EF1}">
  <sheetPr codeName="Sheet3"/>
  <dimension ref="A1:H73"/>
  <sheetViews>
    <sheetView tabSelected="1" topLeftCell="A12" zoomScale="145" zoomScaleNormal="145" workbookViewId="0">
      <selection activeCell="F34" sqref="F34"/>
    </sheetView>
  </sheetViews>
  <sheetFormatPr defaultRowHeight="13.2" x14ac:dyDescent="0.25"/>
  <cols>
    <col min="1" max="1" width="23.33203125" style="2" customWidth="1"/>
    <col min="2" max="256" width="8.88671875" style="2"/>
    <col min="257" max="257" width="23.33203125" style="2" customWidth="1"/>
    <col min="258" max="512" width="8.88671875" style="2"/>
    <col min="513" max="513" width="23.33203125" style="2" customWidth="1"/>
    <col min="514" max="768" width="8.88671875" style="2"/>
    <col min="769" max="769" width="23.33203125" style="2" customWidth="1"/>
    <col min="770" max="1024" width="8.88671875" style="2"/>
    <col min="1025" max="1025" width="23.33203125" style="2" customWidth="1"/>
    <col min="1026" max="1280" width="8.88671875" style="2"/>
    <col min="1281" max="1281" width="23.33203125" style="2" customWidth="1"/>
    <col min="1282" max="1536" width="8.88671875" style="2"/>
    <col min="1537" max="1537" width="23.33203125" style="2" customWidth="1"/>
    <col min="1538" max="1792" width="8.88671875" style="2"/>
    <col min="1793" max="1793" width="23.33203125" style="2" customWidth="1"/>
    <col min="1794" max="2048" width="8.88671875" style="2"/>
    <col min="2049" max="2049" width="23.33203125" style="2" customWidth="1"/>
    <col min="2050" max="2304" width="8.88671875" style="2"/>
    <col min="2305" max="2305" width="23.33203125" style="2" customWidth="1"/>
    <col min="2306" max="2560" width="8.88671875" style="2"/>
    <col min="2561" max="2561" width="23.33203125" style="2" customWidth="1"/>
    <col min="2562" max="2816" width="8.88671875" style="2"/>
    <col min="2817" max="2817" width="23.33203125" style="2" customWidth="1"/>
    <col min="2818" max="3072" width="8.88671875" style="2"/>
    <col min="3073" max="3073" width="23.33203125" style="2" customWidth="1"/>
    <col min="3074" max="3328" width="8.88671875" style="2"/>
    <col min="3329" max="3329" width="23.33203125" style="2" customWidth="1"/>
    <col min="3330" max="3584" width="8.88671875" style="2"/>
    <col min="3585" max="3585" width="23.33203125" style="2" customWidth="1"/>
    <col min="3586" max="3840" width="8.88671875" style="2"/>
    <col min="3841" max="3841" width="23.33203125" style="2" customWidth="1"/>
    <col min="3842" max="4096" width="8.88671875" style="2"/>
    <col min="4097" max="4097" width="23.33203125" style="2" customWidth="1"/>
    <col min="4098" max="4352" width="8.88671875" style="2"/>
    <col min="4353" max="4353" width="23.33203125" style="2" customWidth="1"/>
    <col min="4354" max="4608" width="8.88671875" style="2"/>
    <col min="4609" max="4609" width="23.33203125" style="2" customWidth="1"/>
    <col min="4610" max="4864" width="8.88671875" style="2"/>
    <col min="4865" max="4865" width="23.33203125" style="2" customWidth="1"/>
    <col min="4866" max="5120" width="8.88671875" style="2"/>
    <col min="5121" max="5121" width="23.33203125" style="2" customWidth="1"/>
    <col min="5122" max="5376" width="8.88671875" style="2"/>
    <col min="5377" max="5377" width="23.33203125" style="2" customWidth="1"/>
    <col min="5378" max="5632" width="8.88671875" style="2"/>
    <col min="5633" max="5633" width="23.33203125" style="2" customWidth="1"/>
    <col min="5634" max="5888" width="8.88671875" style="2"/>
    <col min="5889" max="5889" width="23.33203125" style="2" customWidth="1"/>
    <col min="5890" max="6144" width="8.88671875" style="2"/>
    <col min="6145" max="6145" width="23.33203125" style="2" customWidth="1"/>
    <col min="6146" max="6400" width="8.88671875" style="2"/>
    <col min="6401" max="6401" width="23.33203125" style="2" customWidth="1"/>
    <col min="6402" max="6656" width="8.88671875" style="2"/>
    <col min="6657" max="6657" width="23.33203125" style="2" customWidth="1"/>
    <col min="6658" max="6912" width="8.88671875" style="2"/>
    <col min="6913" max="6913" width="23.33203125" style="2" customWidth="1"/>
    <col min="6914" max="7168" width="8.88671875" style="2"/>
    <col min="7169" max="7169" width="23.33203125" style="2" customWidth="1"/>
    <col min="7170" max="7424" width="8.88671875" style="2"/>
    <col min="7425" max="7425" width="23.33203125" style="2" customWidth="1"/>
    <col min="7426" max="7680" width="8.88671875" style="2"/>
    <col min="7681" max="7681" width="23.33203125" style="2" customWidth="1"/>
    <col min="7682" max="7936" width="8.88671875" style="2"/>
    <col min="7937" max="7937" width="23.33203125" style="2" customWidth="1"/>
    <col min="7938" max="8192" width="8.88671875" style="2"/>
    <col min="8193" max="8193" width="23.33203125" style="2" customWidth="1"/>
    <col min="8194" max="8448" width="8.88671875" style="2"/>
    <col min="8449" max="8449" width="23.33203125" style="2" customWidth="1"/>
    <col min="8450" max="8704" width="8.88671875" style="2"/>
    <col min="8705" max="8705" width="23.33203125" style="2" customWidth="1"/>
    <col min="8706" max="8960" width="8.88671875" style="2"/>
    <col min="8961" max="8961" width="23.33203125" style="2" customWidth="1"/>
    <col min="8962" max="9216" width="8.88671875" style="2"/>
    <col min="9217" max="9217" width="23.33203125" style="2" customWidth="1"/>
    <col min="9218" max="9472" width="8.88671875" style="2"/>
    <col min="9473" max="9473" width="23.33203125" style="2" customWidth="1"/>
    <col min="9474" max="9728" width="8.88671875" style="2"/>
    <col min="9729" max="9729" width="23.33203125" style="2" customWidth="1"/>
    <col min="9730" max="9984" width="8.88671875" style="2"/>
    <col min="9985" max="9985" width="23.33203125" style="2" customWidth="1"/>
    <col min="9986" max="10240" width="8.88671875" style="2"/>
    <col min="10241" max="10241" width="23.33203125" style="2" customWidth="1"/>
    <col min="10242" max="10496" width="8.88671875" style="2"/>
    <col min="10497" max="10497" width="23.33203125" style="2" customWidth="1"/>
    <col min="10498" max="10752" width="8.88671875" style="2"/>
    <col min="10753" max="10753" width="23.33203125" style="2" customWidth="1"/>
    <col min="10754" max="11008" width="8.88671875" style="2"/>
    <col min="11009" max="11009" width="23.33203125" style="2" customWidth="1"/>
    <col min="11010" max="11264" width="8.88671875" style="2"/>
    <col min="11265" max="11265" width="23.33203125" style="2" customWidth="1"/>
    <col min="11266" max="11520" width="8.88671875" style="2"/>
    <col min="11521" max="11521" width="23.33203125" style="2" customWidth="1"/>
    <col min="11522" max="11776" width="8.88671875" style="2"/>
    <col min="11777" max="11777" width="23.33203125" style="2" customWidth="1"/>
    <col min="11778" max="12032" width="8.88671875" style="2"/>
    <col min="12033" max="12033" width="23.33203125" style="2" customWidth="1"/>
    <col min="12034" max="12288" width="8.88671875" style="2"/>
    <col min="12289" max="12289" width="23.33203125" style="2" customWidth="1"/>
    <col min="12290" max="12544" width="8.88671875" style="2"/>
    <col min="12545" max="12545" width="23.33203125" style="2" customWidth="1"/>
    <col min="12546" max="12800" width="8.88671875" style="2"/>
    <col min="12801" max="12801" width="23.33203125" style="2" customWidth="1"/>
    <col min="12802" max="13056" width="8.88671875" style="2"/>
    <col min="13057" max="13057" width="23.33203125" style="2" customWidth="1"/>
    <col min="13058" max="13312" width="8.88671875" style="2"/>
    <col min="13313" max="13313" width="23.33203125" style="2" customWidth="1"/>
    <col min="13314" max="13568" width="8.88671875" style="2"/>
    <col min="13569" max="13569" width="23.33203125" style="2" customWidth="1"/>
    <col min="13570" max="13824" width="8.88671875" style="2"/>
    <col min="13825" max="13825" width="23.33203125" style="2" customWidth="1"/>
    <col min="13826" max="14080" width="8.88671875" style="2"/>
    <col min="14081" max="14081" width="23.33203125" style="2" customWidth="1"/>
    <col min="14082" max="14336" width="8.88671875" style="2"/>
    <col min="14337" max="14337" width="23.33203125" style="2" customWidth="1"/>
    <col min="14338" max="14592" width="8.88671875" style="2"/>
    <col min="14593" max="14593" width="23.33203125" style="2" customWidth="1"/>
    <col min="14594" max="14848" width="8.88671875" style="2"/>
    <col min="14849" max="14849" width="23.33203125" style="2" customWidth="1"/>
    <col min="14850" max="15104" width="8.88671875" style="2"/>
    <col min="15105" max="15105" width="23.33203125" style="2" customWidth="1"/>
    <col min="15106" max="15360" width="8.88671875" style="2"/>
    <col min="15361" max="15361" width="23.33203125" style="2" customWidth="1"/>
    <col min="15362" max="15616" width="8.88671875" style="2"/>
    <col min="15617" max="15617" width="23.33203125" style="2" customWidth="1"/>
    <col min="15618" max="15872" width="8.88671875" style="2"/>
    <col min="15873" max="15873" width="23.33203125" style="2" customWidth="1"/>
    <col min="15874" max="16128" width="8.88671875" style="2"/>
    <col min="16129" max="16129" width="23.33203125" style="2" customWidth="1"/>
    <col min="16130" max="16384" width="8.88671875" style="2"/>
  </cols>
  <sheetData>
    <row r="1" spans="1:8" x14ac:dyDescent="0.25">
      <c r="A1" s="1" t="s">
        <v>0</v>
      </c>
    </row>
    <row r="2" spans="1:8" x14ac:dyDescent="0.25">
      <c r="A2" s="1"/>
    </row>
    <row r="3" spans="1:8" x14ac:dyDescent="0.25">
      <c r="E3" s="3">
        <f>1.3*C4</f>
        <v>169</v>
      </c>
      <c r="G3" s="1" t="s">
        <v>1</v>
      </c>
    </row>
    <row r="4" spans="1:8" ht="15.6" x14ac:dyDescent="0.35">
      <c r="C4" s="3">
        <f>-1.3*A6</f>
        <v>130</v>
      </c>
      <c r="E4" s="3"/>
      <c r="G4" s="2" t="s">
        <v>2</v>
      </c>
      <c r="H4" s="4">
        <v>0.3</v>
      </c>
    </row>
    <row r="5" spans="1:8" ht="15.6" x14ac:dyDescent="0.35">
      <c r="C5" s="3"/>
      <c r="E5" s="3">
        <f>0.7*C4</f>
        <v>91</v>
      </c>
      <c r="G5" s="2" t="s">
        <v>3</v>
      </c>
      <c r="H5" s="4">
        <v>0.5</v>
      </c>
    </row>
    <row r="6" spans="1:8" x14ac:dyDescent="0.25">
      <c r="A6" s="2">
        <v>-100</v>
      </c>
      <c r="C6" s="3"/>
      <c r="E6" s="3"/>
    </row>
    <row r="7" spans="1:8" x14ac:dyDescent="0.25">
      <c r="C7" s="3"/>
      <c r="E7" s="3">
        <f>1.3*C8</f>
        <v>91</v>
      </c>
    </row>
    <row r="8" spans="1:8" x14ac:dyDescent="0.25">
      <c r="C8" s="3">
        <f>-0.7*A6</f>
        <v>70</v>
      </c>
      <c r="E8" s="3"/>
    </row>
    <row r="9" spans="1:8" x14ac:dyDescent="0.25">
      <c r="E9" s="3">
        <v>-90</v>
      </c>
    </row>
    <row r="11" spans="1:8" x14ac:dyDescent="0.25">
      <c r="A11" s="1" t="s">
        <v>4</v>
      </c>
    </row>
    <row r="12" spans="1:8" x14ac:dyDescent="0.25">
      <c r="E12" s="3">
        <f>E3*H4^2</f>
        <v>15.209999999999999</v>
      </c>
    </row>
    <row r="13" spans="1:8" x14ac:dyDescent="0.25">
      <c r="C13" s="3">
        <f>C4*H4</f>
        <v>39</v>
      </c>
      <c r="E13" s="3"/>
    </row>
    <row r="14" spans="1:8" x14ac:dyDescent="0.25">
      <c r="C14" s="3"/>
      <c r="E14" s="3">
        <f>E5*H4*H5</f>
        <v>13.65</v>
      </c>
    </row>
    <row r="15" spans="1:8" x14ac:dyDescent="0.25">
      <c r="A15" s="2">
        <v>-100</v>
      </c>
      <c r="C15" s="3"/>
      <c r="E15" s="3"/>
    </row>
    <row r="16" spans="1:8" x14ac:dyDescent="0.25">
      <c r="C16" s="3"/>
      <c r="E16" s="3">
        <f>E7*H4*H5</f>
        <v>13.65</v>
      </c>
    </row>
    <row r="17" spans="1:8" x14ac:dyDescent="0.25">
      <c r="C17" s="3">
        <f>C8*H5</f>
        <v>35</v>
      </c>
      <c r="E17" s="3"/>
    </row>
    <row r="18" spans="1:8" x14ac:dyDescent="0.25">
      <c r="E18" s="3">
        <f>E9*H5^2</f>
        <v>-22.5</v>
      </c>
    </row>
    <row r="20" spans="1:8" x14ac:dyDescent="0.25">
      <c r="A20" s="2" t="s">
        <v>5</v>
      </c>
      <c r="B20" s="2">
        <f>SUM(A12:E18)</f>
        <v>-5.990000000000002</v>
      </c>
      <c r="C20" s="2" t="s">
        <v>6</v>
      </c>
    </row>
    <row r="24" spans="1:8" x14ac:dyDescent="0.25">
      <c r="A24" s="1" t="s">
        <v>7</v>
      </c>
    </row>
    <row r="26" spans="1:8" x14ac:dyDescent="0.25">
      <c r="A26" s="1" t="s">
        <v>0</v>
      </c>
    </row>
    <row r="27" spans="1:8" x14ac:dyDescent="0.25">
      <c r="A27" s="1"/>
    </row>
    <row r="28" spans="1:8" x14ac:dyDescent="0.25">
      <c r="E28" s="3">
        <f>1.3*C29</f>
        <v>169</v>
      </c>
      <c r="G28" s="1" t="s">
        <v>8</v>
      </c>
    </row>
    <row r="29" spans="1:8" ht="15.6" x14ac:dyDescent="0.35">
      <c r="C29" s="3">
        <f>-1.3*A31</f>
        <v>130</v>
      </c>
      <c r="E29" s="3"/>
      <c r="G29" s="2" t="s">
        <v>2</v>
      </c>
      <c r="H29" s="4">
        <v>0.3</v>
      </c>
    </row>
    <row r="30" spans="1:8" ht="15.6" x14ac:dyDescent="0.35">
      <c r="C30" s="3"/>
      <c r="E30" s="3">
        <f>0.7*C29</f>
        <v>91</v>
      </c>
      <c r="G30" s="2" t="s">
        <v>3</v>
      </c>
      <c r="H30" s="4">
        <v>0.5</v>
      </c>
    </row>
    <row r="31" spans="1:8" x14ac:dyDescent="0.25">
      <c r="A31" s="2">
        <v>-100</v>
      </c>
      <c r="C31" s="3"/>
      <c r="E31" s="3"/>
    </row>
    <row r="32" spans="1:8" x14ac:dyDescent="0.25">
      <c r="C32" s="3"/>
      <c r="E32" s="3">
        <f>1.3*C33</f>
        <v>91</v>
      </c>
    </row>
    <row r="33" spans="1:5" x14ac:dyDescent="0.25">
      <c r="C33" s="3">
        <f>-0.7*A31</f>
        <v>70</v>
      </c>
      <c r="E33" s="3"/>
    </row>
    <row r="34" spans="1:5" x14ac:dyDescent="0.25">
      <c r="E34" s="3">
        <v>0</v>
      </c>
    </row>
    <row r="36" spans="1:5" x14ac:dyDescent="0.25">
      <c r="A36" s="1" t="s">
        <v>4</v>
      </c>
    </row>
    <row r="37" spans="1:5" x14ac:dyDescent="0.25">
      <c r="E37" s="3">
        <f>E28*H29^2</f>
        <v>15.209999999999999</v>
      </c>
    </row>
    <row r="38" spans="1:5" x14ac:dyDescent="0.25">
      <c r="C38" s="3">
        <f>C29*H29</f>
        <v>39</v>
      </c>
      <c r="E38" s="3"/>
    </row>
    <row r="39" spans="1:5" x14ac:dyDescent="0.25">
      <c r="C39" s="3"/>
      <c r="E39" s="3">
        <f>E30*H29*H30</f>
        <v>13.65</v>
      </c>
    </row>
    <row r="40" spans="1:5" x14ac:dyDescent="0.25">
      <c r="A40" s="2">
        <v>-100</v>
      </c>
      <c r="C40" s="3"/>
      <c r="E40" s="3"/>
    </row>
    <row r="41" spans="1:5" x14ac:dyDescent="0.25">
      <c r="C41" s="3"/>
      <c r="E41" s="3">
        <f>E32*H29*H30</f>
        <v>13.65</v>
      </c>
    </row>
    <row r="42" spans="1:5" x14ac:dyDescent="0.25">
      <c r="C42" s="3">
        <f>C33*H30</f>
        <v>35</v>
      </c>
      <c r="E42" s="3"/>
    </row>
    <row r="43" spans="1:5" x14ac:dyDescent="0.25">
      <c r="E43" s="3">
        <f>E34*H30^2</f>
        <v>0</v>
      </c>
    </row>
    <row r="45" spans="1:5" x14ac:dyDescent="0.25">
      <c r="A45" s="2" t="s">
        <v>5</v>
      </c>
      <c r="B45" s="2">
        <f>SUM(A37:E43)</f>
        <v>16.509999999999998</v>
      </c>
      <c r="C45" s="2" t="str">
        <f ca="1">_xlfn.FORMULATEXT(B45)&amp;" Answer to part b"</f>
        <v>=SUM(A37:E43) Answer to part b</v>
      </c>
    </row>
    <row r="49" spans="1:8" x14ac:dyDescent="0.25">
      <c r="A49" s="1" t="s">
        <v>9</v>
      </c>
    </row>
    <row r="51" spans="1:8" x14ac:dyDescent="0.25">
      <c r="A51" s="1" t="s">
        <v>10</v>
      </c>
    </row>
    <row r="52" spans="1:8" x14ac:dyDescent="0.25">
      <c r="A52" s="1"/>
    </row>
    <row r="53" spans="1:8" x14ac:dyDescent="0.25">
      <c r="E53" s="3">
        <f>1.3*C54</f>
        <v>169</v>
      </c>
      <c r="G53" s="1" t="s">
        <v>1</v>
      </c>
    </row>
    <row r="54" spans="1:8" ht="15.6" x14ac:dyDescent="0.35">
      <c r="C54" s="3">
        <f>-1.3*A56</f>
        <v>130</v>
      </c>
      <c r="E54" s="3"/>
      <c r="G54" s="2" t="s">
        <v>2</v>
      </c>
      <c r="H54" s="4">
        <v>0.3</v>
      </c>
    </row>
    <row r="55" spans="1:8" ht="15.6" x14ac:dyDescent="0.35">
      <c r="C55" s="3"/>
      <c r="E55" s="3">
        <f>0.7*C54</f>
        <v>91</v>
      </c>
      <c r="G55" s="2" t="s">
        <v>3</v>
      </c>
      <c r="H55" s="4">
        <v>0.5</v>
      </c>
    </row>
    <row r="56" spans="1:8" x14ac:dyDescent="0.25">
      <c r="A56" s="2">
        <v>-100</v>
      </c>
      <c r="C56" s="3"/>
      <c r="E56" s="3"/>
    </row>
    <row r="57" spans="1:8" x14ac:dyDescent="0.25">
      <c r="C57" s="3"/>
      <c r="E57" s="3">
        <f>1.3*C58</f>
        <v>91</v>
      </c>
    </row>
    <row r="58" spans="1:8" x14ac:dyDescent="0.25">
      <c r="C58" s="3">
        <f>-0.7*A56</f>
        <v>70</v>
      </c>
      <c r="E58" s="3"/>
    </row>
    <row r="59" spans="1:8" x14ac:dyDescent="0.25">
      <c r="E59" s="3">
        <v>-90</v>
      </c>
    </row>
    <row r="61" spans="1:8" x14ac:dyDescent="0.25">
      <c r="A61" s="1" t="s">
        <v>11</v>
      </c>
    </row>
    <row r="62" spans="1:8" x14ac:dyDescent="0.25">
      <c r="A62" s="1"/>
    </row>
    <row r="63" spans="1:8" x14ac:dyDescent="0.25">
      <c r="A63" s="2" t="s">
        <v>12</v>
      </c>
      <c r="B63" s="2">
        <v>100</v>
      </c>
    </row>
    <row r="64" spans="1:8" x14ac:dyDescent="0.25">
      <c r="A64" s="1"/>
      <c r="C64" s="2" t="str">
        <f ca="1">_xlfn.FORMULATEXT(C66)</f>
        <v>=IF($H$54*E65+$H$55*E67&gt;$B$63,$H$54*E65+$H$55*E67,$B$63)</v>
      </c>
    </row>
    <row r="65" spans="1:6" x14ac:dyDescent="0.25">
      <c r="E65" s="3">
        <f>MAX($B$63,E53)</f>
        <v>169</v>
      </c>
      <c r="F65" s="2" t="str">
        <f ca="1">_xlfn.FORMULATEXT(E65)</f>
        <v>=MAX($B$63,E53)</v>
      </c>
    </row>
    <row r="66" spans="1:6" x14ac:dyDescent="0.25">
      <c r="C66" s="3">
        <f>IF($H$54*E65+$H$55*E67&gt;$B$63,$H$54*E65+$H$55*E67,$B$63)</f>
        <v>100.69999999999999</v>
      </c>
      <c r="E66" s="3"/>
    </row>
    <row r="67" spans="1:6" x14ac:dyDescent="0.25">
      <c r="C67" s="3"/>
      <c r="E67" s="3">
        <f>MAX($B$63,E55)</f>
        <v>100</v>
      </c>
    </row>
    <row r="68" spans="1:6" x14ac:dyDescent="0.25">
      <c r="A68" s="2">
        <v>-100</v>
      </c>
      <c r="C68" s="3"/>
      <c r="E68" s="3"/>
    </row>
    <row r="69" spans="1:6" x14ac:dyDescent="0.25">
      <c r="C69" s="3"/>
      <c r="E69" s="3">
        <f>MAX($B$63,E57)</f>
        <v>100</v>
      </c>
    </row>
    <row r="70" spans="1:6" x14ac:dyDescent="0.25">
      <c r="C70" s="3">
        <f>IF($H$54*E69+$H$55*E71&gt;$B$63,$H$54*E69+$H$55*E71,$B$63)</f>
        <v>100</v>
      </c>
      <c r="E70" s="3"/>
    </row>
    <row r="71" spans="1:6" x14ac:dyDescent="0.25">
      <c r="E71" s="3">
        <f>MAX($B$63,E59)</f>
        <v>100</v>
      </c>
    </row>
    <row r="73" spans="1:6" x14ac:dyDescent="0.25">
      <c r="A73" s="2" t="s">
        <v>5</v>
      </c>
      <c r="B73" s="2">
        <f>SUM(A65:E71)</f>
        <v>569.70000000000005</v>
      </c>
      <c r="C73" s="2" t="str">
        <f ca="1">_xlfn.FORMULATEXT(B73)&amp;" Answer to part b"</f>
        <v>=SUM(A65:E71) Answer to part b</v>
      </c>
    </row>
  </sheetData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Exercise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2024-12-13T07:19:38Z</dcterms:modified>
</cp:coreProperties>
</file>