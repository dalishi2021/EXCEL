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238B9C05-2F19-4B42-8F29-E125D16D434C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Page 660" sheetId="2" r:id="rId2"/>
    <sheet name="Page 661" sheetId="3" r:id="rId3"/>
  </sheets>
  <externalReferences>
    <externalReference r:id="rId4"/>
    <externalReference r:id="rId5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solver_adj" localSheetId="2" hidden="1">'Page 661'!$E$64</definedName>
    <definedName name="solver_cvg" localSheetId="2" hidden="1">0.001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2" hidden="1">2</definedName>
    <definedName name="solver_num" localSheetId="2" hidden="1">0</definedName>
    <definedName name="solver_nwt" localSheetId="2" hidden="1">1</definedName>
    <definedName name="solver_opt" localSheetId="2" hidden="1">'Page 661'!$B$81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3</definedName>
    <definedName name="solver_val" localSheetId="2" hidden="1">-6.9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0" i="3" l="1"/>
  <c r="S75" i="3"/>
  <c r="S73" i="3"/>
  <c r="A73" i="3"/>
  <c r="M72" i="3"/>
  <c r="O71" i="3"/>
  <c r="Q70" i="3"/>
  <c r="S69" i="3"/>
  <c r="E65" i="3"/>
  <c r="S77" i="3" s="1"/>
  <c r="B65" i="3"/>
  <c r="B64" i="3"/>
  <c r="I94" i="3" s="1"/>
  <c r="B57" i="3"/>
  <c r="B59" i="3" s="1"/>
  <c r="E19" i="3"/>
  <c r="D19" i="3"/>
  <c r="C19" i="3"/>
  <c r="B8" i="3"/>
  <c r="B14" i="3" s="1"/>
  <c r="A85" i="2"/>
  <c r="E68" i="2"/>
  <c r="A68" i="2"/>
  <c r="M67" i="2"/>
  <c r="O66" i="2"/>
  <c r="Q65" i="2"/>
  <c r="S64" i="2"/>
  <c r="E60" i="2"/>
  <c r="S72" i="2" s="1"/>
  <c r="B60" i="2"/>
  <c r="B59" i="2"/>
  <c r="I89" i="2" s="1"/>
  <c r="B52" i="2"/>
  <c r="B54" i="2" s="1"/>
  <c r="B10" i="2"/>
  <c r="B7" i="2"/>
  <c r="E22" i="3"/>
  <c r="E17" i="3"/>
  <c r="E20" i="3"/>
  <c r="D20" i="3"/>
  <c r="C20" i="3"/>
  <c r="C16" i="3"/>
  <c r="C15" i="3"/>
  <c r="C14" i="3"/>
  <c r="C8" i="3"/>
  <c r="B16" i="2"/>
  <c r="C16" i="2"/>
  <c r="C10" i="2"/>
  <c r="C7" i="2"/>
  <c r="B15" i="3" l="1"/>
  <c r="B16" i="3" s="1"/>
  <c r="I73" i="3"/>
  <c r="I86" i="3"/>
  <c r="O73" i="3"/>
  <c r="G87" i="3"/>
  <c r="I69" i="3"/>
  <c r="B81" i="3" s="1"/>
  <c r="E88" i="3"/>
  <c r="C74" i="3"/>
  <c r="I88" i="3"/>
  <c r="G70" i="3"/>
  <c r="G74" i="3"/>
  <c r="C89" i="3"/>
  <c r="M74" i="3"/>
  <c r="G89" i="3"/>
  <c r="E71" i="3"/>
  <c r="Q74" i="3"/>
  <c r="I71" i="3"/>
  <c r="E75" i="3"/>
  <c r="E90" i="3"/>
  <c r="I75" i="3"/>
  <c r="I90" i="3"/>
  <c r="E73" i="3"/>
  <c r="S71" i="3"/>
  <c r="O75" i="3"/>
  <c r="C91" i="3"/>
  <c r="G91" i="3"/>
  <c r="C72" i="3"/>
  <c r="B58" i="3"/>
  <c r="B60" i="3" s="1"/>
  <c r="B61" i="3" s="1"/>
  <c r="G72" i="3"/>
  <c r="G76" i="3"/>
  <c r="E92" i="3"/>
  <c r="Q76" i="3"/>
  <c r="I92" i="3"/>
  <c r="Q72" i="3"/>
  <c r="I77" i="3"/>
  <c r="G93" i="3"/>
  <c r="I68" i="2"/>
  <c r="I81" i="2"/>
  <c r="G82" i="2"/>
  <c r="I64" i="2"/>
  <c r="S68" i="2"/>
  <c r="E83" i="2"/>
  <c r="C69" i="2"/>
  <c r="I83" i="2"/>
  <c r="O68" i="2"/>
  <c r="G65" i="2"/>
  <c r="G69" i="2"/>
  <c r="C84" i="2"/>
  <c r="M69" i="2"/>
  <c r="G84" i="2"/>
  <c r="E66" i="2"/>
  <c r="Q69" i="2"/>
  <c r="I66" i="2"/>
  <c r="E70" i="2"/>
  <c r="E85" i="2"/>
  <c r="I70" i="2"/>
  <c r="I85" i="2"/>
  <c r="S66" i="2"/>
  <c r="O70" i="2"/>
  <c r="C86" i="2"/>
  <c r="C67" i="2"/>
  <c r="S70" i="2"/>
  <c r="G86" i="2"/>
  <c r="B53" i="2"/>
  <c r="B55" i="2" s="1"/>
  <c r="B56" i="2" s="1"/>
  <c r="G67" i="2"/>
  <c r="G71" i="2"/>
  <c r="E87" i="2"/>
  <c r="Q71" i="2"/>
  <c r="I87" i="2"/>
  <c r="Q67" i="2"/>
  <c r="I72" i="2"/>
  <c r="G88" i="2"/>
  <c r="B76" i="2" l="1"/>
</calcChain>
</file>

<file path=xl/sharedStrings.xml><?xml version="1.0" encoding="utf-8"?>
<sst xmlns="http://schemas.openxmlformats.org/spreadsheetml/2006/main" count="99" uniqueCount="54">
  <si>
    <t>ABANDONMENT VALUE--DETAILS OF YEAR 1 CALCULATION</t>
  </si>
  <si>
    <t>Project cash flows</t>
  </si>
  <si>
    <t>Year</t>
  </si>
  <si>
    <t>Cash flow</t>
  </si>
  <si>
    <t>Risk-adjusted discount rate</t>
  </si>
  <si>
    <t>The project's cost of capital</t>
  </si>
  <si>
    <t>NPV without options</t>
  </si>
  <si>
    <t>Valuing the year-1 abandonment put</t>
  </si>
  <si>
    <t>Value of project, end year 1</t>
  </si>
  <si>
    <t>Abandonment value</t>
  </si>
  <si>
    <t>Like strike price in put formula</t>
  </si>
  <si>
    <t>Time to option maturity (years)</t>
  </si>
  <si>
    <t>Risk-free rate</t>
  </si>
  <si>
    <t>Sigma</t>
  </si>
  <si>
    <t>Put value</t>
  </si>
  <si>
    <t>Black-Scholes Put Option Pricing Formula</t>
  </si>
  <si>
    <t>S</t>
  </si>
  <si>
    <t>PV of CFs, discounted at risk-adjusted discount rate</t>
  </si>
  <si>
    <t>X</t>
  </si>
  <si>
    <t>Exercise price = Abandonment cost</t>
  </si>
  <si>
    <t>r</t>
  </si>
  <si>
    <t>Risk-free rate of interest</t>
  </si>
  <si>
    <t>T</t>
  </si>
  <si>
    <t>Time to maturity of option (in years)</t>
  </si>
  <si>
    <t>&lt;--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</si>
  <si>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</si>
  <si>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</si>
  <si>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</si>
  <si>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</si>
  <si>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</si>
  <si>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</si>
  <si>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</si>
  <si>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</si>
  <si>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Option value = BS 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</si>
  <si>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</si>
  <si>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State prices</t>
  </si>
  <si>
    <t>Up</t>
  </si>
  <si>
    <r>
      <t>q</t>
    </r>
    <r>
      <rPr>
        <vertAlign val="subscript"/>
        <sz val="10"/>
        <rFont val="Arial"/>
        <family val="2"/>
      </rPr>
      <t>u</t>
    </r>
  </si>
  <si>
    <t>Down</t>
  </si>
  <si>
    <r>
      <t>q</t>
    </r>
    <r>
      <rPr>
        <vertAlign val="subscript"/>
        <sz val="10"/>
        <rFont val="Arial"/>
        <family val="2"/>
      </rPr>
      <t>d</t>
    </r>
  </si>
  <si>
    <t>Mean</t>
  </si>
  <si>
    <t>Cash flows</t>
  </si>
  <si>
    <t>State dependent present-value factors</t>
  </si>
  <si>
    <t>Project present value</t>
  </si>
  <si>
    <t>&lt;-- =SUMPRODUCT(A30:I37,K30:S37)</t>
  </si>
  <si>
    <t>Cash flows with abandonment</t>
  </si>
  <si>
    <t>Terminal value on abandonment</t>
  </si>
  <si>
    <t>PRICING AN ABANDONMENT OPTION AS A SERIES OF PUTS</t>
  </si>
  <si>
    <t>Project can be abandoned at end of any year for this amount</t>
  </si>
  <si>
    <t>NPV of cash flows at RADR</t>
  </si>
  <si>
    <t>Value of abandonment option</t>
  </si>
  <si>
    <t>Adjusted present value</t>
  </si>
  <si>
    <t>End-year value of remaining cash flows</t>
  </si>
  <si>
    <t>Put option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</si>
</sst>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3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3" fontId="2" fillId="0" borderId="0" xfId="1" applyNumberFormat="1" applyAlignment="1">
      <alignment horizontal="center"/>
    </xf>
    <xf numFmtId="3" fontId="2" fillId="0" borderId="0" xfId="1" applyNumberFormat="1"/>
    <xf numFmtId="9" fontId="2" fillId="0" borderId="0" xfId="1" applyNumberFormat="1"/>
    <xf numFmtId="2" fontId="2" fillId="0" borderId="0" xfId="1" applyNumberFormat="1"/>
    <xf numFmtId="40" fontId="2" fillId="0" borderId="0" xfId="1" applyNumberFormat="1"/>
    <xf numFmtId="0" fontId="2" fillId="2" borderId="0" xfId="1" applyFill="1"/>
    <xf numFmtId="2" fontId="2" fillId="2" borderId="0" xfId="1" applyNumberFormat="1" applyFill="1"/>
    <xf numFmtId="9" fontId="4" fillId="0" borderId="0" xfId="2" applyFont="1" applyAlignment="1">
      <alignment horizontal="left"/>
    </xf>
    <xf numFmtId="9" fontId="5" fillId="0" borderId="0" xfId="2" applyFont="1" applyAlignment="1">
      <alignment horizontal="centerContinuous"/>
    </xf>
    <xf numFmtId="9" fontId="0" fillId="0" borderId="0" xfId="2" applyFont="1"/>
    <xf numFmtId="2" fontId="0" fillId="0" borderId="0" xfId="2" applyNumberFormat="1" applyFont="1"/>
    <xf numFmtId="10" fontId="0" fillId="0" borderId="0" xfId="2" applyNumberFormat="1" applyFont="1"/>
    <xf numFmtId="0" fontId="0" fillId="0" borderId="0" xfId="2" applyNumberFormat="1" applyFont="1"/>
    <xf numFmtId="176" fontId="0" fillId="0" borderId="0" xfId="2" quotePrefix="1" applyNumberFormat="1" applyFont="1"/>
    <xf numFmtId="176" fontId="0" fillId="0" borderId="0" xfId="2" applyNumberFormat="1" applyFont="1"/>
    <xf numFmtId="177" fontId="2" fillId="0" borderId="0" xfId="1" applyNumberFormat="1"/>
    <xf numFmtId="0" fontId="4" fillId="0" borderId="0" xfId="1" applyFont="1" applyAlignment="1">
      <alignment horizontal="right"/>
    </xf>
    <xf numFmtId="9" fontId="4" fillId="0" borderId="0" xfId="1" applyNumberFormat="1" applyFont="1" applyAlignment="1">
      <alignment horizontal="center"/>
    </xf>
    <xf numFmtId="0" fontId="2" fillId="0" borderId="0" xfId="1" applyAlignment="1">
      <alignment horizontal="left"/>
    </xf>
    <xf numFmtId="2" fontId="2" fillId="0" borderId="0" xfId="1" applyNumberFormat="1" applyAlignment="1">
      <alignment horizontal="center"/>
    </xf>
    <xf numFmtId="2" fontId="2" fillId="0" borderId="0" xfId="1" quotePrefix="1" applyNumberFormat="1" applyAlignment="1">
      <alignment horizontal="center"/>
    </xf>
    <xf numFmtId="2" fontId="2" fillId="0" borderId="0" xfId="1" applyNumberFormat="1" applyAlignment="1">
      <alignment horizontal="right"/>
    </xf>
    <xf numFmtId="2" fontId="2" fillId="0" borderId="0" xfId="1" applyNumberFormat="1" applyAlignment="1">
      <alignment horizontal="left"/>
    </xf>
    <xf numFmtId="176" fontId="2" fillId="0" borderId="0" xfId="1" applyNumberFormat="1"/>
    <xf numFmtId="176" fontId="4" fillId="0" borderId="0" xfId="1" applyNumberFormat="1" applyFont="1"/>
    <xf numFmtId="176" fontId="2" fillId="0" borderId="0" xfId="1" applyNumberFormat="1" applyAlignment="1">
      <alignment horizontal="left"/>
    </xf>
    <xf numFmtId="176" fontId="2" fillId="0" borderId="0" xfId="1" quotePrefix="1" applyNumberFormat="1" applyAlignment="1">
      <alignment horizontal="center"/>
    </xf>
    <xf numFmtId="0" fontId="2" fillId="3" borderId="0" xfId="1" applyFill="1"/>
    <xf numFmtId="2" fontId="2" fillId="3" borderId="0" xfId="1" applyNumberFormat="1" applyFill="1"/>
    <xf numFmtId="0" fontId="2" fillId="4" borderId="0" xfId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7" fillId="0" borderId="0" xfId="1" applyFont="1"/>
  </cellXfs>
  <cellStyles count="3">
    <cellStyle name="百分比 2" xfId="2" xr:uid="{3BF19BB8-89DB-476D-9D4E-D43470B50605}"/>
    <cellStyle name="常规" xfId="0" builtinId="0"/>
    <cellStyle name="常规 2" xfId="1" xr:uid="{ACE5313C-F861-457B-9FBD-7C2F49D520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77F6526-1C5D-43BE-A9D6-E3E2E14F9A7F}"/>
            </a:ext>
          </a:extLst>
        </xdr:cNvPr>
        <xdr:cNvSpPr>
          <a:spLocks noChangeShapeType="1"/>
        </xdr:cNvSpPr>
      </xdr:nvSpPr>
      <xdr:spPr bwMode="auto">
        <a:xfrm>
          <a:off x="6915150" y="306133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EAFAED1-F6A6-44AE-B070-48BD71FBBD54}"/>
            </a:ext>
          </a:extLst>
        </xdr:cNvPr>
        <xdr:cNvSpPr>
          <a:spLocks noChangeShapeType="1"/>
        </xdr:cNvSpPr>
      </xdr:nvSpPr>
      <xdr:spPr bwMode="auto">
        <a:xfrm flipV="1">
          <a:off x="6905625" y="306133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8CB1FDF1-D6A2-4F29-BAD6-7BC007F455E3}"/>
            </a:ext>
          </a:extLst>
        </xdr:cNvPr>
        <xdr:cNvSpPr>
          <a:spLocks noChangeShapeType="1"/>
        </xdr:cNvSpPr>
      </xdr:nvSpPr>
      <xdr:spPr bwMode="auto">
        <a:xfrm>
          <a:off x="6915150" y="306133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C84A839-55C1-42C4-B75D-5FB334C87EB2}"/>
            </a:ext>
          </a:extLst>
        </xdr:cNvPr>
        <xdr:cNvSpPr>
          <a:spLocks noChangeShapeType="1"/>
        </xdr:cNvSpPr>
      </xdr:nvSpPr>
      <xdr:spPr bwMode="auto">
        <a:xfrm flipV="1">
          <a:off x="6905625" y="306133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491B469B-B65E-45BD-B639-BD061E7649C4}"/>
            </a:ext>
          </a:extLst>
        </xdr:cNvPr>
        <xdr:cNvSpPr>
          <a:spLocks noChangeShapeType="1"/>
        </xdr:cNvSpPr>
      </xdr:nvSpPr>
      <xdr:spPr bwMode="auto">
        <a:xfrm>
          <a:off x="6915150" y="306133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9B1C610-36F1-4F93-8173-1929457A94E9}"/>
            </a:ext>
          </a:extLst>
        </xdr:cNvPr>
        <xdr:cNvSpPr>
          <a:spLocks noChangeShapeType="1"/>
        </xdr:cNvSpPr>
      </xdr:nvSpPr>
      <xdr:spPr bwMode="auto">
        <a:xfrm flipV="1">
          <a:off x="6905625" y="306133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177</xdr:row>
      <xdr:rowOff>0</xdr:rowOff>
    </xdr:from>
    <xdr:to>
      <xdr:col>9</xdr:col>
      <xdr:colOff>0</xdr:colOff>
      <xdr:row>177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D3E373AE-BF55-4BB2-82EC-5815B70300CD}"/>
            </a:ext>
          </a:extLst>
        </xdr:cNvPr>
        <xdr:cNvSpPr>
          <a:spLocks noChangeShapeType="1"/>
        </xdr:cNvSpPr>
      </xdr:nvSpPr>
      <xdr:spPr bwMode="auto">
        <a:xfrm>
          <a:off x="6915150" y="306133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177</xdr:row>
      <xdr:rowOff>0</xdr:rowOff>
    </xdr:from>
    <xdr:to>
      <xdr:col>6</xdr:col>
      <xdr:colOff>480060</xdr:colOff>
      <xdr:row>177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90961AD9-3A6E-4526-A2BF-22E28A41B372}"/>
            </a:ext>
          </a:extLst>
        </xdr:cNvPr>
        <xdr:cNvSpPr>
          <a:spLocks noChangeShapeType="1"/>
        </xdr:cNvSpPr>
      </xdr:nvSpPr>
      <xdr:spPr bwMode="auto">
        <a:xfrm flipH="1" flipV="1">
          <a:off x="5514975" y="30613350"/>
          <a:ext cx="647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177</xdr:row>
      <xdr:rowOff>0</xdr:rowOff>
    </xdr:from>
    <xdr:to>
      <xdr:col>7</xdr:col>
      <xdr:colOff>0</xdr:colOff>
      <xdr:row>177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984D17D1-75D1-4986-9F12-FAC5AA86D1C2}"/>
            </a:ext>
          </a:extLst>
        </xdr:cNvPr>
        <xdr:cNvSpPr>
          <a:spLocks noChangeShapeType="1"/>
        </xdr:cNvSpPr>
      </xdr:nvSpPr>
      <xdr:spPr bwMode="auto">
        <a:xfrm flipV="1">
          <a:off x="5705475" y="30613350"/>
          <a:ext cx="590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177</xdr:row>
      <xdr:rowOff>0</xdr:rowOff>
    </xdr:from>
    <xdr:to>
      <xdr:col>6</xdr:col>
      <xdr:colOff>480060</xdr:colOff>
      <xdr:row>177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869A8159-EFD9-475C-8DCF-A345098FD96D}"/>
            </a:ext>
          </a:extLst>
        </xdr:cNvPr>
        <xdr:cNvSpPr>
          <a:spLocks noChangeShapeType="1"/>
        </xdr:cNvSpPr>
      </xdr:nvSpPr>
      <xdr:spPr bwMode="auto">
        <a:xfrm flipH="1" flipV="1">
          <a:off x="5514975" y="30613350"/>
          <a:ext cx="647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66</xdr:row>
      <xdr:rowOff>60960</xdr:rowOff>
    </xdr:from>
    <xdr:to>
      <xdr:col>2</xdr:col>
      <xdr:colOff>0</xdr:colOff>
      <xdr:row>67</xdr:row>
      <xdr:rowOff>68580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3F2BC3F1-5566-4750-AD5F-D1AFB12F603D}"/>
            </a:ext>
          </a:extLst>
        </xdr:cNvPr>
        <xdr:cNvSpPr>
          <a:spLocks noChangeShapeType="1"/>
        </xdr:cNvSpPr>
      </xdr:nvSpPr>
      <xdr:spPr bwMode="auto">
        <a:xfrm flipV="1">
          <a:off x="2352675" y="11639550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67</xdr:row>
      <xdr:rowOff>76200</xdr:rowOff>
    </xdr:from>
    <xdr:to>
      <xdr:col>2</xdr:col>
      <xdr:colOff>7620</xdr:colOff>
      <xdr:row>68</xdr:row>
      <xdr:rowOff>68580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1863E19-04F1-43D7-849A-1A5BEED2B897}"/>
            </a:ext>
          </a:extLst>
        </xdr:cNvPr>
        <xdr:cNvSpPr>
          <a:spLocks noChangeShapeType="1"/>
        </xdr:cNvSpPr>
      </xdr:nvSpPr>
      <xdr:spPr bwMode="auto">
        <a:xfrm>
          <a:off x="2352675" y="11830050"/>
          <a:ext cx="6762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67</xdr:row>
      <xdr:rowOff>68580</xdr:rowOff>
    </xdr:from>
    <xdr:to>
      <xdr:col>4</xdr:col>
      <xdr:colOff>7620</xdr:colOff>
      <xdr:row>68</xdr:row>
      <xdr:rowOff>76200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5108D374-FB4F-48C1-B4EE-5A15C837C101}"/>
            </a:ext>
          </a:extLst>
        </xdr:cNvPr>
        <xdr:cNvSpPr>
          <a:spLocks noChangeShapeType="1"/>
        </xdr:cNvSpPr>
      </xdr:nvSpPr>
      <xdr:spPr bwMode="auto">
        <a:xfrm flipV="1">
          <a:off x="3705225" y="11820525"/>
          <a:ext cx="6572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68</xdr:row>
      <xdr:rowOff>91440</xdr:rowOff>
    </xdr:from>
    <xdr:to>
      <xdr:col>4</xdr:col>
      <xdr:colOff>0</xdr:colOff>
      <xdr:row>69</xdr:row>
      <xdr:rowOff>83820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C5E2B96C-BFFC-4765-8D42-11B9C55FDB7E}"/>
            </a:ext>
          </a:extLst>
        </xdr:cNvPr>
        <xdr:cNvSpPr>
          <a:spLocks noChangeShapeType="1"/>
        </xdr:cNvSpPr>
      </xdr:nvSpPr>
      <xdr:spPr bwMode="auto">
        <a:xfrm>
          <a:off x="3705225" y="12020550"/>
          <a:ext cx="6477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66</xdr:row>
      <xdr:rowOff>60960</xdr:rowOff>
    </xdr:from>
    <xdr:to>
      <xdr:col>4</xdr:col>
      <xdr:colOff>7620</xdr:colOff>
      <xdr:row>67</xdr:row>
      <xdr:rowOff>60960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B996164-5FCE-4CCB-86E7-E189C960FB2E}"/>
            </a:ext>
          </a:extLst>
        </xdr:cNvPr>
        <xdr:cNvSpPr>
          <a:spLocks noChangeShapeType="1"/>
        </xdr:cNvSpPr>
      </xdr:nvSpPr>
      <xdr:spPr bwMode="auto">
        <a:xfrm>
          <a:off x="3686175" y="11639550"/>
          <a:ext cx="6762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65</xdr:row>
      <xdr:rowOff>53340</xdr:rowOff>
    </xdr:from>
    <xdr:to>
      <xdr:col>4</xdr:col>
      <xdr:colOff>7620</xdr:colOff>
      <xdr:row>66</xdr:row>
      <xdr:rowOff>53340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A28003B5-5A22-4989-8C2F-819062256CF1}"/>
            </a:ext>
          </a:extLst>
        </xdr:cNvPr>
        <xdr:cNvSpPr>
          <a:spLocks noChangeShapeType="1"/>
        </xdr:cNvSpPr>
      </xdr:nvSpPr>
      <xdr:spPr bwMode="auto">
        <a:xfrm flipV="1">
          <a:off x="3705225" y="11468100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66</xdr:row>
      <xdr:rowOff>68580</xdr:rowOff>
    </xdr:from>
    <xdr:to>
      <xdr:col>6</xdr:col>
      <xdr:colOff>7620</xdr:colOff>
      <xdr:row>67</xdr:row>
      <xdr:rowOff>76200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9D336955-8983-461C-8D20-B47BB95B70A9}"/>
            </a:ext>
          </a:extLst>
        </xdr:cNvPr>
        <xdr:cNvSpPr>
          <a:spLocks noChangeShapeType="1"/>
        </xdr:cNvSpPr>
      </xdr:nvSpPr>
      <xdr:spPr bwMode="auto">
        <a:xfrm flipV="1">
          <a:off x="5038725" y="11649075"/>
          <a:ext cx="6572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67</xdr:row>
      <xdr:rowOff>91440</xdr:rowOff>
    </xdr:from>
    <xdr:to>
      <xdr:col>6</xdr:col>
      <xdr:colOff>0</xdr:colOff>
      <xdr:row>68</xdr:row>
      <xdr:rowOff>83820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A3720E82-4CA8-4C2E-BEC7-B42531E1EACA}"/>
            </a:ext>
          </a:extLst>
        </xdr:cNvPr>
        <xdr:cNvSpPr>
          <a:spLocks noChangeShapeType="1"/>
        </xdr:cNvSpPr>
      </xdr:nvSpPr>
      <xdr:spPr bwMode="auto">
        <a:xfrm>
          <a:off x="5038725" y="11849100"/>
          <a:ext cx="6477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65</xdr:row>
      <xdr:rowOff>60960</xdr:rowOff>
    </xdr:from>
    <xdr:to>
      <xdr:col>6</xdr:col>
      <xdr:colOff>7620</xdr:colOff>
      <xdr:row>66</xdr:row>
      <xdr:rowOff>60960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15E882E-A641-490A-BE2B-74837F224AE8}"/>
            </a:ext>
          </a:extLst>
        </xdr:cNvPr>
        <xdr:cNvSpPr>
          <a:spLocks noChangeShapeType="1"/>
        </xdr:cNvSpPr>
      </xdr:nvSpPr>
      <xdr:spPr bwMode="auto">
        <a:xfrm>
          <a:off x="5019675" y="11468100"/>
          <a:ext cx="6762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64</xdr:row>
      <xdr:rowOff>53340</xdr:rowOff>
    </xdr:from>
    <xdr:to>
      <xdr:col>6</xdr:col>
      <xdr:colOff>7620</xdr:colOff>
      <xdr:row>65</xdr:row>
      <xdr:rowOff>53340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8194AA76-7A02-4392-AE7D-6C9BD66751CE}"/>
            </a:ext>
          </a:extLst>
        </xdr:cNvPr>
        <xdr:cNvSpPr>
          <a:spLocks noChangeShapeType="1"/>
        </xdr:cNvSpPr>
      </xdr:nvSpPr>
      <xdr:spPr bwMode="auto">
        <a:xfrm flipV="1">
          <a:off x="5038725" y="11296650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65</xdr:row>
      <xdr:rowOff>68580</xdr:rowOff>
    </xdr:from>
    <xdr:to>
      <xdr:col>8</xdr:col>
      <xdr:colOff>7620</xdr:colOff>
      <xdr:row>66</xdr:row>
      <xdr:rowOff>76200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35EA661C-A658-47C2-B35F-583AD9A53799}"/>
            </a:ext>
          </a:extLst>
        </xdr:cNvPr>
        <xdr:cNvSpPr>
          <a:spLocks noChangeShapeType="1"/>
        </xdr:cNvSpPr>
      </xdr:nvSpPr>
      <xdr:spPr bwMode="auto">
        <a:xfrm flipV="1">
          <a:off x="6315075" y="114776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66</xdr:row>
      <xdr:rowOff>83820</xdr:rowOff>
    </xdr:from>
    <xdr:to>
      <xdr:col>8</xdr:col>
      <xdr:colOff>0</xdr:colOff>
      <xdr:row>67</xdr:row>
      <xdr:rowOff>76200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4D6B25B4-82C8-44CA-A995-04E172E78BB9}"/>
            </a:ext>
          </a:extLst>
        </xdr:cNvPr>
        <xdr:cNvSpPr>
          <a:spLocks noChangeShapeType="1"/>
        </xdr:cNvSpPr>
      </xdr:nvSpPr>
      <xdr:spPr bwMode="auto">
        <a:xfrm>
          <a:off x="6315075" y="116681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64</xdr:row>
      <xdr:rowOff>60960</xdr:rowOff>
    </xdr:from>
    <xdr:to>
      <xdr:col>8</xdr:col>
      <xdr:colOff>7620</xdr:colOff>
      <xdr:row>65</xdr:row>
      <xdr:rowOff>60960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AAB2FEAE-2DEE-4A18-B3E3-0D6D3DEE487F}"/>
            </a:ext>
          </a:extLst>
        </xdr:cNvPr>
        <xdr:cNvSpPr>
          <a:spLocks noChangeShapeType="1"/>
        </xdr:cNvSpPr>
      </xdr:nvSpPr>
      <xdr:spPr bwMode="auto">
        <a:xfrm>
          <a:off x="6296025" y="112966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63</xdr:row>
      <xdr:rowOff>53340</xdr:rowOff>
    </xdr:from>
    <xdr:to>
      <xdr:col>8</xdr:col>
      <xdr:colOff>7620</xdr:colOff>
      <xdr:row>64</xdr:row>
      <xdr:rowOff>53340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B779A82A-3DEF-4DE0-8DE6-EC4BED3BDC26}"/>
            </a:ext>
          </a:extLst>
        </xdr:cNvPr>
        <xdr:cNvSpPr>
          <a:spLocks noChangeShapeType="1"/>
        </xdr:cNvSpPr>
      </xdr:nvSpPr>
      <xdr:spPr bwMode="auto">
        <a:xfrm flipV="1">
          <a:off x="6315075" y="111252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69</xdr:row>
      <xdr:rowOff>68580</xdr:rowOff>
    </xdr:from>
    <xdr:to>
      <xdr:col>8</xdr:col>
      <xdr:colOff>7620</xdr:colOff>
      <xdr:row>70</xdr:row>
      <xdr:rowOff>76200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8F2F90F0-2140-4336-91D3-403F9ACCD391}"/>
            </a:ext>
          </a:extLst>
        </xdr:cNvPr>
        <xdr:cNvSpPr>
          <a:spLocks noChangeShapeType="1"/>
        </xdr:cNvSpPr>
      </xdr:nvSpPr>
      <xdr:spPr bwMode="auto">
        <a:xfrm flipV="1">
          <a:off x="6315075" y="121634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70</xdr:row>
      <xdr:rowOff>91440</xdr:rowOff>
    </xdr:from>
    <xdr:to>
      <xdr:col>8</xdr:col>
      <xdr:colOff>0</xdr:colOff>
      <xdr:row>71</xdr:row>
      <xdr:rowOff>83820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42B02A3F-F1AB-4965-8997-DB6C13D6B11D}"/>
            </a:ext>
          </a:extLst>
        </xdr:cNvPr>
        <xdr:cNvSpPr>
          <a:spLocks noChangeShapeType="1"/>
        </xdr:cNvSpPr>
      </xdr:nvSpPr>
      <xdr:spPr bwMode="auto">
        <a:xfrm>
          <a:off x="6315075" y="123634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68</xdr:row>
      <xdr:rowOff>60960</xdr:rowOff>
    </xdr:from>
    <xdr:to>
      <xdr:col>8</xdr:col>
      <xdr:colOff>7620</xdr:colOff>
      <xdr:row>69</xdr:row>
      <xdr:rowOff>60960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103DBF0C-C751-49EF-9504-770BFAB2437E}"/>
            </a:ext>
          </a:extLst>
        </xdr:cNvPr>
        <xdr:cNvSpPr>
          <a:spLocks noChangeShapeType="1"/>
        </xdr:cNvSpPr>
      </xdr:nvSpPr>
      <xdr:spPr bwMode="auto">
        <a:xfrm>
          <a:off x="6296025" y="119824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</xdr:colOff>
      <xdr:row>67</xdr:row>
      <xdr:rowOff>76200</xdr:rowOff>
    </xdr:from>
    <xdr:to>
      <xdr:col>8</xdr:col>
      <xdr:colOff>15240</xdr:colOff>
      <xdr:row>68</xdr:row>
      <xdr:rowOff>76200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5240D49F-1A87-4648-968E-83664A524AA7}"/>
            </a:ext>
          </a:extLst>
        </xdr:cNvPr>
        <xdr:cNvSpPr>
          <a:spLocks noChangeShapeType="1"/>
        </xdr:cNvSpPr>
      </xdr:nvSpPr>
      <xdr:spPr bwMode="auto">
        <a:xfrm flipV="1">
          <a:off x="6315075" y="1183005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68</xdr:row>
      <xdr:rowOff>83820</xdr:rowOff>
    </xdr:from>
    <xdr:to>
      <xdr:col>6</xdr:col>
      <xdr:colOff>15240</xdr:colOff>
      <xdr:row>69</xdr:row>
      <xdr:rowOff>60960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B5503D51-4D9C-48FB-91E4-2923A59B4817}"/>
            </a:ext>
          </a:extLst>
        </xdr:cNvPr>
        <xdr:cNvSpPr>
          <a:spLocks noChangeShapeType="1"/>
        </xdr:cNvSpPr>
      </xdr:nvSpPr>
      <xdr:spPr bwMode="auto">
        <a:xfrm flipV="1">
          <a:off x="5019675" y="12011025"/>
          <a:ext cx="6858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69</xdr:row>
      <xdr:rowOff>60960</xdr:rowOff>
    </xdr:from>
    <xdr:to>
      <xdr:col>6</xdr:col>
      <xdr:colOff>0</xdr:colOff>
      <xdr:row>70</xdr:row>
      <xdr:rowOff>68580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675A9AC6-09C7-445F-83EF-BB7183B9CC1C}"/>
            </a:ext>
          </a:extLst>
        </xdr:cNvPr>
        <xdr:cNvSpPr>
          <a:spLocks noChangeShapeType="1"/>
        </xdr:cNvSpPr>
      </xdr:nvSpPr>
      <xdr:spPr bwMode="auto">
        <a:xfrm>
          <a:off x="5029200" y="12153900"/>
          <a:ext cx="6572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64</xdr:row>
      <xdr:rowOff>53340</xdr:rowOff>
    </xdr:from>
    <xdr:to>
      <xdr:col>6</xdr:col>
      <xdr:colOff>7620</xdr:colOff>
      <xdr:row>65</xdr:row>
      <xdr:rowOff>53340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209F8668-B650-45A5-BAC6-D55ACCB196F8}"/>
            </a:ext>
          </a:extLst>
        </xdr:cNvPr>
        <xdr:cNvSpPr>
          <a:spLocks noChangeShapeType="1"/>
        </xdr:cNvSpPr>
      </xdr:nvSpPr>
      <xdr:spPr bwMode="auto">
        <a:xfrm flipV="1">
          <a:off x="5038725" y="11296650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63</xdr:row>
      <xdr:rowOff>53340</xdr:rowOff>
    </xdr:from>
    <xdr:to>
      <xdr:col>8</xdr:col>
      <xdr:colOff>7620</xdr:colOff>
      <xdr:row>64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F3A035DF-51B5-46A6-996E-6D2C66827E19}"/>
            </a:ext>
          </a:extLst>
        </xdr:cNvPr>
        <xdr:cNvSpPr>
          <a:spLocks noChangeShapeType="1"/>
        </xdr:cNvSpPr>
      </xdr:nvSpPr>
      <xdr:spPr bwMode="auto">
        <a:xfrm flipV="1">
          <a:off x="6315075" y="111252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63</xdr:row>
      <xdr:rowOff>53340</xdr:rowOff>
    </xdr:from>
    <xdr:to>
      <xdr:col>8</xdr:col>
      <xdr:colOff>7620</xdr:colOff>
      <xdr:row>64</xdr:row>
      <xdr:rowOff>53340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8B5A3701-AAF1-4EE8-8253-F2942FD214BA}"/>
            </a:ext>
          </a:extLst>
        </xdr:cNvPr>
        <xdr:cNvSpPr>
          <a:spLocks noChangeShapeType="1"/>
        </xdr:cNvSpPr>
      </xdr:nvSpPr>
      <xdr:spPr bwMode="auto">
        <a:xfrm flipV="1">
          <a:off x="6315075" y="111252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83</xdr:row>
      <xdr:rowOff>60960</xdr:rowOff>
    </xdr:from>
    <xdr:to>
      <xdr:col>2</xdr:col>
      <xdr:colOff>0</xdr:colOff>
      <xdr:row>84</xdr:row>
      <xdr:rowOff>68580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43672C2F-AA19-4873-8186-962E465909E3}"/>
            </a:ext>
          </a:extLst>
        </xdr:cNvPr>
        <xdr:cNvSpPr>
          <a:spLocks noChangeShapeType="1"/>
        </xdr:cNvSpPr>
      </xdr:nvSpPr>
      <xdr:spPr bwMode="auto">
        <a:xfrm flipV="1">
          <a:off x="2352675" y="14554200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84</xdr:row>
      <xdr:rowOff>76200</xdr:rowOff>
    </xdr:from>
    <xdr:to>
      <xdr:col>2</xdr:col>
      <xdr:colOff>7620</xdr:colOff>
      <xdr:row>85</xdr:row>
      <xdr:rowOff>68580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4B004B3-42FA-41DA-9011-8ACE5F5258B5}"/>
            </a:ext>
          </a:extLst>
        </xdr:cNvPr>
        <xdr:cNvSpPr>
          <a:spLocks noChangeShapeType="1"/>
        </xdr:cNvSpPr>
      </xdr:nvSpPr>
      <xdr:spPr bwMode="auto">
        <a:xfrm>
          <a:off x="2352675" y="14744700"/>
          <a:ext cx="6762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84</xdr:row>
      <xdr:rowOff>68580</xdr:rowOff>
    </xdr:from>
    <xdr:to>
      <xdr:col>4</xdr:col>
      <xdr:colOff>7620</xdr:colOff>
      <xdr:row>85</xdr:row>
      <xdr:rowOff>76200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FFE3D491-6536-44AE-A7A6-C8E04AAE5EDD}"/>
            </a:ext>
          </a:extLst>
        </xdr:cNvPr>
        <xdr:cNvSpPr>
          <a:spLocks noChangeShapeType="1"/>
        </xdr:cNvSpPr>
      </xdr:nvSpPr>
      <xdr:spPr bwMode="auto">
        <a:xfrm flipV="1">
          <a:off x="3705225" y="14735175"/>
          <a:ext cx="6572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85</xdr:row>
      <xdr:rowOff>91440</xdr:rowOff>
    </xdr:from>
    <xdr:to>
      <xdr:col>4</xdr:col>
      <xdr:colOff>0</xdr:colOff>
      <xdr:row>86</xdr:row>
      <xdr:rowOff>83820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102BE4D0-4393-4712-BE51-03C4B2A5E6FC}"/>
            </a:ext>
          </a:extLst>
        </xdr:cNvPr>
        <xdr:cNvSpPr>
          <a:spLocks noChangeShapeType="1"/>
        </xdr:cNvSpPr>
      </xdr:nvSpPr>
      <xdr:spPr bwMode="auto">
        <a:xfrm>
          <a:off x="3705225" y="14935200"/>
          <a:ext cx="6477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83</xdr:row>
      <xdr:rowOff>60960</xdr:rowOff>
    </xdr:from>
    <xdr:to>
      <xdr:col>4</xdr:col>
      <xdr:colOff>7620</xdr:colOff>
      <xdr:row>84</xdr:row>
      <xdr:rowOff>60960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DABD338F-BE2E-4F5B-8B8A-868D7A3A97C7}"/>
            </a:ext>
          </a:extLst>
        </xdr:cNvPr>
        <xdr:cNvSpPr>
          <a:spLocks noChangeShapeType="1"/>
        </xdr:cNvSpPr>
      </xdr:nvSpPr>
      <xdr:spPr bwMode="auto">
        <a:xfrm>
          <a:off x="3686175" y="14554200"/>
          <a:ext cx="6762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82</xdr:row>
      <xdr:rowOff>53340</xdr:rowOff>
    </xdr:from>
    <xdr:to>
      <xdr:col>4</xdr:col>
      <xdr:colOff>7620</xdr:colOff>
      <xdr:row>83</xdr:row>
      <xdr:rowOff>53340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C63E9338-92E9-48D3-B81A-DA4C1751FC7F}"/>
            </a:ext>
          </a:extLst>
        </xdr:cNvPr>
        <xdr:cNvSpPr>
          <a:spLocks noChangeShapeType="1"/>
        </xdr:cNvSpPr>
      </xdr:nvSpPr>
      <xdr:spPr bwMode="auto">
        <a:xfrm flipV="1">
          <a:off x="3705225" y="14382750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83</xdr:row>
      <xdr:rowOff>68580</xdr:rowOff>
    </xdr:from>
    <xdr:to>
      <xdr:col>6</xdr:col>
      <xdr:colOff>7620</xdr:colOff>
      <xdr:row>84</xdr:row>
      <xdr:rowOff>76200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20CB7CDC-6B11-4E0E-A71A-7B515ABE07DF}"/>
            </a:ext>
          </a:extLst>
        </xdr:cNvPr>
        <xdr:cNvSpPr>
          <a:spLocks noChangeShapeType="1"/>
        </xdr:cNvSpPr>
      </xdr:nvSpPr>
      <xdr:spPr bwMode="auto">
        <a:xfrm flipV="1">
          <a:off x="5038725" y="14563725"/>
          <a:ext cx="6572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84</xdr:row>
      <xdr:rowOff>91440</xdr:rowOff>
    </xdr:from>
    <xdr:to>
      <xdr:col>6</xdr:col>
      <xdr:colOff>0</xdr:colOff>
      <xdr:row>85</xdr:row>
      <xdr:rowOff>83820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37B90DF4-1B2C-49CC-9CCA-46550DA501C3}"/>
            </a:ext>
          </a:extLst>
        </xdr:cNvPr>
        <xdr:cNvSpPr>
          <a:spLocks noChangeShapeType="1"/>
        </xdr:cNvSpPr>
      </xdr:nvSpPr>
      <xdr:spPr bwMode="auto">
        <a:xfrm>
          <a:off x="5038725" y="14763750"/>
          <a:ext cx="6477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82</xdr:row>
      <xdr:rowOff>60960</xdr:rowOff>
    </xdr:from>
    <xdr:to>
      <xdr:col>6</xdr:col>
      <xdr:colOff>7620</xdr:colOff>
      <xdr:row>83</xdr:row>
      <xdr:rowOff>60960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4EE43A42-9156-4535-8C27-3BE8404EB727}"/>
            </a:ext>
          </a:extLst>
        </xdr:cNvPr>
        <xdr:cNvSpPr>
          <a:spLocks noChangeShapeType="1"/>
        </xdr:cNvSpPr>
      </xdr:nvSpPr>
      <xdr:spPr bwMode="auto">
        <a:xfrm>
          <a:off x="5019675" y="14382750"/>
          <a:ext cx="6762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81</xdr:row>
      <xdr:rowOff>53340</xdr:rowOff>
    </xdr:from>
    <xdr:to>
      <xdr:col>6</xdr:col>
      <xdr:colOff>7620</xdr:colOff>
      <xdr:row>82</xdr:row>
      <xdr:rowOff>53340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E44D5A0D-D202-4CAA-981D-CCF3B0F8802E}"/>
            </a:ext>
          </a:extLst>
        </xdr:cNvPr>
        <xdr:cNvSpPr>
          <a:spLocks noChangeShapeType="1"/>
        </xdr:cNvSpPr>
      </xdr:nvSpPr>
      <xdr:spPr bwMode="auto">
        <a:xfrm flipV="1">
          <a:off x="5038725" y="14211300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82</xdr:row>
      <xdr:rowOff>60960</xdr:rowOff>
    </xdr:from>
    <xdr:to>
      <xdr:col>8</xdr:col>
      <xdr:colOff>7620</xdr:colOff>
      <xdr:row>83</xdr:row>
      <xdr:rowOff>68580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5FFFE228-9B18-44E2-A9CC-87BA2F8A8055}"/>
            </a:ext>
          </a:extLst>
        </xdr:cNvPr>
        <xdr:cNvSpPr>
          <a:spLocks noChangeShapeType="1"/>
        </xdr:cNvSpPr>
      </xdr:nvSpPr>
      <xdr:spPr bwMode="auto">
        <a:xfrm flipV="1">
          <a:off x="6315075" y="143827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83</xdr:row>
      <xdr:rowOff>76200</xdr:rowOff>
    </xdr:from>
    <xdr:to>
      <xdr:col>8</xdr:col>
      <xdr:colOff>0</xdr:colOff>
      <xdr:row>84</xdr:row>
      <xdr:rowOff>68580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C60AE64A-5DD8-494D-9B70-3D472D566277}"/>
            </a:ext>
          </a:extLst>
        </xdr:cNvPr>
        <xdr:cNvSpPr>
          <a:spLocks noChangeShapeType="1"/>
        </xdr:cNvSpPr>
      </xdr:nvSpPr>
      <xdr:spPr bwMode="auto">
        <a:xfrm>
          <a:off x="6315075" y="145732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81</xdr:row>
      <xdr:rowOff>60960</xdr:rowOff>
    </xdr:from>
    <xdr:to>
      <xdr:col>8</xdr:col>
      <xdr:colOff>7620</xdr:colOff>
      <xdr:row>82</xdr:row>
      <xdr:rowOff>60960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5AF2F4B0-CD7C-4264-B178-3811FE064A52}"/>
            </a:ext>
          </a:extLst>
        </xdr:cNvPr>
        <xdr:cNvSpPr>
          <a:spLocks noChangeShapeType="1"/>
        </xdr:cNvSpPr>
      </xdr:nvSpPr>
      <xdr:spPr bwMode="auto">
        <a:xfrm>
          <a:off x="6296025" y="142113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80</xdr:row>
      <xdr:rowOff>53340</xdr:rowOff>
    </xdr:from>
    <xdr:to>
      <xdr:col>8</xdr:col>
      <xdr:colOff>7620</xdr:colOff>
      <xdr:row>81</xdr:row>
      <xdr:rowOff>53340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16BCFBDD-4D34-485C-A494-DD1E6774956E}"/>
            </a:ext>
          </a:extLst>
        </xdr:cNvPr>
        <xdr:cNvSpPr>
          <a:spLocks noChangeShapeType="1"/>
        </xdr:cNvSpPr>
      </xdr:nvSpPr>
      <xdr:spPr bwMode="auto">
        <a:xfrm flipV="1">
          <a:off x="6315075" y="140398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86</xdr:row>
      <xdr:rowOff>68580</xdr:rowOff>
    </xdr:from>
    <xdr:to>
      <xdr:col>8</xdr:col>
      <xdr:colOff>7620</xdr:colOff>
      <xdr:row>87</xdr:row>
      <xdr:rowOff>76200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F530C62F-6AD2-44A6-8E69-44298FD4AE29}"/>
            </a:ext>
          </a:extLst>
        </xdr:cNvPr>
        <xdr:cNvSpPr>
          <a:spLocks noChangeShapeType="1"/>
        </xdr:cNvSpPr>
      </xdr:nvSpPr>
      <xdr:spPr bwMode="auto">
        <a:xfrm flipV="1">
          <a:off x="6315075" y="150780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87</xdr:row>
      <xdr:rowOff>91440</xdr:rowOff>
    </xdr:from>
    <xdr:to>
      <xdr:col>8</xdr:col>
      <xdr:colOff>0</xdr:colOff>
      <xdr:row>88</xdr:row>
      <xdr:rowOff>83820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0D53C58A-7BAE-4266-869A-47FEF58938E2}"/>
            </a:ext>
          </a:extLst>
        </xdr:cNvPr>
        <xdr:cNvSpPr>
          <a:spLocks noChangeShapeType="1"/>
        </xdr:cNvSpPr>
      </xdr:nvSpPr>
      <xdr:spPr bwMode="auto">
        <a:xfrm>
          <a:off x="6315075" y="1527810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85</xdr:row>
      <xdr:rowOff>60960</xdr:rowOff>
    </xdr:from>
    <xdr:to>
      <xdr:col>8</xdr:col>
      <xdr:colOff>7620</xdr:colOff>
      <xdr:row>86</xdr:row>
      <xdr:rowOff>60960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C6CB7837-0F29-4144-A0BB-DDBF6EDF4BF0}"/>
            </a:ext>
          </a:extLst>
        </xdr:cNvPr>
        <xdr:cNvSpPr>
          <a:spLocks noChangeShapeType="1"/>
        </xdr:cNvSpPr>
      </xdr:nvSpPr>
      <xdr:spPr bwMode="auto">
        <a:xfrm>
          <a:off x="6296025" y="148971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84</xdr:row>
      <xdr:rowOff>53340</xdr:rowOff>
    </xdr:from>
    <xdr:to>
      <xdr:col>8</xdr:col>
      <xdr:colOff>7620</xdr:colOff>
      <xdr:row>85</xdr:row>
      <xdr:rowOff>53340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3F53F68E-8E1A-4CF1-B36D-765401875BE8}"/>
            </a:ext>
          </a:extLst>
        </xdr:cNvPr>
        <xdr:cNvSpPr>
          <a:spLocks noChangeShapeType="1"/>
        </xdr:cNvSpPr>
      </xdr:nvSpPr>
      <xdr:spPr bwMode="auto">
        <a:xfrm flipV="1">
          <a:off x="6315075" y="147256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85</xdr:row>
      <xdr:rowOff>83820</xdr:rowOff>
    </xdr:from>
    <xdr:to>
      <xdr:col>6</xdr:col>
      <xdr:colOff>15240</xdr:colOff>
      <xdr:row>86</xdr:row>
      <xdr:rowOff>60960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8B65EC3C-BB9D-4DE8-9F8C-751209E16372}"/>
            </a:ext>
          </a:extLst>
        </xdr:cNvPr>
        <xdr:cNvSpPr>
          <a:spLocks noChangeShapeType="1"/>
        </xdr:cNvSpPr>
      </xdr:nvSpPr>
      <xdr:spPr bwMode="auto">
        <a:xfrm flipV="1">
          <a:off x="5019675" y="14925675"/>
          <a:ext cx="6858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86</xdr:row>
      <xdr:rowOff>60960</xdr:rowOff>
    </xdr:from>
    <xdr:to>
      <xdr:col>6</xdr:col>
      <xdr:colOff>0</xdr:colOff>
      <xdr:row>87</xdr:row>
      <xdr:rowOff>68580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755304ED-377D-464B-90CC-DAB5B548173C}"/>
            </a:ext>
          </a:extLst>
        </xdr:cNvPr>
        <xdr:cNvSpPr>
          <a:spLocks noChangeShapeType="1"/>
        </xdr:cNvSpPr>
      </xdr:nvSpPr>
      <xdr:spPr bwMode="auto">
        <a:xfrm>
          <a:off x="5029200" y="15068550"/>
          <a:ext cx="6572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81</xdr:row>
      <xdr:rowOff>53340</xdr:rowOff>
    </xdr:from>
    <xdr:to>
      <xdr:col>6</xdr:col>
      <xdr:colOff>7620</xdr:colOff>
      <xdr:row>82</xdr:row>
      <xdr:rowOff>53340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64F32FC5-E016-4588-9038-30FBB2E9CBC0}"/>
            </a:ext>
          </a:extLst>
        </xdr:cNvPr>
        <xdr:cNvSpPr>
          <a:spLocks noChangeShapeType="1"/>
        </xdr:cNvSpPr>
      </xdr:nvSpPr>
      <xdr:spPr bwMode="auto">
        <a:xfrm flipV="1">
          <a:off x="5038725" y="14211300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80</xdr:row>
      <xdr:rowOff>53340</xdr:rowOff>
    </xdr:from>
    <xdr:to>
      <xdr:col>8</xdr:col>
      <xdr:colOff>7620</xdr:colOff>
      <xdr:row>81</xdr:row>
      <xdr:rowOff>53340</xdr:rowOff>
    </xdr:to>
    <xdr:sp macro="" textlink="">
      <xdr:nvSpPr>
        <xdr:cNvPr id="56" name="Line 55">
          <a:extLst>
            <a:ext uri="{FF2B5EF4-FFF2-40B4-BE49-F238E27FC236}">
              <a16:creationId xmlns:a16="http://schemas.microsoft.com/office/drawing/2014/main" id="{C556A09E-4F8F-4896-9BD3-1AB8555F0912}"/>
            </a:ext>
          </a:extLst>
        </xdr:cNvPr>
        <xdr:cNvSpPr>
          <a:spLocks noChangeShapeType="1"/>
        </xdr:cNvSpPr>
      </xdr:nvSpPr>
      <xdr:spPr bwMode="auto">
        <a:xfrm flipV="1">
          <a:off x="6315075" y="140398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80</xdr:row>
      <xdr:rowOff>53340</xdr:rowOff>
    </xdr:from>
    <xdr:to>
      <xdr:col>8</xdr:col>
      <xdr:colOff>7620</xdr:colOff>
      <xdr:row>81</xdr:row>
      <xdr:rowOff>53340</xdr:rowOff>
    </xdr:to>
    <xdr:sp macro="" textlink="">
      <xdr:nvSpPr>
        <xdr:cNvPr id="57" name="Line 56">
          <a:extLst>
            <a:ext uri="{FF2B5EF4-FFF2-40B4-BE49-F238E27FC236}">
              <a16:creationId xmlns:a16="http://schemas.microsoft.com/office/drawing/2014/main" id="{5598AA7A-762B-4B55-97A6-26DEC306B670}"/>
            </a:ext>
          </a:extLst>
        </xdr:cNvPr>
        <xdr:cNvSpPr>
          <a:spLocks noChangeShapeType="1"/>
        </xdr:cNvSpPr>
      </xdr:nvSpPr>
      <xdr:spPr bwMode="auto">
        <a:xfrm flipV="1">
          <a:off x="6315075" y="140398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66</xdr:row>
      <xdr:rowOff>60960</xdr:rowOff>
    </xdr:from>
    <xdr:to>
      <xdr:col>12</xdr:col>
      <xdr:colOff>0</xdr:colOff>
      <xdr:row>67</xdr:row>
      <xdr:rowOff>68580</xdr:rowOff>
    </xdr:to>
    <xdr:sp macro="" textlink="">
      <xdr:nvSpPr>
        <xdr:cNvPr id="58" name="Line 57">
          <a:extLst>
            <a:ext uri="{FF2B5EF4-FFF2-40B4-BE49-F238E27FC236}">
              <a16:creationId xmlns:a16="http://schemas.microsoft.com/office/drawing/2014/main" id="{49EC3F29-F82F-42C1-A276-A473B700CFCF}"/>
            </a:ext>
          </a:extLst>
        </xdr:cNvPr>
        <xdr:cNvSpPr>
          <a:spLocks noChangeShapeType="1"/>
        </xdr:cNvSpPr>
      </xdr:nvSpPr>
      <xdr:spPr bwMode="auto">
        <a:xfrm flipV="1">
          <a:off x="8734425" y="1163955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67</xdr:row>
      <xdr:rowOff>76200</xdr:rowOff>
    </xdr:from>
    <xdr:to>
      <xdr:col>12</xdr:col>
      <xdr:colOff>7620</xdr:colOff>
      <xdr:row>68</xdr:row>
      <xdr:rowOff>68580</xdr:rowOff>
    </xdr:to>
    <xdr:sp macro="" textlink="">
      <xdr:nvSpPr>
        <xdr:cNvPr id="59" name="Line 58">
          <a:extLst>
            <a:ext uri="{FF2B5EF4-FFF2-40B4-BE49-F238E27FC236}">
              <a16:creationId xmlns:a16="http://schemas.microsoft.com/office/drawing/2014/main" id="{D3235931-B096-4C52-A00F-0A6982F5170D}"/>
            </a:ext>
          </a:extLst>
        </xdr:cNvPr>
        <xdr:cNvSpPr>
          <a:spLocks noChangeShapeType="1"/>
        </xdr:cNvSpPr>
      </xdr:nvSpPr>
      <xdr:spPr bwMode="auto">
        <a:xfrm>
          <a:off x="8734425" y="1183005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15240</xdr:colOff>
      <xdr:row>67</xdr:row>
      <xdr:rowOff>68580</xdr:rowOff>
    </xdr:from>
    <xdr:to>
      <xdr:col>14</xdr:col>
      <xdr:colOff>7620</xdr:colOff>
      <xdr:row>68</xdr:row>
      <xdr:rowOff>76200</xdr:rowOff>
    </xdr:to>
    <xdr:sp macro="" textlink="">
      <xdr:nvSpPr>
        <xdr:cNvPr id="60" name="Line 59">
          <a:extLst>
            <a:ext uri="{FF2B5EF4-FFF2-40B4-BE49-F238E27FC236}">
              <a16:creationId xmlns:a16="http://schemas.microsoft.com/office/drawing/2014/main" id="{CD791E59-CF91-4D68-AE43-C65917E4505F}"/>
            </a:ext>
          </a:extLst>
        </xdr:cNvPr>
        <xdr:cNvSpPr>
          <a:spLocks noChangeShapeType="1"/>
        </xdr:cNvSpPr>
      </xdr:nvSpPr>
      <xdr:spPr bwMode="auto">
        <a:xfrm flipV="1">
          <a:off x="9972675" y="118205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15240</xdr:colOff>
      <xdr:row>68</xdr:row>
      <xdr:rowOff>91440</xdr:rowOff>
    </xdr:from>
    <xdr:to>
      <xdr:col>14</xdr:col>
      <xdr:colOff>0</xdr:colOff>
      <xdr:row>69</xdr:row>
      <xdr:rowOff>83820</xdr:rowOff>
    </xdr:to>
    <xdr:sp macro="" textlink="">
      <xdr:nvSpPr>
        <xdr:cNvPr id="61" name="Line 60">
          <a:extLst>
            <a:ext uri="{FF2B5EF4-FFF2-40B4-BE49-F238E27FC236}">
              <a16:creationId xmlns:a16="http://schemas.microsoft.com/office/drawing/2014/main" id="{F7E492E3-CB18-4080-9CD6-6DE347572BEE}"/>
            </a:ext>
          </a:extLst>
        </xdr:cNvPr>
        <xdr:cNvSpPr>
          <a:spLocks noChangeShapeType="1"/>
        </xdr:cNvSpPr>
      </xdr:nvSpPr>
      <xdr:spPr bwMode="auto">
        <a:xfrm>
          <a:off x="9972675" y="120205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66</xdr:row>
      <xdr:rowOff>60960</xdr:rowOff>
    </xdr:from>
    <xdr:to>
      <xdr:col>14</xdr:col>
      <xdr:colOff>7620</xdr:colOff>
      <xdr:row>67</xdr:row>
      <xdr:rowOff>60960</xdr:rowOff>
    </xdr:to>
    <xdr:sp macro="" textlink="">
      <xdr:nvSpPr>
        <xdr:cNvPr id="62" name="Line 61">
          <a:extLst>
            <a:ext uri="{FF2B5EF4-FFF2-40B4-BE49-F238E27FC236}">
              <a16:creationId xmlns:a16="http://schemas.microsoft.com/office/drawing/2014/main" id="{FAC0B19A-0CE7-4DC4-ACF3-3D007B5E70EC}"/>
            </a:ext>
          </a:extLst>
        </xdr:cNvPr>
        <xdr:cNvSpPr>
          <a:spLocks noChangeShapeType="1"/>
        </xdr:cNvSpPr>
      </xdr:nvSpPr>
      <xdr:spPr bwMode="auto">
        <a:xfrm>
          <a:off x="9953625" y="116395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15240</xdr:colOff>
      <xdr:row>65</xdr:row>
      <xdr:rowOff>53340</xdr:rowOff>
    </xdr:from>
    <xdr:to>
      <xdr:col>14</xdr:col>
      <xdr:colOff>7620</xdr:colOff>
      <xdr:row>66</xdr:row>
      <xdr:rowOff>53340</xdr:rowOff>
    </xdr:to>
    <xdr:sp macro="" textlink="">
      <xdr:nvSpPr>
        <xdr:cNvPr id="63" name="Line 62">
          <a:extLst>
            <a:ext uri="{FF2B5EF4-FFF2-40B4-BE49-F238E27FC236}">
              <a16:creationId xmlns:a16="http://schemas.microsoft.com/office/drawing/2014/main" id="{C5D09FC9-3985-4471-965C-38C5F97DFF8A}"/>
            </a:ext>
          </a:extLst>
        </xdr:cNvPr>
        <xdr:cNvSpPr>
          <a:spLocks noChangeShapeType="1"/>
        </xdr:cNvSpPr>
      </xdr:nvSpPr>
      <xdr:spPr bwMode="auto">
        <a:xfrm flipV="1">
          <a:off x="9972675" y="11468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66</xdr:row>
      <xdr:rowOff>68580</xdr:rowOff>
    </xdr:from>
    <xdr:to>
      <xdr:col>16</xdr:col>
      <xdr:colOff>7620</xdr:colOff>
      <xdr:row>67</xdr:row>
      <xdr:rowOff>76200</xdr:rowOff>
    </xdr:to>
    <xdr:sp macro="" textlink="">
      <xdr:nvSpPr>
        <xdr:cNvPr id="64" name="Line 63">
          <a:extLst>
            <a:ext uri="{FF2B5EF4-FFF2-40B4-BE49-F238E27FC236}">
              <a16:creationId xmlns:a16="http://schemas.microsoft.com/office/drawing/2014/main" id="{4689D3B0-FA69-4FAE-80A1-9DC346093FEF}"/>
            </a:ext>
          </a:extLst>
        </xdr:cNvPr>
        <xdr:cNvSpPr>
          <a:spLocks noChangeShapeType="1"/>
        </xdr:cNvSpPr>
      </xdr:nvSpPr>
      <xdr:spPr bwMode="auto">
        <a:xfrm flipV="1">
          <a:off x="11191875" y="116490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67</xdr:row>
      <xdr:rowOff>91440</xdr:rowOff>
    </xdr:from>
    <xdr:to>
      <xdr:col>16</xdr:col>
      <xdr:colOff>0</xdr:colOff>
      <xdr:row>68</xdr:row>
      <xdr:rowOff>83820</xdr:rowOff>
    </xdr:to>
    <xdr:sp macro="" textlink="">
      <xdr:nvSpPr>
        <xdr:cNvPr id="65" name="Line 64">
          <a:extLst>
            <a:ext uri="{FF2B5EF4-FFF2-40B4-BE49-F238E27FC236}">
              <a16:creationId xmlns:a16="http://schemas.microsoft.com/office/drawing/2014/main" id="{13D30C15-9686-4575-91C2-F8DF5A3E0122}"/>
            </a:ext>
          </a:extLst>
        </xdr:cNvPr>
        <xdr:cNvSpPr>
          <a:spLocks noChangeShapeType="1"/>
        </xdr:cNvSpPr>
      </xdr:nvSpPr>
      <xdr:spPr bwMode="auto">
        <a:xfrm>
          <a:off x="11191875" y="1184910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65</xdr:row>
      <xdr:rowOff>60960</xdr:rowOff>
    </xdr:from>
    <xdr:to>
      <xdr:col>16</xdr:col>
      <xdr:colOff>7620</xdr:colOff>
      <xdr:row>66</xdr:row>
      <xdr:rowOff>60960</xdr:rowOff>
    </xdr:to>
    <xdr:sp macro="" textlink="">
      <xdr:nvSpPr>
        <xdr:cNvPr id="66" name="Line 65">
          <a:extLst>
            <a:ext uri="{FF2B5EF4-FFF2-40B4-BE49-F238E27FC236}">
              <a16:creationId xmlns:a16="http://schemas.microsoft.com/office/drawing/2014/main" id="{30B05C18-9511-4ED9-AFFD-85E234AA9775}"/>
            </a:ext>
          </a:extLst>
        </xdr:cNvPr>
        <xdr:cNvSpPr>
          <a:spLocks noChangeShapeType="1"/>
        </xdr:cNvSpPr>
      </xdr:nvSpPr>
      <xdr:spPr bwMode="auto">
        <a:xfrm>
          <a:off x="11172825" y="114681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64</xdr:row>
      <xdr:rowOff>53340</xdr:rowOff>
    </xdr:from>
    <xdr:to>
      <xdr:col>16</xdr:col>
      <xdr:colOff>7620</xdr:colOff>
      <xdr:row>65</xdr:row>
      <xdr:rowOff>53340</xdr:rowOff>
    </xdr:to>
    <xdr:sp macro="" textlink="">
      <xdr:nvSpPr>
        <xdr:cNvPr id="67" name="Line 66">
          <a:extLst>
            <a:ext uri="{FF2B5EF4-FFF2-40B4-BE49-F238E27FC236}">
              <a16:creationId xmlns:a16="http://schemas.microsoft.com/office/drawing/2014/main" id="{ADABB77A-7AC7-45EB-93EF-EA79C1F18F20}"/>
            </a:ext>
          </a:extLst>
        </xdr:cNvPr>
        <xdr:cNvSpPr>
          <a:spLocks noChangeShapeType="1"/>
        </xdr:cNvSpPr>
      </xdr:nvSpPr>
      <xdr:spPr bwMode="auto">
        <a:xfrm flipV="1">
          <a:off x="11191875" y="112966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65</xdr:row>
      <xdr:rowOff>68580</xdr:rowOff>
    </xdr:from>
    <xdr:to>
      <xdr:col>18</xdr:col>
      <xdr:colOff>7620</xdr:colOff>
      <xdr:row>66</xdr:row>
      <xdr:rowOff>76200</xdr:rowOff>
    </xdr:to>
    <xdr:sp macro="" textlink="">
      <xdr:nvSpPr>
        <xdr:cNvPr id="68" name="Line 67">
          <a:extLst>
            <a:ext uri="{FF2B5EF4-FFF2-40B4-BE49-F238E27FC236}">
              <a16:creationId xmlns:a16="http://schemas.microsoft.com/office/drawing/2014/main" id="{7A86E314-155E-4D30-8A93-7DA9644C8B5E}"/>
            </a:ext>
          </a:extLst>
        </xdr:cNvPr>
        <xdr:cNvSpPr>
          <a:spLocks noChangeShapeType="1"/>
        </xdr:cNvSpPr>
      </xdr:nvSpPr>
      <xdr:spPr bwMode="auto">
        <a:xfrm flipV="1">
          <a:off x="12411075" y="114776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66</xdr:row>
      <xdr:rowOff>83820</xdr:rowOff>
    </xdr:from>
    <xdr:to>
      <xdr:col>18</xdr:col>
      <xdr:colOff>0</xdr:colOff>
      <xdr:row>67</xdr:row>
      <xdr:rowOff>76200</xdr:rowOff>
    </xdr:to>
    <xdr:sp macro="" textlink="">
      <xdr:nvSpPr>
        <xdr:cNvPr id="69" name="Line 68">
          <a:extLst>
            <a:ext uri="{FF2B5EF4-FFF2-40B4-BE49-F238E27FC236}">
              <a16:creationId xmlns:a16="http://schemas.microsoft.com/office/drawing/2014/main" id="{67EAE206-3F57-4B1E-91AE-7760B935517F}"/>
            </a:ext>
          </a:extLst>
        </xdr:cNvPr>
        <xdr:cNvSpPr>
          <a:spLocks noChangeShapeType="1"/>
        </xdr:cNvSpPr>
      </xdr:nvSpPr>
      <xdr:spPr bwMode="auto">
        <a:xfrm>
          <a:off x="12411075" y="116681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64</xdr:row>
      <xdr:rowOff>60960</xdr:rowOff>
    </xdr:from>
    <xdr:to>
      <xdr:col>18</xdr:col>
      <xdr:colOff>7620</xdr:colOff>
      <xdr:row>65</xdr:row>
      <xdr:rowOff>60960</xdr:rowOff>
    </xdr:to>
    <xdr:sp macro="" textlink="">
      <xdr:nvSpPr>
        <xdr:cNvPr id="70" name="Line 69">
          <a:extLst>
            <a:ext uri="{FF2B5EF4-FFF2-40B4-BE49-F238E27FC236}">
              <a16:creationId xmlns:a16="http://schemas.microsoft.com/office/drawing/2014/main" id="{EECF0A41-98DB-465B-B461-9B51B30D9C6B}"/>
            </a:ext>
          </a:extLst>
        </xdr:cNvPr>
        <xdr:cNvSpPr>
          <a:spLocks noChangeShapeType="1"/>
        </xdr:cNvSpPr>
      </xdr:nvSpPr>
      <xdr:spPr bwMode="auto">
        <a:xfrm>
          <a:off x="12392025" y="112966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63</xdr:row>
      <xdr:rowOff>53340</xdr:rowOff>
    </xdr:from>
    <xdr:to>
      <xdr:col>18</xdr:col>
      <xdr:colOff>7620</xdr:colOff>
      <xdr:row>64</xdr:row>
      <xdr:rowOff>53340</xdr:rowOff>
    </xdr:to>
    <xdr:sp macro="" textlink="">
      <xdr:nvSpPr>
        <xdr:cNvPr id="71" name="Line 70">
          <a:extLst>
            <a:ext uri="{FF2B5EF4-FFF2-40B4-BE49-F238E27FC236}">
              <a16:creationId xmlns:a16="http://schemas.microsoft.com/office/drawing/2014/main" id="{7CEF4F8A-E59A-4E15-9E3B-EB66E10424D0}"/>
            </a:ext>
          </a:extLst>
        </xdr:cNvPr>
        <xdr:cNvSpPr>
          <a:spLocks noChangeShapeType="1"/>
        </xdr:cNvSpPr>
      </xdr:nvSpPr>
      <xdr:spPr bwMode="auto">
        <a:xfrm flipV="1">
          <a:off x="12411075" y="111252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69</xdr:row>
      <xdr:rowOff>68580</xdr:rowOff>
    </xdr:from>
    <xdr:to>
      <xdr:col>18</xdr:col>
      <xdr:colOff>7620</xdr:colOff>
      <xdr:row>70</xdr:row>
      <xdr:rowOff>76200</xdr:rowOff>
    </xdr:to>
    <xdr:sp macro="" textlink="">
      <xdr:nvSpPr>
        <xdr:cNvPr id="72" name="Line 71">
          <a:extLst>
            <a:ext uri="{FF2B5EF4-FFF2-40B4-BE49-F238E27FC236}">
              <a16:creationId xmlns:a16="http://schemas.microsoft.com/office/drawing/2014/main" id="{9A17E838-2B8E-461E-9973-AE7BED1D17F6}"/>
            </a:ext>
          </a:extLst>
        </xdr:cNvPr>
        <xdr:cNvSpPr>
          <a:spLocks noChangeShapeType="1"/>
        </xdr:cNvSpPr>
      </xdr:nvSpPr>
      <xdr:spPr bwMode="auto">
        <a:xfrm flipV="1">
          <a:off x="12411075" y="121634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70</xdr:row>
      <xdr:rowOff>91440</xdr:rowOff>
    </xdr:from>
    <xdr:to>
      <xdr:col>18</xdr:col>
      <xdr:colOff>0</xdr:colOff>
      <xdr:row>71</xdr:row>
      <xdr:rowOff>83820</xdr:rowOff>
    </xdr:to>
    <xdr:sp macro="" textlink="">
      <xdr:nvSpPr>
        <xdr:cNvPr id="73" name="Line 72">
          <a:extLst>
            <a:ext uri="{FF2B5EF4-FFF2-40B4-BE49-F238E27FC236}">
              <a16:creationId xmlns:a16="http://schemas.microsoft.com/office/drawing/2014/main" id="{14234A1F-FB08-4C9B-AA62-57B59BF9C945}"/>
            </a:ext>
          </a:extLst>
        </xdr:cNvPr>
        <xdr:cNvSpPr>
          <a:spLocks noChangeShapeType="1"/>
        </xdr:cNvSpPr>
      </xdr:nvSpPr>
      <xdr:spPr bwMode="auto">
        <a:xfrm>
          <a:off x="12411075" y="123634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68</xdr:row>
      <xdr:rowOff>60960</xdr:rowOff>
    </xdr:from>
    <xdr:to>
      <xdr:col>18</xdr:col>
      <xdr:colOff>7620</xdr:colOff>
      <xdr:row>69</xdr:row>
      <xdr:rowOff>60960</xdr:rowOff>
    </xdr:to>
    <xdr:sp macro="" textlink="">
      <xdr:nvSpPr>
        <xdr:cNvPr id="74" name="Line 73">
          <a:extLst>
            <a:ext uri="{FF2B5EF4-FFF2-40B4-BE49-F238E27FC236}">
              <a16:creationId xmlns:a16="http://schemas.microsoft.com/office/drawing/2014/main" id="{A859B60D-3E6E-4C6A-9494-99D2E5118830}"/>
            </a:ext>
          </a:extLst>
        </xdr:cNvPr>
        <xdr:cNvSpPr>
          <a:spLocks noChangeShapeType="1"/>
        </xdr:cNvSpPr>
      </xdr:nvSpPr>
      <xdr:spPr bwMode="auto">
        <a:xfrm>
          <a:off x="12392025" y="119824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67</xdr:row>
      <xdr:rowOff>68580</xdr:rowOff>
    </xdr:from>
    <xdr:to>
      <xdr:col>18</xdr:col>
      <xdr:colOff>7620</xdr:colOff>
      <xdr:row>68</xdr:row>
      <xdr:rowOff>68580</xdr:rowOff>
    </xdr:to>
    <xdr:sp macro="" textlink="">
      <xdr:nvSpPr>
        <xdr:cNvPr id="75" name="Line 74">
          <a:extLst>
            <a:ext uri="{FF2B5EF4-FFF2-40B4-BE49-F238E27FC236}">
              <a16:creationId xmlns:a16="http://schemas.microsoft.com/office/drawing/2014/main" id="{21DFD195-1CA3-46B2-BE10-E05056F0C124}"/>
            </a:ext>
          </a:extLst>
        </xdr:cNvPr>
        <xdr:cNvSpPr>
          <a:spLocks noChangeShapeType="1"/>
        </xdr:cNvSpPr>
      </xdr:nvSpPr>
      <xdr:spPr bwMode="auto">
        <a:xfrm flipV="1">
          <a:off x="12411075" y="1182052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68</xdr:row>
      <xdr:rowOff>83820</xdr:rowOff>
    </xdr:from>
    <xdr:to>
      <xdr:col>16</xdr:col>
      <xdr:colOff>15240</xdr:colOff>
      <xdr:row>69</xdr:row>
      <xdr:rowOff>60960</xdr:rowOff>
    </xdr:to>
    <xdr:sp macro="" textlink="">
      <xdr:nvSpPr>
        <xdr:cNvPr id="76" name="Line 75">
          <a:extLst>
            <a:ext uri="{FF2B5EF4-FFF2-40B4-BE49-F238E27FC236}">
              <a16:creationId xmlns:a16="http://schemas.microsoft.com/office/drawing/2014/main" id="{24DFAC5F-BF10-4C33-AE55-D6F81EF0F53C}"/>
            </a:ext>
          </a:extLst>
        </xdr:cNvPr>
        <xdr:cNvSpPr>
          <a:spLocks noChangeShapeType="1"/>
        </xdr:cNvSpPr>
      </xdr:nvSpPr>
      <xdr:spPr bwMode="auto">
        <a:xfrm flipV="1">
          <a:off x="11172825" y="12011025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7620</xdr:colOff>
      <xdr:row>69</xdr:row>
      <xdr:rowOff>60960</xdr:rowOff>
    </xdr:from>
    <xdr:to>
      <xdr:col>16</xdr:col>
      <xdr:colOff>0</xdr:colOff>
      <xdr:row>70</xdr:row>
      <xdr:rowOff>68580</xdr:rowOff>
    </xdr:to>
    <xdr:sp macro="" textlink="">
      <xdr:nvSpPr>
        <xdr:cNvPr id="77" name="Line 76">
          <a:extLst>
            <a:ext uri="{FF2B5EF4-FFF2-40B4-BE49-F238E27FC236}">
              <a16:creationId xmlns:a16="http://schemas.microsoft.com/office/drawing/2014/main" id="{1B0DF12A-3884-4E03-82B2-78108628EE17}"/>
            </a:ext>
          </a:extLst>
        </xdr:cNvPr>
        <xdr:cNvSpPr>
          <a:spLocks noChangeShapeType="1"/>
        </xdr:cNvSpPr>
      </xdr:nvSpPr>
      <xdr:spPr bwMode="auto">
        <a:xfrm>
          <a:off x="11182350" y="121539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64</xdr:row>
      <xdr:rowOff>53340</xdr:rowOff>
    </xdr:from>
    <xdr:to>
      <xdr:col>16</xdr:col>
      <xdr:colOff>7620</xdr:colOff>
      <xdr:row>65</xdr:row>
      <xdr:rowOff>53340</xdr:rowOff>
    </xdr:to>
    <xdr:sp macro="" textlink="">
      <xdr:nvSpPr>
        <xdr:cNvPr id="78" name="Line 77">
          <a:extLst>
            <a:ext uri="{FF2B5EF4-FFF2-40B4-BE49-F238E27FC236}">
              <a16:creationId xmlns:a16="http://schemas.microsoft.com/office/drawing/2014/main" id="{3E91E07C-9256-4BC2-B844-BD39944A2FBD}"/>
            </a:ext>
          </a:extLst>
        </xdr:cNvPr>
        <xdr:cNvSpPr>
          <a:spLocks noChangeShapeType="1"/>
        </xdr:cNvSpPr>
      </xdr:nvSpPr>
      <xdr:spPr bwMode="auto">
        <a:xfrm flipV="1">
          <a:off x="11191875" y="112966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63</xdr:row>
      <xdr:rowOff>53340</xdr:rowOff>
    </xdr:from>
    <xdr:to>
      <xdr:col>18</xdr:col>
      <xdr:colOff>7620</xdr:colOff>
      <xdr:row>64</xdr:row>
      <xdr:rowOff>53340</xdr:rowOff>
    </xdr:to>
    <xdr:sp macro="" textlink="">
      <xdr:nvSpPr>
        <xdr:cNvPr id="79" name="Line 78">
          <a:extLst>
            <a:ext uri="{FF2B5EF4-FFF2-40B4-BE49-F238E27FC236}">
              <a16:creationId xmlns:a16="http://schemas.microsoft.com/office/drawing/2014/main" id="{A2B10237-E9CE-4BDD-B437-A0485271C93B}"/>
            </a:ext>
          </a:extLst>
        </xdr:cNvPr>
        <xdr:cNvSpPr>
          <a:spLocks noChangeShapeType="1"/>
        </xdr:cNvSpPr>
      </xdr:nvSpPr>
      <xdr:spPr bwMode="auto">
        <a:xfrm flipV="1">
          <a:off x="12411075" y="111252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63</xdr:row>
      <xdr:rowOff>53340</xdr:rowOff>
    </xdr:from>
    <xdr:to>
      <xdr:col>18</xdr:col>
      <xdr:colOff>7620</xdr:colOff>
      <xdr:row>64</xdr:row>
      <xdr:rowOff>53340</xdr:rowOff>
    </xdr:to>
    <xdr:sp macro="" textlink="">
      <xdr:nvSpPr>
        <xdr:cNvPr id="80" name="Line 79">
          <a:extLst>
            <a:ext uri="{FF2B5EF4-FFF2-40B4-BE49-F238E27FC236}">
              <a16:creationId xmlns:a16="http://schemas.microsoft.com/office/drawing/2014/main" id="{D500D97E-0DEE-4B38-A542-BDE4492000BA}"/>
            </a:ext>
          </a:extLst>
        </xdr:cNvPr>
        <xdr:cNvSpPr>
          <a:spLocks noChangeShapeType="1"/>
        </xdr:cNvSpPr>
      </xdr:nvSpPr>
      <xdr:spPr bwMode="auto">
        <a:xfrm flipV="1">
          <a:off x="12411075" y="111252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16</xdr:col>
      <xdr:colOff>285750</xdr:colOff>
      <xdr:row>1</xdr:row>
      <xdr:rowOff>95250</xdr:rowOff>
    </xdr:from>
    <xdr:to>
      <xdr:col>40</xdr:col>
      <xdr:colOff>476250</xdr:colOff>
      <xdr:row>91</xdr:row>
      <xdr:rowOff>0</xdr:rowOff>
    </xdr:to>
    <xdr:pic>
      <xdr:nvPicPr>
        <xdr:cNvPr id="81" name="图片 80">
          <a:extLst>
            <a:ext uri="{FF2B5EF4-FFF2-40B4-BE49-F238E27FC236}">
              <a16:creationId xmlns:a16="http://schemas.microsoft.com/office/drawing/2014/main" id="{17C8FDD7-1EB3-2977-69E8-FD584F70A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068175" y="314325"/>
          <a:ext cx="14820900" cy="1555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C1D4F1D4-C004-4A58-AB71-5ACAE6233419}"/>
            </a:ext>
          </a:extLst>
        </xdr:cNvPr>
        <xdr:cNvSpPr>
          <a:spLocks noChangeShapeType="1"/>
        </xdr:cNvSpPr>
      </xdr:nvSpPr>
      <xdr:spPr bwMode="auto">
        <a:xfrm>
          <a:off x="7172325" y="32099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20518EA9-6044-438D-8C06-3C4071D8AB39}"/>
            </a:ext>
          </a:extLst>
        </xdr:cNvPr>
        <xdr:cNvSpPr>
          <a:spLocks noChangeShapeType="1"/>
        </xdr:cNvSpPr>
      </xdr:nvSpPr>
      <xdr:spPr bwMode="auto">
        <a:xfrm flipV="1">
          <a:off x="7162800" y="32099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78ECD24F-0475-4EFC-9D3C-8AFCD0272EF7}"/>
            </a:ext>
          </a:extLst>
        </xdr:cNvPr>
        <xdr:cNvSpPr>
          <a:spLocks noChangeShapeType="1"/>
        </xdr:cNvSpPr>
      </xdr:nvSpPr>
      <xdr:spPr bwMode="auto">
        <a:xfrm>
          <a:off x="7172325" y="32099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7ED145E7-21D6-4464-AC54-C2DE155974C2}"/>
            </a:ext>
          </a:extLst>
        </xdr:cNvPr>
        <xdr:cNvSpPr>
          <a:spLocks noChangeShapeType="1"/>
        </xdr:cNvSpPr>
      </xdr:nvSpPr>
      <xdr:spPr bwMode="auto">
        <a:xfrm flipV="1">
          <a:off x="7162800" y="32099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85731FCB-8E1A-499F-B270-AC1507E0D843}"/>
            </a:ext>
          </a:extLst>
        </xdr:cNvPr>
        <xdr:cNvSpPr>
          <a:spLocks noChangeShapeType="1"/>
        </xdr:cNvSpPr>
      </xdr:nvSpPr>
      <xdr:spPr bwMode="auto">
        <a:xfrm>
          <a:off x="7172325" y="32099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A9A5B6A5-FFBC-4587-9BA9-34E89FC90C3A}"/>
            </a:ext>
          </a:extLst>
        </xdr:cNvPr>
        <xdr:cNvSpPr>
          <a:spLocks noChangeShapeType="1"/>
        </xdr:cNvSpPr>
      </xdr:nvSpPr>
      <xdr:spPr bwMode="auto">
        <a:xfrm flipV="1">
          <a:off x="7162800" y="320992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182</xdr:row>
      <xdr:rowOff>0</xdr:rowOff>
    </xdr:from>
    <xdr:to>
      <xdr:col>9</xdr:col>
      <xdr:colOff>0</xdr:colOff>
      <xdr:row>182</xdr:row>
      <xdr:rowOff>0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id="{1EB9DF6D-B4C2-424F-BCF0-921EF874BAAC}"/>
            </a:ext>
          </a:extLst>
        </xdr:cNvPr>
        <xdr:cNvSpPr>
          <a:spLocks noChangeShapeType="1"/>
        </xdr:cNvSpPr>
      </xdr:nvSpPr>
      <xdr:spPr bwMode="auto">
        <a:xfrm>
          <a:off x="7172325" y="320992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182</xdr:row>
      <xdr:rowOff>0</xdr:rowOff>
    </xdr:from>
    <xdr:to>
      <xdr:col>6</xdr:col>
      <xdr:colOff>495300</xdr:colOff>
      <xdr:row>182</xdr:row>
      <xdr:rowOff>0</xdr:rowOff>
    </xdr:to>
    <xdr:sp macro="" textlink="">
      <xdr:nvSpPr>
        <xdr:cNvPr id="9" name="Line 14">
          <a:extLst>
            <a:ext uri="{FF2B5EF4-FFF2-40B4-BE49-F238E27FC236}">
              <a16:creationId xmlns:a16="http://schemas.microsoft.com/office/drawing/2014/main" id="{E378D9CC-6F6B-4A11-8674-2E510504A499}"/>
            </a:ext>
          </a:extLst>
        </xdr:cNvPr>
        <xdr:cNvSpPr>
          <a:spLocks noChangeShapeType="1"/>
        </xdr:cNvSpPr>
      </xdr:nvSpPr>
      <xdr:spPr bwMode="auto">
        <a:xfrm flipH="1" flipV="1">
          <a:off x="5553075" y="32099250"/>
          <a:ext cx="6762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182</xdr:row>
      <xdr:rowOff>0</xdr:rowOff>
    </xdr:from>
    <xdr:to>
      <xdr:col>7</xdr:col>
      <xdr:colOff>0</xdr:colOff>
      <xdr:row>182</xdr:row>
      <xdr:rowOff>0</xdr:rowOff>
    </xdr:to>
    <xdr:sp macro="" textlink="">
      <xdr:nvSpPr>
        <xdr:cNvPr id="10" name="Line 15">
          <a:extLst>
            <a:ext uri="{FF2B5EF4-FFF2-40B4-BE49-F238E27FC236}">
              <a16:creationId xmlns:a16="http://schemas.microsoft.com/office/drawing/2014/main" id="{4A8F0D74-C2AA-40D3-B9E3-9290F521018C}"/>
            </a:ext>
          </a:extLst>
        </xdr:cNvPr>
        <xdr:cNvSpPr>
          <a:spLocks noChangeShapeType="1"/>
        </xdr:cNvSpPr>
      </xdr:nvSpPr>
      <xdr:spPr bwMode="auto">
        <a:xfrm flipV="1">
          <a:off x="5753100" y="32099250"/>
          <a:ext cx="80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182</xdr:row>
      <xdr:rowOff>0</xdr:rowOff>
    </xdr:from>
    <xdr:to>
      <xdr:col>6</xdr:col>
      <xdr:colOff>495300</xdr:colOff>
      <xdr:row>182</xdr:row>
      <xdr:rowOff>0</xdr:rowOff>
    </xdr:to>
    <xdr:sp macro="" textlink="">
      <xdr:nvSpPr>
        <xdr:cNvPr id="11" name="Line 16">
          <a:extLst>
            <a:ext uri="{FF2B5EF4-FFF2-40B4-BE49-F238E27FC236}">
              <a16:creationId xmlns:a16="http://schemas.microsoft.com/office/drawing/2014/main" id="{FDEB767C-A560-4026-8196-36B6C1B1A74A}"/>
            </a:ext>
          </a:extLst>
        </xdr:cNvPr>
        <xdr:cNvSpPr>
          <a:spLocks noChangeShapeType="1"/>
        </xdr:cNvSpPr>
      </xdr:nvSpPr>
      <xdr:spPr bwMode="auto">
        <a:xfrm flipH="1" flipV="1">
          <a:off x="5553075" y="32099250"/>
          <a:ext cx="6762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71</xdr:row>
      <xdr:rowOff>60960</xdr:rowOff>
    </xdr:from>
    <xdr:to>
      <xdr:col>2</xdr:col>
      <xdr:colOff>0</xdr:colOff>
      <xdr:row>72</xdr:row>
      <xdr:rowOff>68580</xdr:rowOff>
    </xdr:to>
    <xdr:sp macro="" textlink="">
      <xdr:nvSpPr>
        <xdr:cNvPr id="12" name="Line 20">
          <a:extLst>
            <a:ext uri="{FF2B5EF4-FFF2-40B4-BE49-F238E27FC236}">
              <a16:creationId xmlns:a16="http://schemas.microsoft.com/office/drawing/2014/main" id="{802C35AA-1471-4C9B-9135-24C89A96F00D}"/>
            </a:ext>
          </a:extLst>
        </xdr:cNvPr>
        <xdr:cNvSpPr>
          <a:spLocks noChangeShapeType="1"/>
        </xdr:cNvSpPr>
      </xdr:nvSpPr>
      <xdr:spPr bwMode="auto">
        <a:xfrm flipV="1">
          <a:off x="2352675" y="13125450"/>
          <a:ext cx="6762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72</xdr:row>
      <xdr:rowOff>76200</xdr:rowOff>
    </xdr:from>
    <xdr:to>
      <xdr:col>2</xdr:col>
      <xdr:colOff>7620</xdr:colOff>
      <xdr:row>73</xdr:row>
      <xdr:rowOff>68580</xdr:rowOff>
    </xdr:to>
    <xdr:sp macro="" textlink="">
      <xdr:nvSpPr>
        <xdr:cNvPr id="13" name="Line 21">
          <a:extLst>
            <a:ext uri="{FF2B5EF4-FFF2-40B4-BE49-F238E27FC236}">
              <a16:creationId xmlns:a16="http://schemas.microsoft.com/office/drawing/2014/main" id="{BA03EC5A-4D9E-4F78-8241-9CCECE03AD58}"/>
            </a:ext>
          </a:extLst>
        </xdr:cNvPr>
        <xdr:cNvSpPr>
          <a:spLocks noChangeShapeType="1"/>
        </xdr:cNvSpPr>
      </xdr:nvSpPr>
      <xdr:spPr bwMode="auto">
        <a:xfrm>
          <a:off x="2352675" y="13315950"/>
          <a:ext cx="6858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72</xdr:row>
      <xdr:rowOff>68580</xdr:rowOff>
    </xdr:from>
    <xdr:to>
      <xdr:col>4</xdr:col>
      <xdr:colOff>7620</xdr:colOff>
      <xdr:row>73</xdr:row>
      <xdr:rowOff>76200</xdr:rowOff>
    </xdr:to>
    <xdr:sp macro="" textlink="">
      <xdr:nvSpPr>
        <xdr:cNvPr id="14" name="Line 22">
          <a:extLst>
            <a:ext uri="{FF2B5EF4-FFF2-40B4-BE49-F238E27FC236}">
              <a16:creationId xmlns:a16="http://schemas.microsoft.com/office/drawing/2014/main" id="{0FA7CBCC-636C-4F6C-B631-4DB3CC6997DB}"/>
            </a:ext>
          </a:extLst>
        </xdr:cNvPr>
        <xdr:cNvSpPr>
          <a:spLocks noChangeShapeType="1"/>
        </xdr:cNvSpPr>
      </xdr:nvSpPr>
      <xdr:spPr bwMode="auto">
        <a:xfrm flipV="1">
          <a:off x="3724275" y="1330642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73</xdr:row>
      <xdr:rowOff>91440</xdr:rowOff>
    </xdr:from>
    <xdr:to>
      <xdr:col>4</xdr:col>
      <xdr:colOff>0</xdr:colOff>
      <xdr:row>74</xdr:row>
      <xdr:rowOff>83820</xdr:rowOff>
    </xdr:to>
    <xdr:sp macro="" textlink="">
      <xdr:nvSpPr>
        <xdr:cNvPr id="15" name="Line 23">
          <a:extLst>
            <a:ext uri="{FF2B5EF4-FFF2-40B4-BE49-F238E27FC236}">
              <a16:creationId xmlns:a16="http://schemas.microsoft.com/office/drawing/2014/main" id="{118D8BF4-94D6-4B10-B6D8-4FA3C1020BA6}"/>
            </a:ext>
          </a:extLst>
        </xdr:cNvPr>
        <xdr:cNvSpPr>
          <a:spLocks noChangeShapeType="1"/>
        </xdr:cNvSpPr>
      </xdr:nvSpPr>
      <xdr:spPr bwMode="auto">
        <a:xfrm>
          <a:off x="3724275" y="13506450"/>
          <a:ext cx="6572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71</xdr:row>
      <xdr:rowOff>60960</xdr:rowOff>
    </xdr:from>
    <xdr:to>
      <xdr:col>4</xdr:col>
      <xdr:colOff>7620</xdr:colOff>
      <xdr:row>72</xdr:row>
      <xdr:rowOff>60960</xdr:rowOff>
    </xdr:to>
    <xdr:sp macro="" textlink="">
      <xdr:nvSpPr>
        <xdr:cNvPr id="16" name="Line 24">
          <a:extLst>
            <a:ext uri="{FF2B5EF4-FFF2-40B4-BE49-F238E27FC236}">
              <a16:creationId xmlns:a16="http://schemas.microsoft.com/office/drawing/2014/main" id="{2D582BAE-1878-4C76-80C0-2DB8FE1D466E}"/>
            </a:ext>
          </a:extLst>
        </xdr:cNvPr>
        <xdr:cNvSpPr>
          <a:spLocks noChangeShapeType="1"/>
        </xdr:cNvSpPr>
      </xdr:nvSpPr>
      <xdr:spPr bwMode="auto">
        <a:xfrm>
          <a:off x="3705225" y="13125450"/>
          <a:ext cx="6858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70</xdr:row>
      <xdr:rowOff>53340</xdr:rowOff>
    </xdr:from>
    <xdr:to>
      <xdr:col>4</xdr:col>
      <xdr:colOff>7620</xdr:colOff>
      <xdr:row>71</xdr:row>
      <xdr:rowOff>53340</xdr:rowOff>
    </xdr:to>
    <xdr:sp macro="" textlink="">
      <xdr:nvSpPr>
        <xdr:cNvPr id="17" name="Line 25">
          <a:extLst>
            <a:ext uri="{FF2B5EF4-FFF2-40B4-BE49-F238E27FC236}">
              <a16:creationId xmlns:a16="http://schemas.microsoft.com/office/drawing/2014/main" id="{DE65F79A-A63F-453A-A01F-54D0DBD8B372}"/>
            </a:ext>
          </a:extLst>
        </xdr:cNvPr>
        <xdr:cNvSpPr>
          <a:spLocks noChangeShapeType="1"/>
        </xdr:cNvSpPr>
      </xdr:nvSpPr>
      <xdr:spPr bwMode="auto">
        <a:xfrm flipV="1">
          <a:off x="3724275" y="12954000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71</xdr:row>
      <xdr:rowOff>68580</xdr:rowOff>
    </xdr:from>
    <xdr:to>
      <xdr:col>6</xdr:col>
      <xdr:colOff>7620</xdr:colOff>
      <xdr:row>72</xdr:row>
      <xdr:rowOff>76200</xdr:rowOff>
    </xdr:to>
    <xdr:sp macro="" textlink="">
      <xdr:nvSpPr>
        <xdr:cNvPr id="18" name="Line 26">
          <a:extLst>
            <a:ext uri="{FF2B5EF4-FFF2-40B4-BE49-F238E27FC236}">
              <a16:creationId xmlns:a16="http://schemas.microsoft.com/office/drawing/2014/main" id="{54AB0D3B-634A-462C-B2EF-FAAC7D1C476F}"/>
            </a:ext>
          </a:extLst>
        </xdr:cNvPr>
        <xdr:cNvSpPr>
          <a:spLocks noChangeShapeType="1"/>
        </xdr:cNvSpPr>
      </xdr:nvSpPr>
      <xdr:spPr bwMode="auto">
        <a:xfrm flipV="1">
          <a:off x="5076825" y="1313497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72</xdr:row>
      <xdr:rowOff>91440</xdr:rowOff>
    </xdr:from>
    <xdr:to>
      <xdr:col>6</xdr:col>
      <xdr:colOff>0</xdr:colOff>
      <xdr:row>73</xdr:row>
      <xdr:rowOff>83820</xdr:rowOff>
    </xdr:to>
    <xdr:sp macro="" textlink="">
      <xdr:nvSpPr>
        <xdr:cNvPr id="19" name="Line 27">
          <a:extLst>
            <a:ext uri="{FF2B5EF4-FFF2-40B4-BE49-F238E27FC236}">
              <a16:creationId xmlns:a16="http://schemas.microsoft.com/office/drawing/2014/main" id="{D7CA0BC3-3E42-482A-B725-BE1C70153B03}"/>
            </a:ext>
          </a:extLst>
        </xdr:cNvPr>
        <xdr:cNvSpPr>
          <a:spLocks noChangeShapeType="1"/>
        </xdr:cNvSpPr>
      </xdr:nvSpPr>
      <xdr:spPr bwMode="auto">
        <a:xfrm>
          <a:off x="5076825" y="13335000"/>
          <a:ext cx="6572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70</xdr:row>
      <xdr:rowOff>60960</xdr:rowOff>
    </xdr:from>
    <xdr:to>
      <xdr:col>6</xdr:col>
      <xdr:colOff>7620</xdr:colOff>
      <xdr:row>71</xdr:row>
      <xdr:rowOff>60960</xdr:rowOff>
    </xdr:to>
    <xdr:sp macro="" textlink="">
      <xdr:nvSpPr>
        <xdr:cNvPr id="20" name="Line 28">
          <a:extLst>
            <a:ext uri="{FF2B5EF4-FFF2-40B4-BE49-F238E27FC236}">
              <a16:creationId xmlns:a16="http://schemas.microsoft.com/office/drawing/2014/main" id="{87A8F419-42AD-4054-920D-5092A2B05F39}"/>
            </a:ext>
          </a:extLst>
        </xdr:cNvPr>
        <xdr:cNvSpPr>
          <a:spLocks noChangeShapeType="1"/>
        </xdr:cNvSpPr>
      </xdr:nvSpPr>
      <xdr:spPr bwMode="auto">
        <a:xfrm>
          <a:off x="5057775" y="12954000"/>
          <a:ext cx="6858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69</xdr:row>
      <xdr:rowOff>53340</xdr:rowOff>
    </xdr:from>
    <xdr:to>
      <xdr:col>6</xdr:col>
      <xdr:colOff>7620</xdr:colOff>
      <xdr:row>70</xdr:row>
      <xdr:rowOff>53340</xdr:rowOff>
    </xdr:to>
    <xdr:sp macro="" textlink="">
      <xdr:nvSpPr>
        <xdr:cNvPr id="21" name="Line 29">
          <a:extLst>
            <a:ext uri="{FF2B5EF4-FFF2-40B4-BE49-F238E27FC236}">
              <a16:creationId xmlns:a16="http://schemas.microsoft.com/office/drawing/2014/main" id="{35824453-E487-4513-9C54-88F50F9EA6B4}"/>
            </a:ext>
          </a:extLst>
        </xdr:cNvPr>
        <xdr:cNvSpPr>
          <a:spLocks noChangeShapeType="1"/>
        </xdr:cNvSpPr>
      </xdr:nvSpPr>
      <xdr:spPr bwMode="auto">
        <a:xfrm flipV="1">
          <a:off x="5076825" y="12782550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70</xdr:row>
      <xdr:rowOff>68580</xdr:rowOff>
    </xdr:from>
    <xdr:to>
      <xdr:col>8</xdr:col>
      <xdr:colOff>7620</xdr:colOff>
      <xdr:row>71</xdr:row>
      <xdr:rowOff>76200</xdr:rowOff>
    </xdr:to>
    <xdr:sp macro="" textlink="">
      <xdr:nvSpPr>
        <xdr:cNvPr id="22" name="Line 30">
          <a:extLst>
            <a:ext uri="{FF2B5EF4-FFF2-40B4-BE49-F238E27FC236}">
              <a16:creationId xmlns:a16="http://schemas.microsoft.com/office/drawing/2014/main" id="{194A7572-0292-4147-A646-2A4A9DD689F1}"/>
            </a:ext>
          </a:extLst>
        </xdr:cNvPr>
        <xdr:cNvSpPr>
          <a:spLocks noChangeShapeType="1"/>
        </xdr:cNvSpPr>
      </xdr:nvSpPr>
      <xdr:spPr bwMode="auto">
        <a:xfrm flipV="1">
          <a:off x="6572250" y="129635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71</xdr:row>
      <xdr:rowOff>83820</xdr:rowOff>
    </xdr:from>
    <xdr:to>
      <xdr:col>8</xdr:col>
      <xdr:colOff>0</xdr:colOff>
      <xdr:row>72</xdr:row>
      <xdr:rowOff>76200</xdr:rowOff>
    </xdr:to>
    <xdr:sp macro="" textlink="">
      <xdr:nvSpPr>
        <xdr:cNvPr id="23" name="Line 31">
          <a:extLst>
            <a:ext uri="{FF2B5EF4-FFF2-40B4-BE49-F238E27FC236}">
              <a16:creationId xmlns:a16="http://schemas.microsoft.com/office/drawing/2014/main" id="{C99A0797-FEEE-46FF-B009-9C78A1EC597A}"/>
            </a:ext>
          </a:extLst>
        </xdr:cNvPr>
        <xdr:cNvSpPr>
          <a:spLocks noChangeShapeType="1"/>
        </xdr:cNvSpPr>
      </xdr:nvSpPr>
      <xdr:spPr bwMode="auto">
        <a:xfrm>
          <a:off x="6572250" y="131540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69</xdr:row>
      <xdr:rowOff>60960</xdr:rowOff>
    </xdr:from>
    <xdr:to>
      <xdr:col>8</xdr:col>
      <xdr:colOff>7620</xdr:colOff>
      <xdr:row>70</xdr:row>
      <xdr:rowOff>60960</xdr:rowOff>
    </xdr:to>
    <xdr:sp macro="" textlink="">
      <xdr:nvSpPr>
        <xdr:cNvPr id="24" name="Line 32">
          <a:extLst>
            <a:ext uri="{FF2B5EF4-FFF2-40B4-BE49-F238E27FC236}">
              <a16:creationId xmlns:a16="http://schemas.microsoft.com/office/drawing/2014/main" id="{79036DEA-9F6D-4A3C-9695-918026C51B1C}"/>
            </a:ext>
          </a:extLst>
        </xdr:cNvPr>
        <xdr:cNvSpPr>
          <a:spLocks noChangeShapeType="1"/>
        </xdr:cNvSpPr>
      </xdr:nvSpPr>
      <xdr:spPr bwMode="auto">
        <a:xfrm>
          <a:off x="6553200" y="127825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68</xdr:row>
      <xdr:rowOff>53340</xdr:rowOff>
    </xdr:from>
    <xdr:to>
      <xdr:col>8</xdr:col>
      <xdr:colOff>7620</xdr:colOff>
      <xdr:row>69</xdr:row>
      <xdr:rowOff>53340</xdr:rowOff>
    </xdr:to>
    <xdr:sp macro="" textlink="">
      <xdr:nvSpPr>
        <xdr:cNvPr id="25" name="Line 33">
          <a:extLst>
            <a:ext uri="{FF2B5EF4-FFF2-40B4-BE49-F238E27FC236}">
              <a16:creationId xmlns:a16="http://schemas.microsoft.com/office/drawing/2014/main" id="{EA550DEB-97CA-4C70-A105-CC2243FEE154}"/>
            </a:ext>
          </a:extLst>
        </xdr:cNvPr>
        <xdr:cNvSpPr>
          <a:spLocks noChangeShapeType="1"/>
        </xdr:cNvSpPr>
      </xdr:nvSpPr>
      <xdr:spPr bwMode="auto">
        <a:xfrm flipV="1">
          <a:off x="6572250" y="12611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74</xdr:row>
      <xdr:rowOff>68580</xdr:rowOff>
    </xdr:from>
    <xdr:to>
      <xdr:col>8</xdr:col>
      <xdr:colOff>7620</xdr:colOff>
      <xdr:row>75</xdr:row>
      <xdr:rowOff>76200</xdr:rowOff>
    </xdr:to>
    <xdr:sp macro="" textlink="">
      <xdr:nvSpPr>
        <xdr:cNvPr id="26" name="Line 34">
          <a:extLst>
            <a:ext uri="{FF2B5EF4-FFF2-40B4-BE49-F238E27FC236}">
              <a16:creationId xmlns:a16="http://schemas.microsoft.com/office/drawing/2014/main" id="{23959123-86BA-4C36-B030-230F93B2699E}"/>
            </a:ext>
          </a:extLst>
        </xdr:cNvPr>
        <xdr:cNvSpPr>
          <a:spLocks noChangeShapeType="1"/>
        </xdr:cNvSpPr>
      </xdr:nvSpPr>
      <xdr:spPr bwMode="auto">
        <a:xfrm flipV="1">
          <a:off x="6572250" y="136493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75</xdr:row>
      <xdr:rowOff>91440</xdr:rowOff>
    </xdr:from>
    <xdr:to>
      <xdr:col>8</xdr:col>
      <xdr:colOff>0</xdr:colOff>
      <xdr:row>76</xdr:row>
      <xdr:rowOff>83820</xdr:rowOff>
    </xdr:to>
    <xdr:sp macro="" textlink="">
      <xdr:nvSpPr>
        <xdr:cNvPr id="27" name="Line 35">
          <a:extLst>
            <a:ext uri="{FF2B5EF4-FFF2-40B4-BE49-F238E27FC236}">
              <a16:creationId xmlns:a16="http://schemas.microsoft.com/office/drawing/2014/main" id="{1E240E76-0836-4476-99B6-5F49D8CFC005}"/>
            </a:ext>
          </a:extLst>
        </xdr:cNvPr>
        <xdr:cNvSpPr>
          <a:spLocks noChangeShapeType="1"/>
        </xdr:cNvSpPr>
      </xdr:nvSpPr>
      <xdr:spPr bwMode="auto">
        <a:xfrm>
          <a:off x="6572250" y="138493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73</xdr:row>
      <xdr:rowOff>60960</xdr:rowOff>
    </xdr:from>
    <xdr:to>
      <xdr:col>8</xdr:col>
      <xdr:colOff>7620</xdr:colOff>
      <xdr:row>74</xdr:row>
      <xdr:rowOff>60960</xdr:rowOff>
    </xdr:to>
    <xdr:sp macro="" textlink="">
      <xdr:nvSpPr>
        <xdr:cNvPr id="28" name="Line 36">
          <a:extLst>
            <a:ext uri="{FF2B5EF4-FFF2-40B4-BE49-F238E27FC236}">
              <a16:creationId xmlns:a16="http://schemas.microsoft.com/office/drawing/2014/main" id="{E28F0BFE-3302-4DFA-B177-4A4E9CB12827}"/>
            </a:ext>
          </a:extLst>
        </xdr:cNvPr>
        <xdr:cNvSpPr>
          <a:spLocks noChangeShapeType="1"/>
        </xdr:cNvSpPr>
      </xdr:nvSpPr>
      <xdr:spPr bwMode="auto">
        <a:xfrm>
          <a:off x="6553200" y="134683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</xdr:colOff>
      <xdr:row>72</xdr:row>
      <xdr:rowOff>76200</xdr:rowOff>
    </xdr:from>
    <xdr:to>
      <xdr:col>8</xdr:col>
      <xdr:colOff>15240</xdr:colOff>
      <xdr:row>73</xdr:row>
      <xdr:rowOff>76200</xdr:rowOff>
    </xdr:to>
    <xdr:sp macro="" textlink="">
      <xdr:nvSpPr>
        <xdr:cNvPr id="29" name="Line 37">
          <a:extLst>
            <a:ext uri="{FF2B5EF4-FFF2-40B4-BE49-F238E27FC236}">
              <a16:creationId xmlns:a16="http://schemas.microsoft.com/office/drawing/2014/main" id="{E0B8286C-9F18-4274-B47F-85BA8A15177B}"/>
            </a:ext>
          </a:extLst>
        </xdr:cNvPr>
        <xdr:cNvSpPr>
          <a:spLocks noChangeShapeType="1"/>
        </xdr:cNvSpPr>
      </xdr:nvSpPr>
      <xdr:spPr bwMode="auto">
        <a:xfrm flipV="1">
          <a:off x="6572250" y="1331595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73</xdr:row>
      <xdr:rowOff>83820</xdr:rowOff>
    </xdr:from>
    <xdr:to>
      <xdr:col>6</xdr:col>
      <xdr:colOff>15240</xdr:colOff>
      <xdr:row>74</xdr:row>
      <xdr:rowOff>60960</xdr:rowOff>
    </xdr:to>
    <xdr:sp macro="" textlink="">
      <xdr:nvSpPr>
        <xdr:cNvPr id="30" name="Line 38">
          <a:extLst>
            <a:ext uri="{FF2B5EF4-FFF2-40B4-BE49-F238E27FC236}">
              <a16:creationId xmlns:a16="http://schemas.microsoft.com/office/drawing/2014/main" id="{D5E6DE18-BAD9-45EC-A0E9-93DEBE97E796}"/>
            </a:ext>
          </a:extLst>
        </xdr:cNvPr>
        <xdr:cNvSpPr>
          <a:spLocks noChangeShapeType="1"/>
        </xdr:cNvSpPr>
      </xdr:nvSpPr>
      <xdr:spPr bwMode="auto">
        <a:xfrm flipV="1">
          <a:off x="5057775" y="13496925"/>
          <a:ext cx="6953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74</xdr:row>
      <xdr:rowOff>60960</xdr:rowOff>
    </xdr:from>
    <xdr:to>
      <xdr:col>6</xdr:col>
      <xdr:colOff>0</xdr:colOff>
      <xdr:row>75</xdr:row>
      <xdr:rowOff>68580</xdr:rowOff>
    </xdr:to>
    <xdr:sp macro="" textlink="">
      <xdr:nvSpPr>
        <xdr:cNvPr id="31" name="Line 39">
          <a:extLst>
            <a:ext uri="{FF2B5EF4-FFF2-40B4-BE49-F238E27FC236}">
              <a16:creationId xmlns:a16="http://schemas.microsoft.com/office/drawing/2014/main" id="{CC5EED57-AC76-442B-83F7-EDF8677984D8}"/>
            </a:ext>
          </a:extLst>
        </xdr:cNvPr>
        <xdr:cNvSpPr>
          <a:spLocks noChangeShapeType="1"/>
        </xdr:cNvSpPr>
      </xdr:nvSpPr>
      <xdr:spPr bwMode="auto">
        <a:xfrm>
          <a:off x="5067300" y="13639800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69</xdr:row>
      <xdr:rowOff>53340</xdr:rowOff>
    </xdr:from>
    <xdr:to>
      <xdr:col>6</xdr:col>
      <xdr:colOff>7620</xdr:colOff>
      <xdr:row>70</xdr:row>
      <xdr:rowOff>53340</xdr:rowOff>
    </xdr:to>
    <xdr:sp macro="" textlink="">
      <xdr:nvSpPr>
        <xdr:cNvPr id="32" name="Line 48">
          <a:extLst>
            <a:ext uri="{FF2B5EF4-FFF2-40B4-BE49-F238E27FC236}">
              <a16:creationId xmlns:a16="http://schemas.microsoft.com/office/drawing/2014/main" id="{CD59147A-0FCE-4EAF-873F-71441291C1DA}"/>
            </a:ext>
          </a:extLst>
        </xdr:cNvPr>
        <xdr:cNvSpPr>
          <a:spLocks noChangeShapeType="1"/>
        </xdr:cNvSpPr>
      </xdr:nvSpPr>
      <xdr:spPr bwMode="auto">
        <a:xfrm flipV="1">
          <a:off x="5076825" y="12782550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68</xdr:row>
      <xdr:rowOff>53340</xdr:rowOff>
    </xdr:from>
    <xdr:to>
      <xdr:col>8</xdr:col>
      <xdr:colOff>7620</xdr:colOff>
      <xdr:row>69</xdr:row>
      <xdr:rowOff>53340</xdr:rowOff>
    </xdr:to>
    <xdr:sp macro="" textlink="">
      <xdr:nvSpPr>
        <xdr:cNvPr id="33" name="Line 51">
          <a:extLst>
            <a:ext uri="{FF2B5EF4-FFF2-40B4-BE49-F238E27FC236}">
              <a16:creationId xmlns:a16="http://schemas.microsoft.com/office/drawing/2014/main" id="{5832C5E4-0FA6-450E-9A3E-4B1D3441034D}"/>
            </a:ext>
          </a:extLst>
        </xdr:cNvPr>
        <xdr:cNvSpPr>
          <a:spLocks noChangeShapeType="1"/>
        </xdr:cNvSpPr>
      </xdr:nvSpPr>
      <xdr:spPr bwMode="auto">
        <a:xfrm flipV="1">
          <a:off x="6572250" y="12611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68</xdr:row>
      <xdr:rowOff>53340</xdr:rowOff>
    </xdr:from>
    <xdr:to>
      <xdr:col>8</xdr:col>
      <xdr:colOff>7620</xdr:colOff>
      <xdr:row>69</xdr:row>
      <xdr:rowOff>53340</xdr:rowOff>
    </xdr:to>
    <xdr:sp macro="" textlink="">
      <xdr:nvSpPr>
        <xdr:cNvPr id="34" name="Line 52">
          <a:extLst>
            <a:ext uri="{FF2B5EF4-FFF2-40B4-BE49-F238E27FC236}">
              <a16:creationId xmlns:a16="http://schemas.microsoft.com/office/drawing/2014/main" id="{72C7D536-7F33-4D2B-8503-6ADEE97CD153}"/>
            </a:ext>
          </a:extLst>
        </xdr:cNvPr>
        <xdr:cNvSpPr>
          <a:spLocks noChangeShapeType="1"/>
        </xdr:cNvSpPr>
      </xdr:nvSpPr>
      <xdr:spPr bwMode="auto">
        <a:xfrm flipV="1">
          <a:off x="6572250" y="12611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88</xdr:row>
      <xdr:rowOff>60960</xdr:rowOff>
    </xdr:from>
    <xdr:to>
      <xdr:col>2</xdr:col>
      <xdr:colOff>0</xdr:colOff>
      <xdr:row>89</xdr:row>
      <xdr:rowOff>68580</xdr:rowOff>
    </xdr:to>
    <xdr:sp macro="" textlink="">
      <xdr:nvSpPr>
        <xdr:cNvPr id="35" name="Line 53">
          <a:extLst>
            <a:ext uri="{FF2B5EF4-FFF2-40B4-BE49-F238E27FC236}">
              <a16:creationId xmlns:a16="http://schemas.microsoft.com/office/drawing/2014/main" id="{1ECB86C2-3C1D-4C9D-86C5-29C506A4C315}"/>
            </a:ext>
          </a:extLst>
        </xdr:cNvPr>
        <xdr:cNvSpPr>
          <a:spLocks noChangeShapeType="1"/>
        </xdr:cNvSpPr>
      </xdr:nvSpPr>
      <xdr:spPr bwMode="auto">
        <a:xfrm flipV="1">
          <a:off x="2352675" y="16040100"/>
          <a:ext cx="6762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89</xdr:row>
      <xdr:rowOff>76200</xdr:rowOff>
    </xdr:from>
    <xdr:to>
      <xdr:col>2</xdr:col>
      <xdr:colOff>7620</xdr:colOff>
      <xdr:row>90</xdr:row>
      <xdr:rowOff>68580</xdr:rowOff>
    </xdr:to>
    <xdr:sp macro="" textlink="">
      <xdr:nvSpPr>
        <xdr:cNvPr id="36" name="Line 54">
          <a:extLst>
            <a:ext uri="{FF2B5EF4-FFF2-40B4-BE49-F238E27FC236}">
              <a16:creationId xmlns:a16="http://schemas.microsoft.com/office/drawing/2014/main" id="{EBFE5B87-004A-46D8-9390-89492F0767AA}"/>
            </a:ext>
          </a:extLst>
        </xdr:cNvPr>
        <xdr:cNvSpPr>
          <a:spLocks noChangeShapeType="1"/>
        </xdr:cNvSpPr>
      </xdr:nvSpPr>
      <xdr:spPr bwMode="auto">
        <a:xfrm>
          <a:off x="2352675" y="16230600"/>
          <a:ext cx="6858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89</xdr:row>
      <xdr:rowOff>68580</xdr:rowOff>
    </xdr:from>
    <xdr:to>
      <xdr:col>4</xdr:col>
      <xdr:colOff>7620</xdr:colOff>
      <xdr:row>90</xdr:row>
      <xdr:rowOff>76200</xdr:rowOff>
    </xdr:to>
    <xdr:sp macro="" textlink="">
      <xdr:nvSpPr>
        <xdr:cNvPr id="37" name="Line 55">
          <a:extLst>
            <a:ext uri="{FF2B5EF4-FFF2-40B4-BE49-F238E27FC236}">
              <a16:creationId xmlns:a16="http://schemas.microsoft.com/office/drawing/2014/main" id="{341C50E6-0C61-453F-96F5-2AC5E7EC8B66}"/>
            </a:ext>
          </a:extLst>
        </xdr:cNvPr>
        <xdr:cNvSpPr>
          <a:spLocks noChangeShapeType="1"/>
        </xdr:cNvSpPr>
      </xdr:nvSpPr>
      <xdr:spPr bwMode="auto">
        <a:xfrm flipV="1">
          <a:off x="3724275" y="1622107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90</xdr:row>
      <xdr:rowOff>91440</xdr:rowOff>
    </xdr:from>
    <xdr:to>
      <xdr:col>4</xdr:col>
      <xdr:colOff>0</xdr:colOff>
      <xdr:row>91</xdr:row>
      <xdr:rowOff>83820</xdr:rowOff>
    </xdr:to>
    <xdr:sp macro="" textlink="">
      <xdr:nvSpPr>
        <xdr:cNvPr id="38" name="Line 56">
          <a:extLst>
            <a:ext uri="{FF2B5EF4-FFF2-40B4-BE49-F238E27FC236}">
              <a16:creationId xmlns:a16="http://schemas.microsoft.com/office/drawing/2014/main" id="{6D6F8E44-79C2-4ADF-A67F-DA08282DAB96}"/>
            </a:ext>
          </a:extLst>
        </xdr:cNvPr>
        <xdr:cNvSpPr>
          <a:spLocks noChangeShapeType="1"/>
        </xdr:cNvSpPr>
      </xdr:nvSpPr>
      <xdr:spPr bwMode="auto">
        <a:xfrm>
          <a:off x="3724275" y="16421100"/>
          <a:ext cx="6572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88</xdr:row>
      <xdr:rowOff>60960</xdr:rowOff>
    </xdr:from>
    <xdr:to>
      <xdr:col>4</xdr:col>
      <xdr:colOff>7620</xdr:colOff>
      <xdr:row>89</xdr:row>
      <xdr:rowOff>60960</xdr:rowOff>
    </xdr:to>
    <xdr:sp macro="" textlink="">
      <xdr:nvSpPr>
        <xdr:cNvPr id="39" name="Line 57">
          <a:extLst>
            <a:ext uri="{FF2B5EF4-FFF2-40B4-BE49-F238E27FC236}">
              <a16:creationId xmlns:a16="http://schemas.microsoft.com/office/drawing/2014/main" id="{146B74B2-C5C6-47B6-B2B4-7C7C5C0BBA44}"/>
            </a:ext>
          </a:extLst>
        </xdr:cNvPr>
        <xdr:cNvSpPr>
          <a:spLocks noChangeShapeType="1"/>
        </xdr:cNvSpPr>
      </xdr:nvSpPr>
      <xdr:spPr bwMode="auto">
        <a:xfrm>
          <a:off x="3705225" y="16040100"/>
          <a:ext cx="6858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87</xdr:row>
      <xdr:rowOff>53340</xdr:rowOff>
    </xdr:from>
    <xdr:to>
      <xdr:col>4</xdr:col>
      <xdr:colOff>7620</xdr:colOff>
      <xdr:row>88</xdr:row>
      <xdr:rowOff>53340</xdr:rowOff>
    </xdr:to>
    <xdr:sp macro="" textlink="">
      <xdr:nvSpPr>
        <xdr:cNvPr id="40" name="Line 58">
          <a:extLst>
            <a:ext uri="{FF2B5EF4-FFF2-40B4-BE49-F238E27FC236}">
              <a16:creationId xmlns:a16="http://schemas.microsoft.com/office/drawing/2014/main" id="{804E5C01-0B3D-40DD-94D7-E0384F363FC2}"/>
            </a:ext>
          </a:extLst>
        </xdr:cNvPr>
        <xdr:cNvSpPr>
          <a:spLocks noChangeShapeType="1"/>
        </xdr:cNvSpPr>
      </xdr:nvSpPr>
      <xdr:spPr bwMode="auto">
        <a:xfrm flipV="1">
          <a:off x="3724275" y="15868650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88</xdr:row>
      <xdr:rowOff>68580</xdr:rowOff>
    </xdr:from>
    <xdr:to>
      <xdr:col>6</xdr:col>
      <xdr:colOff>7620</xdr:colOff>
      <xdr:row>89</xdr:row>
      <xdr:rowOff>76200</xdr:rowOff>
    </xdr:to>
    <xdr:sp macro="" textlink="">
      <xdr:nvSpPr>
        <xdr:cNvPr id="41" name="Line 59">
          <a:extLst>
            <a:ext uri="{FF2B5EF4-FFF2-40B4-BE49-F238E27FC236}">
              <a16:creationId xmlns:a16="http://schemas.microsoft.com/office/drawing/2014/main" id="{0EECA224-E5D7-41E8-841C-A75459600099}"/>
            </a:ext>
          </a:extLst>
        </xdr:cNvPr>
        <xdr:cNvSpPr>
          <a:spLocks noChangeShapeType="1"/>
        </xdr:cNvSpPr>
      </xdr:nvSpPr>
      <xdr:spPr bwMode="auto">
        <a:xfrm flipV="1">
          <a:off x="5076825" y="1604962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89</xdr:row>
      <xdr:rowOff>91440</xdr:rowOff>
    </xdr:from>
    <xdr:to>
      <xdr:col>6</xdr:col>
      <xdr:colOff>0</xdr:colOff>
      <xdr:row>90</xdr:row>
      <xdr:rowOff>83820</xdr:rowOff>
    </xdr:to>
    <xdr:sp macro="" textlink="">
      <xdr:nvSpPr>
        <xdr:cNvPr id="42" name="Line 60">
          <a:extLst>
            <a:ext uri="{FF2B5EF4-FFF2-40B4-BE49-F238E27FC236}">
              <a16:creationId xmlns:a16="http://schemas.microsoft.com/office/drawing/2014/main" id="{62FAB626-3702-4470-94D5-7C0518B888E7}"/>
            </a:ext>
          </a:extLst>
        </xdr:cNvPr>
        <xdr:cNvSpPr>
          <a:spLocks noChangeShapeType="1"/>
        </xdr:cNvSpPr>
      </xdr:nvSpPr>
      <xdr:spPr bwMode="auto">
        <a:xfrm>
          <a:off x="5076825" y="16249650"/>
          <a:ext cx="6572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87</xdr:row>
      <xdr:rowOff>60960</xdr:rowOff>
    </xdr:from>
    <xdr:to>
      <xdr:col>6</xdr:col>
      <xdr:colOff>7620</xdr:colOff>
      <xdr:row>88</xdr:row>
      <xdr:rowOff>60960</xdr:rowOff>
    </xdr:to>
    <xdr:sp macro="" textlink="">
      <xdr:nvSpPr>
        <xdr:cNvPr id="43" name="Line 61">
          <a:extLst>
            <a:ext uri="{FF2B5EF4-FFF2-40B4-BE49-F238E27FC236}">
              <a16:creationId xmlns:a16="http://schemas.microsoft.com/office/drawing/2014/main" id="{C7D00764-F56C-4F39-B32C-F7DA6F5EEC63}"/>
            </a:ext>
          </a:extLst>
        </xdr:cNvPr>
        <xdr:cNvSpPr>
          <a:spLocks noChangeShapeType="1"/>
        </xdr:cNvSpPr>
      </xdr:nvSpPr>
      <xdr:spPr bwMode="auto">
        <a:xfrm>
          <a:off x="5057775" y="15868650"/>
          <a:ext cx="6858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86</xdr:row>
      <xdr:rowOff>53340</xdr:rowOff>
    </xdr:from>
    <xdr:to>
      <xdr:col>6</xdr:col>
      <xdr:colOff>7620</xdr:colOff>
      <xdr:row>87</xdr:row>
      <xdr:rowOff>53340</xdr:rowOff>
    </xdr:to>
    <xdr:sp macro="" textlink="">
      <xdr:nvSpPr>
        <xdr:cNvPr id="44" name="Line 62">
          <a:extLst>
            <a:ext uri="{FF2B5EF4-FFF2-40B4-BE49-F238E27FC236}">
              <a16:creationId xmlns:a16="http://schemas.microsoft.com/office/drawing/2014/main" id="{668ED643-0597-426A-A3C6-5BDAD59BF10C}"/>
            </a:ext>
          </a:extLst>
        </xdr:cNvPr>
        <xdr:cNvSpPr>
          <a:spLocks noChangeShapeType="1"/>
        </xdr:cNvSpPr>
      </xdr:nvSpPr>
      <xdr:spPr bwMode="auto">
        <a:xfrm flipV="1">
          <a:off x="5076825" y="15697200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87</xdr:row>
      <xdr:rowOff>60960</xdr:rowOff>
    </xdr:from>
    <xdr:to>
      <xdr:col>8</xdr:col>
      <xdr:colOff>7620</xdr:colOff>
      <xdr:row>88</xdr:row>
      <xdr:rowOff>68580</xdr:rowOff>
    </xdr:to>
    <xdr:sp macro="" textlink="">
      <xdr:nvSpPr>
        <xdr:cNvPr id="45" name="Line 63">
          <a:extLst>
            <a:ext uri="{FF2B5EF4-FFF2-40B4-BE49-F238E27FC236}">
              <a16:creationId xmlns:a16="http://schemas.microsoft.com/office/drawing/2014/main" id="{C03104A3-9C27-48EF-828B-020E6B970425}"/>
            </a:ext>
          </a:extLst>
        </xdr:cNvPr>
        <xdr:cNvSpPr>
          <a:spLocks noChangeShapeType="1"/>
        </xdr:cNvSpPr>
      </xdr:nvSpPr>
      <xdr:spPr bwMode="auto">
        <a:xfrm flipV="1">
          <a:off x="6572250" y="158686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88</xdr:row>
      <xdr:rowOff>76200</xdr:rowOff>
    </xdr:from>
    <xdr:to>
      <xdr:col>8</xdr:col>
      <xdr:colOff>0</xdr:colOff>
      <xdr:row>89</xdr:row>
      <xdr:rowOff>68580</xdr:rowOff>
    </xdr:to>
    <xdr:sp macro="" textlink="">
      <xdr:nvSpPr>
        <xdr:cNvPr id="46" name="Line 64">
          <a:extLst>
            <a:ext uri="{FF2B5EF4-FFF2-40B4-BE49-F238E27FC236}">
              <a16:creationId xmlns:a16="http://schemas.microsoft.com/office/drawing/2014/main" id="{6CB63A06-99AA-4387-8B54-C825CA098F37}"/>
            </a:ext>
          </a:extLst>
        </xdr:cNvPr>
        <xdr:cNvSpPr>
          <a:spLocks noChangeShapeType="1"/>
        </xdr:cNvSpPr>
      </xdr:nvSpPr>
      <xdr:spPr bwMode="auto">
        <a:xfrm>
          <a:off x="6572250" y="160591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86</xdr:row>
      <xdr:rowOff>60960</xdr:rowOff>
    </xdr:from>
    <xdr:to>
      <xdr:col>8</xdr:col>
      <xdr:colOff>7620</xdr:colOff>
      <xdr:row>87</xdr:row>
      <xdr:rowOff>60960</xdr:rowOff>
    </xdr:to>
    <xdr:sp macro="" textlink="">
      <xdr:nvSpPr>
        <xdr:cNvPr id="47" name="Line 65">
          <a:extLst>
            <a:ext uri="{FF2B5EF4-FFF2-40B4-BE49-F238E27FC236}">
              <a16:creationId xmlns:a16="http://schemas.microsoft.com/office/drawing/2014/main" id="{4945AC2B-6548-4E53-91DB-2D46483DB4B8}"/>
            </a:ext>
          </a:extLst>
        </xdr:cNvPr>
        <xdr:cNvSpPr>
          <a:spLocks noChangeShapeType="1"/>
        </xdr:cNvSpPr>
      </xdr:nvSpPr>
      <xdr:spPr bwMode="auto">
        <a:xfrm>
          <a:off x="6553200" y="156972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85</xdr:row>
      <xdr:rowOff>53340</xdr:rowOff>
    </xdr:from>
    <xdr:to>
      <xdr:col>8</xdr:col>
      <xdr:colOff>7620</xdr:colOff>
      <xdr:row>86</xdr:row>
      <xdr:rowOff>53340</xdr:rowOff>
    </xdr:to>
    <xdr:sp macro="" textlink="">
      <xdr:nvSpPr>
        <xdr:cNvPr id="48" name="Line 66">
          <a:extLst>
            <a:ext uri="{FF2B5EF4-FFF2-40B4-BE49-F238E27FC236}">
              <a16:creationId xmlns:a16="http://schemas.microsoft.com/office/drawing/2014/main" id="{5369D7AD-11A5-4260-BF11-B4A191B91800}"/>
            </a:ext>
          </a:extLst>
        </xdr:cNvPr>
        <xdr:cNvSpPr>
          <a:spLocks noChangeShapeType="1"/>
        </xdr:cNvSpPr>
      </xdr:nvSpPr>
      <xdr:spPr bwMode="auto">
        <a:xfrm flipV="1">
          <a:off x="6572250" y="155257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91</xdr:row>
      <xdr:rowOff>68580</xdr:rowOff>
    </xdr:from>
    <xdr:to>
      <xdr:col>8</xdr:col>
      <xdr:colOff>7620</xdr:colOff>
      <xdr:row>92</xdr:row>
      <xdr:rowOff>76200</xdr:rowOff>
    </xdr:to>
    <xdr:sp macro="" textlink="">
      <xdr:nvSpPr>
        <xdr:cNvPr id="49" name="Line 67">
          <a:extLst>
            <a:ext uri="{FF2B5EF4-FFF2-40B4-BE49-F238E27FC236}">
              <a16:creationId xmlns:a16="http://schemas.microsoft.com/office/drawing/2014/main" id="{A408A86B-DC89-4431-BEE0-B4F2307A68A6}"/>
            </a:ext>
          </a:extLst>
        </xdr:cNvPr>
        <xdr:cNvSpPr>
          <a:spLocks noChangeShapeType="1"/>
        </xdr:cNvSpPr>
      </xdr:nvSpPr>
      <xdr:spPr bwMode="auto">
        <a:xfrm flipV="1">
          <a:off x="6572250" y="165639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92</xdr:row>
      <xdr:rowOff>91440</xdr:rowOff>
    </xdr:from>
    <xdr:to>
      <xdr:col>8</xdr:col>
      <xdr:colOff>0</xdr:colOff>
      <xdr:row>93</xdr:row>
      <xdr:rowOff>83820</xdr:rowOff>
    </xdr:to>
    <xdr:sp macro="" textlink="">
      <xdr:nvSpPr>
        <xdr:cNvPr id="50" name="Line 68">
          <a:extLst>
            <a:ext uri="{FF2B5EF4-FFF2-40B4-BE49-F238E27FC236}">
              <a16:creationId xmlns:a16="http://schemas.microsoft.com/office/drawing/2014/main" id="{17C0C05E-BF0D-4E51-95D8-8D558FA04E98}"/>
            </a:ext>
          </a:extLst>
        </xdr:cNvPr>
        <xdr:cNvSpPr>
          <a:spLocks noChangeShapeType="1"/>
        </xdr:cNvSpPr>
      </xdr:nvSpPr>
      <xdr:spPr bwMode="auto">
        <a:xfrm>
          <a:off x="6572250" y="1676400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90</xdr:row>
      <xdr:rowOff>60960</xdr:rowOff>
    </xdr:from>
    <xdr:to>
      <xdr:col>8</xdr:col>
      <xdr:colOff>7620</xdr:colOff>
      <xdr:row>91</xdr:row>
      <xdr:rowOff>60960</xdr:rowOff>
    </xdr:to>
    <xdr:sp macro="" textlink="">
      <xdr:nvSpPr>
        <xdr:cNvPr id="51" name="Line 69">
          <a:extLst>
            <a:ext uri="{FF2B5EF4-FFF2-40B4-BE49-F238E27FC236}">
              <a16:creationId xmlns:a16="http://schemas.microsoft.com/office/drawing/2014/main" id="{501B141C-DB50-40A5-883C-F0CB0D522550}"/>
            </a:ext>
          </a:extLst>
        </xdr:cNvPr>
        <xdr:cNvSpPr>
          <a:spLocks noChangeShapeType="1"/>
        </xdr:cNvSpPr>
      </xdr:nvSpPr>
      <xdr:spPr bwMode="auto">
        <a:xfrm>
          <a:off x="6553200" y="163830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89</xdr:row>
      <xdr:rowOff>53340</xdr:rowOff>
    </xdr:from>
    <xdr:to>
      <xdr:col>8</xdr:col>
      <xdr:colOff>7620</xdr:colOff>
      <xdr:row>90</xdr:row>
      <xdr:rowOff>53340</xdr:rowOff>
    </xdr:to>
    <xdr:sp macro="" textlink="">
      <xdr:nvSpPr>
        <xdr:cNvPr id="52" name="Line 70">
          <a:extLst>
            <a:ext uri="{FF2B5EF4-FFF2-40B4-BE49-F238E27FC236}">
              <a16:creationId xmlns:a16="http://schemas.microsoft.com/office/drawing/2014/main" id="{6677174D-0922-4481-869C-8B944BA85452}"/>
            </a:ext>
          </a:extLst>
        </xdr:cNvPr>
        <xdr:cNvSpPr>
          <a:spLocks noChangeShapeType="1"/>
        </xdr:cNvSpPr>
      </xdr:nvSpPr>
      <xdr:spPr bwMode="auto">
        <a:xfrm flipV="1">
          <a:off x="6572250" y="162115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90</xdr:row>
      <xdr:rowOff>83820</xdr:rowOff>
    </xdr:from>
    <xdr:to>
      <xdr:col>6</xdr:col>
      <xdr:colOff>15240</xdr:colOff>
      <xdr:row>91</xdr:row>
      <xdr:rowOff>60960</xdr:rowOff>
    </xdr:to>
    <xdr:sp macro="" textlink="">
      <xdr:nvSpPr>
        <xdr:cNvPr id="53" name="Line 71">
          <a:extLst>
            <a:ext uri="{FF2B5EF4-FFF2-40B4-BE49-F238E27FC236}">
              <a16:creationId xmlns:a16="http://schemas.microsoft.com/office/drawing/2014/main" id="{7A3A5E59-A002-41AE-B40A-28CB56C7D809}"/>
            </a:ext>
          </a:extLst>
        </xdr:cNvPr>
        <xdr:cNvSpPr>
          <a:spLocks noChangeShapeType="1"/>
        </xdr:cNvSpPr>
      </xdr:nvSpPr>
      <xdr:spPr bwMode="auto">
        <a:xfrm flipV="1">
          <a:off x="5057775" y="16411575"/>
          <a:ext cx="6953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91</xdr:row>
      <xdr:rowOff>60960</xdr:rowOff>
    </xdr:from>
    <xdr:to>
      <xdr:col>6</xdr:col>
      <xdr:colOff>0</xdr:colOff>
      <xdr:row>92</xdr:row>
      <xdr:rowOff>68580</xdr:rowOff>
    </xdr:to>
    <xdr:sp macro="" textlink="">
      <xdr:nvSpPr>
        <xdr:cNvPr id="54" name="Line 72">
          <a:extLst>
            <a:ext uri="{FF2B5EF4-FFF2-40B4-BE49-F238E27FC236}">
              <a16:creationId xmlns:a16="http://schemas.microsoft.com/office/drawing/2014/main" id="{F755F052-F107-4FB7-9BE2-746A636ED7BA}"/>
            </a:ext>
          </a:extLst>
        </xdr:cNvPr>
        <xdr:cNvSpPr>
          <a:spLocks noChangeShapeType="1"/>
        </xdr:cNvSpPr>
      </xdr:nvSpPr>
      <xdr:spPr bwMode="auto">
        <a:xfrm>
          <a:off x="5067300" y="16554450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86</xdr:row>
      <xdr:rowOff>53340</xdr:rowOff>
    </xdr:from>
    <xdr:to>
      <xdr:col>6</xdr:col>
      <xdr:colOff>7620</xdr:colOff>
      <xdr:row>87</xdr:row>
      <xdr:rowOff>53340</xdr:rowOff>
    </xdr:to>
    <xdr:sp macro="" textlink="">
      <xdr:nvSpPr>
        <xdr:cNvPr id="55" name="Line 73">
          <a:extLst>
            <a:ext uri="{FF2B5EF4-FFF2-40B4-BE49-F238E27FC236}">
              <a16:creationId xmlns:a16="http://schemas.microsoft.com/office/drawing/2014/main" id="{6DC96EAA-2D94-4DDB-AE27-822AFAF0A518}"/>
            </a:ext>
          </a:extLst>
        </xdr:cNvPr>
        <xdr:cNvSpPr>
          <a:spLocks noChangeShapeType="1"/>
        </xdr:cNvSpPr>
      </xdr:nvSpPr>
      <xdr:spPr bwMode="auto">
        <a:xfrm flipV="1">
          <a:off x="5076825" y="15697200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85</xdr:row>
      <xdr:rowOff>53340</xdr:rowOff>
    </xdr:from>
    <xdr:to>
      <xdr:col>8</xdr:col>
      <xdr:colOff>7620</xdr:colOff>
      <xdr:row>86</xdr:row>
      <xdr:rowOff>53340</xdr:rowOff>
    </xdr:to>
    <xdr:sp macro="" textlink="">
      <xdr:nvSpPr>
        <xdr:cNvPr id="56" name="Line 74">
          <a:extLst>
            <a:ext uri="{FF2B5EF4-FFF2-40B4-BE49-F238E27FC236}">
              <a16:creationId xmlns:a16="http://schemas.microsoft.com/office/drawing/2014/main" id="{BF84D279-DF52-49B2-8F02-22A85E5FC76E}"/>
            </a:ext>
          </a:extLst>
        </xdr:cNvPr>
        <xdr:cNvSpPr>
          <a:spLocks noChangeShapeType="1"/>
        </xdr:cNvSpPr>
      </xdr:nvSpPr>
      <xdr:spPr bwMode="auto">
        <a:xfrm flipV="1">
          <a:off x="6572250" y="155257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85</xdr:row>
      <xdr:rowOff>53340</xdr:rowOff>
    </xdr:from>
    <xdr:to>
      <xdr:col>8</xdr:col>
      <xdr:colOff>7620</xdr:colOff>
      <xdr:row>86</xdr:row>
      <xdr:rowOff>53340</xdr:rowOff>
    </xdr:to>
    <xdr:sp macro="" textlink="">
      <xdr:nvSpPr>
        <xdr:cNvPr id="57" name="Line 75">
          <a:extLst>
            <a:ext uri="{FF2B5EF4-FFF2-40B4-BE49-F238E27FC236}">
              <a16:creationId xmlns:a16="http://schemas.microsoft.com/office/drawing/2014/main" id="{317F1255-C468-4C7A-B6AF-DE051EFF102C}"/>
            </a:ext>
          </a:extLst>
        </xdr:cNvPr>
        <xdr:cNvSpPr>
          <a:spLocks noChangeShapeType="1"/>
        </xdr:cNvSpPr>
      </xdr:nvSpPr>
      <xdr:spPr bwMode="auto">
        <a:xfrm flipV="1">
          <a:off x="6572250" y="155257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71</xdr:row>
      <xdr:rowOff>60960</xdr:rowOff>
    </xdr:from>
    <xdr:to>
      <xdr:col>12</xdr:col>
      <xdr:colOff>0</xdr:colOff>
      <xdr:row>72</xdr:row>
      <xdr:rowOff>68580</xdr:rowOff>
    </xdr:to>
    <xdr:sp macro="" textlink="">
      <xdr:nvSpPr>
        <xdr:cNvPr id="58" name="Line 76">
          <a:extLst>
            <a:ext uri="{FF2B5EF4-FFF2-40B4-BE49-F238E27FC236}">
              <a16:creationId xmlns:a16="http://schemas.microsoft.com/office/drawing/2014/main" id="{D9AD6596-A5D7-4E1C-B5B2-C45583113D17}"/>
            </a:ext>
          </a:extLst>
        </xdr:cNvPr>
        <xdr:cNvSpPr>
          <a:spLocks noChangeShapeType="1"/>
        </xdr:cNvSpPr>
      </xdr:nvSpPr>
      <xdr:spPr bwMode="auto">
        <a:xfrm flipV="1">
          <a:off x="8991600" y="1312545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72</xdr:row>
      <xdr:rowOff>76200</xdr:rowOff>
    </xdr:from>
    <xdr:to>
      <xdr:col>12</xdr:col>
      <xdr:colOff>7620</xdr:colOff>
      <xdr:row>73</xdr:row>
      <xdr:rowOff>68580</xdr:rowOff>
    </xdr:to>
    <xdr:sp macro="" textlink="">
      <xdr:nvSpPr>
        <xdr:cNvPr id="59" name="Line 77">
          <a:extLst>
            <a:ext uri="{FF2B5EF4-FFF2-40B4-BE49-F238E27FC236}">
              <a16:creationId xmlns:a16="http://schemas.microsoft.com/office/drawing/2014/main" id="{22D698F7-BCB7-4FCB-B9B2-79B3F8C4F062}"/>
            </a:ext>
          </a:extLst>
        </xdr:cNvPr>
        <xdr:cNvSpPr>
          <a:spLocks noChangeShapeType="1"/>
        </xdr:cNvSpPr>
      </xdr:nvSpPr>
      <xdr:spPr bwMode="auto">
        <a:xfrm>
          <a:off x="8991600" y="1331595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15240</xdr:colOff>
      <xdr:row>72</xdr:row>
      <xdr:rowOff>68580</xdr:rowOff>
    </xdr:from>
    <xdr:to>
      <xdr:col>14</xdr:col>
      <xdr:colOff>7620</xdr:colOff>
      <xdr:row>73</xdr:row>
      <xdr:rowOff>76200</xdr:rowOff>
    </xdr:to>
    <xdr:sp macro="" textlink="">
      <xdr:nvSpPr>
        <xdr:cNvPr id="60" name="Line 78">
          <a:extLst>
            <a:ext uri="{FF2B5EF4-FFF2-40B4-BE49-F238E27FC236}">
              <a16:creationId xmlns:a16="http://schemas.microsoft.com/office/drawing/2014/main" id="{6736767B-A153-4A9D-BC8B-CCB38868A71B}"/>
            </a:ext>
          </a:extLst>
        </xdr:cNvPr>
        <xdr:cNvSpPr>
          <a:spLocks noChangeShapeType="1"/>
        </xdr:cNvSpPr>
      </xdr:nvSpPr>
      <xdr:spPr bwMode="auto">
        <a:xfrm flipV="1">
          <a:off x="10229850" y="133064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15240</xdr:colOff>
      <xdr:row>73</xdr:row>
      <xdr:rowOff>91440</xdr:rowOff>
    </xdr:from>
    <xdr:to>
      <xdr:col>14</xdr:col>
      <xdr:colOff>0</xdr:colOff>
      <xdr:row>74</xdr:row>
      <xdr:rowOff>83820</xdr:rowOff>
    </xdr:to>
    <xdr:sp macro="" textlink="">
      <xdr:nvSpPr>
        <xdr:cNvPr id="61" name="Line 79">
          <a:extLst>
            <a:ext uri="{FF2B5EF4-FFF2-40B4-BE49-F238E27FC236}">
              <a16:creationId xmlns:a16="http://schemas.microsoft.com/office/drawing/2014/main" id="{0B973551-F319-42F7-A913-787876372B48}"/>
            </a:ext>
          </a:extLst>
        </xdr:cNvPr>
        <xdr:cNvSpPr>
          <a:spLocks noChangeShapeType="1"/>
        </xdr:cNvSpPr>
      </xdr:nvSpPr>
      <xdr:spPr bwMode="auto">
        <a:xfrm>
          <a:off x="10229850" y="135064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71</xdr:row>
      <xdr:rowOff>60960</xdr:rowOff>
    </xdr:from>
    <xdr:to>
      <xdr:col>14</xdr:col>
      <xdr:colOff>7620</xdr:colOff>
      <xdr:row>72</xdr:row>
      <xdr:rowOff>60960</xdr:rowOff>
    </xdr:to>
    <xdr:sp macro="" textlink="">
      <xdr:nvSpPr>
        <xdr:cNvPr id="62" name="Line 80">
          <a:extLst>
            <a:ext uri="{FF2B5EF4-FFF2-40B4-BE49-F238E27FC236}">
              <a16:creationId xmlns:a16="http://schemas.microsoft.com/office/drawing/2014/main" id="{84228D38-9CAA-4A23-9061-C87AD4E4CD35}"/>
            </a:ext>
          </a:extLst>
        </xdr:cNvPr>
        <xdr:cNvSpPr>
          <a:spLocks noChangeShapeType="1"/>
        </xdr:cNvSpPr>
      </xdr:nvSpPr>
      <xdr:spPr bwMode="auto">
        <a:xfrm>
          <a:off x="10210800" y="131254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15240</xdr:colOff>
      <xdr:row>70</xdr:row>
      <xdr:rowOff>53340</xdr:rowOff>
    </xdr:from>
    <xdr:to>
      <xdr:col>14</xdr:col>
      <xdr:colOff>7620</xdr:colOff>
      <xdr:row>71</xdr:row>
      <xdr:rowOff>53340</xdr:rowOff>
    </xdr:to>
    <xdr:sp macro="" textlink="">
      <xdr:nvSpPr>
        <xdr:cNvPr id="63" name="Line 81">
          <a:extLst>
            <a:ext uri="{FF2B5EF4-FFF2-40B4-BE49-F238E27FC236}">
              <a16:creationId xmlns:a16="http://schemas.microsoft.com/office/drawing/2014/main" id="{5054F24D-E387-4E0F-BD3E-FDC039774AA7}"/>
            </a:ext>
          </a:extLst>
        </xdr:cNvPr>
        <xdr:cNvSpPr>
          <a:spLocks noChangeShapeType="1"/>
        </xdr:cNvSpPr>
      </xdr:nvSpPr>
      <xdr:spPr bwMode="auto">
        <a:xfrm flipV="1">
          <a:off x="10229850" y="129540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71</xdr:row>
      <xdr:rowOff>68580</xdr:rowOff>
    </xdr:from>
    <xdr:to>
      <xdr:col>16</xdr:col>
      <xdr:colOff>7620</xdr:colOff>
      <xdr:row>72</xdr:row>
      <xdr:rowOff>76200</xdr:rowOff>
    </xdr:to>
    <xdr:sp macro="" textlink="">
      <xdr:nvSpPr>
        <xdr:cNvPr id="64" name="Line 82">
          <a:extLst>
            <a:ext uri="{FF2B5EF4-FFF2-40B4-BE49-F238E27FC236}">
              <a16:creationId xmlns:a16="http://schemas.microsoft.com/office/drawing/2014/main" id="{6C863088-4188-4A20-8D27-E7CF39B27925}"/>
            </a:ext>
          </a:extLst>
        </xdr:cNvPr>
        <xdr:cNvSpPr>
          <a:spLocks noChangeShapeType="1"/>
        </xdr:cNvSpPr>
      </xdr:nvSpPr>
      <xdr:spPr bwMode="auto">
        <a:xfrm flipV="1">
          <a:off x="11449050" y="131349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72</xdr:row>
      <xdr:rowOff>91440</xdr:rowOff>
    </xdr:from>
    <xdr:to>
      <xdr:col>16</xdr:col>
      <xdr:colOff>0</xdr:colOff>
      <xdr:row>73</xdr:row>
      <xdr:rowOff>83820</xdr:rowOff>
    </xdr:to>
    <xdr:sp macro="" textlink="">
      <xdr:nvSpPr>
        <xdr:cNvPr id="65" name="Line 83">
          <a:extLst>
            <a:ext uri="{FF2B5EF4-FFF2-40B4-BE49-F238E27FC236}">
              <a16:creationId xmlns:a16="http://schemas.microsoft.com/office/drawing/2014/main" id="{D82AF10E-FBBA-46A9-BE01-09CB2377D95E}"/>
            </a:ext>
          </a:extLst>
        </xdr:cNvPr>
        <xdr:cNvSpPr>
          <a:spLocks noChangeShapeType="1"/>
        </xdr:cNvSpPr>
      </xdr:nvSpPr>
      <xdr:spPr bwMode="auto">
        <a:xfrm>
          <a:off x="11449050" y="1333500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70</xdr:row>
      <xdr:rowOff>60960</xdr:rowOff>
    </xdr:from>
    <xdr:to>
      <xdr:col>16</xdr:col>
      <xdr:colOff>7620</xdr:colOff>
      <xdr:row>71</xdr:row>
      <xdr:rowOff>60960</xdr:rowOff>
    </xdr:to>
    <xdr:sp macro="" textlink="">
      <xdr:nvSpPr>
        <xdr:cNvPr id="66" name="Line 84">
          <a:extLst>
            <a:ext uri="{FF2B5EF4-FFF2-40B4-BE49-F238E27FC236}">
              <a16:creationId xmlns:a16="http://schemas.microsoft.com/office/drawing/2014/main" id="{A02F117D-1D5A-4175-9EFC-A26B999957C8}"/>
            </a:ext>
          </a:extLst>
        </xdr:cNvPr>
        <xdr:cNvSpPr>
          <a:spLocks noChangeShapeType="1"/>
        </xdr:cNvSpPr>
      </xdr:nvSpPr>
      <xdr:spPr bwMode="auto">
        <a:xfrm>
          <a:off x="11430000" y="129540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69</xdr:row>
      <xdr:rowOff>53340</xdr:rowOff>
    </xdr:from>
    <xdr:to>
      <xdr:col>16</xdr:col>
      <xdr:colOff>7620</xdr:colOff>
      <xdr:row>70</xdr:row>
      <xdr:rowOff>53340</xdr:rowOff>
    </xdr:to>
    <xdr:sp macro="" textlink="">
      <xdr:nvSpPr>
        <xdr:cNvPr id="67" name="Line 85">
          <a:extLst>
            <a:ext uri="{FF2B5EF4-FFF2-40B4-BE49-F238E27FC236}">
              <a16:creationId xmlns:a16="http://schemas.microsoft.com/office/drawing/2014/main" id="{D750245E-BC63-4F98-9009-50D7CED5A77A}"/>
            </a:ext>
          </a:extLst>
        </xdr:cNvPr>
        <xdr:cNvSpPr>
          <a:spLocks noChangeShapeType="1"/>
        </xdr:cNvSpPr>
      </xdr:nvSpPr>
      <xdr:spPr bwMode="auto">
        <a:xfrm flipV="1">
          <a:off x="11449050" y="127825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70</xdr:row>
      <xdr:rowOff>68580</xdr:rowOff>
    </xdr:from>
    <xdr:to>
      <xdr:col>18</xdr:col>
      <xdr:colOff>7620</xdr:colOff>
      <xdr:row>71</xdr:row>
      <xdr:rowOff>76200</xdr:rowOff>
    </xdr:to>
    <xdr:sp macro="" textlink="">
      <xdr:nvSpPr>
        <xdr:cNvPr id="68" name="Line 86">
          <a:extLst>
            <a:ext uri="{FF2B5EF4-FFF2-40B4-BE49-F238E27FC236}">
              <a16:creationId xmlns:a16="http://schemas.microsoft.com/office/drawing/2014/main" id="{4939BB9A-A61F-4B97-AE18-13B2395419A7}"/>
            </a:ext>
          </a:extLst>
        </xdr:cNvPr>
        <xdr:cNvSpPr>
          <a:spLocks noChangeShapeType="1"/>
        </xdr:cNvSpPr>
      </xdr:nvSpPr>
      <xdr:spPr bwMode="auto">
        <a:xfrm flipV="1">
          <a:off x="12668250" y="129635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71</xdr:row>
      <xdr:rowOff>83820</xdr:rowOff>
    </xdr:from>
    <xdr:to>
      <xdr:col>18</xdr:col>
      <xdr:colOff>0</xdr:colOff>
      <xdr:row>72</xdr:row>
      <xdr:rowOff>76200</xdr:rowOff>
    </xdr:to>
    <xdr:sp macro="" textlink="">
      <xdr:nvSpPr>
        <xdr:cNvPr id="69" name="Line 87">
          <a:extLst>
            <a:ext uri="{FF2B5EF4-FFF2-40B4-BE49-F238E27FC236}">
              <a16:creationId xmlns:a16="http://schemas.microsoft.com/office/drawing/2014/main" id="{C05824DC-A7C1-4B5F-A2F5-D195770BA77F}"/>
            </a:ext>
          </a:extLst>
        </xdr:cNvPr>
        <xdr:cNvSpPr>
          <a:spLocks noChangeShapeType="1"/>
        </xdr:cNvSpPr>
      </xdr:nvSpPr>
      <xdr:spPr bwMode="auto">
        <a:xfrm>
          <a:off x="12668250" y="131540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69</xdr:row>
      <xdr:rowOff>60960</xdr:rowOff>
    </xdr:from>
    <xdr:to>
      <xdr:col>18</xdr:col>
      <xdr:colOff>7620</xdr:colOff>
      <xdr:row>70</xdr:row>
      <xdr:rowOff>60960</xdr:rowOff>
    </xdr:to>
    <xdr:sp macro="" textlink="">
      <xdr:nvSpPr>
        <xdr:cNvPr id="70" name="Line 88">
          <a:extLst>
            <a:ext uri="{FF2B5EF4-FFF2-40B4-BE49-F238E27FC236}">
              <a16:creationId xmlns:a16="http://schemas.microsoft.com/office/drawing/2014/main" id="{6D4A9843-B409-452E-8E76-6BC29F548304}"/>
            </a:ext>
          </a:extLst>
        </xdr:cNvPr>
        <xdr:cNvSpPr>
          <a:spLocks noChangeShapeType="1"/>
        </xdr:cNvSpPr>
      </xdr:nvSpPr>
      <xdr:spPr bwMode="auto">
        <a:xfrm>
          <a:off x="12649200" y="127825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68</xdr:row>
      <xdr:rowOff>53340</xdr:rowOff>
    </xdr:from>
    <xdr:to>
      <xdr:col>18</xdr:col>
      <xdr:colOff>7620</xdr:colOff>
      <xdr:row>69</xdr:row>
      <xdr:rowOff>53340</xdr:rowOff>
    </xdr:to>
    <xdr:sp macro="" textlink="">
      <xdr:nvSpPr>
        <xdr:cNvPr id="71" name="Line 89">
          <a:extLst>
            <a:ext uri="{FF2B5EF4-FFF2-40B4-BE49-F238E27FC236}">
              <a16:creationId xmlns:a16="http://schemas.microsoft.com/office/drawing/2014/main" id="{49320750-408A-475D-ACAA-C18CF6F058BA}"/>
            </a:ext>
          </a:extLst>
        </xdr:cNvPr>
        <xdr:cNvSpPr>
          <a:spLocks noChangeShapeType="1"/>
        </xdr:cNvSpPr>
      </xdr:nvSpPr>
      <xdr:spPr bwMode="auto">
        <a:xfrm flipV="1">
          <a:off x="12668250" y="12611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74</xdr:row>
      <xdr:rowOff>68580</xdr:rowOff>
    </xdr:from>
    <xdr:to>
      <xdr:col>18</xdr:col>
      <xdr:colOff>7620</xdr:colOff>
      <xdr:row>75</xdr:row>
      <xdr:rowOff>76200</xdr:rowOff>
    </xdr:to>
    <xdr:sp macro="" textlink="">
      <xdr:nvSpPr>
        <xdr:cNvPr id="72" name="Line 90">
          <a:extLst>
            <a:ext uri="{FF2B5EF4-FFF2-40B4-BE49-F238E27FC236}">
              <a16:creationId xmlns:a16="http://schemas.microsoft.com/office/drawing/2014/main" id="{266B7BFC-2E68-4B73-934F-400F67F2AC63}"/>
            </a:ext>
          </a:extLst>
        </xdr:cNvPr>
        <xdr:cNvSpPr>
          <a:spLocks noChangeShapeType="1"/>
        </xdr:cNvSpPr>
      </xdr:nvSpPr>
      <xdr:spPr bwMode="auto">
        <a:xfrm flipV="1">
          <a:off x="12668250" y="136493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75</xdr:row>
      <xdr:rowOff>91440</xdr:rowOff>
    </xdr:from>
    <xdr:to>
      <xdr:col>18</xdr:col>
      <xdr:colOff>0</xdr:colOff>
      <xdr:row>76</xdr:row>
      <xdr:rowOff>83820</xdr:rowOff>
    </xdr:to>
    <xdr:sp macro="" textlink="">
      <xdr:nvSpPr>
        <xdr:cNvPr id="73" name="Line 91">
          <a:extLst>
            <a:ext uri="{FF2B5EF4-FFF2-40B4-BE49-F238E27FC236}">
              <a16:creationId xmlns:a16="http://schemas.microsoft.com/office/drawing/2014/main" id="{4B36D787-FF7D-4080-A200-FA8EB3931E36}"/>
            </a:ext>
          </a:extLst>
        </xdr:cNvPr>
        <xdr:cNvSpPr>
          <a:spLocks noChangeShapeType="1"/>
        </xdr:cNvSpPr>
      </xdr:nvSpPr>
      <xdr:spPr bwMode="auto">
        <a:xfrm>
          <a:off x="12668250" y="13849350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73</xdr:row>
      <xdr:rowOff>60960</xdr:rowOff>
    </xdr:from>
    <xdr:to>
      <xdr:col>18</xdr:col>
      <xdr:colOff>7620</xdr:colOff>
      <xdr:row>74</xdr:row>
      <xdr:rowOff>60960</xdr:rowOff>
    </xdr:to>
    <xdr:sp macro="" textlink="">
      <xdr:nvSpPr>
        <xdr:cNvPr id="74" name="Line 92">
          <a:extLst>
            <a:ext uri="{FF2B5EF4-FFF2-40B4-BE49-F238E27FC236}">
              <a16:creationId xmlns:a16="http://schemas.microsoft.com/office/drawing/2014/main" id="{D7269C00-C8C7-49F0-AD90-6B6BAA9D34A2}"/>
            </a:ext>
          </a:extLst>
        </xdr:cNvPr>
        <xdr:cNvSpPr>
          <a:spLocks noChangeShapeType="1"/>
        </xdr:cNvSpPr>
      </xdr:nvSpPr>
      <xdr:spPr bwMode="auto">
        <a:xfrm>
          <a:off x="12649200" y="1346835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72</xdr:row>
      <xdr:rowOff>68580</xdr:rowOff>
    </xdr:from>
    <xdr:to>
      <xdr:col>18</xdr:col>
      <xdr:colOff>7620</xdr:colOff>
      <xdr:row>73</xdr:row>
      <xdr:rowOff>68580</xdr:rowOff>
    </xdr:to>
    <xdr:sp macro="" textlink="">
      <xdr:nvSpPr>
        <xdr:cNvPr id="75" name="Line 93">
          <a:extLst>
            <a:ext uri="{FF2B5EF4-FFF2-40B4-BE49-F238E27FC236}">
              <a16:creationId xmlns:a16="http://schemas.microsoft.com/office/drawing/2014/main" id="{1C8088D5-CF8C-4D45-A446-57D57F71340C}"/>
            </a:ext>
          </a:extLst>
        </xdr:cNvPr>
        <xdr:cNvSpPr>
          <a:spLocks noChangeShapeType="1"/>
        </xdr:cNvSpPr>
      </xdr:nvSpPr>
      <xdr:spPr bwMode="auto">
        <a:xfrm flipV="1">
          <a:off x="12668250" y="1330642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73</xdr:row>
      <xdr:rowOff>83820</xdr:rowOff>
    </xdr:from>
    <xdr:to>
      <xdr:col>16</xdr:col>
      <xdr:colOff>15240</xdr:colOff>
      <xdr:row>74</xdr:row>
      <xdr:rowOff>60960</xdr:rowOff>
    </xdr:to>
    <xdr:sp macro="" textlink="">
      <xdr:nvSpPr>
        <xdr:cNvPr id="76" name="Line 94">
          <a:extLst>
            <a:ext uri="{FF2B5EF4-FFF2-40B4-BE49-F238E27FC236}">
              <a16:creationId xmlns:a16="http://schemas.microsoft.com/office/drawing/2014/main" id="{E0CC9C5A-C7A4-439C-BDED-0E00D9712381}"/>
            </a:ext>
          </a:extLst>
        </xdr:cNvPr>
        <xdr:cNvSpPr>
          <a:spLocks noChangeShapeType="1"/>
        </xdr:cNvSpPr>
      </xdr:nvSpPr>
      <xdr:spPr bwMode="auto">
        <a:xfrm flipV="1">
          <a:off x="11430000" y="13496925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7620</xdr:colOff>
      <xdr:row>74</xdr:row>
      <xdr:rowOff>60960</xdr:rowOff>
    </xdr:from>
    <xdr:to>
      <xdr:col>16</xdr:col>
      <xdr:colOff>0</xdr:colOff>
      <xdr:row>75</xdr:row>
      <xdr:rowOff>68580</xdr:rowOff>
    </xdr:to>
    <xdr:sp macro="" textlink="">
      <xdr:nvSpPr>
        <xdr:cNvPr id="77" name="Line 95">
          <a:extLst>
            <a:ext uri="{FF2B5EF4-FFF2-40B4-BE49-F238E27FC236}">
              <a16:creationId xmlns:a16="http://schemas.microsoft.com/office/drawing/2014/main" id="{826910B0-8F65-4F35-81EB-3E834280E5D0}"/>
            </a:ext>
          </a:extLst>
        </xdr:cNvPr>
        <xdr:cNvSpPr>
          <a:spLocks noChangeShapeType="1"/>
        </xdr:cNvSpPr>
      </xdr:nvSpPr>
      <xdr:spPr bwMode="auto">
        <a:xfrm>
          <a:off x="11439525" y="136398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15240</xdr:colOff>
      <xdr:row>69</xdr:row>
      <xdr:rowOff>53340</xdr:rowOff>
    </xdr:from>
    <xdr:to>
      <xdr:col>16</xdr:col>
      <xdr:colOff>7620</xdr:colOff>
      <xdr:row>70</xdr:row>
      <xdr:rowOff>53340</xdr:rowOff>
    </xdr:to>
    <xdr:sp macro="" textlink="">
      <xdr:nvSpPr>
        <xdr:cNvPr id="78" name="Line 96">
          <a:extLst>
            <a:ext uri="{FF2B5EF4-FFF2-40B4-BE49-F238E27FC236}">
              <a16:creationId xmlns:a16="http://schemas.microsoft.com/office/drawing/2014/main" id="{B4CF63D0-BAB6-4483-AA0C-67BE66138CD3}"/>
            </a:ext>
          </a:extLst>
        </xdr:cNvPr>
        <xdr:cNvSpPr>
          <a:spLocks noChangeShapeType="1"/>
        </xdr:cNvSpPr>
      </xdr:nvSpPr>
      <xdr:spPr bwMode="auto">
        <a:xfrm flipV="1">
          <a:off x="11449050" y="1278255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68</xdr:row>
      <xdr:rowOff>53340</xdr:rowOff>
    </xdr:from>
    <xdr:to>
      <xdr:col>18</xdr:col>
      <xdr:colOff>7620</xdr:colOff>
      <xdr:row>69</xdr:row>
      <xdr:rowOff>53340</xdr:rowOff>
    </xdr:to>
    <xdr:sp macro="" textlink="">
      <xdr:nvSpPr>
        <xdr:cNvPr id="79" name="Line 97">
          <a:extLst>
            <a:ext uri="{FF2B5EF4-FFF2-40B4-BE49-F238E27FC236}">
              <a16:creationId xmlns:a16="http://schemas.microsoft.com/office/drawing/2014/main" id="{6717100B-C3D8-46CC-8463-03A8DC0FEA2B}"/>
            </a:ext>
          </a:extLst>
        </xdr:cNvPr>
        <xdr:cNvSpPr>
          <a:spLocks noChangeShapeType="1"/>
        </xdr:cNvSpPr>
      </xdr:nvSpPr>
      <xdr:spPr bwMode="auto">
        <a:xfrm flipV="1">
          <a:off x="12668250" y="12611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15240</xdr:colOff>
      <xdr:row>68</xdr:row>
      <xdr:rowOff>53340</xdr:rowOff>
    </xdr:from>
    <xdr:to>
      <xdr:col>18</xdr:col>
      <xdr:colOff>7620</xdr:colOff>
      <xdr:row>69</xdr:row>
      <xdr:rowOff>53340</xdr:rowOff>
    </xdr:to>
    <xdr:sp macro="" textlink="">
      <xdr:nvSpPr>
        <xdr:cNvPr id="80" name="Line 98">
          <a:extLst>
            <a:ext uri="{FF2B5EF4-FFF2-40B4-BE49-F238E27FC236}">
              <a16:creationId xmlns:a16="http://schemas.microsoft.com/office/drawing/2014/main" id="{B1CEE7C0-96C5-4B4B-A6B5-AB0371BF671A}"/>
            </a:ext>
          </a:extLst>
        </xdr:cNvPr>
        <xdr:cNvSpPr>
          <a:spLocks noChangeShapeType="1"/>
        </xdr:cNvSpPr>
      </xdr:nvSpPr>
      <xdr:spPr bwMode="auto">
        <a:xfrm flipV="1">
          <a:off x="12668250" y="12611100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350520</xdr:colOff>
      <xdr:row>16</xdr:row>
      <xdr:rowOff>114300</xdr:rowOff>
    </xdr:from>
    <xdr:to>
      <xdr:col>3</xdr:col>
      <xdr:colOff>525780</xdr:colOff>
      <xdr:row>17</xdr:row>
      <xdr:rowOff>236220</xdr:rowOff>
    </xdr:to>
    <xdr:sp macro="" textlink="">
      <xdr:nvSpPr>
        <xdr:cNvPr id="81" name="Line 106">
          <a:extLst>
            <a:ext uri="{FF2B5EF4-FFF2-40B4-BE49-F238E27FC236}">
              <a16:creationId xmlns:a16="http://schemas.microsoft.com/office/drawing/2014/main" id="{72F3E272-DA57-4225-A05B-AF5754C57D56}"/>
            </a:ext>
          </a:extLst>
        </xdr:cNvPr>
        <xdr:cNvSpPr>
          <a:spLocks noChangeShapeType="1"/>
        </xdr:cNvSpPr>
      </xdr:nvSpPr>
      <xdr:spPr bwMode="auto">
        <a:xfrm flipH="1">
          <a:off x="4057650" y="2905125"/>
          <a:ext cx="171450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373380</xdr:colOff>
      <xdr:row>20</xdr:row>
      <xdr:rowOff>30480</xdr:rowOff>
    </xdr:from>
    <xdr:to>
      <xdr:col>4</xdr:col>
      <xdr:colOff>0</xdr:colOff>
      <xdr:row>21</xdr:row>
      <xdr:rowOff>281940</xdr:rowOff>
    </xdr:to>
    <xdr:sp macro="" textlink="">
      <xdr:nvSpPr>
        <xdr:cNvPr id="82" name="Line 107">
          <a:extLst>
            <a:ext uri="{FF2B5EF4-FFF2-40B4-BE49-F238E27FC236}">
              <a16:creationId xmlns:a16="http://schemas.microsoft.com/office/drawing/2014/main" id="{62B0DC1F-4524-463E-A2FE-C72186640107}"/>
            </a:ext>
          </a:extLst>
        </xdr:cNvPr>
        <xdr:cNvSpPr>
          <a:spLocks noChangeShapeType="1"/>
        </xdr:cNvSpPr>
      </xdr:nvSpPr>
      <xdr:spPr bwMode="auto">
        <a:xfrm flipH="1" flipV="1">
          <a:off x="4076700" y="3771900"/>
          <a:ext cx="304800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20</xdr:col>
      <xdr:colOff>323850</xdr:colOff>
      <xdr:row>0</xdr:row>
      <xdr:rowOff>0</xdr:rowOff>
    </xdr:from>
    <xdr:to>
      <xdr:col>44</xdr:col>
      <xdr:colOff>186690</xdr:colOff>
      <xdr:row>95</xdr:row>
      <xdr:rowOff>11430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8043C5F9-38AC-1085-AD58-D1799CF28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801850" y="0"/>
          <a:ext cx="14493240" cy="171945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5FDEB-16B9-4365-9B96-11558ED694B3}">
  <sheetPr codeName="Sheet5"/>
  <dimension ref="A1:S89"/>
  <sheetViews>
    <sheetView zoomScale="115" zoomScaleNormal="115" workbookViewId="0">
      <selection activeCell="B7" sqref="B7"/>
    </sheetView>
  </sheetViews>
  <sheetFormatPr defaultRowHeight="13.2" x14ac:dyDescent="0.25"/>
  <cols>
    <col min="1" max="1" width="34.33203125" style="2" customWidth="1"/>
    <col min="2" max="6" width="9.6640625" style="2" customWidth="1"/>
    <col min="7" max="256" width="8.88671875" style="2"/>
    <col min="257" max="257" width="34.33203125" style="2" customWidth="1"/>
    <col min="258" max="262" width="9.6640625" style="2" customWidth="1"/>
    <col min="263" max="512" width="8.88671875" style="2"/>
    <col min="513" max="513" width="34.33203125" style="2" customWidth="1"/>
    <col min="514" max="518" width="9.6640625" style="2" customWidth="1"/>
    <col min="519" max="768" width="8.88671875" style="2"/>
    <col min="769" max="769" width="34.33203125" style="2" customWidth="1"/>
    <col min="770" max="774" width="9.6640625" style="2" customWidth="1"/>
    <col min="775" max="1024" width="8.88671875" style="2"/>
    <col min="1025" max="1025" width="34.33203125" style="2" customWidth="1"/>
    <col min="1026" max="1030" width="9.6640625" style="2" customWidth="1"/>
    <col min="1031" max="1280" width="8.88671875" style="2"/>
    <col min="1281" max="1281" width="34.33203125" style="2" customWidth="1"/>
    <col min="1282" max="1286" width="9.6640625" style="2" customWidth="1"/>
    <col min="1287" max="1536" width="8.88671875" style="2"/>
    <col min="1537" max="1537" width="34.33203125" style="2" customWidth="1"/>
    <col min="1538" max="1542" width="9.6640625" style="2" customWidth="1"/>
    <col min="1543" max="1792" width="8.88671875" style="2"/>
    <col min="1793" max="1793" width="34.33203125" style="2" customWidth="1"/>
    <col min="1794" max="1798" width="9.6640625" style="2" customWidth="1"/>
    <col min="1799" max="2048" width="8.88671875" style="2"/>
    <col min="2049" max="2049" width="34.33203125" style="2" customWidth="1"/>
    <col min="2050" max="2054" width="9.6640625" style="2" customWidth="1"/>
    <col min="2055" max="2304" width="8.88671875" style="2"/>
    <col min="2305" max="2305" width="34.33203125" style="2" customWidth="1"/>
    <col min="2306" max="2310" width="9.6640625" style="2" customWidth="1"/>
    <col min="2311" max="2560" width="8.88671875" style="2"/>
    <col min="2561" max="2561" width="34.33203125" style="2" customWidth="1"/>
    <col min="2562" max="2566" width="9.6640625" style="2" customWidth="1"/>
    <col min="2567" max="2816" width="8.88671875" style="2"/>
    <col min="2817" max="2817" width="34.33203125" style="2" customWidth="1"/>
    <col min="2818" max="2822" width="9.6640625" style="2" customWidth="1"/>
    <col min="2823" max="3072" width="8.88671875" style="2"/>
    <col min="3073" max="3073" width="34.33203125" style="2" customWidth="1"/>
    <col min="3074" max="3078" width="9.6640625" style="2" customWidth="1"/>
    <col min="3079" max="3328" width="8.88671875" style="2"/>
    <col min="3329" max="3329" width="34.33203125" style="2" customWidth="1"/>
    <col min="3330" max="3334" width="9.6640625" style="2" customWidth="1"/>
    <col min="3335" max="3584" width="8.88671875" style="2"/>
    <col min="3585" max="3585" width="34.33203125" style="2" customWidth="1"/>
    <col min="3586" max="3590" width="9.6640625" style="2" customWidth="1"/>
    <col min="3591" max="3840" width="8.88671875" style="2"/>
    <col min="3841" max="3841" width="34.33203125" style="2" customWidth="1"/>
    <col min="3842" max="3846" width="9.6640625" style="2" customWidth="1"/>
    <col min="3847" max="4096" width="8.88671875" style="2"/>
    <col min="4097" max="4097" width="34.33203125" style="2" customWidth="1"/>
    <col min="4098" max="4102" width="9.6640625" style="2" customWidth="1"/>
    <col min="4103" max="4352" width="8.88671875" style="2"/>
    <col min="4353" max="4353" width="34.33203125" style="2" customWidth="1"/>
    <col min="4354" max="4358" width="9.6640625" style="2" customWidth="1"/>
    <col min="4359" max="4608" width="8.88671875" style="2"/>
    <col min="4609" max="4609" width="34.33203125" style="2" customWidth="1"/>
    <col min="4610" max="4614" width="9.6640625" style="2" customWidth="1"/>
    <col min="4615" max="4864" width="8.88671875" style="2"/>
    <col min="4865" max="4865" width="34.33203125" style="2" customWidth="1"/>
    <col min="4866" max="4870" width="9.6640625" style="2" customWidth="1"/>
    <col min="4871" max="5120" width="8.88671875" style="2"/>
    <col min="5121" max="5121" width="34.33203125" style="2" customWidth="1"/>
    <col min="5122" max="5126" width="9.6640625" style="2" customWidth="1"/>
    <col min="5127" max="5376" width="8.88671875" style="2"/>
    <col min="5377" max="5377" width="34.33203125" style="2" customWidth="1"/>
    <col min="5378" max="5382" width="9.6640625" style="2" customWidth="1"/>
    <col min="5383" max="5632" width="8.88671875" style="2"/>
    <col min="5633" max="5633" width="34.33203125" style="2" customWidth="1"/>
    <col min="5634" max="5638" width="9.6640625" style="2" customWidth="1"/>
    <col min="5639" max="5888" width="8.88671875" style="2"/>
    <col min="5889" max="5889" width="34.33203125" style="2" customWidth="1"/>
    <col min="5890" max="5894" width="9.6640625" style="2" customWidth="1"/>
    <col min="5895" max="6144" width="8.88671875" style="2"/>
    <col min="6145" max="6145" width="34.33203125" style="2" customWidth="1"/>
    <col min="6146" max="6150" width="9.6640625" style="2" customWidth="1"/>
    <col min="6151" max="6400" width="8.88671875" style="2"/>
    <col min="6401" max="6401" width="34.33203125" style="2" customWidth="1"/>
    <col min="6402" max="6406" width="9.6640625" style="2" customWidth="1"/>
    <col min="6407" max="6656" width="8.88671875" style="2"/>
    <col min="6657" max="6657" width="34.33203125" style="2" customWidth="1"/>
    <col min="6658" max="6662" width="9.6640625" style="2" customWidth="1"/>
    <col min="6663" max="6912" width="8.88671875" style="2"/>
    <col min="6913" max="6913" width="34.33203125" style="2" customWidth="1"/>
    <col min="6914" max="6918" width="9.6640625" style="2" customWidth="1"/>
    <col min="6919" max="7168" width="8.88671875" style="2"/>
    <col min="7169" max="7169" width="34.33203125" style="2" customWidth="1"/>
    <col min="7170" max="7174" width="9.6640625" style="2" customWidth="1"/>
    <col min="7175" max="7424" width="8.88671875" style="2"/>
    <col min="7425" max="7425" width="34.33203125" style="2" customWidth="1"/>
    <col min="7426" max="7430" width="9.6640625" style="2" customWidth="1"/>
    <col min="7431" max="7680" width="8.88671875" style="2"/>
    <col min="7681" max="7681" width="34.33203125" style="2" customWidth="1"/>
    <col min="7682" max="7686" width="9.6640625" style="2" customWidth="1"/>
    <col min="7687" max="7936" width="8.88671875" style="2"/>
    <col min="7937" max="7937" width="34.33203125" style="2" customWidth="1"/>
    <col min="7938" max="7942" width="9.6640625" style="2" customWidth="1"/>
    <col min="7943" max="8192" width="8.88671875" style="2"/>
    <col min="8193" max="8193" width="34.33203125" style="2" customWidth="1"/>
    <col min="8194" max="8198" width="9.6640625" style="2" customWidth="1"/>
    <col min="8199" max="8448" width="8.88671875" style="2"/>
    <col min="8449" max="8449" width="34.33203125" style="2" customWidth="1"/>
    <col min="8450" max="8454" width="9.6640625" style="2" customWidth="1"/>
    <col min="8455" max="8704" width="8.88671875" style="2"/>
    <col min="8705" max="8705" width="34.33203125" style="2" customWidth="1"/>
    <col min="8706" max="8710" width="9.6640625" style="2" customWidth="1"/>
    <col min="8711" max="8960" width="8.88671875" style="2"/>
    <col min="8961" max="8961" width="34.33203125" style="2" customWidth="1"/>
    <col min="8962" max="8966" width="9.6640625" style="2" customWidth="1"/>
    <col min="8967" max="9216" width="8.88671875" style="2"/>
    <col min="9217" max="9217" width="34.33203125" style="2" customWidth="1"/>
    <col min="9218" max="9222" width="9.6640625" style="2" customWidth="1"/>
    <col min="9223" max="9472" width="8.88671875" style="2"/>
    <col min="9473" max="9473" width="34.33203125" style="2" customWidth="1"/>
    <col min="9474" max="9478" width="9.6640625" style="2" customWidth="1"/>
    <col min="9479" max="9728" width="8.88671875" style="2"/>
    <col min="9729" max="9729" width="34.33203125" style="2" customWidth="1"/>
    <col min="9730" max="9734" width="9.6640625" style="2" customWidth="1"/>
    <col min="9735" max="9984" width="8.88671875" style="2"/>
    <col min="9985" max="9985" width="34.33203125" style="2" customWidth="1"/>
    <col min="9986" max="9990" width="9.6640625" style="2" customWidth="1"/>
    <col min="9991" max="10240" width="8.88671875" style="2"/>
    <col min="10241" max="10241" width="34.33203125" style="2" customWidth="1"/>
    <col min="10242" max="10246" width="9.6640625" style="2" customWidth="1"/>
    <col min="10247" max="10496" width="8.88671875" style="2"/>
    <col min="10497" max="10497" width="34.33203125" style="2" customWidth="1"/>
    <col min="10498" max="10502" width="9.6640625" style="2" customWidth="1"/>
    <col min="10503" max="10752" width="8.88671875" style="2"/>
    <col min="10753" max="10753" width="34.33203125" style="2" customWidth="1"/>
    <col min="10754" max="10758" width="9.6640625" style="2" customWidth="1"/>
    <col min="10759" max="11008" width="8.88671875" style="2"/>
    <col min="11009" max="11009" width="34.33203125" style="2" customWidth="1"/>
    <col min="11010" max="11014" width="9.6640625" style="2" customWidth="1"/>
    <col min="11015" max="11264" width="8.88671875" style="2"/>
    <col min="11265" max="11265" width="34.33203125" style="2" customWidth="1"/>
    <col min="11266" max="11270" width="9.6640625" style="2" customWidth="1"/>
    <col min="11271" max="11520" width="8.88671875" style="2"/>
    <col min="11521" max="11521" width="34.33203125" style="2" customWidth="1"/>
    <col min="11522" max="11526" width="9.6640625" style="2" customWidth="1"/>
    <col min="11527" max="11776" width="8.88671875" style="2"/>
    <col min="11777" max="11777" width="34.33203125" style="2" customWidth="1"/>
    <col min="11778" max="11782" width="9.6640625" style="2" customWidth="1"/>
    <col min="11783" max="12032" width="8.88671875" style="2"/>
    <col min="12033" max="12033" width="34.33203125" style="2" customWidth="1"/>
    <col min="12034" max="12038" width="9.6640625" style="2" customWidth="1"/>
    <col min="12039" max="12288" width="8.88671875" style="2"/>
    <col min="12289" max="12289" width="34.33203125" style="2" customWidth="1"/>
    <col min="12290" max="12294" width="9.6640625" style="2" customWidth="1"/>
    <col min="12295" max="12544" width="8.88671875" style="2"/>
    <col min="12545" max="12545" width="34.33203125" style="2" customWidth="1"/>
    <col min="12546" max="12550" width="9.6640625" style="2" customWidth="1"/>
    <col min="12551" max="12800" width="8.88671875" style="2"/>
    <col min="12801" max="12801" width="34.33203125" style="2" customWidth="1"/>
    <col min="12802" max="12806" width="9.6640625" style="2" customWidth="1"/>
    <col min="12807" max="13056" width="8.88671875" style="2"/>
    <col min="13057" max="13057" width="34.33203125" style="2" customWidth="1"/>
    <col min="13058" max="13062" width="9.6640625" style="2" customWidth="1"/>
    <col min="13063" max="13312" width="8.88671875" style="2"/>
    <col min="13313" max="13313" width="34.33203125" style="2" customWidth="1"/>
    <col min="13314" max="13318" width="9.6640625" style="2" customWidth="1"/>
    <col min="13319" max="13568" width="8.88671875" style="2"/>
    <col min="13569" max="13569" width="34.33203125" style="2" customWidth="1"/>
    <col min="13570" max="13574" width="9.6640625" style="2" customWidth="1"/>
    <col min="13575" max="13824" width="8.88671875" style="2"/>
    <col min="13825" max="13825" width="34.33203125" style="2" customWidth="1"/>
    <col min="13826" max="13830" width="9.6640625" style="2" customWidth="1"/>
    <col min="13831" max="14080" width="8.88671875" style="2"/>
    <col min="14081" max="14081" width="34.33203125" style="2" customWidth="1"/>
    <col min="14082" max="14086" width="9.6640625" style="2" customWidth="1"/>
    <col min="14087" max="14336" width="8.88671875" style="2"/>
    <col min="14337" max="14337" width="34.33203125" style="2" customWidth="1"/>
    <col min="14338" max="14342" width="9.6640625" style="2" customWidth="1"/>
    <col min="14343" max="14592" width="8.88671875" style="2"/>
    <col min="14593" max="14593" width="34.33203125" style="2" customWidth="1"/>
    <col min="14594" max="14598" width="9.6640625" style="2" customWidth="1"/>
    <col min="14599" max="14848" width="8.88671875" style="2"/>
    <col min="14849" max="14849" width="34.33203125" style="2" customWidth="1"/>
    <col min="14850" max="14854" width="9.6640625" style="2" customWidth="1"/>
    <col min="14855" max="15104" width="8.88671875" style="2"/>
    <col min="15105" max="15105" width="34.33203125" style="2" customWidth="1"/>
    <col min="15106" max="15110" width="9.6640625" style="2" customWidth="1"/>
    <col min="15111" max="15360" width="8.88671875" style="2"/>
    <col min="15361" max="15361" width="34.33203125" style="2" customWidth="1"/>
    <col min="15362" max="15366" width="9.6640625" style="2" customWidth="1"/>
    <col min="15367" max="15616" width="8.88671875" style="2"/>
    <col min="15617" max="15617" width="34.33203125" style="2" customWidth="1"/>
    <col min="15618" max="15622" width="9.6640625" style="2" customWidth="1"/>
    <col min="15623" max="15872" width="8.88671875" style="2"/>
    <col min="15873" max="15873" width="34.33203125" style="2" customWidth="1"/>
    <col min="15874" max="15878" width="9.6640625" style="2" customWidth="1"/>
    <col min="15879" max="16128" width="8.88671875" style="2"/>
    <col min="16129" max="16129" width="34.33203125" style="2" customWidth="1"/>
    <col min="16130" max="16134" width="9.6640625" style="2" customWidth="1"/>
    <col min="16135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</row>
    <row r="2" spans="1:8" x14ac:dyDescent="0.25">
      <c r="A2" s="3" t="s">
        <v>1</v>
      </c>
    </row>
    <row r="3" spans="1:8" x14ac:dyDescent="0.25">
      <c r="A3" s="2" t="s">
        <v>2</v>
      </c>
      <c r="B3" s="4">
        <v>0</v>
      </c>
      <c r="C3" s="4">
        <v>1</v>
      </c>
      <c r="D3" s="4">
        <v>2</v>
      </c>
      <c r="E3" s="4">
        <v>3</v>
      </c>
      <c r="F3" s="4">
        <v>4</v>
      </c>
    </row>
    <row r="4" spans="1:8" x14ac:dyDescent="0.25">
      <c r="A4" s="2" t="s">
        <v>3</v>
      </c>
      <c r="B4" s="5">
        <v>-750</v>
      </c>
      <c r="C4" s="5">
        <v>100</v>
      </c>
      <c r="D4" s="5">
        <v>200</v>
      </c>
      <c r="E4" s="5">
        <v>300</v>
      </c>
      <c r="F4" s="5">
        <v>400</v>
      </c>
      <c r="G4" s="6"/>
    </row>
    <row r="5" spans="1:8" x14ac:dyDescent="0.25">
      <c r="B5" s="6"/>
      <c r="C5" s="6"/>
      <c r="D5" s="6"/>
      <c r="E5" s="6"/>
      <c r="F5" s="6"/>
      <c r="G5" s="6"/>
    </row>
    <row r="6" spans="1:8" x14ac:dyDescent="0.25">
      <c r="A6" s="2" t="s">
        <v>4</v>
      </c>
      <c r="B6" s="7">
        <v>0.12</v>
      </c>
      <c r="C6" s="2" t="s">
        <v>5</v>
      </c>
    </row>
    <row r="7" spans="1:8" x14ac:dyDescent="0.25">
      <c r="A7" s="2" t="s">
        <v>6</v>
      </c>
      <c r="B7" s="8">
        <f>B4+NPV(B6,C4:F4)</f>
        <v>-33.53420449812586</v>
      </c>
      <c r="C7" s="2" t="str">
        <f ca="1">_xlfn.FORMULATEXT(B7)</f>
        <v>=B4+NPV(B6,C4:F4)</v>
      </c>
    </row>
    <row r="8" spans="1:8" x14ac:dyDescent="0.25">
      <c r="B8" s="7"/>
    </row>
    <row r="9" spans="1:8" x14ac:dyDescent="0.25">
      <c r="A9" s="3" t="s">
        <v>7</v>
      </c>
      <c r="B9" s="6"/>
      <c r="C9" s="6"/>
      <c r="D9" s="6"/>
      <c r="E9" s="6"/>
      <c r="F9" s="6"/>
    </row>
    <row r="10" spans="1:8" x14ac:dyDescent="0.25">
      <c r="A10" s="2" t="s">
        <v>8</v>
      </c>
      <c r="B10" s="8">
        <f>NPV(B6,D4:F4)</f>
        <v>702.44169096209896</v>
      </c>
      <c r="C10" s="2" t="str">
        <f ca="1">_xlfn.FORMULATEXT(B10)</f>
        <v>=NPV(B6,D4:F4)</v>
      </c>
    </row>
    <row r="11" spans="1:8" x14ac:dyDescent="0.25">
      <c r="A11" s="2" t="s">
        <v>9</v>
      </c>
      <c r="B11" s="6">
        <v>300</v>
      </c>
      <c r="C11" s="6" t="s">
        <v>10</v>
      </c>
    </row>
    <row r="12" spans="1:8" x14ac:dyDescent="0.25">
      <c r="A12" s="2" t="s">
        <v>11</v>
      </c>
      <c r="B12" s="2">
        <v>3</v>
      </c>
      <c r="C12" s="6"/>
    </row>
    <row r="13" spans="1:8" x14ac:dyDescent="0.25">
      <c r="A13" s="2" t="s">
        <v>12</v>
      </c>
      <c r="B13" s="7">
        <v>0.06</v>
      </c>
      <c r="C13" s="6"/>
    </row>
    <row r="14" spans="1:8" x14ac:dyDescent="0.25">
      <c r="A14" s="2" t="s">
        <v>13</v>
      </c>
      <c r="B14" s="7">
        <v>0.5</v>
      </c>
    </row>
    <row r="15" spans="1:8" x14ac:dyDescent="0.25">
      <c r="H15" s="9"/>
    </row>
    <row r="16" spans="1:8" x14ac:dyDescent="0.25">
      <c r="A16" s="32" t="s">
        <v>14</v>
      </c>
      <c r="B16" s="33">
        <f>[2]!bsput(B10,B11,B12,B13,B14)</f>
        <v>19.529625823837591</v>
      </c>
      <c r="C16" s="2" t="str">
        <f ca="1">_xlfn.FORMULATEXT(B16)</f>
        <v>=bsput(B10,B11,B12,B13,B14)</v>
      </c>
    </row>
    <row r="46" spans="1:3" ht="15" x14ac:dyDescent="0.25">
      <c r="A46" s="12" t="s">
        <v>15</v>
      </c>
      <c r="B46" s="13"/>
      <c r="C46" s="13"/>
    </row>
    <row r="47" spans="1:3" ht="13.8" x14ac:dyDescent="0.25">
      <c r="A47" s="14" t="s">
        <v>16</v>
      </c>
      <c r="B47" s="15">
        <v>-100</v>
      </c>
      <c r="C47" s="14" t="s">
        <v>17</v>
      </c>
    </row>
    <row r="48" spans="1:3" ht="13.8" x14ac:dyDescent="0.25">
      <c r="A48" s="14" t="s">
        <v>18</v>
      </c>
      <c r="B48" s="15">
        <v>-100</v>
      </c>
      <c r="C48" s="14" t="s">
        <v>19</v>
      </c>
    </row>
    <row r="49" spans="1:19" ht="13.8" x14ac:dyDescent="0.25">
      <c r="A49" s="14" t="s">
        <v>20</v>
      </c>
      <c r="B49" s="16">
        <v>0.06</v>
      </c>
      <c r="C49" s="14" t="s">
        <v>21</v>
      </c>
    </row>
    <row r="50" spans="1:19" ht="13.8" x14ac:dyDescent="0.25">
      <c r="A50" s="14" t="s">
        <v>22</v>
      </c>
      <c r="B50" s="17">
        <v>5</v>
      </c>
      <c r="C50" s="14" t="s">
        <v>23</v>
      </c>
    </row>
    <row r="51" spans="1:19" ht="13.8" x14ac:dyDescent="0.25">
      <c r="A51" s="14" t="s">
        <v>13</v>
      </c>
      <c r="B51" s="14">
        <v>0.8</v>
      </c>
      <c r="C51" s="14" t="s">
        <v>24</v>
      </c>
    </row>
    <row r="52" spans="1:19" ht="15.6" x14ac:dyDescent="0.35">
      <c r="A52" s="14" t="s">
        <v>25</v>
      </c>
      <c r="B52" s="18">
        <f>(LN(B47/B48)+(B49+0.5*B51^2)*B50)/(B51*SQRT(B50))</f>
        <v>1.0621322893124001</v>
      </c>
      <c r="C52" s="14" t="s">
        <v>26</v>
      </c>
    </row>
    <row r="53" spans="1:19" ht="15.6" x14ac:dyDescent="0.35">
      <c r="A53" s="14" t="s">
        <v>27</v>
      </c>
      <c r="B53" s="18">
        <f>B52-SQRT(B50)*B51</f>
        <v>-0.72672209268743182</v>
      </c>
      <c r="C53" s="14" t="s">
        <v>28</v>
      </c>
    </row>
    <row r="54" spans="1:19" ht="15.6" x14ac:dyDescent="0.35">
      <c r="A54" s="14" t="s">
        <v>29</v>
      </c>
      <c r="B54" s="19">
        <f>NORMSDIST(B52)</f>
        <v>0.85591218330801688</v>
      </c>
      <c r="C54" s="14" t="s">
        <v>30</v>
      </c>
    </row>
    <row r="55" spans="1:19" ht="15.6" x14ac:dyDescent="0.35">
      <c r="A55" s="14" t="s">
        <v>31</v>
      </c>
      <c r="B55" s="19">
        <f>NORMSDIST(B53)</f>
        <v>0.23369810839419064</v>
      </c>
      <c r="C55" s="14" t="s">
        <v>32</v>
      </c>
    </row>
    <row r="56" spans="1:19" ht="15.6" x14ac:dyDescent="0.35">
      <c r="A56" s="14" t="s">
        <v>33</v>
      </c>
      <c r="B56" s="15">
        <f>B47*B54-B48*EXP(-B49*B50)*B55</f>
        <v>-68.27843664707494</v>
      </c>
      <c r="C56" s="14" t="s">
        <v>34</v>
      </c>
    </row>
    <row r="58" spans="1:19" x14ac:dyDescent="0.25">
      <c r="D58" s="3" t="s">
        <v>35</v>
      </c>
    </row>
    <row r="59" spans="1:19" ht="15.6" x14ac:dyDescent="0.35">
      <c r="A59" s="2" t="s">
        <v>36</v>
      </c>
      <c r="B59" s="20">
        <f>EXP(B51)-1</f>
        <v>1.2255409284924679</v>
      </c>
      <c r="D59" s="2" t="s">
        <v>37</v>
      </c>
      <c r="E59" s="2">
        <v>0.24082903340727679</v>
      </c>
    </row>
    <row r="60" spans="1:19" ht="15.6" x14ac:dyDescent="0.35">
      <c r="A60" s="2" t="s">
        <v>38</v>
      </c>
      <c r="B60" s="20">
        <f>EXP(-B51)-1</f>
        <v>-0.55067103588277844</v>
      </c>
      <c r="D60" s="2" t="s">
        <v>39</v>
      </c>
      <c r="E60" s="2">
        <f>1/1.06-E59</f>
        <v>0.70256719300781745</v>
      </c>
    </row>
    <row r="61" spans="1:19" x14ac:dyDescent="0.25">
      <c r="B61" s="7"/>
    </row>
    <row r="62" spans="1:19" s="4" customFormat="1" x14ac:dyDescent="0.25">
      <c r="A62" s="21" t="s">
        <v>40</v>
      </c>
      <c r="B62" s="22"/>
      <c r="C62" s="4">
        <v>200</v>
      </c>
      <c r="E62" s="4">
        <v>300</v>
      </c>
      <c r="G62" s="4">
        <v>400</v>
      </c>
      <c r="I62" s="4">
        <v>500</v>
      </c>
    </row>
    <row r="63" spans="1:19" x14ac:dyDescent="0.25">
      <c r="B63" s="7"/>
    </row>
    <row r="64" spans="1:19" x14ac:dyDescent="0.25">
      <c r="A64" s="3" t="s">
        <v>41</v>
      </c>
      <c r="D64" s="23"/>
      <c r="H64" s="23"/>
      <c r="I64" s="24">
        <f>I$62*(1+$B$59)^I$74</f>
        <v>12266.265098554679</v>
      </c>
      <c r="K64" s="3" t="s">
        <v>42</v>
      </c>
      <c r="N64" s="23"/>
      <c r="R64" s="23"/>
      <c r="S64" s="24">
        <f>E59^4</f>
        <v>3.3638403083936712E-3</v>
      </c>
    </row>
    <row r="65" spans="1:19" x14ac:dyDescent="0.25">
      <c r="F65" s="3"/>
      <c r="G65" s="24">
        <f>G$62*(1+$B$59)^G$74</f>
        <v>4409.2705522566421</v>
      </c>
      <c r="H65" s="23"/>
      <c r="I65" s="8"/>
      <c r="P65" s="3"/>
      <c r="Q65" s="24">
        <f>E59^3</f>
        <v>1.3967752395970173E-2</v>
      </c>
      <c r="R65" s="23"/>
      <c r="S65" s="8"/>
    </row>
    <row r="66" spans="1:19" x14ac:dyDescent="0.25">
      <c r="C66" s="23"/>
      <c r="E66" s="24">
        <f>E$62*(1+$B$59)^E$74</f>
        <v>1485.9097273185348</v>
      </c>
      <c r="G66" s="8"/>
      <c r="H66" s="23"/>
      <c r="I66" s="25">
        <f>I$62*(1+$B$59)^(I$74-2)</f>
        <v>2476.5162121975577</v>
      </c>
      <c r="M66" s="23"/>
      <c r="O66" s="24">
        <f>E59^2</f>
        <v>5.7998623331883242E-2</v>
      </c>
      <c r="Q66" s="8"/>
      <c r="R66" s="23"/>
      <c r="S66" s="25">
        <f>4*E59^3*E60</f>
        <v>3.9253138373859922E-2</v>
      </c>
    </row>
    <row r="67" spans="1:19" x14ac:dyDescent="0.25">
      <c r="C67" s="24">
        <f>C$62*(1+$B$59)^C$74</f>
        <v>445.10818569849357</v>
      </c>
      <c r="E67" s="26"/>
      <c r="G67" s="24">
        <f>G$62*(1+$B$59)^(G$74-2)</f>
        <v>890.21637139698714</v>
      </c>
      <c r="H67" s="23"/>
      <c r="I67" s="26"/>
      <c r="M67" s="24">
        <f>E59</f>
        <v>0.24082903340727679</v>
      </c>
      <c r="O67" s="26"/>
      <c r="Q67" s="24">
        <f>3*E59^2*E60</f>
        <v>0.12224378997779675</v>
      </c>
      <c r="R67" s="23"/>
      <c r="S67" s="26"/>
    </row>
    <row r="68" spans="1:19" x14ac:dyDescent="0.25">
      <c r="A68" s="2">
        <f>B4</f>
        <v>-750</v>
      </c>
      <c r="C68" s="27"/>
      <c r="E68" s="24">
        <f>E$62*(1+$B$59)^(E$74-2)</f>
        <v>300</v>
      </c>
      <c r="G68" s="8"/>
      <c r="H68" s="23"/>
      <c r="I68" s="25">
        <f>I$62*(1+$B$59)^(I$74-4)</f>
        <v>500</v>
      </c>
      <c r="K68" s="2">
        <v>1</v>
      </c>
      <c r="M68" s="27"/>
      <c r="O68" s="24">
        <f>E59*E60*2</f>
        <v>0.33839715599147269</v>
      </c>
      <c r="Q68" s="8"/>
      <c r="R68" s="23"/>
      <c r="S68" s="25">
        <f>6*E59^2*E60^2</f>
        <v>0.17176895277467566</v>
      </c>
    </row>
    <row r="69" spans="1:19" x14ac:dyDescent="0.25">
      <c r="C69" s="24">
        <f>C$62*(1+$B$59)^(C$74-2)</f>
        <v>89.865792823444309</v>
      </c>
      <c r="E69" s="26"/>
      <c r="G69" s="24">
        <f>G$62*(1+$B$59)^(G$74-4)</f>
        <v>179.73158564688862</v>
      </c>
      <c r="H69" s="23"/>
      <c r="I69" s="26"/>
      <c r="M69" s="24">
        <f>E60</f>
        <v>0.70256719300781745</v>
      </c>
      <c r="O69" s="26"/>
      <c r="Q69" s="24">
        <f>3*E59*E60^2</f>
        <v>0.35662011001013627</v>
      </c>
      <c r="R69" s="23"/>
      <c r="S69" s="26"/>
    </row>
    <row r="70" spans="1:19" x14ac:dyDescent="0.25">
      <c r="E70" s="24">
        <f>E$62*(1+$B$59)^(E$74-4)</f>
        <v>60.568955398396604</v>
      </c>
      <c r="G70" s="8"/>
      <c r="H70" s="23"/>
      <c r="I70" s="25">
        <f>I$62*(1+$B$59)^(I$74-6)</f>
        <v>100.94825899732768</v>
      </c>
      <c r="O70" s="24">
        <f>E60^2</f>
        <v>0.49360066069088382</v>
      </c>
      <c r="Q70" s="8"/>
      <c r="R70" s="23"/>
      <c r="S70" s="25">
        <f>4*E59*E60^3</f>
        <v>0.33406611954661403</v>
      </c>
    </row>
    <row r="71" spans="1:19" x14ac:dyDescent="0.25">
      <c r="D71" s="23"/>
      <c r="G71" s="24">
        <f>G$62*(1+$B$59)^(G$74-6)</f>
        <v>36.287181315764997</v>
      </c>
      <c r="H71" s="23"/>
      <c r="I71" s="8"/>
      <c r="N71" s="23"/>
      <c r="Q71" s="24">
        <f>E60^3</f>
        <v>0.3467876306483984</v>
      </c>
      <c r="R71" s="23"/>
      <c r="S71" s="8"/>
    </row>
    <row r="72" spans="1:19" x14ac:dyDescent="0.25">
      <c r="B72" s="3"/>
      <c r="D72" s="23"/>
      <c r="H72" s="23"/>
      <c r="I72" s="25">
        <f>I$62*(1+$B$59)^(I$74-8)</f>
        <v>20.381101989183097</v>
      </c>
      <c r="L72" s="3"/>
      <c r="N72" s="23"/>
      <c r="R72" s="23"/>
      <c r="S72" s="25">
        <f>E60^4</f>
        <v>0.24364161223447703</v>
      </c>
    </row>
    <row r="73" spans="1:19" x14ac:dyDescent="0.25">
      <c r="B73" s="3"/>
      <c r="D73" s="23"/>
      <c r="H73" s="23"/>
      <c r="I73" s="25"/>
    </row>
    <row r="74" spans="1:19" x14ac:dyDescent="0.25">
      <c r="A74" s="21" t="s">
        <v>2</v>
      </c>
      <c r="B74" s="4"/>
      <c r="C74" s="4">
        <v>1</v>
      </c>
      <c r="D74" s="4"/>
      <c r="E74" s="4">
        <v>2</v>
      </c>
      <c r="F74" s="4"/>
      <c r="G74" s="4">
        <v>3</v>
      </c>
      <c r="H74" s="4"/>
      <c r="I74" s="4">
        <v>4</v>
      </c>
    </row>
    <row r="75" spans="1:19" x14ac:dyDescent="0.25">
      <c r="A75" s="28"/>
      <c r="B75" s="29"/>
      <c r="C75" s="28"/>
      <c r="D75" s="30"/>
      <c r="E75" s="28"/>
      <c r="F75" s="28"/>
      <c r="G75" s="28"/>
      <c r="H75" s="30"/>
      <c r="I75" s="31"/>
    </row>
    <row r="76" spans="1:19" x14ac:dyDescent="0.25">
      <c r="A76" s="2" t="s">
        <v>43</v>
      </c>
      <c r="B76" s="2">
        <f>SUMPRODUCT(A64:I71,K64:S71)</f>
        <v>143.09999973192652</v>
      </c>
      <c r="C76" s="2" t="s">
        <v>44</v>
      </c>
    </row>
    <row r="78" spans="1:19" x14ac:dyDescent="0.25">
      <c r="A78" s="3" t="s">
        <v>45</v>
      </c>
    </row>
    <row r="79" spans="1:19" x14ac:dyDescent="0.25">
      <c r="A79" s="2" t="s">
        <v>46</v>
      </c>
      <c r="B79" s="2">
        <v>100</v>
      </c>
    </row>
    <row r="81" spans="1:9" x14ac:dyDescent="0.25">
      <c r="D81" s="23"/>
      <c r="H81" s="23"/>
      <c r="I81" s="24">
        <f>MAX(B79,I$62*(1+$B$59)^I$74)</f>
        <v>12266.265098554679</v>
      </c>
    </row>
    <row r="82" spans="1:9" x14ac:dyDescent="0.25">
      <c r="F82" s="3"/>
      <c r="G82" s="24">
        <f>G$62*(1+$B$59)^G$74</f>
        <v>4409.2705522566421</v>
      </c>
      <c r="H82" s="23"/>
      <c r="I82" s="8"/>
    </row>
    <row r="83" spans="1:9" x14ac:dyDescent="0.25">
      <c r="C83" s="23"/>
      <c r="E83" s="24">
        <f>E$62*(1+$B$59)^E$74</f>
        <v>1485.9097273185348</v>
      </c>
      <c r="G83" s="8"/>
      <c r="H83" s="23"/>
      <c r="I83" s="25">
        <f>MAX(B79,I$62*(1+$B$59)^(I$74-2))</f>
        <v>2476.5162121975577</v>
      </c>
    </row>
    <row r="84" spans="1:9" x14ac:dyDescent="0.25">
      <c r="C84" s="24">
        <f>C$62*(1+$B$59)^C$74</f>
        <v>445.10818569849357</v>
      </c>
      <c r="E84" s="26"/>
      <c r="G84" s="24">
        <f>G$62*(1+$B$59)^(G$74-2)</f>
        <v>890.21637139698714</v>
      </c>
      <c r="H84" s="23"/>
      <c r="I84" s="26"/>
    </row>
    <row r="85" spans="1:9" x14ac:dyDescent="0.25">
      <c r="A85" s="2">
        <f>B51</f>
        <v>0.8</v>
      </c>
      <c r="C85" s="27"/>
      <c r="E85" s="24">
        <f>E$62*(1+$B$59)^(E$74-2)</f>
        <v>300</v>
      </c>
      <c r="G85" s="8"/>
      <c r="H85" s="23"/>
      <c r="I85" s="25">
        <f>MAX(B79,I$62*(1+$B$59)^(I$74-4))</f>
        <v>500</v>
      </c>
    </row>
    <row r="86" spans="1:9" x14ac:dyDescent="0.25">
      <c r="C86" s="24">
        <f>C$62*(1+$B$59)^(C$74-2)</f>
        <v>89.865792823444309</v>
      </c>
      <c r="E86" s="26"/>
      <c r="G86" s="24">
        <f>G$62*(1+$B$59)^(G$74-4)</f>
        <v>179.73158564688862</v>
      </c>
      <c r="H86" s="23"/>
      <c r="I86" s="26"/>
    </row>
    <row r="87" spans="1:9" x14ac:dyDescent="0.25">
      <c r="E87" s="24">
        <f>E$62*(1+$B$59)^(E$74-4)</f>
        <v>60.568955398396604</v>
      </c>
      <c r="G87" s="8"/>
      <c r="H87" s="23"/>
      <c r="I87" s="25">
        <f>MAX(B79,I$62*(1+$B$59)^(I$74-6))</f>
        <v>100.94825899732768</v>
      </c>
    </row>
    <row r="88" spans="1:9" x14ac:dyDescent="0.25">
      <c r="D88" s="23"/>
      <c r="G88" s="24">
        <f>G$62*(1+$B$59)^(G$74-6)+MAX(E59*I87+E60*I89,B79)</f>
        <v>136.287181315765</v>
      </c>
      <c r="H88" s="23"/>
      <c r="I88" s="8"/>
    </row>
    <row r="89" spans="1:9" x14ac:dyDescent="0.25">
      <c r="B89" s="3"/>
      <c r="D89" s="23"/>
      <c r="H89" s="23"/>
      <c r="I89" s="25">
        <f>MAX(B79,I$62*(1+$B$59)^(I$74-8))</f>
        <v>100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E3850-4438-444D-8969-8C61E4227E24}">
  <sheetPr codeName="Sheet3"/>
  <dimension ref="A1:S94"/>
  <sheetViews>
    <sheetView tabSelected="1" topLeftCell="A44" workbookViewId="0">
      <selection activeCell="D101" sqref="D101"/>
    </sheetView>
  </sheetViews>
  <sheetFormatPr defaultRowHeight="13.2" x14ac:dyDescent="0.25"/>
  <cols>
    <col min="1" max="1" width="34.33203125" style="2" customWidth="1"/>
    <col min="2" max="6" width="9.88671875" style="2" customWidth="1"/>
    <col min="7" max="7" width="11.88671875" style="2" customWidth="1"/>
    <col min="8" max="256" width="8.88671875" style="2"/>
    <col min="257" max="257" width="34.33203125" style="2" customWidth="1"/>
    <col min="258" max="262" width="9.88671875" style="2" customWidth="1"/>
    <col min="263" max="263" width="11.88671875" style="2" customWidth="1"/>
    <col min="264" max="512" width="8.88671875" style="2"/>
    <col min="513" max="513" width="34.33203125" style="2" customWidth="1"/>
    <col min="514" max="518" width="9.88671875" style="2" customWidth="1"/>
    <col min="519" max="519" width="11.88671875" style="2" customWidth="1"/>
    <col min="520" max="768" width="8.88671875" style="2"/>
    <col min="769" max="769" width="34.33203125" style="2" customWidth="1"/>
    <col min="770" max="774" width="9.88671875" style="2" customWidth="1"/>
    <col min="775" max="775" width="11.88671875" style="2" customWidth="1"/>
    <col min="776" max="1024" width="8.88671875" style="2"/>
    <col min="1025" max="1025" width="34.33203125" style="2" customWidth="1"/>
    <col min="1026" max="1030" width="9.88671875" style="2" customWidth="1"/>
    <col min="1031" max="1031" width="11.88671875" style="2" customWidth="1"/>
    <col min="1032" max="1280" width="8.88671875" style="2"/>
    <col min="1281" max="1281" width="34.33203125" style="2" customWidth="1"/>
    <col min="1282" max="1286" width="9.88671875" style="2" customWidth="1"/>
    <col min="1287" max="1287" width="11.88671875" style="2" customWidth="1"/>
    <col min="1288" max="1536" width="8.88671875" style="2"/>
    <col min="1537" max="1537" width="34.33203125" style="2" customWidth="1"/>
    <col min="1538" max="1542" width="9.88671875" style="2" customWidth="1"/>
    <col min="1543" max="1543" width="11.88671875" style="2" customWidth="1"/>
    <col min="1544" max="1792" width="8.88671875" style="2"/>
    <col min="1793" max="1793" width="34.33203125" style="2" customWidth="1"/>
    <col min="1794" max="1798" width="9.88671875" style="2" customWidth="1"/>
    <col min="1799" max="1799" width="11.88671875" style="2" customWidth="1"/>
    <col min="1800" max="2048" width="8.88671875" style="2"/>
    <col min="2049" max="2049" width="34.33203125" style="2" customWidth="1"/>
    <col min="2050" max="2054" width="9.88671875" style="2" customWidth="1"/>
    <col min="2055" max="2055" width="11.88671875" style="2" customWidth="1"/>
    <col min="2056" max="2304" width="8.88671875" style="2"/>
    <col min="2305" max="2305" width="34.33203125" style="2" customWidth="1"/>
    <col min="2306" max="2310" width="9.88671875" style="2" customWidth="1"/>
    <col min="2311" max="2311" width="11.88671875" style="2" customWidth="1"/>
    <col min="2312" max="2560" width="8.88671875" style="2"/>
    <col min="2561" max="2561" width="34.33203125" style="2" customWidth="1"/>
    <col min="2562" max="2566" width="9.88671875" style="2" customWidth="1"/>
    <col min="2567" max="2567" width="11.88671875" style="2" customWidth="1"/>
    <col min="2568" max="2816" width="8.88671875" style="2"/>
    <col min="2817" max="2817" width="34.33203125" style="2" customWidth="1"/>
    <col min="2818" max="2822" width="9.88671875" style="2" customWidth="1"/>
    <col min="2823" max="2823" width="11.88671875" style="2" customWidth="1"/>
    <col min="2824" max="3072" width="8.88671875" style="2"/>
    <col min="3073" max="3073" width="34.33203125" style="2" customWidth="1"/>
    <col min="3074" max="3078" width="9.88671875" style="2" customWidth="1"/>
    <col min="3079" max="3079" width="11.88671875" style="2" customWidth="1"/>
    <col min="3080" max="3328" width="8.88671875" style="2"/>
    <col min="3329" max="3329" width="34.33203125" style="2" customWidth="1"/>
    <col min="3330" max="3334" width="9.88671875" style="2" customWidth="1"/>
    <col min="3335" max="3335" width="11.88671875" style="2" customWidth="1"/>
    <col min="3336" max="3584" width="8.88671875" style="2"/>
    <col min="3585" max="3585" width="34.33203125" style="2" customWidth="1"/>
    <col min="3586" max="3590" width="9.88671875" style="2" customWidth="1"/>
    <col min="3591" max="3591" width="11.88671875" style="2" customWidth="1"/>
    <col min="3592" max="3840" width="8.88671875" style="2"/>
    <col min="3841" max="3841" width="34.33203125" style="2" customWidth="1"/>
    <col min="3842" max="3846" width="9.88671875" style="2" customWidth="1"/>
    <col min="3847" max="3847" width="11.88671875" style="2" customWidth="1"/>
    <col min="3848" max="4096" width="8.88671875" style="2"/>
    <col min="4097" max="4097" width="34.33203125" style="2" customWidth="1"/>
    <col min="4098" max="4102" width="9.88671875" style="2" customWidth="1"/>
    <col min="4103" max="4103" width="11.88671875" style="2" customWidth="1"/>
    <col min="4104" max="4352" width="8.88671875" style="2"/>
    <col min="4353" max="4353" width="34.33203125" style="2" customWidth="1"/>
    <col min="4354" max="4358" width="9.88671875" style="2" customWidth="1"/>
    <col min="4359" max="4359" width="11.88671875" style="2" customWidth="1"/>
    <col min="4360" max="4608" width="8.88671875" style="2"/>
    <col min="4609" max="4609" width="34.33203125" style="2" customWidth="1"/>
    <col min="4610" max="4614" width="9.88671875" style="2" customWidth="1"/>
    <col min="4615" max="4615" width="11.88671875" style="2" customWidth="1"/>
    <col min="4616" max="4864" width="8.88671875" style="2"/>
    <col min="4865" max="4865" width="34.33203125" style="2" customWidth="1"/>
    <col min="4866" max="4870" width="9.88671875" style="2" customWidth="1"/>
    <col min="4871" max="4871" width="11.88671875" style="2" customWidth="1"/>
    <col min="4872" max="5120" width="8.88671875" style="2"/>
    <col min="5121" max="5121" width="34.33203125" style="2" customWidth="1"/>
    <col min="5122" max="5126" width="9.88671875" style="2" customWidth="1"/>
    <col min="5127" max="5127" width="11.88671875" style="2" customWidth="1"/>
    <col min="5128" max="5376" width="8.88671875" style="2"/>
    <col min="5377" max="5377" width="34.33203125" style="2" customWidth="1"/>
    <col min="5378" max="5382" width="9.88671875" style="2" customWidth="1"/>
    <col min="5383" max="5383" width="11.88671875" style="2" customWidth="1"/>
    <col min="5384" max="5632" width="8.88671875" style="2"/>
    <col min="5633" max="5633" width="34.33203125" style="2" customWidth="1"/>
    <col min="5634" max="5638" width="9.88671875" style="2" customWidth="1"/>
    <col min="5639" max="5639" width="11.88671875" style="2" customWidth="1"/>
    <col min="5640" max="5888" width="8.88671875" style="2"/>
    <col min="5889" max="5889" width="34.33203125" style="2" customWidth="1"/>
    <col min="5890" max="5894" width="9.88671875" style="2" customWidth="1"/>
    <col min="5895" max="5895" width="11.88671875" style="2" customWidth="1"/>
    <col min="5896" max="6144" width="8.88671875" style="2"/>
    <col min="6145" max="6145" width="34.33203125" style="2" customWidth="1"/>
    <col min="6146" max="6150" width="9.88671875" style="2" customWidth="1"/>
    <col min="6151" max="6151" width="11.88671875" style="2" customWidth="1"/>
    <col min="6152" max="6400" width="8.88671875" style="2"/>
    <col min="6401" max="6401" width="34.33203125" style="2" customWidth="1"/>
    <col min="6402" max="6406" width="9.88671875" style="2" customWidth="1"/>
    <col min="6407" max="6407" width="11.88671875" style="2" customWidth="1"/>
    <col min="6408" max="6656" width="8.88671875" style="2"/>
    <col min="6657" max="6657" width="34.33203125" style="2" customWidth="1"/>
    <col min="6658" max="6662" width="9.88671875" style="2" customWidth="1"/>
    <col min="6663" max="6663" width="11.88671875" style="2" customWidth="1"/>
    <col min="6664" max="6912" width="8.88671875" style="2"/>
    <col min="6913" max="6913" width="34.33203125" style="2" customWidth="1"/>
    <col min="6914" max="6918" width="9.88671875" style="2" customWidth="1"/>
    <col min="6919" max="6919" width="11.88671875" style="2" customWidth="1"/>
    <col min="6920" max="7168" width="8.88671875" style="2"/>
    <col min="7169" max="7169" width="34.33203125" style="2" customWidth="1"/>
    <col min="7170" max="7174" width="9.88671875" style="2" customWidth="1"/>
    <col min="7175" max="7175" width="11.88671875" style="2" customWidth="1"/>
    <col min="7176" max="7424" width="8.88671875" style="2"/>
    <col min="7425" max="7425" width="34.33203125" style="2" customWidth="1"/>
    <col min="7426" max="7430" width="9.88671875" style="2" customWidth="1"/>
    <col min="7431" max="7431" width="11.88671875" style="2" customWidth="1"/>
    <col min="7432" max="7680" width="8.88671875" style="2"/>
    <col min="7681" max="7681" width="34.33203125" style="2" customWidth="1"/>
    <col min="7682" max="7686" width="9.88671875" style="2" customWidth="1"/>
    <col min="7687" max="7687" width="11.88671875" style="2" customWidth="1"/>
    <col min="7688" max="7936" width="8.88671875" style="2"/>
    <col min="7937" max="7937" width="34.33203125" style="2" customWidth="1"/>
    <col min="7938" max="7942" width="9.88671875" style="2" customWidth="1"/>
    <col min="7943" max="7943" width="11.88671875" style="2" customWidth="1"/>
    <col min="7944" max="8192" width="8.88671875" style="2"/>
    <col min="8193" max="8193" width="34.33203125" style="2" customWidth="1"/>
    <col min="8194" max="8198" width="9.88671875" style="2" customWidth="1"/>
    <col min="8199" max="8199" width="11.88671875" style="2" customWidth="1"/>
    <col min="8200" max="8448" width="8.88671875" style="2"/>
    <col min="8449" max="8449" width="34.33203125" style="2" customWidth="1"/>
    <col min="8450" max="8454" width="9.88671875" style="2" customWidth="1"/>
    <col min="8455" max="8455" width="11.88671875" style="2" customWidth="1"/>
    <col min="8456" max="8704" width="8.88671875" style="2"/>
    <col min="8705" max="8705" width="34.33203125" style="2" customWidth="1"/>
    <col min="8706" max="8710" width="9.88671875" style="2" customWidth="1"/>
    <col min="8711" max="8711" width="11.88671875" style="2" customWidth="1"/>
    <col min="8712" max="8960" width="8.88671875" style="2"/>
    <col min="8961" max="8961" width="34.33203125" style="2" customWidth="1"/>
    <col min="8962" max="8966" width="9.88671875" style="2" customWidth="1"/>
    <col min="8967" max="8967" width="11.88671875" style="2" customWidth="1"/>
    <col min="8968" max="9216" width="8.88671875" style="2"/>
    <col min="9217" max="9217" width="34.33203125" style="2" customWidth="1"/>
    <col min="9218" max="9222" width="9.88671875" style="2" customWidth="1"/>
    <col min="9223" max="9223" width="11.88671875" style="2" customWidth="1"/>
    <col min="9224" max="9472" width="8.88671875" style="2"/>
    <col min="9473" max="9473" width="34.33203125" style="2" customWidth="1"/>
    <col min="9474" max="9478" width="9.88671875" style="2" customWidth="1"/>
    <col min="9479" max="9479" width="11.88671875" style="2" customWidth="1"/>
    <col min="9480" max="9728" width="8.88671875" style="2"/>
    <col min="9729" max="9729" width="34.33203125" style="2" customWidth="1"/>
    <col min="9730" max="9734" width="9.88671875" style="2" customWidth="1"/>
    <col min="9735" max="9735" width="11.88671875" style="2" customWidth="1"/>
    <col min="9736" max="9984" width="8.88671875" style="2"/>
    <col min="9985" max="9985" width="34.33203125" style="2" customWidth="1"/>
    <col min="9986" max="9990" width="9.88671875" style="2" customWidth="1"/>
    <col min="9991" max="9991" width="11.88671875" style="2" customWidth="1"/>
    <col min="9992" max="10240" width="8.88671875" style="2"/>
    <col min="10241" max="10241" width="34.33203125" style="2" customWidth="1"/>
    <col min="10242" max="10246" width="9.88671875" style="2" customWidth="1"/>
    <col min="10247" max="10247" width="11.88671875" style="2" customWidth="1"/>
    <col min="10248" max="10496" width="8.88671875" style="2"/>
    <col min="10497" max="10497" width="34.33203125" style="2" customWidth="1"/>
    <col min="10498" max="10502" width="9.88671875" style="2" customWidth="1"/>
    <col min="10503" max="10503" width="11.88671875" style="2" customWidth="1"/>
    <col min="10504" max="10752" width="8.88671875" style="2"/>
    <col min="10753" max="10753" width="34.33203125" style="2" customWidth="1"/>
    <col min="10754" max="10758" width="9.88671875" style="2" customWidth="1"/>
    <col min="10759" max="10759" width="11.88671875" style="2" customWidth="1"/>
    <col min="10760" max="11008" width="8.88671875" style="2"/>
    <col min="11009" max="11009" width="34.33203125" style="2" customWidth="1"/>
    <col min="11010" max="11014" width="9.88671875" style="2" customWidth="1"/>
    <col min="11015" max="11015" width="11.88671875" style="2" customWidth="1"/>
    <col min="11016" max="11264" width="8.88671875" style="2"/>
    <col min="11265" max="11265" width="34.33203125" style="2" customWidth="1"/>
    <col min="11266" max="11270" width="9.88671875" style="2" customWidth="1"/>
    <col min="11271" max="11271" width="11.88671875" style="2" customWidth="1"/>
    <col min="11272" max="11520" width="8.88671875" style="2"/>
    <col min="11521" max="11521" width="34.33203125" style="2" customWidth="1"/>
    <col min="11522" max="11526" width="9.88671875" style="2" customWidth="1"/>
    <col min="11527" max="11527" width="11.88671875" style="2" customWidth="1"/>
    <col min="11528" max="11776" width="8.88671875" style="2"/>
    <col min="11777" max="11777" width="34.33203125" style="2" customWidth="1"/>
    <col min="11778" max="11782" width="9.88671875" style="2" customWidth="1"/>
    <col min="11783" max="11783" width="11.88671875" style="2" customWidth="1"/>
    <col min="11784" max="12032" width="8.88671875" style="2"/>
    <col min="12033" max="12033" width="34.33203125" style="2" customWidth="1"/>
    <col min="12034" max="12038" width="9.88671875" style="2" customWidth="1"/>
    <col min="12039" max="12039" width="11.88671875" style="2" customWidth="1"/>
    <col min="12040" max="12288" width="8.88671875" style="2"/>
    <col min="12289" max="12289" width="34.33203125" style="2" customWidth="1"/>
    <col min="12290" max="12294" width="9.88671875" style="2" customWidth="1"/>
    <col min="12295" max="12295" width="11.88671875" style="2" customWidth="1"/>
    <col min="12296" max="12544" width="8.88671875" style="2"/>
    <col min="12545" max="12545" width="34.33203125" style="2" customWidth="1"/>
    <col min="12546" max="12550" width="9.88671875" style="2" customWidth="1"/>
    <col min="12551" max="12551" width="11.88671875" style="2" customWidth="1"/>
    <col min="12552" max="12800" width="8.88671875" style="2"/>
    <col min="12801" max="12801" width="34.33203125" style="2" customWidth="1"/>
    <col min="12802" max="12806" width="9.88671875" style="2" customWidth="1"/>
    <col min="12807" max="12807" width="11.88671875" style="2" customWidth="1"/>
    <col min="12808" max="13056" width="8.88671875" style="2"/>
    <col min="13057" max="13057" width="34.33203125" style="2" customWidth="1"/>
    <col min="13058" max="13062" width="9.88671875" style="2" customWidth="1"/>
    <col min="13063" max="13063" width="11.88671875" style="2" customWidth="1"/>
    <col min="13064" max="13312" width="8.88671875" style="2"/>
    <col min="13313" max="13313" width="34.33203125" style="2" customWidth="1"/>
    <col min="13314" max="13318" width="9.88671875" style="2" customWidth="1"/>
    <col min="13319" max="13319" width="11.88671875" style="2" customWidth="1"/>
    <col min="13320" max="13568" width="8.88671875" style="2"/>
    <col min="13569" max="13569" width="34.33203125" style="2" customWidth="1"/>
    <col min="13570" max="13574" width="9.88671875" style="2" customWidth="1"/>
    <col min="13575" max="13575" width="11.88671875" style="2" customWidth="1"/>
    <col min="13576" max="13824" width="8.88671875" style="2"/>
    <col min="13825" max="13825" width="34.33203125" style="2" customWidth="1"/>
    <col min="13826" max="13830" width="9.88671875" style="2" customWidth="1"/>
    <col min="13831" max="13831" width="11.88671875" style="2" customWidth="1"/>
    <col min="13832" max="14080" width="8.88671875" style="2"/>
    <col min="14081" max="14081" width="34.33203125" style="2" customWidth="1"/>
    <col min="14082" max="14086" width="9.88671875" style="2" customWidth="1"/>
    <col min="14087" max="14087" width="11.88671875" style="2" customWidth="1"/>
    <col min="14088" max="14336" width="8.88671875" style="2"/>
    <col min="14337" max="14337" width="34.33203125" style="2" customWidth="1"/>
    <col min="14338" max="14342" width="9.88671875" style="2" customWidth="1"/>
    <col min="14343" max="14343" width="11.88671875" style="2" customWidth="1"/>
    <col min="14344" max="14592" width="8.88671875" style="2"/>
    <col min="14593" max="14593" width="34.33203125" style="2" customWidth="1"/>
    <col min="14594" max="14598" width="9.88671875" style="2" customWidth="1"/>
    <col min="14599" max="14599" width="11.88671875" style="2" customWidth="1"/>
    <col min="14600" max="14848" width="8.88671875" style="2"/>
    <col min="14849" max="14849" width="34.33203125" style="2" customWidth="1"/>
    <col min="14850" max="14854" width="9.88671875" style="2" customWidth="1"/>
    <col min="14855" max="14855" width="11.88671875" style="2" customWidth="1"/>
    <col min="14856" max="15104" width="8.88671875" style="2"/>
    <col min="15105" max="15105" width="34.33203125" style="2" customWidth="1"/>
    <col min="15106" max="15110" width="9.88671875" style="2" customWidth="1"/>
    <col min="15111" max="15111" width="11.88671875" style="2" customWidth="1"/>
    <col min="15112" max="15360" width="8.88671875" style="2"/>
    <col min="15361" max="15361" width="34.33203125" style="2" customWidth="1"/>
    <col min="15362" max="15366" width="9.88671875" style="2" customWidth="1"/>
    <col min="15367" max="15367" width="11.88671875" style="2" customWidth="1"/>
    <col min="15368" max="15616" width="8.88671875" style="2"/>
    <col min="15617" max="15617" width="34.33203125" style="2" customWidth="1"/>
    <col min="15618" max="15622" width="9.88671875" style="2" customWidth="1"/>
    <col min="15623" max="15623" width="11.88671875" style="2" customWidth="1"/>
    <col min="15624" max="15872" width="8.88671875" style="2"/>
    <col min="15873" max="15873" width="34.33203125" style="2" customWidth="1"/>
    <col min="15874" max="15878" width="9.88671875" style="2" customWidth="1"/>
    <col min="15879" max="15879" width="11.88671875" style="2" customWidth="1"/>
    <col min="15880" max="16128" width="8.88671875" style="2"/>
    <col min="16129" max="16129" width="34.33203125" style="2" customWidth="1"/>
    <col min="16130" max="16134" width="9.88671875" style="2" customWidth="1"/>
    <col min="16135" max="16135" width="11.88671875" style="2" customWidth="1"/>
    <col min="16136" max="16384" width="8.88671875" style="2"/>
  </cols>
  <sheetData>
    <row r="1" spans="1:7" ht="17.399999999999999" x14ac:dyDescent="0.3">
      <c r="A1" s="1" t="s">
        <v>47</v>
      </c>
      <c r="B1" s="1"/>
      <c r="C1" s="1"/>
      <c r="D1" s="1"/>
      <c r="E1" s="1"/>
      <c r="F1" s="1"/>
      <c r="G1" s="1"/>
    </row>
    <row r="2" spans="1:7" x14ac:dyDescent="0.25">
      <c r="A2" s="3" t="s">
        <v>1</v>
      </c>
    </row>
    <row r="3" spans="1:7" x14ac:dyDescent="0.25">
      <c r="A3" s="2" t="s">
        <v>2</v>
      </c>
      <c r="B3" s="4">
        <v>0</v>
      </c>
      <c r="C3" s="4">
        <v>1</v>
      </c>
      <c r="D3" s="4">
        <v>2</v>
      </c>
      <c r="E3" s="4">
        <v>3</v>
      </c>
      <c r="F3" s="4">
        <v>4</v>
      </c>
    </row>
    <row r="4" spans="1:7" x14ac:dyDescent="0.25">
      <c r="A4" s="2" t="s">
        <v>3</v>
      </c>
      <c r="B4" s="5">
        <v>-750</v>
      </c>
      <c r="C4" s="5">
        <v>100</v>
      </c>
      <c r="D4" s="5">
        <v>200</v>
      </c>
      <c r="E4" s="5">
        <v>300</v>
      </c>
      <c r="F4" s="5">
        <v>400</v>
      </c>
      <c r="G4" s="6"/>
    </row>
    <row r="5" spans="1:7" x14ac:dyDescent="0.25">
      <c r="B5" s="6"/>
      <c r="C5" s="6"/>
      <c r="D5" s="6"/>
      <c r="E5" s="6"/>
      <c r="F5" s="6"/>
      <c r="G5" s="6"/>
    </row>
    <row r="6" spans="1:7" x14ac:dyDescent="0.25">
      <c r="A6" s="2" t="s">
        <v>4</v>
      </c>
      <c r="B6" s="7">
        <v>0.12</v>
      </c>
      <c r="C6" s="2" t="s">
        <v>5</v>
      </c>
    </row>
    <row r="7" spans="1:7" x14ac:dyDescent="0.25">
      <c r="B7" s="7"/>
    </row>
    <row r="8" spans="1:7" x14ac:dyDescent="0.25">
      <c r="A8" s="2" t="s">
        <v>6</v>
      </c>
      <c r="B8" s="8">
        <f>NPV(B6,C4:F4)+B4</f>
        <v>-33.53420449812586</v>
      </c>
      <c r="C8" s="2" t="str">
        <f ca="1">_xlfn.FORMULATEXT(B8)</f>
        <v>=NPV(B6,C4:F4)+B4</v>
      </c>
    </row>
    <row r="9" spans="1:7" x14ac:dyDescent="0.25">
      <c r="B9" s="7"/>
    </row>
    <row r="10" spans="1:7" x14ac:dyDescent="0.25">
      <c r="A10" s="2" t="s">
        <v>13</v>
      </c>
      <c r="B10" s="7">
        <v>0.5</v>
      </c>
    </row>
    <row r="11" spans="1:7" x14ac:dyDescent="0.25">
      <c r="A11" s="2" t="s">
        <v>12</v>
      </c>
      <c r="B11" s="7">
        <v>0.06</v>
      </c>
    </row>
    <row r="12" spans="1:7" x14ac:dyDescent="0.25">
      <c r="A12" s="2" t="s">
        <v>9</v>
      </c>
      <c r="B12" s="6">
        <v>300</v>
      </c>
      <c r="C12" s="6" t="s">
        <v>48</v>
      </c>
      <c r="D12" s="6"/>
      <c r="E12" s="6"/>
      <c r="F12" s="6"/>
    </row>
    <row r="13" spans="1:7" x14ac:dyDescent="0.25">
      <c r="B13" s="6"/>
      <c r="C13" s="6"/>
      <c r="D13" s="6"/>
      <c r="E13" s="6"/>
      <c r="F13" s="6"/>
    </row>
    <row r="14" spans="1:7" x14ac:dyDescent="0.25">
      <c r="A14" s="36" t="s">
        <v>49</v>
      </c>
      <c r="B14" s="8">
        <f>B8</f>
        <v>-33.53420449812586</v>
      </c>
      <c r="C14" s="2" t="str">
        <f ca="1">_xlfn.FORMULATEXT(B14)</f>
        <v>=B8</v>
      </c>
    </row>
    <row r="15" spans="1:7" x14ac:dyDescent="0.25">
      <c r="A15" s="10" t="s">
        <v>50</v>
      </c>
      <c r="B15" s="11">
        <f>NPV(B11,C20:F20)</f>
        <v>299.10182046752396</v>
      </c>
      <c r="C15" s="2" t="str">
        <f ca="1">_xlfn.FORMULATEXT(B15)</f>
        <v>=NPV(B11,C20:F20)</v>
      </c>
    </row>
    <row r="16" spans="1:7" x14ac:dyDescent="0.25">
      <c r="A16" s="10" t="s">
        <v>51</v>
      </c>
      <c r="B16" s="11">
        <f>B15+B14</f>
        <v>265.5676159693981</v>
      </c>
      <c r="C16" s="2" t="str">
        <f ca="1">_xlfn.FORMULATEXT(B16)</f>
        <v>=B15+B14</v>
      </c>
    </row>
    <row r="17" spans="1:8" ht="24" customHeight="1" x14ac:dyDescent="0.25">
      <c r="E17" s="34" t="str">
        <f ca="1">"Function in cell "&amp;CHAR(COLUMN(D19)+64)&amp;ROW(D19)&amp;": "&amp;CHAR(10)&amp;_xlfn.FORMULATEXT(D19)</f>
        <v>Function in cell D19: 
=NPV($B$6,E4:$F$4)</v>
      </c>
      <c r="F17" s="34"/>
      <c r="H17" s="9"/>
    </row>
    <row r="18" spans="1:8" ht="24" customHeight="1" x14ac:dyDescent="0.25">
      <c r="E18" s="35"/>
      <c r="F18" s="35"/>
      <c r="H18" s="9"/>
    </row>
    <row r="19" spans="1:8" x14ac:dyDescent="0.25">
      <c r="A19" s="2" t="s">
        <v>52</v>
      </c>
      <c r="C19" s="9">
        <f>NPV($B$6,D4:$F$4)</f>
        <v>702.44169096209896</v>
      </c>
      <c r="D19" s="9">
        <f>NPV($B$6,E4:$F$4)</f>
        <v>586.73469387755097</v>
      </c>
      <c r="E19" s="9">
        <f>NPV($B$6,F4:$F$4)</f>
        <v>357.14285714285711</v>
      </c>
      <c r="F19" s="9">
        <v>0</v>
      </c>
    </row>
    <row r="20" spans="1:8" x14ac:dyDescent="0.25">
      <c r="A20" s="2" t="s">
        <v>53</v>
      </c>
      <c r="C20" s="9">
        <f>[2]!bsput(C19,$B$12,$F$3-C3,$B$11,$B$10)</f>
        <v>19.529625823837591</v>
      </c>
      <c r="D20" s="9">
        <f>[2]!bsput(D19,$B$12,$F$3-D3,$B$11,$B$10)</f>
        <v>17.742565994711299</v>
      </c>
      <c r="E20" s="9">
        <f>[2]!bsput(E19,$B$12,$F$3-E3,$B$11,$B$10)</f>
        <v>32.46557835136241</v>
      </c>
      <c r="F20" s="9">
        <v>300</v>
      </c>
    </row>
    <row r="22" spans="1:8" ht="42" customHeight="1" x14ac:dyDescent="0.25">
      <c r="E22" s="34" t="str">
        <f ca="1">"Function in cell "&amp;CHAR(COLUMN(D20)+64)&amp;ROW(D20)&amp;": "&amp;CHAR(10)&amp;_xlfn.FORMULATEXT(D20)</f>
        <v>Function in cell D20: 
=bsput(D19,$B$12,$F$3-D3,$B$11,$B$10)</v>
      </c>
      <c r="F22" s="34"/>
      <c r="G22" s="34"/>
    </row>
    <row r="51" spans="1:5" ht="15" x14ac:dyDescent="0.25">
      <c r="A51" s="12" t="s">
        <v>15</v>
      </c>
      <c r="B51" s="13"/>
      <c r="C51" s="13"/>
    </row>
    <row r="52" spans="1:5" ht="13.8" x14ac:dyDescent="0.25">
      <c r="A52" s="14" t="s">
        <v>16</v>
      </c>
      <c r="B52" s="15">
        <v>-100</v>
      </c>
      <c r="C52" s="14" t="s">
        <v>17</v>
      </c>
    </row>
    <row r="53" spans="1:5" ht="13.8" x14ac:dyDescent="0.25">
      <c r="A53" s="14" t="s">
        <v>18</v>
      </c>
      <c r="B53" s="15">
        <v>-100</v>
      </c>
      <c r="C53" s="14" t="s">
        <v>19</v>
      </c>
    </row>
    <row r="54" spans="1:5" ht="13.8" x14ac:dyDescent="0.25">
      <c r="A54" s="14" t="s">
        <v>20</v>
      </c>
      <c r="B54" s="16">
        <v>0.06</v>
      </c>
      <c r="C54" s="14" t="s">
        <v>21</v>
      </c>
    </row>
    <row r="55" spans="1:5" ht="13.8" x14ac:dyDescent="0.25">
      <c r="A55" s="14" t="s">
        <v>22</v>
      </c>
      <c r="B55" s="17">
        <v>5</v>
      </c>
      <c r="C55" s="14" t="s">
        <v>23</v>
      </c>
    </row>
    <row r="56" spans="1:5" ht="13.8" x14ac:dyDescent="0.25">
      <c r="A56" s="14" t="s">
        <v>13</v>
      </c>
      <c r="B56" s="14">
        <v>0.8</v>
      </c>
      <c r="C56" s="14" t="s">
        <v>24</v>
      </c>
    </row>
    <row r="57" spans="1:5" ht="15.6" x14ac:dyDescent="0.35">
      <c r="A57" s="14" t="s">
        <v>25</v>
      </c>
      <c r="B57" s="18">
        <f>(LN(B52/B53)+(B54+0.5*B56^2)*B55)/(B56*SQRT(B55))</f>
        <v>1.0621322893124001</v>
      </c>
      <c r="C57" s="14" t="s">
        <v>26</v>
      </c>
    </row>
    <row r="58" spans="1:5" ht="15.6" x14ac:dyDescent="0.35">
      <c r="A58" s="14" t="s">
        <v>27</v>
      </c>
      <c r="B58" s="18">
        <f>B57-SQRT(B55)*B56</f>
        <v>-0.72672209268743182</v>
      </c>
      <c r="C58" s="14" t="s">
        <v>28</v>
      </c>
    </row>
    <row r="59" spans="1:5" ht="15.6" x14ac:dyDescent="0.35">
      <c r="A59" s="14" t="s">
        <v>29</v>
      </c>
      <c r="B59" s="19">
        <f>NORMSDIST(B57)</f>
        <v>0.85591218330801688</v>
      </c>
      <c r="C59" s="14" t="s">
        <v>30</v>
      </c>
    </row>
    <row r="60" spans="1:5" ht="15.6" x14ac:dyDescent="0.35">
      <c r="A60" s="14" t="s">
        <v>31</v>
      </c>
      <c r="B60" s="19">
        <f>NORMSDIST(B58)</f>
        <v>0.23369810839419064</v>
      </c>
      <c r="C60" s="14" t="s">
        <v>32</v>
      </c>
    </row>
    <row r="61" spans="1:5" ht="15.6" x14ac:dyDescent="0.35">
      <c r="A61" s="14" t="s">
        <v>33</v>
      </c>
      <c r="B61" s="15">
        <f>B52*B59-B53*EXP(-B54*B55)*B60</f>
        <v>-68.27843664707494</v>
      </c>
      <c r="C61" s="14" t="s">
        <v>34</v>
      </c>
    </row>
    <row r="63" spans="1:5" x14ac:dyDescent="0.25">
      <c r="D63" s="3" t="s">
        <v>35</v>
      </c>
    </row>
    <row r="64" spans="1:5" ht="15.6" x14ac:dyDescent="0.35">
      <c r="A64" s="2" t="s">
        <v>36</v>
      </c>
      <c r="B64" s="20">
        <f>EXP(B56)-1</f>
        <v>1.2255409284924679</v>
      </c>
      <c r="D64" s="2" t="s">
        <v>37</v>
      </c>
      <c r="E64" s="2">
        <v>0.24082903340727679</v>
      </c>
    </row>
    <row r="65" spans="1:19" ht="15.6" x14ac:dyDescent="0.35">
      <c r="A65" s="2" t="s">
        <v>38</v>
      </c>
      <c r="B65" s="20">
        <f>EXP(-B56)-1</f>
        <v>-0.55067103588277844</v>
      </c>
      <c r="D65" s="2" t="s">
        <v>39</v>
      </c>
      <c r="E65" s="2">
        <f>1/1.06-E64</f>
        <v>0.70256719300781745</v>
      </c>
    </row>
    <row r="66" spans="1:19" x14ac:dyDescent="0.25">
      <c r="B66" s="7"/>
    </row>
    <row r="67" spans="1:19" s="4" customFormat="1" x14ac:dyDescent="0.25">
      <c r="A67" s="21" t="s">
        <v>40</v>
      </c>
      <c r="B67" s="22"/>
      <c r="C67" s="4">
        <v>200</v>
      </c>
      <c r="E67" s="4">
        <v>300</v>
      </c>
      <c r="G67" s="4">
        <v>400</v>
      </c>
      <c r="I67" s="4">
        <v>500</v>
      </c>
    </row>
    <row r="68" spans="1:19" x14ac:dyDescent="0.25">
      <c r="B68" s="7"/>
    </row>
    <row r="69" spans="1:19" x14ac:dyDescent="0.25">
      <c r="A69" s="3" t="s">
        <v>41</v>
      </c>
      <c r="D69" s="23"/>
      <c r="H69" s="23"/>
      <c r="I69" s="24">
        <f>I$67*(1+$B$64)^I$79</f>
        <v>12266.265098554679</v>
      </c>
      <c r="K69" s="3" t="s">
        <v>42</v>
      </c>
      <c r="N69" s="23"/>
      <c r="R69" s="23"/>
      <c r="S69" s="24">
        <f>E64^4</f>
        <v>3.3638403083936712E-3</v>
      </c>
    </row>
    <row r="70" spans="1:19" x14ac:dyDescent="0.25">
      <c r="F70" s="3"/>
      <c r="G70" s="24">
        <f>G$67*(1+$B$64)^G$79</f>
        <v>4409.2705522566421</v>
      </c>
      <c r="H70" s="23"/>
      <c r="I70" s="8"/>
      <c r="P70" s="3"/>
      <c r="Q70" s="24">
        <f>E64^3</f>
        <v>1.3967752395970173E-2</v>
      </c>
      <c r="R70" s="23"/>
      <c r="S70" s="8"/>
    </row>
    <row r="71" spans="1:19" x14ac:dyDescent="0.25">
      <c r="C71" s="23"/>
      <c r="E71" s="24">
        <f>E$67*(1+$B$64)^E$79</f>
        <v>1485.9097273185348</v>
      </c>
      <c r="G71" s="8"/>
      <c r="H71" s="23"/>
      <c r="I71" s="25">
        <f>I$67*(1+$B$64)^(I$79-2)</f>
        <v>2476.5162121975577</v>
      </c>
      <c r="M71" s="23"/>
      <c r="O71" s="24">
        <f>E64^2</f>
        <v>5.7998623331883242E-2</v>
      </c>
      <c r="Q71" s="8"/>
      <c r="R71" s="23"/>
      <c r="S71" s="25">
        <f>4*E64^3*E65</f>
        <v>3.9253138373859922E-2</v>
      </c>
    </row>
    <row r="72" spans="1:19" x14ac:dyDescent="0.25">
      <c r="C72" s="24">
        <f>C$67*(1+$B$64)^C$79</f>
        <v>445.10818569849357</v>
      </c>
      <c r="E72" s="26"/>
      <c r="G72" s="24">
        <f>G$67*(1+$B$64)^(G$79-2)</f>
        <v>890.21637139698714</v>
      </c>
      <c r="H72" s="23"/>
      <c r="I72" s="26"/>
      <c r="M72" s="24">
        <f>E64</f>
        <v>0.24082903340727679</v>
      </c>
      <c r="O72" s="26"/>
      <c r="Q72" s="24">
        <f>3*E64^2*E65</f>
        <v>0.12224378997779675</v>
      </c>
      <c r="R72" s="23"/>
      <c r="S72" s="26"/>
    </row>
    <row r="73" spans="1:19" x14ac:dyDescent="0.25">
      <c r="A73" s="2">
        <f>B4</f>
        <v>-750</v>
      </c>
      <c r="C73" s="27"/>
      <c r="E73" s="24">
        <f>E$67*(1+$B$64)^(E$79-2)</f>
        <v>300</v>
      </c>
      <c r="G73" s="8"/>
      <c r="H73" s="23"/>
      <c r="I73" s="25">
        <f>I$67*(1+$B$64)^(I$79-4)</f>
        <v>500</v>
      </c>
      <c r="K73" s="2">
        <v>1</v>
      </c>
      <c r="M73" s="27"/>
      <c r="O73" s="24">
        <f>E64*E65*2</f>
        <v>0.33839715599147269</v>
      </c>
      <c r="Q73" s="8"/>
      <c r="R73" s="23"/>
      <c r="S73" s="25">
        <f>6*E64^2*E65^2</f>
        <v>0.17176895277467566</v>
      </c>
    </row>
    <row r="74" spans="1:19" x14ac:dyDescent="0.25">
      <c r="C74" s="24">
        <f>C$67*(1+$B$64)^(C$79-2)</f>
        <v>89.865792823444309</v>
      </c>
      <c r="E74" s="26"/>
      <c r="G74" s="24">
        <f>G$67*(1+$B$64)^(G$79-4)</f>
        <v>179.73158564688862</v>
      </c>
      <c r="H74" s="23"/>
      <c r="I74" s="26"/>
      <c r="M74" s="24">
        <f>E65</f>
        <v>0.70256719300781745</v>
      </c>
      <c r="O74" s="26"/>
      <c r="Q74" s="24">
        <f>3*E64*E65^2</f>
        <v>0.35662011001013627</v>
      </c>
      <c r="R74" s="23"/>
      <c r="S74" s="26"/>
    </row>
    <row r="75" spans="1:19" x14ac:dyDescent="0.25">
      <c r="E75" s="24">
        <f>E$67*(1+$B$64)^(E$79-4)</f>
        <v>60.568955398396604</v>
      </c>
      <c r="G75" s="8"/>
      <c r="H75" s="23"/>
      <c r="I75" s="25">
        <f>I$67*(1+$B$64)^(I$79-6)</f>
        <v>100.94825899732768</v>
      </c>
      <c r="O75" s="24">
        <f>E65^2</f>
        <v>0.49360066069088382</v>
      </c>
      <c r="Q75" s="8"/>
      <c r="R75" s="23"/>
      <c r="S75" s="25">
        <f>4*E64*E65^3</f>
        <v>0.33406611954661403</v>
      </c>
    </row>
    <row r="76" spans="1:19" x14ac:dyDescent="0.25">
      <c r="D76" s="23"/>
      <c r="G76" s="24">
        <f>G$67*(1+$B$64)^(G$79-6)</f>
        <v>36.287181315764997</v>
      </c>
      <c r="H76" s="23"/>
      <c r="I76" s="8"/>
      <c r="N76" s="23"/>
      <c r="Q76" s="24">
        <f>E65^3</f>
        <v>0.3467876306483984</v>
      </c>
      <c r="R76" s="23"/>
      <c r="S76" s="8"/>
    </row>
    <row r="77" spans="1:19" x14ac:dyDescent="0.25">
      <c r="B77" s="3"/>
      <c r="D77" s="23"/>
      <c r="H77" s="23"/>
      <c r="I77" s="25">
        <f>I$67*(1+$B$64)^(I$79-8)</f>
        <v>20.381101989183097</v>
      </c>
      <c r="L77" s="3"/>
      <c r="N77" s="23"/>
      <c r="R77" s="23"/>
      <c r="S77" s="25">
        <f>E65^4</f>
        <v>0.24364161223447703</v>
      </c>
    </row>
    <row r="78" spans="1:19" x14ac:dyDescent="0.25">
      <c r="B78" s="3"/>
      <c r="D78" s="23"/>
      <c r="H78" s="23"/>
      <c r="I78" s="25"/>
    </row>
    <row r="79" spans="1:19" x14ac:dyDescent="0.25">
      <c r="A79" s="21" t="s">
        <v>2</v>
      </c>
      <c r="B79" s="4"/>
      <c r="C79" s="4">
        <v>1</v>
      </c>
      <c r="D79" s="4"/>
      <c r="E79" s="4">
        <v>2</v>
      </c>
      <c r="F79" s="4"/>
      <c r="G79" s="4">
        <v>3</v>
      </c>
      <c r="H79" s="4"/>
      <c r="I79" s="4">
        <v>4</v>
      </c>
    </row>
    <row r="80" spans="1:19" x14ac:dyDescent="0.25">
      <c r="A80" s="28"/>
      <c r="B80" s="29"/>
      <c r="C80" s="28"/>
      <c r="D80" s="30"/>
      <c r="E80" s="28"/>
      <c r="F80" s="28"/>
      <c r="G80" s="28"/>
      <c r="H80" s="30"/>
      <c r="I80" s="31"/>
    </row>
    <row r="81" spans="1:9" x14ac:dyDescent="0.25">
      <c r="A81" s="2" t="s">
        <v>43</v>
      </c>
      <c r="B81" s="2">
        <f>SUMPRODUCT(A69:I76,K69:S76)</f>
        <v>143.09999973192652</v>
      </c>
      <c r="C81" s="2" t="s">
        <v>44</v>
      </c>
    </row>
    <row r="83" spans="1:9" x14ac:dyDescent="0.25">
      <c r="A83" s="3" t="s">
        <v>45</v>
      </c>
    </row>
    <row r="84" spans="1:9" x14ac:dyDescent="0.25">
      <c r="A84" s="2" t="s">
        <v>46</v>
      </c>
      <c r="B84" s="2">
        <v>100</v>
      </c>
    </row>
    <row r="86" spans="1:9" x14ac:dyDescent="0.25">
      <c r="D86" s="23"/>
      <c r="H86" s="23"/>
      <c r="I86" s="24">
        <f>MAX(B84,I$67*(1+$B$64)^I$79)</f>
        <v>12266.265098554679</v>
      </c>
    </row>
    <row r="87" spans="1:9" x14ac:dyDescent="0.25">
      <c r="F87" s="3"/>
      <c r="G87" s="24">
        <f>G$67*(1+$B$64)^G$79</f>
        <v>4409.2705522566421</v>
      </c>
      <c r="H87" s="23"/>
      <c r="I87" s="8"/>
    </row>
    <row r="88" spans="1:9" x14ac:dyDescent="0.25">
      <c r="C88" s="23"/>
      <c r="E88" s="24">
        <f>E$67*(1+$B$64)^E$79</f>
        <v>1485.9097273185348</v>
      </c>
      <c r="G88" s="8"/>
      <c r="H88" s="23"/>
      <c r="I88" s="25">
        <f>MAX(B84,I$67*(1+$B$64)^(I$79-2))</f>
        <v>2476.5162121975577</v>
      </c>
    </row>
    <row r="89" spans="1:9" x14ac:dyDescent="0.25">
      <c r="C89" s="24">
        <f>C$67*(1+$B$64)^C$79</f>
        <v>445.10818569849357</v>
      </c>
      <c r="E89" s="26"/>
      <c r="G89" s="24">
        <f>G$67*(1+$B$64)^(G$79-2)</f>
        <v>890.21637139698714</v>
      </c>
      <c r="H89" s="23"/>
      <c r="I89" s="26"/>
    </row>
    <row r="90" spans="1:9" x14ac:dyDescent="0.25">
      <c r="A90" s="2">
        <f>B56</f>
        <v>0.8</v>
      </c>
      <c r="C90" s="27"/>
      <c r="E90" s="24">
        <f>E$67*(1+$B$64)^(E$79-2)</f>
        <v>300</v>
      </c>
      <c r="G90" s="8"/>
      <c r="H90" s="23"/>
      <c r="I90" s="25">
        <f>MAX(B84,I$67*(1+$B$64)^(I$79-4))</f>
        <v>500</v>
      </c>
    </row>
    <row r="91" spans="1:9" x14ac:dyDescent="0.25">
      <c r="C91" s="24">
        <f>C$67*(1+$B$64)^(C$79-2)</f>
        <v>89.865792823444309</v>
      </c>
      <c r="E91" s="26"/>
      <c r="G91" s="24">
        <f>G$67*(1+$B$64)^(G$79-4)</f>
        <v>179.73158564688862</v>
      </c>
      <c r="H91" s="23"/>
      <c r="I91" s="26"/>
    </row>
    <row r="92" spans="1:9" x14ac:dyDescent="0.25">
      <c r="E92" s="24">
        <f>E$67*(1+$B$64)^(E$79-4)</f>
        <v>60.568955398396604</v>
      </c>
      <c r="G92" s="8"/>
      <c r="H92" s="23"/>
      <c r="I92" s="25">
        <f>MAX(B84,I$67*(1+$B$64)^(I$79-6))</f>
        <v>100.94825899732768</v>
      </c>
    </row>
    <row r="93" spans="1:9" x14ac:dyDescent="0.25">
      <c r="D93" s="23"/>
      <c r="G93" s="24">
        <f>G$67*(1+$B$64)^(G$79-6)+MAX(E64*I92+E65*I94,B84)</f>
        <v>136.287181315765</v>
      </c>
      <c r="H93" s="23"/>
      <c r="I93" s="8"/>
    </row>
    <row r="94" spans="1:9" x14ac:dyDescent="0.25">
      <c r="B94" s="3"/>
      <c r="D94" s="23"/>
      <c r="H94" s="23"/>
      <c r="I94" s="25">
        <f>MAX(B84,I$67*(1+$B$64)^(I$79-8))</f>
        <v>100</v>
      </c>
    </row>
  </sheetData>
  <mergeCells count="3">
    <mergeCell ref="A1:G1"/>
    <mergeCell ref="E17:F17"/>
    <mergeCell ref="E22:G2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Page 660</vt:lpstr>
      <vt:lpstr>Page 661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2024-12-12T08:17:02Z</dcterms:modified>
</cp:coreProperties>
</file>