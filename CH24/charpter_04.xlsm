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4\"/>
    </mc:Choice>
  </mc:AlternateContent>
  <xr:revisionPtr revIDLastSave="0" documentId="13_ncr:1_{638FBDF8-1A7E-4298-AA1B-28C63268A0FE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57 bottom, 658 top" sheetId="2" r:id="rId2"/>
  </sheets>
  <externalReferences>
    <externalReference r:id="rId3"/>
  </externalReferences>
  <definedNames>
    <definedName name="Down">#REF!</definedName>
    <definedName name="init">#REF!</definedName>
    <definedName name="qd">#REF!</definedName>
    <definedName name="qu">#REF!</definedName>
    <definedName name="rf">#REF!</definedName>
    <definedName name="rp">#REF!</definedName>
    <definedName name="solver_adj" localSheetId="1" hidden="1">'Page 657 bottom, 658 top'!$B$23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'Page 657 bottom, 658 top'!$B$38</definedName>
    <definedName name="solver_pre" localSheetId="1" hidden="1">0.000001</definedName>
    <definedName name="solver_rbv" localSheetId="1" hidden="1">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0</definedName>
    <definedName name="solver_ver" localSheetId="1" hidden="1">3</definedName>
    <definedName name="Up">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3" i="2" l="1"/>
  <c r="C32" i="2"/>
  <c r="B22" i="2"/>
  <c r="E29" i="2" s="1"/>
  <c r="D17" i="2"/>
  <c r="C17" i="2"/>
  <c r="B18" i="2" s="1"/>
  <c r="B17" i="2"/>
  <c r="E10" i="2"/>
  <c r="C40" i="2"/>
  <c r="C38" i="2"/>
  <c r="F33" i="2"/>
  <c r="F31" i="2"/>
  <c r="F29" i="2"/>
  <c r="F27" i="2"/>
  <c r="C22" i="2"/>
  <c r="C18" i="2"/>
  <c r="E27" i="2" l="1"/>
  <c r="E31" i="2"/>
  <c r="C28" i="2"/>
  <c r="B38" i="2" l="1"/>
  <c r="B40" i="2" s="1"/>
</calcChain>
</file>

<file path=xl/sharedStrings.xml><?xml version="1.0" encoding="utf-8"?>
<sst xmlns="http://schemas.openxmlformats.org/spreadsheetml/2006/main" count="16" uniqueCount="16">
  <si>
    <t>MATCHING THE STATE PRICES TO THE COST OF CAPITAL</t>
  </si>
  <si>
    <t>Project cost of capital</t>
  </si>
  <si>
    <r>
      <t xml:space="preserve">&lt;-- This is the discount rate for the project if it has </t>
    </r>
    <r>
      <rPr>
        <b/>
        <sz val="10"/>
        <rFont val="Arial"/>
        <family val="2"/>
      </rPr>
      <t>no options</t>
    </r>
  </si>
  <si>
    <t>Risk-free rate</t>
  </si>
  <si>
    <t>Project cash flows</t>
  </si>
  <si>
    <r>
      <t>Project expected cash flows</t>
    </r>
    <r>
      <rPr>
        <sz val="10"/>
        <rFont val="Arial"/>
        <family val="2"/>
      </rPr>
      <t>:  Assumes equal state probabilities</t>
    </r>
  </si>
  <si>
    <t>Year</t>
  </si>
  <si>
    <t>Expected CF</t>
  </si>
  <si>
    <t>Project NPV</t>
  </si>
  <si>
    <t>State prices</t>
  </si>
  <si>
    <r>
      <t>q</t>
    </r>
    <r>
      <rPr>
        <vertAlign val="subscript"/>
        <sz val="10"/>
        <rFont val="Arial"/>
        <family val="2"/>
      </rPr>
      <t>U</t>
    </r>
  </si>
  <si>
    <r>
      <t>q</t>
    </r>
    <r>
      <rPr>
        <vertAlign val="subscript"/>
        <sz val="10"/>
        <rFont val="Arial"/>
        <family val="2"/>
      </rPr>
      <t>D</t>
    </r>
  </si>
  <si>
    <t>&lt;-- Determined by Solver</t>
  </si>
  <si>
    <t>Project state-by-state discounting</t>
  </si>
  <si>
    <t>State-by-state NPV</t>
  </si>
  <si>
    <t>Target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</si>
</sst>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4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9" fontId="2" fillId="0" borderId="0" xfId="1" applyNumberFormat="1"/>
    <xf numFmtId="0" fontId="4" fillId="0" borderId="0" xfId="1" applyFont="1"/>
    <xf numFmtId="0" fontId="2" fillId="0" borderId="0" xfId="1" applyAlignment="1">
      <alignment horizontal="center"/>
    </xf>
    <xf numFmtId="40" fontId="2" fillId="0" borderId="0" xfId="1" applyNumberFormat="1"/>
    <xf numFmtId="0" fontId="2" fillId="2" borderId="0" xfId="1" applyFill="1"/>
    <xf numFmtId="176" fontId="2" fillId="2" borderId="0" xfId="1" quotePrefix="1" applyNumberFormat="1" applyFill="1"/>
    <xf numFmtId="176" fontId="2" fillId="0" borderId="0" xfId="1" quotePrefix="1" applyNumberFormat="1"/>
    <xf numFmtId="176" fontId="2" fillId="0" borderId="0" xfId="1" applyNumberFormat="1" applyAlignment="1">
      <alignment horizontal="center"/>
    </xf>
    <xf numFmtId="2" fontId="2" fillId="0" borderId="0" xfId="1" applyNumberFormat="1"/>
    <xf numFmtId="0" fontId="2" fillId="3" borderId="0" xfId="1" applyFill="1"/>
    <xf numFmtId="176" fontId="2" fillId="3" borderId="0" xfId="1" quotePrefix="1" applyNumberFormat="1" applyFill="1"/>
  </cellXfs>
  <cellStyles count="2">
    <cellStyle name="常规" xfId="0" builtinId="0"/>
    <cellStyle name="常规 2" xfId="1" xr:uid="{0BC99C8E-6496-4848-9094-05A6C7A3648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53340</xdr:rowOff>
    </xdr:from>
    <xdr:to>
      <xdr:col>2</xdr:col>
      <xdr:colOff>0</xdr:colOff>
      <xdr:row>8</xdr:row>
      <xdr:rowOff>60960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FF8240B5-6B3E-4700-B93E-FF3EB9BBF2B0}"/>
            </a:ext>
          </a:extLst>
        </xdr:cNvPr>
        <xdr:cNvSpPr>
          <a:spLocks noChangeShapeType="1"/>
        </xdr:cNvSpPr>
      </xdr:nvSpPr>
      <xdr:spPr bwMode="auto">
        <a:xfrm flipV="1">
          <a:off x="1400175" y="1143000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8</xdr:row>
      <xdr:rowOff>60960</xdr:rowOff>
    </xdr:from>
    <xdr:to>
      <xdr:col>1</xdr:col>
      <xdr:colOff>480060</xdr:colOff>
      <xdr:row>10</xdr:row>
      <xdr:rowOff>53340</xdr:rowOff>
    </xdr:to>
    <xdr:sp macro="" textlink="">
      <xdr:nvSpPr>
        <xdr:cNvPr id="3" name="Line 3">
          <a:extLst>
            <a:ext uri="{FF2B5EF4-FFF2-40B4-BE49-F238E27FC236}">
              <a16:creationId xmlns:a16="http://schemas.microsoft.com/office/drawing/2014/main" id="{42E94CC8-C78C-4EAB-BCE1-3B33130392E9}"/>
            </a:ext>
          </a:extLst>
        </xdr:cNvPr>
        <xdr:cNvSpPr>
          <a:spLocks noChangeShapeType="1"/>
        </xdr:cNvSpPr>
      </xdr:nvSpPr>
      <xdr:spPr bwMode="auto">
        <a:xfrm>
          <a:off x="1400175" y="1485900"/>
          <a:ext cx="47625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6</xdr:row>
      <xdr:rowOff>76200</xdr:rowOff>
    </xdr:from>
    <xdr:to>
      <xdr:col>4</xdr:col>
      <xdr:colOff>7620</xdr:colOff>
      <xdr:row>7</xdr:row>
      <xdr:rowOff>91440</xdr:rowOff>
    </xdr:to>
    <xdr:sp macro="" textlink="">
      <xdr:nvSpPr>
        <xdr:cNvPr id="4" name="Line 4">
          <a:extLst>
            <a:ext uri="{FF2B5EF4-FFF2-40B4-BE49-F238E27FC236}">
              <a16:creationId xmlns:a16="http://schemas.microsoft.com/office/drawing/2014/main" id="{DB83ACBE-AF5C-4B5F-8615-7C8392171386}"/>
            </a:ext>
          </a:extLst>
        </xdr:cNvPr>
        <xdr:cNvSpPr>
          <a:spLocks noChangeShapeType="1"/>
        </xdr:cNvSpPr>
      </xdr:nvSpPr>
      <xdr:spPr bwMode="auto">
        <a:xfrm>
          <a:off x="2619375" y="116205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5</xdr:row>
      <xdr:rowOff>60960</xdr:rowOff>
    </xdr:from>
    <xdr:to>
      <xdr:col>4</xdr:col>
      <xdr:colOff>15240</xdr:colOff>
      <xdr:row>6</xdr:row>
      <xdr:rowOff>68580</xdr:rowOff>
    </xdr:to>
    <xdr:sp macro="" textlink="">
      <xdr:nvSpPr>
        <xdr:cNvPr id="5" name="Line 5">
          <a:extLst>
            <a:ext uri="{FF2B5EF4-FFF2-40B4-BE49-F238E27FC236}">
              <a16:creationId xmlns:a16="http://schemas.microsoft.com/office/drawing/2014/main" id="{311C8933-3A60-4356-A997-CD08F7E6F76B}"/>
            </a:ext>
          </a:extLst>
        </xdr:cNvPr>
        <xdr:cNvSpPr>
          <a:spLocks noChangeShapeType="1"/>
        </xdr:cNvSpPr>
      </xdr:nvSpPr>
      <xdr:spPr bwMode="auto">
        <a:xfrm flipV="1">
          <a:off x="2628900" y="9715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10</xdr:row>
      <xdr:rowOff>76200</xdr:rowOff>
    </xdr:from>
    <xdr:to>
      <xdr:col>4</xdr:col>
      <xdr:colOff>7620</xdr:colOff>
      <xdr:row>11</xdr:row>
      <xdr:rowOff>91440</xdr:rowOff>
    </xdr:to>
    <xdr:sp macro="" textlink="">
      <xdr:nvSpPr>
        <xdr:cNvPr id="6" name="Line 6">
          <a:extLst>
            <a:ext uri="{FF2B5EF4-FFF2-40B4-BE49-F238E27FC236}">
              <a16:creationId xmlns:a16="http://schemas.microsoft.com/office/drawing/2014/main" id="{5234B231-A646-48A6-8BA0-58BCB468AE38}"/>
            </a:ext>
          </a:extLst>
        </xdr:cNvPr>
        <xdr:cNvSpPr>
          <a:spLocks noChangeShapeType="1"/>
        </xdr:cNvSpPr>
      </xdr:nvSpPr>
      <xdr:spPr bwMode="auto">
        <a:xfrm>
          <a:off x="2619375" y="184785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9</xdr:row>
      <xdr:rowOff>60960</xdr:rowOff>
    </xdr:from>
    <xdr:to>
      <xdr:col>4</xdr:col>
      <xdr:colOff>15240</xdr:colOff>
      <xdr:row>10</xdr:row>
      <xdr:rowOff>68580</xdr:rowOff>
    </xdr:to>
    <xdr:sp macro="" textlink="">
      <xdr:nvSpPr>
        <xdr:cNvPr id="7" name="Line 7">
          <a:extLst>
            <a:ext uri="{FF2B5EF4-FFF2-40B4-BE49-F238E27FC236}">
              <a16:creationId xmlns:a16="http://schemas.microsoft.com/office/drawing/2014/main" id="{25D1DAD6-0364-486C-98C7-4A21D998480E}"/>
            </a:ext>
          </a:extLst>
        </xdr:cNvPr>
        <xdr:cNvSpPr>
          <a:spLocks noChangeShapeType="1"/>
        </xdr:cNvSpPr>
      </xdr:nvSpPr>
      <xdr:spPr bwMode="auto">
        <a:xfrm flipV="1">
          <a:off x="2628900" y="16573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27</xdr:row>
      <xdr:rowOff>53340</xdr:rowOff>
    </xdr:from>
    <xdr:to>
      <xdr:col>2</xdr:col>
      <xdr:colOff>0</xdr:colOff>
      <xdr:row>29</xdr:row>
      <xdr:rowOff>60960</xdr:rowOff>
    </xdr:to>
    <xdr:sp macro="" textlink="">
      <xdr:nvSpPr>
        <xdr:cNvPr id="8" name="Line 8">
          <a:extLst>
            <a:ext uri="{FF2B5EF4-FFF2-40B4-BE49-F238E27FC236}">
              <a16:creationId xmlns:a16="http://schemas.microsoft.com/office/drawing/2014/main" id="{1BD5EB1B-535A-4099-AD20-6E0A51542AAE}"/>
            </a:ext>
          </a:extLst>
        </xdr:cNvPr>
        <xdr:cNvSpPr>
          <a:spLocks noChangeShapeType="1"/>
        </xdr:cNvSpPr>
      </xdr:nvSpPr>
      <xdr:spPr bwMode="auto">
        <a:xfrm flipV="1">
          <a:off x="1400175" y="4800600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29</xdr:row>
      <xdr:rowOff>60960</xdr:rowOff>
    </xdr:from>
    <xdr:to>
      <xdr:col>1</xdr:col>
      <xdr:colOff>480060</xdr:colOff>
      <xdr:row>31</xdr:row>
      <xdr:rowOff>53340</xdr:rowOff>
    </xdr:to>
    <xdr:sp macro="" textlink="">
      <xdr:nvSpPr>
        <xdr:cNvPr id="9" name="Line 9">
          <a:extLst>
            <a:ext uri="{FF2B5EF4-FFF2-40B4-BE49-F238E27FC236}">
              <a16:creationId xmlns:a16="http://schemas.microsoft.com/office/drawing/2014/main" id="{83315B28-F9D3-413A-ABB3-D6D77D756BDC}"/>
            </a:ext>
          </a:extLst>
        </xdr:cNvPr>
        <xdr:cNvSpPr>
          <a:spLocks noChangeShapeType="1"/>
        </xdr:cNvSpPr>
      </xdr:nvSpPr>
      <xdr:spPr bwMode="auto">
        <a:xfrm>
          <a:off x="1400175" y="5143500"/>
          <a:ext cx="47625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76200</xdr:rowOff>
    </xdr:from>
    <xdr:to>
      <xdr:col>4</xdr:col>
      <xdr:colOff>7620</xdr:colOff>
      <xdr:row>28</xdr:row>
      <xdr:rowOff>91440</xdr:rowOff>
    </xdr:to>
    <xdr:sp macro="" textlink="">
      <xdr:nvSpPr>
        <xdr:cNvPr id="10" name="Line 10">
          <a:extLst>
            <a:ext uri="{FF2B5EF4-FFF2-40B4-BE49-F238E27FC236}">
              <a16:creationId xmlns:a16="http://schemas.microsoft.com/office/drawing/2014/main" id="{D49DF6CF-04AA-47E2-AC4E-C684F36A251D}"/>
            </a:ext>
          </a:extLst>
        </xdr:cNvPr>
        <xdr:cNvSpPr>
          <a:spLocks noChangeShapeType="1"/>
        </xdr:cNvSpPr>
      </xdr:nvSpPr>
      <xdr:spPr bwMode="auto">
        <a:xfrm>
          <a:off x="2619375" y="481965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26</xdr:row>
      <xdr:rowOff>60960</xdr:rowOff>
    </xdr:from>
    <xdr:to>
      <xdr:col>4</xdr:col>
      <xdr:colOff>15240</xdr:colOff>
      <xdr:row>27</xdr:row>
      <xdr:rowOff>68580</xdr:rowOff>
    </xdr:to>
    <xdr:sp macro="" textlink="">
      <xdr:nvSpPr>
        <xdr:cNvPr id="11" name="Line 11">
          <a:extLst>
            <a:ext uri="{FF2B5EF4-FFF2-40B4-BE49-F238E27FC236}">
              <a16:creationId xmlns:a16="http://schemas.microsoft.com/office/drawing/2014/main" id="{A19129FD-879C-4AE7-A335-5A7F0AC46781}"/>
            </a:ext>
          </a:extLst>
        </xdr:cNvPr>
        <xdr:cNvSpPr>
          <a:spLocks noChangeShapeType="1"/>
        </xdr:cNvSpPr>
      </xdr:nvSpPr>
      <xdr:spPr bwMode="auto">
        <a:xfrm flipV="1">
          <a:off x="2628900" y="46291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31</xdr:row>
      <xdr:rowOff>76200</xdr:rowOff>
    </xdr:from>
    <xdr:to>
      <xdr:col>4</xdr:col>
      <xdr:colOff>7620</xdr:colOff>
      <xdr:row>32</xdr:row>
      <xdr:rowOff>91440</xdr:rowOff>
    </xdr:to>
    <xdr:sp macro="" textlink="">
      <xdr:nvSpPr>
        <xdr:cNvPr id="12" name="Line 12">
          <a:extLst>
            <a:ext uri="{FF2B5EF4-FFF2-40B4-BE49-F238E27FC236}">
              <a16:creationId xmlns:a16="http://schemas.microsoft.com/office/drawing/2014/main" id="{ED061028-6C50-4D1C-8644-D417E2087483}"/>
            </a:ext>
          </a:extLst>
        </xdr:cNvPr>
        <xdr:cNvSpPr>
          <a:spLocks noChangeShapeType="1"/>
        </xdr:cNvSpPr>
      </xdr:nvSpPr>
      <xdr:spPr bwMode="auto">
        <a:xfrm>
          <a:off x="2619375" y="550545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30</xdr:row>
      <xdr:rowOff>60960</xdr:rowOff>
    </xdr:from>
    <xdr:to>
      <xdr:col>4</xdr:col>
      <xdr:colOff>15240</xdr:colOff>
      <xdr:row>31</xdr:row>
      <xdr:rowOff>68580</xdr:rowOff>
    </xdr:to>
    <xdr:sp macro="" textlink="">
      <xdr:nvSpPr>
        <xdr:cNvPr id="13" name="Line 13">
          <a:extLst>
            <a:ext uri="{FF2B5EF4-FFF2-40B4-BE49-F238E27FC236}">
              <a16:creationId xmlns:a16="http://schemas.microsoft.com/office/drawing/2014/main" id="{57BAD994-8E29-420C-9978-9BECAC08D637}"/>
            </a:ext>
          </a:extLst>
        </xdr:cNvPr>
        <xdr:cNvSpPr>
          <a:spLocks noChangeShapeType="1"/>
        </xdr:cNvSpPr>
      </xdr:nvSpPr>
      <xdr:spPr bwMode="auto">
        <a:xfrm flipV="1">
          <a:off x="2628900" y="53149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449580</xdr:colOff>
      <xdr:row>12</xdr:row>
      <xdr:rowOff>99060</xdr:rowOff>
    </xdr:from>
    <xdr:to>
      <xdr:col>6</xdr:col>
      <xdr:colOff>449580</xdr:colOff>
      <xdr:row>14</xdr:row>
      <xdr:rowOff>7620</xdr:rowOff>
    </xdr:to>
    <xdr:sp macro="" textlink="">
      <xdr:nvSpPr>
        <xdr:cNvPr id="14" name="Text Box 14">
          <a:extLst>
            <a:ext uri="{FF2B5EF4-FFF2-40B4-BE49-F238E27FC236}">
              <a16:creationId xmlns:a16="http://schemas.microsoft.com/office/drawing/2014/main" id="{D96C17EF-23ED-4F21-AC0A-68553B16F92E}"/>
            </a:ext>
          </a:extLst>
        </xdr:cNvPr>
        <xdr:cNvSpPr txBox="1">
          <a:spLocks noChangeArrowheads="1"/>
        </xdr:cNvSpPr>
      </xdr:nvSpPr>
      <xdr:spPr bwMode="auto">
        <a:xfrm>
          <a:off x="3676650" y="2209800"/>
          <a:ext cx="1219200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=AVERAGE(C7:C1)</a:t>
          </a:r>
        </a:p>
      </xdr:txBody>
    </xdr:sp>
    <xdr:clientData/>
  </xdr:twoCellAnchor>
  <xdr:twoCellAnchor>
    <xdr:from>
      <xdr:col>4</xdr:col>
      <xdr:colOff>480060</xdr:colOff>
      <xdr:row>15</xdr:row>
      <xdr:rowOff>121920</xdr:rowOff>
    </xdr:from>
    <xdr:to>
      <xdr:col>6</xdr:col>
      <xdr:colOff>518160</xdr:colOff>
      <xdr:row>17</xdr:row>
      <xdr:rowOff>0</xdr:rowOff>
    </xdr:to>
    <xdr:sp macro="" textlink="">
      <xdr:nvSpPr>
        <xdr:cNvPr id="15" name="Text Box 15">
          <a:extLst>
            <a:ext uri="{FF2B5EF4-FFF2-40B4-BE49-F238E27FC236}">
              <a16:creationId xmlns:a16="http://schemas.microsoft.com/office/drawing/2014/main" id="{33059AF3-3E15-4D34-BF08-A13D8DA1113B}"/>
            </a:ext>
          </a:extLst>
        </xdr:cNvPr>
        <xdr:cNvSpPr txBox="1">
          <a:spLocks noChangeArrowheads="1"/>
        </xdr:cNvSpPr>
      </xdr:nvSpPr>
      <xdr:spPr bwMode="auto">
        <a:xfrm>
          <a:off x="3705225" y="2752725"/>
          <a:ext cx="1257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=AVERAGE(E6:E12)</a:t>
          </a:r>
        </a:p>
      </xdr:txBody>
    </xdr:sp>
    <xdr:clientData/>
  </xdr:twoCellAnchor>
  <xdr:twoCellAnchor>
    <xdr:from>
      <xdr:col>3</xdr:col>
      <xdr:colOff>0</xdr:colOff>
      <xdr:row>13</xdr:row>
      <xdr:rowOff>60960</xdr:rowOff>
    </xdr:from>
    <xdr:to>
      <xdr:col>4</xdr:col>
      <xdr:colOff>441960</xdr:colOff>
      <xdr:row>16</xdr:row>
      <xdr:rowOff>22860</xdr:rowOff>
    </xdr:to>
    <xdr:sp macro="" textlink="">
      <xdr:nvSpPr>
        <xdr:cNvPr id="16" name="Line 16">
          <a:extLst>
            <a:ext uri="{FF2B5EF4-FFF2-40B4-BE49-F238E27FC236}">
              <a16:creationId xmlns:a16="http://schemas.microsoft.com/office/drawing/2014/main" id="{1354A098-9970-4026-92D5-CD7475533950}"/>
            </a:ext>
          </a:extLst>
        </xdr:cNvPr>
        <xdr:cNvSpPr>
          <a:spLocks noChangeShapeType="1"/>
        </xdr:cNvSpPr>
      </xdr:nvSpPr>
      <xdr:spPr bwMode="auto">
        <a:xfrm flipH="1">
          <a:off x="2619375" y="2343150"/>
          <a:ext cx="1047750" cy="476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16</xdr:row>
      <xdr:rowOff>76200</xdr:rowOff>
    </xdr:from>
    <xdr:to>
      <xdr:col>4</xdr:col>
      <xdr:colOff>480060</xdr:colOff>
      <xdr:row>16</xdr:row>
      <xdr:rowOff>91440</xdr:rowOff>
    </xdr:to>
    <xdr:sp macro="" textlink="">
      <xdr:nvSpPr>
        <xdr:cNvPr id="17" name="Line 17">
          <a:extLst>
            <a:ext uri="{FF2B5EF4-FFF2-40B4-BE49-F238E27FC236}">
              <a16:creationId xmlns:a16="http://schemas.microsoft.com/office/drawing/2014/main" id="{A01CE529-30FB-4726-8255-73D73C0EA118}"/>
            </a:ext>
          </a:extLst>
        </xdr:cNvPr>
        <xdr:cNvSpPr>
          <a:spLocks noChangeShapeType="1"/>
        </xdr:cNvSpPr>
      </xdr:nvSpPr>
      <xdr:spPr bwMode="auto">
        <a:xfrm flipH="1" flipV="1">
          <a:off x="3238500" y="2876550"/>
          <a:ext cx="466725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24</xdr:row>
      <xdr:rowOff>38100</xdr:rowOff>
    </xdr:from>
    <xdr:to>
      <xdr:col>4</xdr:col>
      <xdr:colOff>373380</xdr:colOff>
      <xdr:row>25</xdr:row>
      <xdr:rowOff>68580</xdr:rowOff>
    </xdr:to>
    <xdr:sp macro="" textlink="">
      <xdr:nvSpPr>
        <xdr:cNvPr id="18" name="Text Box 18">
          <a:extLst>
            <a:ext uri="{FF2B5EF4-FFF2-40B4-BE49-F238E27FC236}">
              <a16:creationId xmlns:a16="http://schemas.microsoft.com/office/drawing/2014/main" id="{A9E98C80-301D-480B-99C7-69A0705F3760}"/>
            </a:ext>
          </a:extLst>
        </xdr:cNvPr>
        <xdr:cNvSpPr txBox="1">
          <a:spLocks noChangeArrowheads="1"/>
        </xdr:cNvSpPr>
      </xdr:nvSpPr>
      <xdr:spPr bwMode="auto">
        <a:xfrm>
          <a:off x="2962275" y="4267200"/>
          <a:ext cx="638175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=C7*B22</a:t>
          </a:r>
        </a:p>
      </xdr:txBody>
    </xdr:sp>
    <xdr:clientData/>
  </xdr:twoCellAnchor>
  <xdr:twoCellAnchor>
    <xdr:from>
      <xdr:col>2</xdr:col>
      <xdr:colOff>0</xdr:colOff>
      <xdr:row>33</xdr:row>
      <xdr:rowOff>91440</xdr:rowOff>
    </xdr:from>
    <xdr:to>
      <xdr:col>3</xdr:col>
      <xdr:colOff>30480</xdr:colOff>
      <xdr:row>34</xdr:row>
      <xdr:rowOff>121920</xdr:rowOff>
    </xdr:to>
    <xdr:sp macro="" textlink="">
      <xdr:nvSpPr>
        <xdr:cNvPr id="19" name="Text Box 19">
          <a:extLst>
            <a:ext uri="{FF2B5EF4-FFF2-40B4-BE49-F238E27FC236}">
              <a16:creationId xmlns:a16="http://schemas.microsoft.com/office/drawing/2014/main" id="{01E32514-FEF7-4A74-A1B2-133AA78D8075}"/>
            </a:ext>
          </a:extLst>
        </xdr:cNvPr>
        <xdr:cNvSpPr txBox="1">
          <a:spLocks noChangeArrowheads="1"/>
        </xdr:cNvSpPr>
      </xdr:nvSpPr>
      <xdr:spPr bwMode="auto">
        <a:xfrm>
          <a:off x="2009775" y="5867400"/>
          <a:ext cx="638175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=C11*B23</a:t>
          </a:r>
        </a:p>
      </xdr:txBody>
    </xdr:sp>
    <xdr:clientData/>
  </xdr:twoCellAnchor>
  <xdr:twoCellAnchor>
    <xdr:from>
      <xdr:col>2</xdr:col>
      <xdr:colOff>99060</xdr:colOff>
      <xdr:row>32</xdr:row>
      <xdr:rowOff>0</xdr:rowOff>
    </xdr:from>
    <xdr:to>
      <xdr:col>2</xdr:col>
      <xdr:colOff>175260</xdr:colOff>
      <xdr:row>33</xdr:row>
      <xdr:rowOff>91440</xdr:rowOff>
    </xdr:to>
    <xdr:sp macro="" textlink="">
      <xdr:nvSpPr>
        <xdr:cNvPr id="20" name="Line 21">
          <a:extLst>
            <a:ext uri="{FF2B5EF4-FFF2-40B4-BE49-F238E27FC236}">
              <a16:creationId xmlns:a16="http://schemas.microsoft.com/office/drawing/2014/main" id="{57B86DB0-A243-4374-92BE-411EF9D0F011}"/>
            </a:ext>
          </a:extLst>
        </xdr:cNvPr>
        <xdr:cNvSpPr>
          <a:spLocks noChangeShapeType="1"/>
        </xdr:cNvSpPr>
      </xdr:nvSpPr>
      <xdr:spPr bwMode="auto">
        <a:xfrm flipV="1">
          <a:off x="2105025" y="5600700"/>
          <a:ext cx="76200" cy="2667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373380</xdr:colOff>
      <xdr:row>24</xdr:row>
      <xdr:rowOff>106680</xdr:rowOff>
    </xdr:from>
    <xdr:to>
      <xdr:col>3</xdr:col>
      <xdr:colOff>327660</xdr:colOff>
      <xdr:row>26</xdr:row>
      <xdr:rowOff>121920</xdr:rowOff>
    </xdr:to>
    <xdr:sp macro="" textlink="">
      <xdr:nvSpPr>
        <xdr:cNvPr id="21" name="Line 22">
          <a:extLst>
            <a:ext uri="{FF2B5EF4-FFF2-40B4-BE49-F238E27FC236}">
              <a16:creationId xmlns:a16="http://schemas.microsoft.com/office/drawing/2014/main" id="{6E57C31E-1EBB-4BFD-BA9A-F5E232006747}"/>
            </a:ext>
          </a:extLst>
        </xdr:cNvPr>
        <xdr:cNvSpPr>
          <a:spLocks noChangeShapeType="1"/>
        </xdr:cNvSpPr>
      </xdr:nvSpPr>
      <xdr:spPr bwMode="auto">
        <a:xfrm flipH="1">
          <a:off x="2381250" y="4333875"/>
          <a:ext cx="561975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9</xdr:col>
      <xdr:colOff>419100</xdr:colOff>
      <xdr:row>5</xdr:row>
      <xdr:rowOff>95250</xdr:rowOff>
    </xdr:from>
    <xdr:to>
      <xdr:col>26</xdr:col>
      <xdr:colOff>39493</xdr:colOff>
      <xdr:row>50</xdr:row>
      <xdr:rowOff>115387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B489DFDF-FF2D-362F-0702-E6E9EDE63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375" y="1009650"/>
          <a:ext cx="9983593" cy="7792537"/>
        </a:xfrm>
        <a:prstGeom prst="rect">
          <a:avLst/>
        </a:prstGeom>
      </xdr:spPr>
    </xdr:pic>
    <xdr:clientData/>
  </xdr:twoCellAnchor>
  <xdr:twoCellAnchor editAs="oneCell">
    <xdr:from>
      <xdr:col>18</xdr:col>
      <xdr:colOff>58616</xdr:colOff>
      <xdr:row>13</xdr:row>
      <xdr:rowOff>109904</xdr:rowOff>
    </xdr:from>
    <xdr:to>
      <xdr:col>26</xdr:col>
      <xdr:colOff>604494</xdr:colOff>
      <xdr:row>41</xdr:row>
      <xdr:rowOff>162599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F07B1A7B-8EB8-E0FB-A6ED-B283969FC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920904" y="2359269"/>
          <a:ext cx="5410955" cy="482984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50-2"/>
      <sheetName val="Page 650-2 中文"/>
      <sheetName val="Page 653-655"/>
      <sheetName val="Page 653-655 中文"/>
      <sheetName val="Page 655 bottom, 656 top"/>
      <sheetName val="Page 655 bottom, 656 top 中文"/>
      <sheetName val="Page 657 bottom, 658 top"/>
      <sheetName val="Page 657 bottom, 658 top 中文"/>
      <sheetName val="Page 659"/>
      <sheetName val="Page 659 中文"/>
      <sheetName val="Page 660"/>
      <sheetName val="Page 660 中文"/>
      <sheetName val="Page 661"/>
      <sheetName val="Page 661 中文"/>
      <sheetName val="Page 663"/>
      <sheetName val="Page 663 中文"/>
      <sheetName val="Page 664"/>
      <sheetName val="Page 664中文"/>
      <sheetName val="Page 666"/>
      <sheetName val="Page 666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B7A1C-F81D-4705-89D5-98B2873BCA3E}">
  <sheetPr codeName="Sheet4"/>
  <dimension ref="A1:H40"/>
  <sheetViews>
    <sheetView tabSelected="1" zoomScale="130" zoomScaleNormal="130" workbookViewId="0">
      <selection activeCell="I39" sqref="I39"/>
    </sheetView>
  </sheetViews>
  <sheetFormatPr defaultRowHeight="13.2" x14ac:dyDescent="0.25"/>
  <cols>
    <col min="1" max="1" width="20.44140625" style="2" customWidth="1"/>
    <col min="2" max="6" width="8.88671875" style="2"/>
    <col min="7" max="7" width="10.44140625" style="2" customWidth="1"/>
    <col min="8" max="8" width="9" style="2" customWidth="1"/>
    <col min="9" max="256" width="8.88671875" style="2"/>
    <col min="257" max="257" width="20.44140625" style="2" customWidth="1"/>
    <col min="258" max="262" width="8.88671875" style="2"/>
    <col min="263" max="263" width="10.44140625" style="2" customWidth="1"/>
    <col min="264" max="264" width="9" style="2" customWidth="1"/>
    <col min="265" max="512" width="8.88671875" style="2"/>
    <col min="513" max="513" width="20.44140625" style="2" customWidth="1"/>
    <col min="514" max="518" width="8.88671875" style="2"/>
    <col min="519" max="519" width="10.44140625" style="2" customWidth="1"/>
    <col min="520" max="520" width="9" style="2" customWidth="1"/>
    <col min="521" max="768" width="8.88671875" style="2"/>
    <col min="769" max="769" width="20.44140625" style="2" customWidth="1"/>
    <col min="770" max="774" width="8.88671875" style="2"/>
    <col min="775" max="775" width="10.44140625" style="2" customWidth="1"/>
    <col min="776" max="776" width="9" style="2" customWidth="1"/>
    <col min="777" max="1024" width="8.88671875" style="2"/>
    <col min="1025" max="1025" width="20.44140625" style="2" customWidth="1"/>
    <col min="1026" max="1030" width="8.88671875" style="2"/>
    <col min="1031" max="1031" width="10.44140625" style="2" customWidth="1"/>
    <col min="1032" max="1032" width="9" style="2" customWidth="1"/>
    <col min="1033" max="1280" width="8.88671875" style="2"/>
    <col min="1281" max="1281" width="20.44140625" style="2" customWidth="1"/>
    <col min="1282" max="1286" width="8.88671875" style="2"/>
    <col min="1287" max="1287" width="10.44140625" style="2" customWidth="1"/>
    <col min="1288" max="1288" width="9" style="2" customWidth="1"/>
    <col min="1289" max="1536" width="8.88671875" style="2"/>
    <col min="1537" max="1537" width="20.44140625" style="2" customWidth="1"/>
    <col min="1538" max="1542" width="8.88671875" style="2"/>
    <col min="1543" max="1543" width="10.44140625" style="2" customWidth="1"/>
    <col min="1544" max="1544" width="9" style="2" customWidth="1"/>
    <col min="1545" max="1792" width="8.88671875" style="2"/>
    <col min="1793" max="1793" width="20.44140625" style="2" customWidth="1"/>
    <col min="1794" max="1798" width="8.88671875" style="2"/>
    <col min="1799" max="1799" width="10.44140625" style="2" customWidth="1"/>
    <col min="1800" max="1800" width="9" style="2" customWidth="1"/>
    <col min="1801" max="2048" width="8.88671875" style="2"/>
    <col min="2049" max="2049" width="20.44140625" style="2" customWidth="1"/>
    <col min="2050" max="2054" width="8.88671875" style="2"/>
    <col min="2055" max="2055" width="10.44140625" style="2" customWidth="1"/>
    <col min="2056" max="2056" width="9" style="2" customWidth="1"/>
    <col min="2057" max="2304" width="8.88671875" style="2"/>
    <col min="2305" max="2305" width="20.44140625" style="2" customWidth="1"/>
    <col min="2306" max="2310" width="8.88671875" style="2"/>
    <col min="2311" max="2311" width="10.44140625" style="2" customWidth="1"/>
    <col min="2312" max="2312" width="9" style="2" customWidth="1"/>
    <col min="2313" max="2560" width="8.88671875" style="2"/>
    <col min="2561" max="2561" width="20.44140625" style="2" customWidth="1"/>
    <col min="2562" max="2566" width="8.88671875" style="2"/>
    <col min="2567" max="2567" width="10.44140625" style="2" customWidth="1"/>
    <col min="2568" max="2568" width="9" style="2" customWidth="1"/>
    <col min="2569" max="2816" width="8.88671875" style="2"/>
    <col min="2817" max="2817" width="20.44140625" style="2" customWidth="1"/>
    <col min="2818" max="2822" width="8.88671875" style="2"/>
    <col min="2823" max="2823" width="10.44140625" style="2" customWidth="1"/>
    <col min="2824" max="2824" width="9" style="2" customWidth="1"/>
    <col min="2825" max="3072" width="8.88671875" style="2"/>
    <col min="3073" max="3073" width="20.44140625" style="2" customWidth="1"/>
    <col min="3074" max="3078" width="8.88671875" style="2"/>
    <col min="3079" max="3079" width="10.44140625" style="2" customWidth="1"/>
    <col min="3080" max="3080" width="9" style="2" customWidth="1"/>
    <col min="3081" max="3328" width="8.88671875" style="2"/>
    <col min="3329" max="3329" width="20.44140625" style="2" customWidth="1"/>
    <col min="3330" max="3334" width="8.88671875" style="2"/>
    <col min="3335" max="3335" width="10.44140625" style="2" customWidth="1"/>
    <col min="3336" max="3336" width="9" style="2" customWidth="1"/>
    <col min="3337" max="3584" width="8.88671875" style="2"/>
    <col min="3585" max="3585" width="20.44140625" style="2" customWidth="1"/>
    <col min="3586" max="3590" width="8.88671875" style="2"/>
    <col min="3591" max="3591" width="10.44140625" style="2" customWidth="1"/>
    <col min="3592" max="3592" width="9" style="2" customWidth="1"/>
    <col min="3593" max="3840" width="8.88671875" style="2"/>
    <col min="3841" max="3841" width="20.44140625" style="2" customWidth="1"/>
    <col min="3842" max="3846" width="8.88671875" style="2"/>
    <col min="3847" max="3847" width="10.44140625" style="2" customWidth="1"/>
    <col min="3848" max="3848" width="9" style="2" customWidth="1"/>
    <col min="3849" max="4096" width="8.88671875" style="2"/>
    <col min="4097" max="4097" width="20.44140625" style="2" customWidth="1"/>
    <col min="4098" max="4102" width="8.88671875" style="2"/>
    <col min="4103" max="4103" width="10.44140625" style="2" customWidth="1"/>
    <col min="4104" max="4104" width="9" style="2" customWidth="1"/>
    <col min="4105" max="4352" width="8.88671875" style="2"/>
    <col min="4353" max="4353" width="20.44140625" style="2" customWidth="1"/>
    <col min="4354" max="4358" width="8.88671875" style="2"/>
    <col min="4359" max="4359" width="10.44140625" style="2" customWidth="1"/>
    <col min="4360" max="4360" width="9" style="2" customWidth="1"/>
    <col min="4361" max="4608" width="8.88671875" style="2"/>
    <col min="4609" max="4609" width="20.44140625" style="2" customWidth="1"/>
    <col min="4610" max="4614" width="8.88671875" style="2"/>
    <col min="4615" max="4615" width="10.44140625" style="2" customWidth="1"/>
    <col min="4616" max="4616" width="9" style="2" customWidth="1"/>
    <col min="4617" max="4864" width="8.88671875" style="2"/>
    <col min="4865" max="4865" width="20.44140625" style="2" customWidth="1"/>
    <col min="4866" max="4870" width="8.88671875" style="2"/>
    <col min="4871" max="4871" width="10.44140625" style="2" customWidth="1"/>
    <col min="4872" max="4872" width="9" style="2" customWidth="1"/>
    <col min="4873" max="5120" width="8.88671875" style="2"/>
    <col min="5121" max="5121" width="20.44140625" style="2" customWidth="1"/>
    <col min="5122" max="5126" width="8.88671875" style="2"/>
    <col min="5127" max="5127" width="10.44140625" style="2" customWidth="1"/>
    <col min="5128" max="5128" width="9" style="2" customWidth="1"/>
    <col min="5129" max="5376" width="8.88671875" style="2"/>
    <col min="5377" max="5377" width="20.44140625" style="2" customWidth="1"/>
    <col min="5378" max="5382" width="8.88671875" style="2"/>
    <col min="5383" max="5383" width="10.44140625" style="2" customWidth="1"/>
    <col min="5384" max="5384" width="9" style="2" customWidth="1"/>
    <col min="5385" max="5632" width="8.88671875" style="2"/>
    <col min="5633" max="5633" width="20.44140625" style="2" customWidth="1"/>
    <col min="5634" max="5638" width="8.88671875" style="2"/>
    <col min="5639" max="5639" width="10.44140625" style="2" customWidth="1"/>
    <col min="5640" max="5640" width="9" style="2" customWidth="1"/>
    <col min="5641" max="5888" width="8.88671875" style="2"/>
    <col min="5889" max="5889" width="20.44140625" style="2" customWidth="1"/>
    <col min="5890" max="5894" width="8.88671875" style="2"/>
    <col min="5895" max="5895" width="10.44140625" style="2" customWidth="1"/>
    <col min="5896" max="5896" width="9" style="2" customWidth="1"/>
    <col min="5897" max="6144" width="8.88671875" style="2"/>
    <col min="6145" max="6145" width="20.44140625" style="2" customWidth="1"/>
    <col min="6146" max="6150" width="8.88671875" style="2"/>
    <col min="6151" max="6151" width="10.44140625" style="2" customWidth="1"/>
    <col min="6152" max="6152" width="9" style="2" customWidth="1"/>
    <col min="6153" max="6400" width="8.88671875" style="2"/>
    <col min="6401" max="6401" width="20.44140625" style="2" customWidth="1"/>
    <col min="6402" max="6406" width="8.88671875" style="2"/>
    <col min="6407" max="6407" width="10.44140625" style="2" customWidth="1"/>
    <col min="6408" max="6408" width="9" style="2" customWidth="1"/>
    <col min="6409" max="6656" width="8.88671875" style="2"/>
    <col min="6657" max="6657" width="20.44140625" style="2" customWidth="1"/>
    <col min="6658" max="6662" width="8.88671875" style="2"/>
    <col min="6663" max="6663" width="10.44140625" style="2" customWidth="1"/>
    <col min="6664" max="6664" width="9" style="2" customWidth="1"/>
    <col min="6665" max="6912" width="8.88671875" style="2"/>
    <col min="6913" max="6913" width="20.44140625" style="2" customWidth="1"/>
    <col min="6914" max="6918" width="8.88671875" style="2"/>
    <col min="6919" max="6919" width="10.44140625" style="2" customWidth="1"/>
    <col min="6920" max="6920" width="9" style="2" customWidth="1"/>
    <col min="6921" max="7168" width="8.88671875" style="2"/>
    <col min="7169" max="7169" width="20.44140625" style="2" customWidth="1"/>
    <col min="7170" max="7174" width="8.88671875" style="2"/>
    <col min="7175" max="7175" width="10.44140625" style="2" customWidth="1"/>
    <col min="7176" max="7176" width="9" style="2" customWidth="1"/>
    <col min="7177" max="7424" width="8.88671875" style="2"/>
    <col min="7425" max="7425" width="20.44140625" style="2" customWidth="1"/>
    <col min="7426" max="7430" width="8.88671875" style="2"/>
    <col min="7431" max="7431" width="10.44140625" style="2" customWidth="1"/>
    <col min="7432" max="7432" width="9" style="2" customWidth="1"/>
    <col min="7433" max="7680" width="8.88671875" style="2"/>
    <col min="7681" max="7681" width="20.44140625" style="2" customWidth="1"/>
    <col min="7682" max="7686" width="8.88671875" style="2"/>
    <col min="7687" max="7687" width="10.44140625" style="2" customWidth="1"/>
    <col min="7688" max="7688" width="9" style="2" customWidth="1"/>
    <col min="7689" max="7936" width="8.88671875" style="2"/>
    <col min="7937" max="7937" width="20.44140625" style="2" customWidth="1"/>
    <col min="7938" max="7942" width="8.88671875" style="2"/>
    <col min="7943" max="7943" width="10.44140625" style="2" customWidth="1"/>
    <col min="7944" max="7944" width="9" style="2" customWidth="1"/>
    <col min="7945" max="8192" width="8.88671875" style="2"/>
    <col min="8193" max="8193" width="20.44140625" style="2" customWidth="1"/>
    <col min="8194" max="8198" width="8.88671875" style="2"/>
    <col min="8199" max="8199" width="10.44140625" style="2" customWidth="1"/>
    <col min="8200" max="8200" width="9" style="2" customWidth="1"/>
    <col min="8201" max="8448" width="8.88671875" style="2"/>
    <col min="8449" max="8449" width="20.44140625" style="2" customWidth="1"/>
    <col min="8450" max="8454" width="8.88671875" style="2"/>
    <col min="8455" max="8455" width="10.44140625" style="2" customWidth="1"/>
    <col min="8456" max="8456" width="9" style="2" customWidth="1"/>
    <col min="8457" max="8704" width="8.88671875" style="2"/>
    <col min="8705" max="8705" width="20.44140625" style="2" customWidth="1"/>
    <col min="8706" max="8710" width="8.88671875" style="2"/>
    <col min="8711" max="8711" width="10.44140625" style="2" customWidth="1"/>
    <col min="8712" max="8712" width="9" style="2" customWidth="1"/>
    <col min="8713" max="8960" width="8.88671875" style="2"/>
    <col min="8961" max="8961" width="20.44140625" style="2" customWidth="1"/>
    <col min="8962" max="8966" width="8.88671875" style="2"/>
    <col min="8967" max="8967" width="10.44140625" style="2" customWidth="1"/>
    <col min="8968" max="8968" width="9" style="2" customWidth="1"/>
    <col min="8969" max="9216" width="8.88671875" style="2"/>
    <col min="9217" max="9217" width="20.44140625" style="2" customWidth="1"/>
    <col min="9218" max="9222" width="8.88671875" style="2"/>
    <col min="9223" max="9223" width="10.44140625" style="2" customWidth="1"/>
    <col min="9224" max="9224" width="9" style="2" customWidth="1"/>
    <col min="9225" max="9472" width="8.88671875" style="2"/>
    <col min="9473" max="9473" width="20.44140625" style="2" customWidth="1"/>
    <col min="9474" max="9478" width="8.88671875" style="2"/>
    <col min="9479" max="9479" width="10.44140625" style="2" customWidth="1"/>
    <col min="9480" max="9480" width="9" style="2" customWidth="1"/>
    <col min="9481" max="9728" width="8.88671875" style="2"/>
    <col min="9729" max="9729" width="20.44140625" style="2" customWidth="1"/>
    <col min="9730" max="9734" width="8.88671875" style="2"/>
    <col min="9735" max="9735" width="10.44140625" style="2" customWidth="1"/>
    <col min="9736" max="9736" width="9" style="2" customWidth="1"/>
    <col min="9737" max="9984" width="8.88671875" style="2"/>
    <col min="9985" max="9985" width="20.44140625" style="2" customWidth="1"/>
    <col min="9986" max="9990" width="8.88671875" style="2"/>
    <col min="9991" max="9991" width="10.44140625" style="2" customWidth="1"/>
    <col min="9992" max="9992" width="9" style="2" customWidth="1"/>
    <col min="9993" max="10240" width="8.88671875" style="2"/>
    <col min="10241" max="10241" width="20.44140625" style="2" customWidth="1"/>
    <col min="10242" max="10246" width="8.88671875" style="2"/>
    <col min="10247" max="10247" width="10.44140625" style="2" customWidth="1"/>
    <col min="10248" max="10248" width="9" style="2" customWidth="1"/>
    <col min="10249" max="10496" width="8.88671875" style="2"/>
    <col min="10497" max="10497" width="20.44140625" style="2" customWidth="1"/>
    <col min="10498" max="10502" width="8.88671875" style="2"/>
    <col min="10503" max="10503" width="10.44140625" style="2" customWidth="1"/>
    <col min="10504" max="10504" width="9" style="2" customWidth="1"/>
    <col min="10505" max="10752" width="8.88671875" style="2"/>
    <col min="10753" max="10753" width="20.44140625" style="2" customWidth="1"/>
    <col min="10754" max="10758" width="8.88671875" style="2"/>
    <col min="10759" max="10759" width="10.44140625" style="2" customWidth="1"/>
    <col min="10760" max="10760" width="9" style="2" customWidth="1"/>
    <col min="10761" max="11008" width="8.88671875" style="2"/>
    <col min="11009" max="11009" width="20.44140625" style="2" customWidth="1"/>
    <col min="11010" max="11014" width="8.88671875" style="2"/>
    <col min="11015" max="11015" width="10.44140625" style="2" customWidth="1"/>
    <col min="11016" max="11016" width="9" style="2" customWidth="1"/>
    <col min="11017" max="11264" width="8.88671875" style="2"/>
    <col min="11265" max="11265" width="20.44140625" style="2" customWidth="1"/>
    <col min="11266" max="11270" width="8.88671875" style="2"/>
    <col min="11271" max="11271" width="10.44140625" style="2" customWidth="1"/>
    <col min="11272" max="11272" width="9" style="2" customWidth="1"/>
    <col min="11273" max="11520" width="8.88671875" style="2"/>
    <col min="11521" max="11521" width="20.44140625" style="2" customWidth="1"/>
    <col min="11522" max="11526" width="8.88671875" style="2"/>
    <col min="11527" max="11527" width="10.44140625" style="2" customWidth="1"/>
    <col min="11528" max="11528" width="9" style="2" customWidth="1"/>
    <col min="11529" max="11776" width="8.88671875" style="2"/>
    <col min="11777" max="11777" width="20.44140625" style="2" customWidth="1"/>
    <col min="11778" max="11782" width="8.88671875" style="2"/>
    <col min="11783" max="11783" width="10.44140625" style="2" customWidth="1"/>
    <col min="11784" max="11784" width="9" style="2" customWidth="1"/>
    <col min="11785" max="12032" width="8.88671875" style="2"/>
    <col min="12033" max="12033" width="20.44140625" style="2" customWidth="1"/>
    <col min="12034" max="12038" width="8.88671875" style="2"/>
    <col min="12039" max="12039" width="10.44140625" style="2" customWidth="1"/>
    <col min="12040" max="12040" width="9" style="2" customWidth="1"/>
    <col min="12041" max="12288" width="8.88671875" style="2"/>
    <col min="12289" max="12289" width="20.44140625" style="2" customWidth="1"/>
    <col min="12290" max="12294" width="8.88671875" style="2"/>
    <col min="12295" max="12295" width="10.44140625" style="2" customWidth="1"/>
    <col min="12296" max="12296" width="9" style="2" customWidth="1"/>
    <col min="12297" max="12544" width="8.88671875" style="2"/>
    <col min="12545" max="12545" width="20.44140625" style="2" customWidth="1"/>
    <col min="12546" max="12550" width="8.88671875" style="2"/>
    <col min="12551" max="12551" width="10.44140625" style="2" customWidth="1"/>
    <col min="12552" max="12552" width="9" style="2" customWidth="1"/>
    <col min="12553" max="12800" width="8.88671875" style="2"/>
    <col min="12801" max="12801" width="20.44140625" style="2" customWidth="1"/>
    <col min="12802" max="12806" width="8.88671875" style="2"/>
    <col min="12807" max="12807" width="10.44140625" style="2" customWidth="1"/>
    <col min="12808" max="12808" width="9" style="2" customWidth="1"/>
    <col min="12809" max="13056" width="8.88671875" style="2"/>
    <col min="13057" max="13057" width="20.44140625" style="2" customWidth="1"/>
    <col min="13058" max="13062" width="8.88671875" style="2"/>
    <col min="13063" max="13063" width="10.44140625" style="2" customWidth="1"/>
    <col min="13064" max="13064" width="9" style="2" customWidth="1"/>
    <col min="13065" max="13312" width="8.88671875" style="2"/>
    <col min="13313" max="13313" width="20.44140625" style="2" customWidth="1"/>
    <col min="13314" max="13318" width="8.88671875" style="2"/>
    <col min="13319" max="13319" width="10.44140625" style="2" customWidth="1"/>
    <col min="13320" max="13320" width="9" style="2" customWidth="1"/>
    <col min="13321" max="13568" width="8.88671875" style="2"/>
    <col min="13569" max="13569" width="20.44140625" style="2" customWidth="1"/>
    <col min="13570" max="13574" width="8.88671875" style="2"/>
    <col min="13575" max="13575" width="10.44140625" style="2" customWidth="1"/>
    <col min="13576" max="13576" width="9" style="2" customWidth="1"/>
    <col min="13577" max="13824" width="8.88671875" style="2"/>
    <col min="13825" max="13825" width="20.44140625" style="2" customWidth="1"/>
    <col min="13826" max="13830" width="8.88671875" style="2"/>
    <col min="13831" max="13831" width="10.44140625" style="2" customWidth="1"/>
    <col min="13832" max="13832" width="9" style="2" customWidth="1"/>
    <col min="13833" max="14080" width="8.88671875" style="2"/>
    <col min="14081" max="14081" width="20.44140625" style="2" customWidth="1"/>
    <col min="14082" max="14086" width="8.88671875" style="2"/>
    <col min="14087" max="14087" width="10.44140625" style="2" customWidth="1"/>
    <col min="14088" max="14088" width="9" style="2" customWidth="1"/>
    <col min="14089" max="14336" width="8.88671875" style="2"/>
    <col min="14337" max="14337" width="20.44140625" style="2" customWidth="1"/>
    <col min="14338" max="14342" width="8.88671875" style="2"/>
    <col min="14343" max="14343" width="10.44140625" style="2" customWidth="1"/>
    <col min="14344" max="14344" width="9" style="2" customWidth="1"/>
    <col min="14345" max="14592" width="8.88671875" style="2"/>
    <col min="14593" max="14593" width="20.44140625" style="2" customWidth="1"/>
    <col min="14594" max="14598" width="8.88671875" style="2"/>
    <col min="14599" max="14599" width="10.44140625" style="2" customWidth="1"/>
    <col min="14600" max="14600" width="9" style="2" customWidth="1"/>
    <col min="14601" max="14848" width="8.88671875" style="2"/>
    <col min="14849" max="14849" width="20.44140625" style="2" customWidth="1"/>
    <col min="14850" max="14854" width="8.88671875" style="2"/>
    <col min="14855" max="14855" width="10.44140625" style="2" customWidth="1"/>
    <col min="14856" max="14856" width="9" style="2" customWidth="1"/>
    <col min="14857" max="15104" width="8.88671875" style="2"/>
    <col min="15105" max="15105" width="20.44140625" style="2" customWidth="1"/>
    <col min="15106" max="15110" width="8.88671875" style="2"/>
    <col min="15111" max="15111" width="10.44140625" style="2" customWidth="1"/>
    <col min="15112" max="15112" width="9" style="2" customWidth="1"/>
    <col min="15113" max="15360" width="8.88671875" style="2"/>
    <col min="15361" max="15361" width="20.44140625" style="2" customWidth="1"/>
    <col min="15362" max="15366" width="8.88671875" style="2"/>
    <col min="15367" max="15367" width="10.44140625" style="2" customWidth="1"/>
    <col min="15368" max="15368" width="9" style="2" customWidth="1"/>
    <col min="15369" max="15616" width="8.88671875" style="2"/>
    <col min="15617" max="15617" width="20.44140625" style="2" customWidth="1"/>
    <col min="15618" max="15622" width="8.88671875" style="2"/>
    <col min="15623" max="15623" width="10.44140625" style="2" customWidth="1"/>
    <col min="15624" max="15624" width="9" style="2" customWidth="1"/>
    <col min="15625" max="15872" width="8.88671875" style="2"/>
    <col min="15873" max="15873" width="20.44140625" style="2" customWidth="1"/>
    <col min="15874" max="15878" width="8.88671875" style="2"/>
    <col min="15879" max="15879" width="10.44140625" style="2" customWidth="1"/>
    <col min="15880" max="15880" width="9" style="2" customWidth="1"/>
    <col min="15881" max="16128" width="8.88671875" style="2"/>
    <col min="16129" max="16129" width="20.44140625" style="2" customWidth="1"/>
    <col min="16130" max="16134" width="8.88671875" style="2"/>
    <col min="16135" max="16135" width="10.44140625" style="2" customWidth="1"/>
    <col min="16136" max="16136" width="9" style="2" customWidth="1"/>
    <col min="16137" max="16384" width="8.88671875" style="2"/>
  </cols>
  <sheetData>
    <row r="1" spans="1:8" ht="18" customHeight="1" x14ac:dyDescent="0.25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2" t="s">
        <v>1</v>
      </c>
      <c r="B2" s="3">
        <v>0.22</v>
      </c>
      <c r="C2" s="2" t="s">
        <v>2</v>
      </c>
    </row>
    <row r="3" spans="1:8" x14ac:dyDescent="0.25">
      <c r="A3" s="2" t="s">
        <v>3</v>
      </c>
      <c r="B3" s="3">
        <v>0.06</v>
      </c>
    </row>
    <row r="5" spans="1:8" x14ac:dyDescent="0.25">
      <c r="A5" s="4" t="s">
        <v>4</v>
      </c>
    </row>
    <row r="6" spans="1:8" x14ac:dyDescent="0.25">
      <c r="E6" s="5">
        <v>150</v>
      </c>
    </row>
    <row r="7" spans="1:8" x14ac:dyDescent="0.25">
      <c r="C7" s="5">
        <v>100</v>
      </c>
      <c r="E7" s="5"/>
    </row>
    <row r="8" spans="1:8" x14ac:dyDescent="0.25">
      <c r="C8" s="5"/>
      <c r="E8" s="5">
        <v>80</v>
      </c>
    </row>
    <row r="9" spans="1:8" x14ac:dyDescent="0.25">
      <c r="A9" s="2">
        <v>-50</v>
      </c>
      <c r="C9" s="5"/>
      <c r="E9" s="5"/>
    </row>
    <row r="10" spans="1:8" x14ac:dyDescent="0.25">
      <c r="C10" s="5"/>
      <c r="E10" s="5">
        <f>E8</f>
        <v>80</v>
      </c>
    </row>
    <row r="11" spans="1:8" x14ac:dyDescent="0.25">
      <c r="C11" s="5">
        <v>-50</v>
      </c>
      <c r="E11" s="5"/>
    </row>
    <row r="12" spans="1:8" x14ac:dyDescent="0.25">
      <c r="E12" s="5">
        <v>-60</v>
      </c>
    </row>
    <row r="15" spans="1:8" x14ac:dyDescent="0.25">
      <c r="A15" s="4" t="s">
        <v>5</v>
      </c>
    </row>
    <row r="16" spans="1:8" x14ac:dyDescent="0.25">
      <c r="A16" s="2" t="s">
        <v>6</v>
      </c>
      <c r="B16" s="2">
        <v>0</v>
      </c>
      <c r="C16" s="2">
        <v>1</v>
      </c>
      <c r="D16" s="2">
        <v>2</v>
      </c>
    </row>
    <row r="17" spans="1:6" x14ac:dyDescent="0.25">
      <c r="A17" s="2" t="s">
        <v>7</v>
      </c>
      <c r="B17" s="2">
        <f>A9</f>
        <v>-50</v>
      </c>
      <c r="C17" s="2">
        <f>AVERAGE(C7:C11)</f>
        <v>25</v>
      </c>
      <c r="D17" s="2">
        <f>AVERAGE(E6:E12)</f>
        <v>62.5</v>
      </c>
    </row>
    <row r="18" spans="1:6" x14ac:dyDescent="0.25">
      <c r="A18" s="2" t="s">
        <v>8</v>
      </c>
      <c r="B18" s="6">
        <f>NPV(B2,C17:D17)+A9</f>
        <v>12.483203439935501</v>
      </c>
      <c r="C18" s="2" t="str">
        <f ca="1">_xlfn.FORMULATEXT(B18)</f>
        <v>=NPV(B2,C17:D17)+A9</v>
      </c>
    </row>
    <row r="21" spans="1:6" x14ac:dyDescent="0.25">
      <c r="A21" s="4" t="s">
        <v>9</v>
      </c>
    </row>
    <row r="22" spans="1:6" ht="15.6" x14ac:dyDescent="0.35">
      <c r="A22" s="7" t="s">
        <v>10</v>
      </c>
      <c r="B22" s="8">
        <f>1/(1+B3)-B23</f>
        <v>0.38915944917273193</v>
      </c>
      <c r="C22" s="2" t="str">
        <f ca="1">_xlfn.FORMULATEXT(B22)</f>
        <v>=1/(1+B3)-B23</v>
      </c>
    </row>
    <row r="23" spans="1:6" ht="15.6" x14ac:dyDescent="0.35">
      <c r="A23" s="12" t="s">
        <v>11</v>
      </c>
      <c r="B23" s="13">
        <v>0.55423677724236231</v>
      </c>
      <c r="C23" s="2" t="s">
        <v>12</v>
      </c>
    </row>
    <row r="24" spans="1:6" x14ac:dyDescent="0.25">
      <c r="B24" s="9"/>
    </row>
    <row r="26" spans="1:6" x14ac:dyDescent="0.25">
      <c r="A26" s="4" t="s">
        <v>13</v>
      </c>
    </row>
    <row r="27" spans="1:6" x14ac:dyDescent="0.25">
      <c r="E27" s="10">
        <f>E6*B22^2</f>
        <v>22.716761532063622</v>
      </c>
      <c r="F27" s="2" t="str">
        <f ca="1">_xlfn.FORMULATEXT(E27)</f>
        <v>=E6*B22^2</v>
      </c>
    </row>
    <row r="28" spans="1:6" x14ac:dyDescent="0.25">
      <c r="C28" s="10">
        <f>C7*B22</f>
        <v>38.915944917273194</v>
      </c>
      <c r="E28" s="10"/>
    </row>
    <row r="29" spans="1:6" x14ac:dyDescent="0.25">
      <c r="C29" s="10"/>
      <c r="E29" s="10">
        <f>E8*B22*B23</f>
        <v>17.254918315432629</v>
      </c>
      <c r="F29" s="2" t="str">
        <f ca="1">_xlfn.FORMULATEXT(E29)</f>
        <v>=E8*B22*B23</v>
      </c>
    </row>
    <row r="30" spans="1:6" x14ac:dyDescent="0.25">
      <c r="A30" s="2">
        <v>-50</v>
      </c>
      <c r="C30" s="10"/>
      <c r="E30" s="10"/>
    </row>
    <row r="31" spans="1:6" x14ac:dyDescent="0.25">
      <c r="C31" s="10"/>
      <c r="E31" s="10">
        <f>E10*B22*B23</f>
        <v>17.254918315432629</v>
      </c>
      <c r="F31" s="2" t="str">
        <f ca="1">_xlfn.FORMULATEXT(E31)</f>
        <v>=E10*B22*B23</v>
      </c>
    </row>
    <row r="32" spans="1:6" x14ac:dyDescent="0.25">
      <c r="C32" s="10">
        <f>C11*B23</f>
        <v>-27.711838862118114</v>
      </c>
      <c r="E32" s="10"/>
    </row>
    <row r="33" spans="1:6" x14ac:dyDescent="0.25">
      <c r="E33" s="10">
        <f>E12*B23^2</f>
        <v>-18.430704314879996</v>
      </c>
      <c r="F33" s="2" t="str">
        <f ca="1">_xlfn.FORMULATEXT(E33)</f>
        <v>=E12*B23^2</v>
      </c>
    </row>
    <row r="38" spans="1:6" x14ac:dyDescent="0.25">
      <c r="A38" s="2" t="s">
        <v>14</v>
      </c>
      <c r="B38" s="11">
        <f>SUM(A27:E33)</f>
        <v>-9.6796036075375014E-8</v>
      </c>
      <c r="C38" s="2" t="str">
        <f ca="1">_xlfn.FORMULATEXT(B38)</f>
        <v>=SUM(A27:E33)</v>
      </c>
    </row>
    <row r="40" spans="1:6" x14ac:dyDescent="0.25">
      <c r="A40" s="2" t="s">
        <v>15</v>
      </c>
      <c r="B40" s="6">
        <f>B38-B18</f>
        <v>-12.483203536731537</v>
      </c>
      <c r="C40" s="2" t="str">
        <f ca="1">_xlfn.FORMULATEXT(B40)</f>
        <v>=B38-B18</v>
      </c>
    </row>
  </sheetData>
  <mergeCells count="1">
    <mergeCell ref="A1:H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657 bottom, 658 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2024-12-12T07:58:20Z</dcterms:modified>
</cp:coreProperties>
</file>