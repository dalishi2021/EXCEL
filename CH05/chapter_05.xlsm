
<file path=[Content_Types].xml><?xml version="1.0" encoding="utf-8"?>
<Types xmlns="http://schemas.openxmlformats.org/package/2006/content-types">
  <Default Extension="bin" ContentType="application/vnd.openxmlformats-officedocument.oleOb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5\"/>
    </mc:Choice>
  </mc:AlternateContent>
  <xr:revisionPtr revIDLastSave="0" documentId="13_ncr:1_{1F02B4AE-F10D-41B8-A920-859A7631FC59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5" i="1" l="1"/>
  <c r="D57" i="1" s="1"/>
  <c r="B45" i="1"/>
  <c r="B57" i="1" s="1"/>
  <c r="D37" i="1"/>
  <c r="B37" i="1"/>
  <c r="D33" i="1"/>
  <c r="B33" i="1"/>
  <c r="D27" i="1"/>
  <c r="D31" i="1" s="1"/>
  <c r="B27" i="1"/>
  <c r="B31" i="1" s="1"/>
  <c r="E64" i="1"/>
  <c r="E62" i="1"/>
  <c r="E61" i="1"/>
  <c r="E60" i="1"/>
  <c r="E58" i="1"/>
  <c r="E57" i="1"/>
  <c r="E56" i="1"/>
  <c r="E52" i="1"/>
  <c r="E50" i="1"/>
  <c r="E49" i="1"/>
  <c r="E48" i="1"/>
  <c r="E46" i="1"/>
  <c r="E45" i="1"/>
  <c r="E44" i="1"/>
  <c r="E38" i="1"/>
  <c r="E37" i="1"/>
  <c r="E34" i="1"/>
  <c r="E33" i="1"/>
  <c r="E32" i="1"/>
  <c r="E27" i="1"/>
  <c r="B38" i="1" l="1"/>
  <c r="B56" i="1" s="1"/>
  <c r="B32" i="1"/>
  <c r="D32" i="1"/>
  <c r="D38" i="1"/>
  <c r="D56" i="1" s="1"/>
  <c r="D34" i="1"/>
  <c r="D44" i="1" s="1"/>
  <c r="B34" i="1"/>
  <c r="B44" i="1" s="1"/>
  <c r="D46" i="1" l="1"/>
  <c r="D48" i="1"/>
  <c r="D58" i="1"/>
  <c r="D60" i="1"/>
  <c r="B48" i="1"/>
  <c r="B46" i="1"/>
  <c r="B60" i="1"/>
  <c r="B58" i="1"/>
  <c r="B64" i="1" l="1"/>
  <c r="B61" i="1"/>
  <c r="B62" i="1" s="1"/>
  <c r="B49" i="1"/>
  <c r="B50" i="1" s="1"/>
  <c r="B52" i="1"/>
  <c r="D64" i="1"/>
  <c r="D61" i="1"/>
  <c r="D62" i="1" s="1"/>
  <c r="D52" i="1"/>
  <c r="D49" i="1"/>
  <c r="D50" i="1" s="1"/>
</calcChain>
</file>

<file path=xl/sharedStrings.xml><?xml version="1.0" encoding="utf-8"?>
<sst xmlns="http://schemas.openxmlformats.org/spreadsheetml/2006/main" count="58" uniqueCount="42">
  <si>
    <r>
      <t xml:space="preserve">FIRST FEDERAL SAVINGS BANK
</t>
    </r>
    <r>
      <rPr>
        <b/>
        <sz val="12"/>
        <rFont val="Arial"/>
        <family val="2"/>
      </rPr>
      <t>Basic data about Fairmont National Bank (our client), First Federal Savings Bank (the target), and Clarksburg National Bank (the competitor)</t>
    </r>
  </si>
  <si>
    <t>Fairmont</t>
  </si>
  <si>
    <t>First Federal</t>
  </si>
  <si>
    <t>Clarksburg</t>
  </si>
  <si>
    <t>Assets</t>
  </si>
  <si>
    <t>Securities</t>
  </si>
  <si>
    <t>Other loans</t>
  </si>
  <si>
    <t>Demand deposits</t>
  </si>
  <si>
    <t>Total deposits</t>
  </si>
  <si>
    <t xml:space="preserve">Net income </t>
  </si>
  <si>
    <t>Shareholders' equity</t>
  </si>
  <si>
    <t>Shares outstanding</t>
  </si>
  <si>
    <t>Net interest income/Average assets</t>
  </si>
  <si>
    <t>Non-interest income/Average assets</t>
  </si>
  <si>
    <t>Non-interest expense/Average assets</t>
  </si>
  <si>
    <t>Net income/Average assets</t>
  </si>
  <si>
    <t>Branch offices</t>
  </si>
  <si>
    <t>Share price on February 2, 2007</t>
  </si>
  <si>
    <t>-</t>
  </si>
  <si>
    <t>Estimated cost savings from branch consolidations</t>
  </si>
  <si>
    <t>nmf</t>
  </si>
  <si>
    <t>Price/earnings (P/E) ratio</t>
  </si>
  <si>
    <t>Valuation of First Federal using  P/E ratios</t>
  </si>
  <si>
    <t>P/E ratio</t>
  </si>
  <si>
    <t>Value of First Federal at each bank's P/E ratio</t>
  </si>
  <si>
    <t>Capitalized savings @ 10%</t>
  </si>
  <si>
    <t>Valuation of First Federal</t>
  </si>
  <si>
    <t>Valuation using earnings/assets ratios</t>
  </si>
  <si>
    <t>Potential earnings on FF's assets at acquiror's ratio</t>
  </si>
  <si>
    <t>Computing the exchange ratio</t>
  </si>
  <si>
    <t xml:space="preserve">     Based on valuation using P/E</t>
  </si>
  <si>
    <t>Acquiror's valuation of First Federal</t>
  </si>
  <si>
    <t>Acquiror's market value</t>
  </si>
  <si>
    <t>Value of combined entity</t>
  </si>
  <si>
    <t>Exchange ratio:  Maximum shares of acquiror offered per share of First Federal</t>
  </si>
  <si>
    <t>First Federal shareholders' portion of combined firm</t>
  </si>
  <si>
    <t>Check:  Valuation of First Federal in combined firm</t>
  </si>
  <si>
    <t>"Valuation" of First Federal shares at acquiror's
pre-acquisition share price</t>
  </si>
  <si>
    <t xml:space="preserve">     Based on valuation using 
     earnings/assets ratios</t>
  </si>
  <si>
    <t>Residential loans</t>
    <phoneticPr fontId="1" type="noConversion"/>
  </si>
  <si>
    <t>Passbook savings accounts</t>
    <phoneticPr fontId="1" type="noConversion"/>
  </si>
  <si>
    <t>Certificates of deposit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</si>
</sst>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76" formatCode="&quot;$&quot;#,##0_);[Red]\(&quot;$&quot;#,##0\)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37" fontId="7" fillId="0" borderId="0" applyFont="0" applyFill="0" applyBorder="0" applyProtection="0"/>
  </cellStyleXfs>
  <cellXfs count="34">
    <xf numFmtId="0" fontId="0" fillId="0" borderId="0" xfId="0">
      <alignment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/>
    <xf numFmtId="0" fontId="6" fillId="0" borderId="0" xfId="0" applyFont="1" applyAlignment="1"/>
    <xf numFmtId="0" fontId="6" fillId="0" borderId="0" xfId="0" applyFont="1" applyAlignment="1">
      <alignment horizontal="center"/>
    </xf>
    <xf numFmtId="3" fontId="0" fillId="0" borderId="0" xfId="0" applyNumberFormat="1" applyAlignment="1">
      <alignment horizontal="right"/>
    </xf>
    <xf numFmtId="176" fontId="0" fillId="0" borderId="0" xfId="0" applyNumberFormat="1" applyAlignment="1"/>
    <xf numFmtId="0" fontId="0" fillId="0" borderId="0" xfId="0" applyAlignment="1">
      <alignment horizontal="right"/>
    </xf>
    <xf numFmtId="1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0" fontId="0" fillId="0" borderId="0" xfId="0" quotePrefix="1" applyAlignment="1">
      <alignment horizontal="right"/>
    </xf>
    <xf numFmtId="0" fontId="0" fillId="0" borderId="0" xfId="0" applyAlignment="1">
      <alignment horizontal="center"/>
    </xf>
    <xf numFmtId="0" fontId="0" fillId="2" borderId="0" xfId="0" applyFill="1" applyAlignment="1"/>
    <xf numFmtId="2" fontId="0" fillId="2" borderId="0" xfId="0" applyNumberFormat="1" applyFill="1" applyAlignment="1">
      <alignment horizontal="right"/>
    </xf>
    <xf numFmtId="0" fontId="5" fillId="0" borderId="0" xfId="0" applyFont="1" applyAlignment="1"/>
    <xf numFmtId="3" fontId="2" fillId="0" borderId="0" xfId="1" applyNumberFormat="1" applyAlignment="1"/>
    <xf numFmtId="0" fontId="6" fillId="2" borderId="0" xfId="0" applyFont="1" applyFill="1" applyAlignment="1"/>
    <xf numFmtId="3" fontId="0" fillId="2" borderId="0" xfId="0" applyNumberFormat="1" applyFill="1" applyAlignment="1">
      <alignment horizontal="right"/>
    </xf>
    <xf numFmtId="3" fontId="6" fillId="0" borderId="0" xfId="0" applyNumberFormat="1" applyFont="1" applyAlignment="1">
      <alignment horizontal="center"/>
    </xf>
    <xf numFmtId="3" fontId="7" fillId="0" borderId="0" xfId="3" applyNumberFormat="1"/>
    <xf numFmtId="3" fontId="0" fillId="0" borderId="0" xfId="0" applyNumberFormat="1" applyAlignment="1">
      <alignment horizontal="center"/>
    </xf>
    <xf numFmtId="0" fontId="4" fillId="3" borderId="0" xfId="0" applyFont="1" applyFill="1" applyAlignment="1">
      <alignment horizontal="center"/>
    </xf>
    <xf numFmtId="0" fontId="6" fillId="3" borderId="0" xfId="0" applyFont="1" applyFill="1" applyAlignment="1">
      <alignment wrapText="1"/>
    </xf>
    <xf numFmtId="4" fontId="0" fillId="3" borderId="0" xfId="0" applyNumberFormat="1" applyFill="1" applyAlignment="1">
      <alignment horizontal="right"/>
    </xf>
    <xf numFmtId="10" fontId="0" fillId="0" borderId="0" xfId="2" applyNumberFormat="1" applyFont="1" applyAlignment="1">
      <alignment horizontal="right"/>
    </xf>
    <xf numFmtId="0" fontId="0" fillId="3" borderId="0" xfId="0" applyFill="1" applyAlignment="1">
      <alignment wrapText="1"/>
    </xf>
    <xf numFmtId="3" fontId="6" fillId="0" borderId="0" xfId="0" applyNumberFormat="1" applyFont="1" applyAlignment="1">
      <alignment horizontal="center" vertical="center"/>
    </xf>
    <xf numFmtId="3" fontId="3" fillId="0" borderId="0" xfId="1" applyNumberFormat="1" applyFont="1" applyAlignment="1"/>
    <xf numFmtId="0" fontId="0" fillId="4" borderId="0" xfId="0" applyFill="1" applyAlignment="1"/>
    <xf numFmtId="0" fontId="0" fillId="4" borderId="0" xfId="0" applyFont="1" applyFill="1" applyAlignment="1"/>
    <xf numFmtId="0" fontId="5" fillId="5" borderId="0" xfId="0" applyFont="1" applyFill="1" applyAlignment="1">
      <alignment vertical="center" wrapText="1"/>
    </xf>
    <xf numFmtId="0" fontId="5" fillId="5" borderId="0" xfId="0" applyFont="1" applyFill="1" applyAlignment="1"/>
    <xf numFmtId="0" fontId="0" fillId="5" borderId="0" xfId="0" applyFill="1" applyAlignment="1"/>
    <xf numFmtId="3" fontId="0" fillId="5" borderId="0" xfId="0" applyNumberFormat="1" applyFill="1" applyAlignment="1">
      <alignment horizontal="right"/>
    </xf>
  </cellXfs>
  <cellStyles count="4">
    <cellStyle name="Comma [0]_First Federal" xfId="3" xr:uid="{DD10537E-C6DB-4C51-98A8-E9F178059848}"/>
    <cellStyle name="百分比" xfId="2" builtinId="5"/>
    <cellStyle name="常规" xfId="0" builtinId="0"/>
    <cellStyle name="千位分隔" xfId="1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45</xdr:row>
          <xdr:rowOff>0</xdr:rowOff>
        </xdr:from>
        <xdr:to>
          <xdr:col>9</xdr:col>
          <xdr:colOff>449580</xdr:colOff>
          <xdr:row>47</xdr:row>
          <xdr:rowOff>121920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8D504D68-CAED-444D-8732-66ABA824DB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CC" mc:Ignorable="a14" a14:legacySpreadsheetColorIndex="26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66675</xdr:colOff>
      <xdr:row>0</xdr:row>
      <xdr:rowOff>161925</xdr:rowOff>
    </xdr:from>
    <xdr:to>
      <xdr:col>31</xdr:col>
      <xdr:colOff>342900</xdr:colOff>
      <xdr:row>65</xdr:row>
      <xdr:rowOff>70682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A1DE7C41-B8F6-EAE5-AAC5-5A2F68E763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525375" y="161925"/>
          <a:ext cx="11858625" cy="12677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5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5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s 178, 179"/>
      <sheetName val="Pages 178, 179 (中文)"/>
      <sheetName val="Pages 181, 182"/>
      <sheetName val="Pages 181, 182 (中文)"/>
      <sheetName val="Page 184"/>
      <sheetName val="Page 184 (中文)"/>
      <sheetName val="Page 185"/>
      <sheetName val="Page 185 (中文)"/>
      <sheetName val="Page 187"/>
      <sheetName val="Page 187 (中文)"/>
      <sheetName val="Pages 190-193"/>
      <sheetName val="Pages 190-193 (中文)"/>
      <sheetName val="Pages 195-196"/>
      <sheetName val="Pages 195-196 (中文)"/>
      <sheetName val="Pages 199-201"/>
      <sheetName val="Pages 199-201 (2)"/>
      <sheetName val="Pages 199-201 (中文)"/>
      <sheetName val="Capital adequacy"/>
      <sheetName val="资本充足(中文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w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K174"/>
  <sheetViews>
    <sheetView tabSelected="1" zoomScale="145" zoomScaleNormal="145" workbookViewId="0">
      <selection activeCell="B33" sqref="B33"/>
    </sheetView>
  </sheetViews>
  <sheetFormatPr defaultRowHeight="13.8" x14ac:dyDescent="0.25"/>
  <cols>
    <col min="1" max="1" width="48.109375" style="2" customWidth="1"/>
    <col min="2" max="4" width="13.44140625" style="11" customWidth="1"/>
    <col min="5" max="5" width="31" style="2" bestFit="1" customWidth="1"/>
    <col min="6" max="11" width="8.88671875" style="2"/>
  </cols>
  <sheetData>
    <row r="1" spans="1:11" ht="58.2" customHeight="1" x14ac:dyDescent="0.25">
      <c r="A1" s="1" t="s">
        <v>0</v>
      </c>
      <c r="B1" s="1"/>
      <c r="C1" s="1"/>
      <c r="D1" s="1"/>
      <c r="E1" s="1"/>
    </row>
    <row r="2" spans="1:11" x14ac:dyDescent="0.25">
      <c r="A2" s="3"/>
      <c r="B2" s="4" t="s">
        <v>1</v>
      </c>
      <c r="C2" s="4" t="s">
        <v>2</v>
      </c>
      <c r="D2" s="4" t="s">
        <v>3</v>
      </c>
      <c r="E2" s="3"/>
      <c r="F2" s="3"/>
      <c r="G2" s="3"/>
      <c r="H2" s="3"/>
      <c r="I2" s="3"/>
      <c r="J2" s="3"/>
      <c r="K2" s="3"/>
    </row>
    <row r="3" spans="1:11" x14ac:dyDescent="0.25">
      <c r="A3" s="2" t="s">
        <v>4</v>
      </c>
      <c r="B3" s="5">
        <v>796866000</v>
      </c>
      <c r="C3" s="5">
        <v>493466000</v>
      </c>
      <c r="D3" s="5">
        <v>913480000</v>
      </c>
    </row>
    <row r="4" spans="1:11" x14ac:dyDescent="0.25">
      <c r="A4" s="2" t="s">
        <v>5</v>
      </c>
      <c r="B4" s="5">
        <v>245767000</v>
      </c>
      <c r="C4" s="5">
        <v>194792000</v>
      </c>
      <c r="D4" s="5">
        <v>280010000</v>
      </c>
    </row>
    <row r="5" spans="1:11" x14ac:dyDescent="0.25">
      <c r="A5" s="6" t="s">
        <v>39</v>
      </c>
      <c r="B5" s="5">
        <v>150332000</v>
      </c>
      <c r="C5" s="5">
        <v>208429000</v>
      </c>
      <c r="D5" s="5">
        <v>123235000</v>
      </c>
    </row>
    <row r="6" spans="1:11" x14ac:dyDescent="0.25">
      <c r="A6" s="2" t="s">
        <v>6</v>
      </c>
      <c r="B6" s="5">
        <v>341156000</v>
      </c>
      <c r="C6" s="5">
        <v>73667000</v>
      </c>
      <c r="D6" s="5">
        <v>443257000</v>
      </c>
    </row>
    <row r="7" spans="1:11" x14ac:dyDescent="0.25">
      <c r="A7" s="2" t="s">
        <v>7</v>
      </c>
      <c r="B7" s="5">
        <v>74500000</v>
      </c>
      <c r="C7" s="5">
        <v>10065000</v>
      </c>
      <c r="D7" s="5">
        <v>93080000</v>
      </c>
    </row>
    <row r="8" spans="1:11" x14ac:dyDescent="0.25">
      <c r="A8" s="2" t="s">
        <v>40</v>
      </c>
      <c r="B8" s="5">
        <v>195446000</v>
      </c>
      <c r="C8" s="5">
        <v>69644000</v>
      </c>
      <c r="D8" s="5">
        <v>155127000</v>
      </c>
    </row>
    <row r="9" spans="1:11" x14ac:dyDescent="0.25">
      <c r="A9" s="2" t="s">
        <v>41</v>
      </c>
      <c r="B9" s="5">
        <v>195473000</v>
      </c>
      <c r="C9" s="5">
        <v>239247000</v>
      </c>
      <c r="D9" s="5">
        <v>390263000</v>
      </c>
    </row>
    <row r="10" spans="1:11" x14ac:dyDescent="0.25">
      <c r="A10" s="2" t="s">
        <v>8</v>
      </c>
      <c r="B10" s="5">
        <v>545111000</v>
      </c>
      <c r="C10" s="5">
        <v>276732000</v>
      </c>
      <c r="D10" s="5">
        <v>703266000</v>
      </c>
    </row>
    <row r="11" spans="1:11" x14ac:dyDescent="0.25">
      <c r="A11" s="32" t="s">
        <v>9</v>
      </c>
      <c r="B11" s="33">
        <v>12941000</v>
      </c>
      <c r="C11" s="33">
        <v>3538000</v>
      </c>
      <c r="D11" s="33">
        <v>9510000</v>
      </c>
    </row>
    <row r="12" spans="1:11" x14ac:dyDescent="0.25">
      <c r="A12" s="2" t="s">
        <v>10</v>
      </c>
      <c r="B12" s="5">
        <v>86579000</v>
      </c>
      <c r="C12" s="5">
        <v>37329000</v>
      </c>
      <c r="D12" s="5">
        <v>79428000</v>
      </c>
    </row>
    <row r="13" spans="1:11" x14ac:dyDescent="0.25">
      <c r="B13" s="7"/>
      <c r="C13" s="7"/>
      <c r="D13" s="7"/>
    </row>
    <row r="14" spans="1:11" x14ac:dyDescent="0.25">
      <c r="A14" s="2" t="s">
        <v>11</v>
      </c>
      <c r="B14" s="5">
        <v>6300000</v>
      </c>
      <c r="C14" s="5">
        <v>869364</v>
      </c>
      <c r="D14" s="5">
        <v>6900000</v>
      </c>
    </row>
    <row r="15" spans="1:11" x14ac:dyDescent="0.25">
      <c r="B15" s="7"/>
      <c r="C15" s="7"/>
      <c r="D15" s="7"/>
    </row>
    <row r="16" spans="1:11" x14ac:dyDescent="0.25">
      <c r="A16" s="2" t="s">
        <v>12</v>
      </c>
      <c r="B16" s="8">
        <v>4.4400000000000002E-2</v>
      </c>
      <c r="C16" s="8">
        <v>2.7099999999999999E-2</v>
      </c>
      <c r="D16" s="8">
        <v>3.8699999999999998E-2</v>
      </c>
    </row>
    <row r="17" spans="1:5" x14ac:dyDescent="0.25">
      <c r="A17" s="2" t="s">
        <v>13</v>
      </c>
      <c r="B17" s="8">
        <v>1.0500000000000001E-2</v>
      </c>
      <c r="C17" s="8">
        <v>3.7000000000000002E-3</v>
      </c>
      <c r="D17" s="8">
        <v>9.5999999999999992E-3</v>
      </c>
    </row>
    <row r="18" spans="1:5" x14ac:dyDescent="0.25">
      <c r="A18" s="2" t="s">
        <v>14</v>
      </c>
      <c r="B18" s="8">
        <v>2.6599999999999999E-2</v>
      </c>
      <c r="C18" s="8">
        <v>1.9099999999999999E-2</v>
      </c>
      <c r="D18" s="8">
        <v>3.09E-2</v>
      </c>
    </row>
    <row r="19" spans="1:5" x14ac:dyDescent="0.25">
      <c r="A19" s="2" t="s">
        <v>15</v>
      </c>
      <c r="B19" s="8">
        <v>1.67E-2</v>
      </c>
      <c r="C19" s="8">
        <v>7.4000000000000003E-3</v>
      </c>
      <c r="D19" s="8">
        <v>1.06E-2</v>
      </c>
    </row>
    <row r="20" spans="1:5" x14ac:dyDescent="0.25">
      <c r="B20" s="7"/>
      <c r="C20" s="7"/>
      <c r="D20" s="7"/>
    </row>
    <row r="21" spans="1:5" x14ac:dyDescent="0.25">
      <c r="A21" s="2" t="s">
        <v>16</v>
      </c>
      <c r="B21" s="7">
        <v>24</v>
      </c>
      <c r="C21" s="7">
        <v>7</v>
      </c>
      <c r="D21" s="7">
        <v>25</v>
      </c>
    </row>
    <row r="22" spans="1:5" x14ac:dyDescent="0.25">
      <c r="B22" s="7"/>
      <c r="C22" s="7"/>
      <c r="D22" s="7"/>
    </row>
    <row r="23" spans="1:5" x14ac:dyDescent="0.25">
      <c r="A23" s="2" t="s">
        <v>17</v>
      </c>
      <c r="B23" s="9">
        <v>35</v>
      </c>
      <c r="C23" s="10" t="s">
        <v>18</v>
      </c>
      <c r="D23" s="7">
        <v>37.25</v>
      </c>
    </row>
    <row r="24" spans="1:5" x14ac:dyDescent="0.25">
      <c r="B24" s="7"/>
      <c r="C24" s="7"/>
      <c r="D24" s="7"/>
    </row>
    <row r="25" spans="1:5" x14ac:dyDescent="0.25">
      <c r="A25" s="29" t="s">
        <v>19</v>
      </c>
      <c r="B25" s="5">
        <v>450000</v>
      </c>
      <c r="C25" s="7" t="s">
        <v>20</v>
      </c>
      <c r="D25" s="5">
        <v>1000000</v>
      </c>
    </row>
    <row r="27" spans="1:5" x14ac:dyDescent="0.25">
      <c r="A27" s="12" t="s">
        <v>21</v>
      </c>
      <c r="B27" s="13">
        <f>B23*B14/B11</f>
        <v>17.038868711846071</v>
      </c>
      <c r="D27" s="13">
        <f>D23*D14/D11</f>
        <v>27.026813880126184</v>
      </c>
      <c r="E27" s="2" t="str">
        <f ca="1">[2]!getformula(D27)</f>
        <v>&lt;--  =D23*D14/D11</v>
      </c>
    </row>
    <row r="29" spans="1:5" x14ac:dyDescent="0.25">
      <c r="A29" s="3"/>
    </row>
    <row r="30" spans="1:5" ht="15.6" x14ac:dyDescent="0.3">
      <c r="A30" s="14" t="s">
        <v>22</v>
      </c>
      <c r="B30" s="4" t="s">
        <v>1</v>
      </c>
      <c r="C30" s="4"/>
      <c r="D30" s="4" t="s">
        <v>3</v>
      </c>
    </row>
    <row r="31" spans="1:5" x14ac:dyDescent="0.25">
      <c r="A31" s="2" t="s">
        <v>23</v>
      </c>
      <c r="B31" s="9">
        <f>B27</f>
        <v>17.038868711846071</v>
      </c>
      <c r="C31" s="9"/>
      <c r="D31" s="9">
        <f>D27</f>
        <v>27.026813880126184</v>
      </c>
    </row>
    <row r="32" spans="1:5" x14ac:dyDescent="0.25">
      <c r="A32" s="2" t="s">
        <v>24</v>
      </c>
      <c r="B32" s="5">
        <f>B31*$C$11</f>
        <v>60283517.502511397</v>
      </c>
      <c r="C32" s="5"/>
      <c r="D32" s="5">
        <f>D31*$C$11</f>
        <v>95620867.50788644</v>
      </c>
      <c r="E32" s="2" t="str">
        <f ca="1">[2]!getformula(D32)</f>
        <v>&lt;--  =D31*$C$11</v>
      </c>
    </row>
    <row r="33" spans="1:5" x14ac:dyDescent="0.25">
      <c r="A33" s="28" t="s">
        <v>25</v>
      </c>
      <c r="B33" s="27">
        <f>B25/0.1</f>
        <v>4500000</v>
      </c>
      <c r="C33" s="5"/>
      <c r="D33" s="15">
        <f>D25/0.1</f>
        <v>10000000</v>
      </c>
      <c r="E33" s="2" t="str">
        <f ca="1">[2]!getformula(D33)</f>
        <v>&lt;--  =D25/0.1</v>
      </c>
    </row>
    <row r="34" spans="1:5" x14ac:dyDescent="0.25">
      <c r="A34" s="16" t="s">
        <v>26</v>
      </c>
      <c r="B34" s="17">
        <f>B33+B32</f>
        <v>64783517.502511397</v>
      </c>
      <c r="C34" s="5"/>
      <c r="D34" s="17">
        <f>D33+D32</f>
        <v>105620867.50788644</v>
      </c>
      <c r="E34" s="2" t="str">
        <f ca="1">[2]!getformula(D34)</f>
        <v>&lt;--  =D33+D32</v>
      </c>
    </row>
    <row r="35" spans="1:5" x14ac:dyDescent="0.25">
      <c r="B35" s="5"/>
      <c r="C35" s="5"/>
      <c r="D35" s="5"/>
    </row>
    <row r="36" spans="1:5" ht="15.6" x14ac:dyDescent="0.3">
      <c r="A36" s="14" t="s">
        <v>27</v>
      </c>
      <c r="B36" s="18" t="s">
        <v>1</v>
      </c>
      <c r="C36" s="18"/>
      <c r="D36" s="18" t="s">
        <v>3</v>
      </c>
    </row>
    <row r="37" spans="1:5" x14ac:dyDescent="0.25">
      <c r="A37" s="2" t="s">
        <v>28</v>
      </c>
      <c r="B37" s="19">
        <f>$C$3*B19</f>
        <v>8240882.2000000002</v>
      </c>
      <c r="C37" s="5"/>
      <c r="D37" s="19">
        <f>$C$3*D19</f>
        <v>5230739.5999999996</v>
      </c>
      <c r="E37" s="2" t="str">
        <f ca="1">[2]!getformula(D37)</f>
        <v>&lt;--  =$C$3*D19</v>
      </c>
    </row>
    <row r="38" spans="1:5" x14ac:dyDescent="0.25">
      <c r="A38" s="16" t="s">
        <v>26</v>
      </c>
      <c r="B38" s="17">
        <f>B31*B37</f>
        <v>140415309.87558922</v>
      </c>
      <c r="C38" s="5"/>
      <c r="D38" s="17">
        <f>D31*D37</f>
        <v>141370225.62460569</v>
      </c>
      <c r="E38" s="2" t="str">
        <f ca="1">[2]!getformula(D38)</f>
        <v>&lt;--  =D31*D37</v>
      </c>
    </row>
    <row r="39" spans="1:5" x14ac:dyDescent="0.25">
      <c r="B39" s="20"/>
      <c r="C39" s="20"/>
      <c r="D39" s="20"/>
    </row>
    <row r="40" spans="1:5" x14ac:dyDescent="0.25">
      <c r="B40" s="20"/>
      <c r="C40" s="20"/>
      <c r="D40" s="20"/>
    </row>
    <row r="41" spans="1:5" x14ac:dyDescent="0.25">
      <c r="B41" s="20"/>
      <c r="C41" s="20"/>
      <c r="D41" s="20"/>
    </row>
    <row r="42" spans="1:5" ht="17.399999999999999" x14ac:dyDescent="0.3">
      <c r="A42" s="21" t="s">
        <v>29</v>
      </c>
      <c r="B42" s="21"/>
      <c r="C42" s="21"/>
      <c r="D42" s="21"/>
      <c r="E42" s="21"/>
    </row>
    <row r="43" spans="1:5" ht="15.6" x14ac:dyDescent="0.3">
      <c r="A43" s="31" t="s">
        <v>30</v>
      </c>
      <c r="B43" s="18" t="s">
        <v>1</v>
      </c>
      <c r="C43" s="18"/>
      <c r="D43" s="18" t="s">
        <v>3</v>
      </c>
      <c r="E43" s="5"/>
    </row>
    <row r="44" spans="1:5" x14ac:dyDescent="0.25">
      <c r="A44" s="2" t="s">
        <v>31</v>
      </c>
      <c r="B44" s="5">
        <f>B34</f>
        <v>64783517.502511397</v>
      </c>
      <c r="C44" s="5"/>
      <c r="D44" s="5">
        <f>D34</f>
        <v>105620867.50788644</v>
      </c>
      <c r="E44" s="2" t="str">
        <f ca="1">[2]!getformula(D44)</f>
        <v>&lt;--  =D34</v>
      </c>
    </row>
    <row r="45" spans="1:5" x14ac:dyDescent="0.25">
      <c r="A45" s="2" t="s">
        <v>32</v>
      </c>
      <c r="B45" s="5">
        <f>B23*B14</f>
        <v>220500000</v>
      </c>
      <c r="C45" s="5"/>
      <c r="D45" s="5">
        <f>D23*D14</f>
        <v>257025000</v>
      </c>
      <c r="E45" s="2" t="str">
        <f ca="1">[2]!getformula(D45)</f>
        <v>&lt;--  =D23*D14</v>
      </c>
    </row>
    <row r="46" spans="1:5" x14ac:dyDescent="0.25">
      <c r="A46" s="2" t="s">
        <v>33</v>
      </c>
      <c r="B46" s="5">
        <f>B44+B45</f>
        <v>285283517.50251138</v>
      </c>
      <c r="C46" s="5"/>
      <c r="D46" s="5">
        <f>D44+D45</f>
        <v>362645867.50788641</v>
      </c>
      <c r="E46" s="2" t="str">
        <f ca="1">[2]!getformula(D46)</f>
        <v>&lt;--  =D44+D45</v>
      </c>
    </row>
    <row r="47" spans="1:5" x14ac:dyDescent="0.25">
      <c r="B47" s="5"/>
      <c r="C47" s="5"/>
      <c r="D47" s="5"/>
    </row>
    <row r="48" spans="1:5" ht="26.4" x14ac:dyDescent="0.25">
      <c r="A48" s="22" t="s">
        <v>34</v>
      </c>
      <c r="B48" s="23">
        <f>B14*B44/($C$14*B45)</f>
        <v>2.1290939617109714</v>
      </c>
      <c r="C48" s="5"/>
      <c r="D48" s="23">
        <f>D14*D44/($C$14*D45)</f>
        <v>3.2615331787525808</v>
      </c>
      <c r="E48" s="2" t="str">
        <f ca="1">[2]!getformula(D48)</f>
        <v>&lt;--  =D14*D44/($C$14*D45)</v>
      </c>
    </row>
    <row r="49" spans="1:5" x14ac:dyDescent="0.25">
      <c r="A49" s="2" t="s">
        <v>35</v>
      </c>
      <c r="B49" s="24">
        <f>$C$14*B48/($C$14*B48+B14)</f>
        <v>0.22708468428058098</v>
      </c>
      <c r="C49" s="5"/>
      <c r="D49" s="24">
        <f>$C$14*D48/($C$14*D48+D14)</f>
        <v>0.29125071308192835</v>
      </c>
      <c r="E49" s="2" t="str">
        <f ca="1">[2]!getformula(D49)</f>
        <v>&lt;--  =$C$14*D48/($C$14*D48+D14)</v>
      </c>
    </row>
    <row r="50" spans="1:5" x14ac:dyDescent="0.25">
      <c r="A50" s="2" t="s">
        <v>36</v>
      </c>
      <c r="B50" s="5">
        <f>B49*B46</f>
        <v>64783517.502511397</v>
      </c>
      <c r="C50" s="5"/>
      <c r="D50" s="5">
        <f>D49*D46</f>
        <v>105620867.50788642</v>
      </c>
      <c r="E50" s="2" t="str">
        <f ca="1">[2]!getformula(D50)</f>
        <v>&lt;--  =D49*D46</v>
      </c>
    </row>
    <row r="51" spans="1:5" x14ac:dyDescent="0.25">
      <c r="B51" s="5"/>
      <c r="C51" s="5"/>
      <c r="D51" s="5"/>
      <c r="E51" s="5"/>
    </row>
    <row r="52" spans="1:5" ht="27.6" x14ac:dyDescent="0.25">
      <c r="A52" s="25" t="s">
        <v>37</v>
      </c>
      <c r="B52" s="23">
        <f>B48*B23</f>
        <v>74.518288659884007</v>
      </c>
      <c r="C52" s="5"/>
      <c r="D52" s="23">
        <f>D48*D23</f>
        <v>121.49211090853363</v>
      </c>
      <c r="E52" s="2" t="str">
        <f ca="1">[2]!getformula(D52)</f>
        <v>&lt;--  =D48*D23</v>
      </c>
    </row>
    <row r="53" spans="1:5" x14ac:dyDescent="0.25">
      <c r="B53" s="5"/>
      <c r="C53" s="5"/>
      <c r="D53" s="5"/>
      <c r="E53" s="5"/>
    </row>
    <row r="54" spans="1:5" x14ac:dyDescent="0.25">
      <c r="B54" s="5"/>
      <c r="C54" s="5"/>
      <c r="D54" s="5"/>
      <c r="E54" s="5"/>
    </row>
    <row r="55" spans="1:5" ht="31.2" x14ac:dyDescent="0.25">
      <c r="A55" s="30" t="s">
        <v>38</v>
      </c>
      <c r="B55" s="26" t="s">
        <v>1</v>
      </c>
      <c r="C55" s="26"/>
      <c r="D55" s="26" t="s">
        <v>3</v>
      </c>
      <c r="E55" s="5"/>
    </row>
    <row r="56" spans="1:5" x14ac:dyDescent="0.25">
      <c r="A56" s="2" t="s">
        <v>31</v>
      </c>
      <c r="B56" s="5">
        <f>B38</f>
        <v>140415309.87558922</v>
      </c>
      <c r="C56" s="5"/>
      <c r="D56" s="5">
        <f>D38</f>
        <v>141370225.62460569</v>
      </c>
      <c r="E56" s="2" t="str">
        <f ca="1">[2]!getformula(D56)</f>
        <v>&lt;--  =D38</v>
      </c>
    </row>
    <row r="57" spans="1:5" x14ac:dyDescent="0.25">
      <c r="A57" s="2" t="s">
        <v>32</v>
      </c>
      <c r="B57" s="5">
        <f>B45</f>
        <v>220500000</v>
      </c>
      <c r="C57" s="5"/>
      <c r="D57" s="5">
        <f>D45</f>
        <v>257025000</v>
      </c>
      <c r="E57" s="2" t="str">
        <f ca="1">[2]!getformula(D57)</f>
        <v>&lt;--  =D45</v>
      </c>
    </row>
    <row r="58" spans="1:5" x14ac:dyDescent="0.25">
      <c r="A58" s="2" t="s">
        <v>33</v>
      </c>
      <c r="B58" s="5">
        <f>B56+B57</f>
        <v>360915309.87558925</v>
      </c>
      <c r="C58" s="5"/>
      <c r="D58" s="5">
        <f>D56+D57</f>
        <v>398395225.62460566</v>
      </c>
      <c r="E58" s="2" t="str">
        <f ca="1">[2]!getformula(D58)</f>
        <v>&lt;--  =D56+D57</v>
      </c>
    </row>
    <row r="59" spans="1:5" x14ac:dyDescent="0.25">
      <c r="B59" s="5"/>
      <c r="C59" s="5"/>
      <c r="D59" s="5"/>
    </row>
    <row r="60" spans="1:5" ht="26.4" x14ac:dyDescent="0.25">
      <c r="A60" s="22" t="s">
        <v>34</v>
      </c>
      <c r="B60" s="23">
        <f>B14*B56/($C$14*B57)</f>
        <v>4.6147137406718093</v>
      </c>
      <c r="C60" s="5"/>
      <c r="D60" s="23">
        <f>D14*D56/($C$14*D57)</f>
        <v>4.3654600860759061</v>
      </c>
      <c r="E60" s="2" t="str">
        <f ca="1">[2]!getformula(D60)</f>
        <v>&lt;--  =D14*D56/($C$14*D57)</v>
      </c>
    </row>
    <row r="61" spans="1:5" x14ac:dyDescent="0.25">
      <c r="A61" s="2" t="s">
        <v>35</v>
      </c>
      <c r="B61" s="24">
        <f>B60*$C$14/(B60*$C$14+B14)</f>
        <v>0.38905334862073782</v>
      </c>
      <c r="C61" s="5"/>
      <c r="D61" s="24">
        <f>D60*$C$14/(D60*$C$14+D14)</f>
        <v>0.35484919630491268</v>
      </c>
      <c r="E61" s="2" t="str">
        <f ca="1">[2]!getformula(D61)</f>
        <v>&lt;--  =D60*$C$14/(D60*$C$14+D14)</v>
      </c>
    </row>
    <row r="62" spans="1:5" x14ac:dyDescent="0.25">
      <c r="A62" s="2" t="s">
        <v>36</v>
      </c>
      <c r="B62" s="5">
        <f>B61*B58</f>
        <v>140415309.87558925</v>
      </c>
      <c r="C62" s="5"/>
      <c r="D62" s="5">
        <f>D61*D58</f>
        <v>141370225.62460569</v>
      </c>
      <c r="E62" s="2" t="str">
        <f ca="1">[2]!getformula(D62)</f>
        <v>&lt;--  =D61*D58</v>
      </c>
    </row>
    <row r="63" spans="1:5" x14ac:dyDescent="0.25">
      <c r="B63" s="5"/>
      <c r="C63" s="5"/>
      <c r="D63" s="5"/>
      <c r="E63" s="5"/>
    </row>
    <row r="64" spans="1:5" ht="27.6" x14ac:dyDescent="0.25">
      <c r="A64" s="25" t="s">
        <v>37</v>
      </c>
      <c r="B64" s="23">
        <f>B60*B23</f>
        <v>161.51498092351332</v>
      </c>
      <c r="C64" s="5"/>
      <c r="D64" s="23">
        <f>D60*D23</f>
        <v>162.6133882063275</v>
      </c>
      <c r="E64" s="2" t="str">
        <f ca="1">[2]!getformula(D64)</f>
        <v>&lt;--  =D60*D23</v>
      </c>
    </row>
    <row r="65" spans="2:5" x14ac:dyDescent="0.25">
      <c r="B65" s="5"/>
      <c r="C65" s="5"/>
      <c r="D65" s="5"/>
      <c r="E65" s="5"/>
    </row>
    <row r="66" spans="2:5" x14ac:dyDescent="0.25">
      <c r="B66" s="5"/>
      <c r="C66" s="5"/>
      <c r="D66" s="2"/>
      <c r="E66" s="5"/>
    </row>
    <row r="67" spans="2:5" x14ac:dyDescent="0.25">
      <c r="B67" s="5"/>
      <c r="C67" s="5"/>
      <c r="D67" s="5"/>
      <c r="E67" s="5"/>
    </row>
    <row r="68" spans="2:5" x14ac:dyDescent="0.25">
      <c r="B68" s="5"/>
      <c r="C68" s="5"/>
      <c r="D68" s="5"/>
      <c r="E68" s="5"/>
    </row>
    <row r="69" spans="2:5" x14ac:dyDescent="0.25">
      <c r="B69" s="5"/>
      <c r="C69" s="5"/>
      <c r="D69" s="5"/>
      <c r="E69" s="5"/>
    </row>
    <row r="70" spans="2:5" x14ac:dyDescent="0.25">
      <c r="B70" s="5"/>
      <c r="C70" s="5"/>
      <c r="D70" s="5"/>
      <c r="E70" s="5"/>
    </row>
    <row r="71" spans="2:5" x14ac:dyDescent="0.25">
      <c r="B71" s="5"/>
      <c r="C71" s="5"/>
      <c r="D71" s="5"/>
      <c r="E71" s="5"/>
    </row>
    <row r="72" spans="2:5" x14ac:dyDescent="0.25">
      <c r="B72" s="5"/>
      <c r="C72" s="5"/>
      <c r="D72" s="5"/>
      <c r="E72" s="5"/>
    </row>
    <row r="73" spans="2:5" x14ac:dyDescent="0.25">
      <c r="B73" s="5"/>
      <c r="C73" s="5"/>
      <c r="D73" s="5"/>
      <c r="E73" s="5"/>
    </row>
    <row r="74" spans="2:5" x14ac:dyDescent="0.25">
      <c r="B74" s="5"/>
      <c r="C74" s="5"/>
      <c r="D74" s="5"/>
      <c r="E74" s="5"/>
    </row>
    <row r="75" spans="2:5" x14ac:dyDescent="0.25">
      <c r="B75" s="5"/>
      <c r="C75" s="5"/>
      <c r="D75" s="5"/>
      <c r="E75" s="5"/>
    </row>
    <row r="76" spans="2:5" x14ac:dyDescent="0.25">
      <c r="B76" s="5"/>
      <c r="C76" s="5"/>
      <c r="D76" s="5"/>
      <c r="E76" s="5"/>
    </row>
    <row r="77" spans="2:5" x14ac:dyDescent="0.25">
      <c r="B77" s="5"/>
      <c r="C77" s="5"/>
      <c r="D77" s="5"/>
      <c r="E77" s="5"/>
    </row>
    <row r="78" spans="2:5" x14ac:dyDescent="0.25">
      <c r="B78" s="5"/>
      <c r="C78" s="5"/>
      <c r="D78" s="5"/>
      <c r="E78" s="5"/>
    </row>
    <row r="79" spans="2:5" x14ac:dyDescent="0.25">
      <c r="B79" s="5"/>
      <c r="C79" s="5"/>
      <c r="D79" s="5"/>
      <c r="E79" s="5"/>
    </row>
    <row r="80" spans="2:5" x14ac:dyDescent="0.25">
      <c r="B80" s="5"/>
      <c r="C80" s="5"/>
      <c r="D80" s="5"/>
      <c r="E80" s="5"/>
    </row>
    <row r="81" spans="2:5" x14ac:dyDescent="0.25">
      <c r="B81" s="5"/>
      <c r="C81" s="5"/>
      <c r="D81" s="5"/>
      <c r="E81" s="5"/>
    </row>
    <row r="82" spans="2:5" x14ac:dyDescent="0.25">
      <c r="B82" s="5"/>
      <c r="C82" s="5"/>
      <c r="D82" s="5"/>
      <c r="E82" s="5"/>
    </row>
    <row r="83" spans="2:5" x14ac:dyDescent="0.25">
      <c r="B83" s="5"/>
      <c r="C83" s="5"/>
      <c r="D83" s="5"/>
      <c r="E83" s="5"/>
    </row>
    <row r="84" spans="2:5" x14ac:dyDescent="0.25">
      <c r="B84" s="5"/>
      <c r="C84" s="5"/>
      <c r="D84" s="5"/>
      <c r="E84" s="5"/>
    </row>
    <row r="85" spans="2:5" x14ac:dyDescent="0.25">
      <c r="B85" s="5"/>
      <c r="C85" s="5"/>
      <c r="D85" s="5"/>
      <c r="E85" s="5"/>
    </row>
    <row r="86" spans="2:5" x14ac:dyDescent="0.25">
      <c r="B86" s="5"/>
      <c r="C86" s="5"/>
      <c r="D86" s="5"/>
      <c r="E86" s="5"/>
    </row>
    <row r="87" spans="2:5" x14ac:dyDescent="0.25">
      <c r="B87" s="5"/>
      <c r="C87" s="5"/>
      <c r="D87" s="5"/>
      <c r="E87" s="5"/>
    </row>
    <row r="88" spans="2:5" x14ac:dyDescent="0.25">
      <c r="B88" s="5"/>
      <c r="C88" s="5"/>
      <c r="D88" s="5"/>
      <c r="E88" s="5"/>
    </row>
    <row r="89" spans="2:5" x14ac:dyDescent="0.25">
      <c r="B89" s="5"/>
      <c r="C89" s="5"/>
      <c r="D89" s="5"/>
      <c r="E89" s="5"/>
    </row>
    <row r="90" spans="2:5" x14ac:dyDescent="0.25">
      <c r="B90" s="5"/>
      <c r="C90" s="5"/>
      <c r="D90" s="5"/>
      <c r="E90" s="5"/>
    </row>
    <row r="91" spans="2:5" x14ac:dyDescent="0.25">
      <c r="B91" s="5"/>
      <c r="C91" s="5"/>
      <c r="D91" s="5"/>
      <c r="E91" s="5"/>
    </row>
    <row r="92" spans="2:5" x14ac:dyDescent="0.25">
      <c r="B92" s="5"/>
      <c r="C92" s="5"/>
      <c r="D92" s="5"/>
      <c r="E92" s="5"/>
    </row>
    <row r="93" spans="2:5" x14ac:dyDescent="0.25">
      <c r="B93" s="5"/>
      <c r="C93" s="5"/>
      <c r="D93" s="5"/>
      <c r="E93" s="5"/>
    </row>
    <row r="94" spans="2:5" x14ac:dyDescent="0.25">
      <c r="B94" s="5"/>
      <c r="C94" s="5"/>
      <c r="D94" s="5"/>
      <c r="E94" s="5"/>
    </row>
    <row r="95" spans="2:5" x14ac:dyDescent="0.25">
      <c r="B95" s="5"/>
      <c r="C95" s="5"/>
      <c r="D95" s="5"/>
      <c r="E95" s="5"/>
    </row>
    <row r="96" spans="2:5" x14ac:dyDescent="0.25">
      <c r="B96" s="5"/>
      <c r="C96" s="5"/>
      <c r="D96" s="5"/>
      <c r="E96" s="5"/>
    </row>
    <row r="97" spans="2:5" x14ac:dyDescent="0.25">
      <c r="B97" s="5"/>
      <c r="C97" s="5"/>
      <c r="D97" s="5"/>
      <c r="E97" s="5"/>
    </row>
    <row r="98" spans="2:5" x14ac:dyDescent="0.25">
      <c r="B98" s="5"/>
      <c r="C98" s="5"/>
      <c r="D98" s="5"/>
      <c r="E98" s="5"/>
    </row>
    <row r="99" spans="2:5" x14ac:dyDescent="0.25">
      <c r="B99" s="5"/>
      <c r="C99" s="5"/>
      <c r="D99" s="5"/>
      <c r="E99" s="5"/>
    </row>
    <row r="100" spans="2:5" x14ac:dyDescent="0.25">
      <c r="B100" s="5"/>
      <c r="C100" s="5"/>
      <c r="D100" s="5"/>
      <c r="E100" s="5"/>
    </row>
    <row r="101" spans="2:5" x14ac:dyDescent="0.25">
      <c r="B101" s="5"/>
      <c r="C101" s="5"/>
      <c r="D101" s="5"/>
      <c r="E101" s="5"/>
    </row>
    <row r="102" spans="2:5" x14ac:dyDescent="0.25">
      <c r="B102" s="5"/>
      <c r="C102" s="5"/>
      <c r="D102" s="5"/>
      <c r="E102" s="5"/>
    </row>
    <row r="103" spans="2:5" x14ac:dyDescent="0.25">
      <c r="B103" s="5"/>
      <c r="C103" s="5"/>
      <c r="D103" s="5"/>
      <c r="E103" s="5"/>
    </row>
    <row r="104" spans="2:5" x14ac:dyDescent="0.25">
      <c r="B104" s="5"/>
      <c r="C104" s="5"/>
      <c r="D104" s="5"/>
      <c r="E104" s="5"/>
    </row>
    <row r="105" spans="2:5" x14ac:dyDescent="0.25">
      <c r="B105" s="5"/>
      <c r="C105" s="5"/>
      <c r="D105" s="5"/>
      <c r="E105" s="5"/>
    </row>
    <row r="106" spans="2:5" x14ac:dyDescent="0.25">
      <c r="B106" s="5"/>
      <c r="C106" s="5"/>
      <c r="D106" s="5"/>
      <c r="E106" s="5"/>
    </row>
    <row r="107" spans="2:5" x14ac:dyDescent="0.25">
      <c r="B107" s="5"/>
      <c r="C107" s="5"/>
      <c r="D107" s="5"/>
      <c r="E107" s="5"/>
    </row>
    <row r="108" spans="2:5" x14ac:dyDescent="0.25">
      <c r="B108" s="5"/>
      <c r="C108" s="5"/>
      <c r="D108" s="5"/>
      <c r="E108" s="5"/>
    </row>
    <row r="109" spans="2:5" x14ac:dyDescent="0.25">
      <c r="B109" s="5"/>
      <c r="C109" s="5"/>
      <c r="D109" s="5"/>
      <c r="E109" s="5"/>
    </row>
    <row r="110" spans="2:5" x14ac:dyDescent="0.25">
      <c r="B110" s="5"/>
      <c r="C110" s="5"/>
      <c r="D110" s="5"/>
      <c r="E110" s="5"/>
    </row>
    <row r="111" spans="2:5" x14ac:dyDescent="0.25">
      <c r="B111" s="5"/>
      <c r="C111" s="5"/>
      <c r="D111" s="5"/>
      <c r="E111" s="5"/>
    </row>
    <row r="112" spans="2:5" x14ac:dyDescent="0.25">
      <c r="B112" s="5"/>
      <c r="C112" s="5"/>
      <c r="D112" s="5"/>
      <c r="E112" s="5"/>
    </row>
    <row r="113" spans="2:5" x14ac:dyDescent="0.25">
      <c r="B113" s="5"/>
      <c r="C113" s="5"/>
      <c r="D113" s="5"/>
      <c r="E113" s="5"/>
    </row>
    <row r="114" spans="2:5" x14ac:dyDescent="0.25">
      <c r="B114" s="5"/>
      <c r="C114" s="5"/>
      <c r="D114" s="5"/>
      <c r="E114" s="5"/>
    </row>
    <row r="115" spans="2:5" x14ac:dyDescent="0.25">
      <c r="B115" s="5"/>
      <c r="C115" s="5"/>
      <c r="D115" s="5"/>
      <c r="E115" s="5"/>
    </row>
    <row r="116" spans="2:5" x14ac:dyDescent="0.25">
      <c r="B116" s="5"/>
      <c r="C116" s="5"/>
      <c r="D116" s="5"/>
      <c r="E116" s="5"/>
    </row>
    <row r="117" spans="2:5" x14ac:dyDescent="0.25">
      <c r="B117" s="5"/>
      <c r="C117" s="5"/>
      <c r="D117" s="5"/>
      <c r="E117" s="5"/>
    </row>
    <row r="118" spans="2:5" x14ac:dyDescent="0.25">
      <c r="B118" s="5"/>
      <c r="C118" s="5"/>
      <c r="D118" s="5"/>
      <c r="E118" s="5"/>
    </row>
    <row r="119" spans="2:5" x14ac:dyDescent="0.25">
      <c r="B119" s="5"/>
      <c r="C119" s="5"/>
      <c r="D119" s="5"/>
      <c r="E119" s="5"/>
    </row>
    <row r="120" spans="2:5" x14ac:dyDescent="0.25">
      <c r="B120" s="5"/>
      <c r="C120" s="5"/>
      <c r="D120" s="5"/>
      <c r="E120" s="5"/>
    </row>
    <row r="121" spans="2:5" x14ac:dyDescent="0.25">
      <c r="B121" s="5"/>
      <c r="C121" s="5"/>
      <c r="D121" s="5"/>
      <c r="E121" s="5"/>
    </row>
    <row r="122" spans="2:5" x14ac:dyDescent="0.25">
      <c r="B122" s="5"/>
      <c r="C122" s="5"/>
      <c r="D122" s="5"/>
      <c r="E122" s="5"/>
    </row>
    <row r="123" spans="2:5" x14ac:dyDescent="0.25">
      <c r="B123" s="5"/>
      <c r="C123" s="5"/>
      <c r="D123" s="5"/>
      <c r="E123" s="5"/>
    </row>
    <row r="124" spans="2:5" x14ac:dyDescent="0.25">
      <c r="B124" s="5"/>
      <c r="C124" s="5"/>
      <c r="D124" s="5"/>
      <c r="E124" s="5"/>
    </row>
    <row r="125" spans="2:5" x14ac:dyDescent="0.25">
      <c r="B125" s="5"/>
      <c r="C125" s="5"/>
      <c r="D125" s="5"/>
      <c r="E125" s="5"/>
    </row>
    <row r="126" spans="2:5" x14ac:dyDescent="0.25">
      <c r="B126" s="5"/>
      <c r="C126" s="5"/>
      <c r="D126" s="5"/>
      <c r="E126" s="5"/>
    </row>
    <row r="127" spans="2:5" x14ac:dyDescent="0.25">
      <c r="B127" s="5"/>
      <c r="C127" s="5"/>
      <c r="D127" s="5"/>
      <c r="E127" s="5"/>
    </row>
    <row r="128" spans="2:5" x14ac:dyDescent="0.25">
      <c r="B128" s="5"/>
      <c r="C128" s="5"/>
      <c r="D128" s="5"/>
      <c r="E128" s="5"/>
    </row>
    <row r="129" spans="2:5" x14ac:dyDescent="0.25">
      <c r="B129" s="5"/>
      <c r="C129" s="5"/>
      <c r="D129" s="5"/>
      <c r="E129" s="5"/>
    </row>
    <row r="130" spans="2:5" x14ac:dyDescent="0.25">
      <c r="B130" s="5"/>
      <c r="C130" s="5"/>
      <c r="D130" s="5"/>
      <c r="E130" s="5"/>
    </row>
    <row r="131" spans="2:5" x14ac:dyDescent="0.25">
      <c r="B131" s="5"/>
      <c r="C131" s="5"/>
      <c r="D131" s="5"/>
      <c r="E131" s="5"/>
    </row>
    <row r="132" spans="2:5" x14ac:dyDescent="0.25">
      <c r="B132" s="5"/>
      <c r="C132" s="5"/>
      <c r="D132" s="5"/>
      <c r="E132" s="5"/>
    </row>
    <row r="133" spans="2:5" x14ac:dyDescent="0.25">
      <c r="B133" s="5"/>
      <c r="C133" s="5"/>
      <c r="D133" s="5"/>
      <c r="E133" s="5"/>
    </row>
    <row r="134" spans="2:5" x14ac:dyDescent="0.25">
      <c r="B134" s="5"/>
      <c r="C134" s="5"/>
      <c r="D134" s="5"/>
      <c r="E134" s="5"/>
    </row>
    <row r="135" spans="2:5" x14ac:dyDescent="0.25">
      <c r="B135" s="5"/>
      <c r="C135" s="5"/>
      <c r="D135" s="5"/>
      <c r="E135" s="5"/>
    </row>
    <row r="136" spans="2:5" x14ac:dyDescent="0.25">
      <c r="B136" s="5"/>
      <c r="C136" s="5"/>
      <c r="D136" s="5"/>
      <c r="E136" s="5"/>
    </row>
    <row r="137" spans="2:5" x14ac:dyDescent="0.25">
      <c r="B137" s="5"/>
      <c r="C137" s="5"/>
      <c r="D137" s="5"/>
      <c r="E137" s="5"/>
    </row>
    <row r="138" spans="2:5" x14ac:dyDescent="0.25">
      <c r="B138" s="5"/>
      <c r="C138" s="5"/>
      <c r="D138" s="5"/>
      <c r="E138" s="5"/>
    </row>
    <row r="139" spans="2:5" x14ac:dyDescent="0.25">
      <c r="B139" s="5"/>
      <c r="C139" s="5"/>
      <c r="D139" s="5"/>
      <c r="E139" s="5"/>
    </row>
    <row r="140" spans="2:5" x14ac:dyDescent="0.25">
      <c r="B140" s="5"/>
      <c r="C140" s="5"/>
      <c r="D140" s="5"/>
      <c r="E140" s="5"/>
    </row>
    <row r="141" spans="2:5" x14ac:dyDescent="0.25">
      <c r="B141" s="5"/>
      <c r="C141" s="5"/>
      <c r="D141" s="5"/>
      <c r="E141" s="5"/>
    </row>
    <row r="142" spans="2:5" x14ac:dyDescent="0.25">
      <c r="B142" s="5"/>
      <c r="C142" s="5"/>
      <c r="D142" s="5"/>
      <c r="E142" s="5"/>
    </row>
    <row r="143" spans="2:5" x14ac:dyDescent="0.25">
      <c r="B143" s="5"/>
      <c r="C143" s="5"/>
      <c r="D143" s="5"/>
      <c r="E143" s="5"/>
    </row>
    <row r="144" spans="2:5" x14ac:dyDescent="0.25">
      <c r="B144" s="5"/>
      <c r="C144" s="5"/>
      <c r="D144" s="5"/>
      <c r="E144" s="5"/>
    </row>
    <row r="145" spans="2:5" x14ac:dyDescent="0.25">
      <c r="B145" s="5"/>
      <c r="C145" s="5"/>
      <c r="D145" s="5"/>
      <c r="E145" s="5"/>
    </row>
    <row r="146" spans="2:5" x14ac:dyDescent="0.25">
      <c r="B146" s="5"/>
      <c r="C146" s="5"/>
      <c r="D146" s="5"/>
      <c r="E146" s="5"/>
    </row>
    <row r="147" spans="2:5" x14ac:dyDescent="0.25">
      <c r="B147" s="5"/>
      <c r="C147" s="5"/>
      <c r="D147" s="5"/>
      <c r="E147" s="5"/>
    </row>
    <row r="148" spans="2:5" x14ac:dyDescent="0.25">
      <c r="B148" s="5"/>
      <c r="C148" s="5"/>
      <c r="D148" s="5"/>
      <c r="E148" s="5"/>
    </row>
    <row r="149" spans="2:5" x14ac:dyDescent="0.25">
      <c r="B149" s="5"/>
      <c r="C149" s="5"/>
      <c r="D149" s="5"/>
      <c r="E149" s="5"/>
    </row>
    <row r="150" spans="2:5" x14ac:dyDescent="0.25">
      <c r="B150" s="5"/>
      <c r="C150" s="5"/>
      <c r="D150" s="5"/>
      <c r="E150" s="5"/>
    </row>
    <row r="151" spans="2:5" x14ac:dyDescent="0.25">
      <c r="B151" s="5"/>
      <c r="C151" s="5"/>
      <c r="D151" s="5"/>
      <c r="E151" s="5"/>
    </row>
    <row r="152" spans="2:5" x14ac:dyDescent="0.25">
      <c r="B152" s="5"/>
      <c r="C152" s="5"/>
      <c r="D152" s="5"/>
      <c r="E152" s="5"/>
    </row>
    <row r="153" spans="2:5" x14ac:dyDescent="0.25">
      <c r="B153" s="5"/>
      <c r="C153" s="5"/>
      <c r="D153" s="5"/>
      <c r="E153" s="5"/>
    </row>
    <row r="154" spans="2:5" x14ac:dyDescent="0.25">
      <c r="B154" s="5"/>
      <c r="C154" s="5"/>
      <c r="D154" s="5"/>
      <c r="E154" s="5"/>
    </row>
    <row r="155" spans="2:5" x14ac:dyDescent="0.25">
      <c r="B155" s="5"/>
      <c r="C155" s="5"/>
      <c r="D155" s="5"/>
      <c r="E155" s="5"/>
    </row>
    <row r="156" spans="2:5" x14ac:dyDescent="0.25">
      <c r="B156" s="5"/>
      <c r="C156" s="5"/>
      <c r="D156" s="5"/>
      <c r="E156" s="5"/>
    </row>
    <row r="157" spans="2:5" x14ac:dyDescent="0.25">
      <c r="B157" s="5"/>
      <c r="C157" s="5"/>
      <c r="D157" s="5"/>
      <c r="E157" s="5"/>
    </row>
    <row r="158" spans="2:5" x14ac:dyDescent="0.25">
      <c r="B158" s="5"/>
      <c r="C158" s="5"/>
      <c r="D158" s="5"/>
      <c r="E158" s="5"/>
    </row>
    <row r="159" spans="2:5" x14ac:dyDescent="0.25">
      <c r="B159" s="5"/>
      <c r="C159" s="5"/>
      <c r="D159" s="5"/>
      <c r="E159" s="5"/>
    </row>
    <row r="160" spans="2:5" x14ac:dyDescent="0.25">
      <c r="B160" s="5"/>
      <c r="C160" s="5"/>
      <c r="D160" s="5"/>
      <c r="E160" s="5"/>
    </row>
    <row r="161" spans="2:5" x14ac:dyDescent="0.25">
      <c r="B161" s="5"/>
      <c r="C161" s="5"/>
      <c r="D161" s="5"/>
      <c r="E161" s="5"/>
    </row>
    <row r="162" spans="2:5" x14ac:dyDescent="0.25">
      <c r="B162" s="5"/>
      <c r="C162" s="5"/>
      <c r="D162" s="5"/>
      <c r="E162" s="5"/>
    </row>
    <row r="163" spans="2:5" x14ac:dyDescent="0.25">
      <c r="B163" s="5"/>
      <c r="C163" s="5"/>
      <c r="D163" s="5"/>
      <c r="E163" s="5"/>
    </row>
    <row r="164" spans="2:5" x14ac:dyDescent="0.25">
      <c r="B164" s="5"/>
      <c r="C164" s="5"/>
      <c r="D164" s="5"/>
      <c r="E164" s="5"/>
    </row>
    <row r="165" spans="2:5" x14ac:dyDescent="0.25">
      <c r="B165" s="5"/>
      <c r="C165" s="5"/>
      <c r="D165" s="5"/>
      <c r="E165" s="5"/>
    </row>
    <row r="166" spans="2:5" x14ac:dyDescent="0.25">
      <c r="B166" s="5"/>
      <c r="C166" s="5"/>
      <c r="D166" s="5"/>
      <c r="E166" s="5"/>
    </row>
    <row r="167" spans="2:5" x14ac:dyDescent="0.25">
      <c r="B167" s="5"/>
      <c r="C167" s="5"/>
      <c r="D167" s="5"/>
      <c r="E167" s="5"/>
    </row>
    <row r="168" spans="2:5" x14ac:dyDescent="0.25">
      <c r="B168" s="5"/>
      <c r="C168" s="5"/>
      <c r="D168" s="5"/>
      <c r="E168" s="5"/>
    </row>
    <row r="169" spans="2:5" x14ac:dyDescent="0.25">
      <c r="B169" s="5"/>
      <c r="C169" s="5"/>
      <c r="D169" s="5"/>
      <c r="E169" s="5"/>
    </row>
    <row r="170" spans="2:5" x14ac:dyDescent="0.25">
      <c r="B170" s="5"/>
      <c r="C170" s="5"/>
      <c r="D170" s="5"/>
      <c r="E170" s="5"/>
    </row>
    <row r="171" spans="2:5" x14ac:dyDescent="0.25">
      <c r="B171" s="5"/>
      <c r="C171" s="5"/>
      <c r="D171" s="5"/>
      <c r="E171" s="5"/>
    </row>
    <row r="172" spans="2:5" x14ac:dyDescent="0.25">
      <c r="B172" s="5"/>
      <c r="C172" s="5"/>
      <c r="D172" s="5"/>
      <c r="E172" s="5"/>
    </row>
    <row r="173" spans="2:5" x14ac:dyDescent="0.25">
      <c r="B173" s="5"/>
      <c r="C173" s="5"/>
      <c r="D173" s="5"/>
      <c r="E173" s="5"/>
    </row>
    <row r="174" spans="2:5" x14ac:dyDescent="0.25">
      <c r="B174" s="5"/>
      <c r="C174" s="5"/>
      <c r="D174" s="5"/>
      <c r="E174" s="5"/>
    </row>
  </sheetData>
  <mergeCells count="2">
    <mergeCell ref="A1:E1"/>
    <mergeCell ref="A42:E42"/>
  </mergeCells>
  <phoneticPr fontId="1" type="noConversion"/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DSMT4" shapeId="1025" r:id="rId3">
          <objectPr defaultSize="0" autoPict="0" r:id="rId4">
            <anchor moveWithCells="1" sizeWithCells="1">
              <from>
                <xdr:col>8</xdr:col>
                <xdr:colOff>76200</xdr:colOff>
                <xdr:row>45</xdr:row>
                <xdr:rowOff>0</xdr:rowOff>
              </from>
              <to>
                <xdr:col>9</xdr:col>
                <xdr:colOff>449580</xdr:colOff>
                <xdr:row>47</xdr:row>
                <xdr:rowOff>121920</xdr:rowOff>
              </to>
            </anchor>
          </objectPr>
        </oleObject>
      </mc:Choice>
      <mc:Fallback>
        <oleObject progId="Equation.DSMT4" shapeId="1025" r:id="rId3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2024-10-22T02:47:21Z</dcterms:modified>
</cp:coreProperties>
</file>