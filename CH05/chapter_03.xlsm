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5\"/>
    </mc:Choice>
  </mc:AlternateContent>
  <xr:revisionPtr revIDLastSave="0" documentId="13_ncr:1_{5F95570A-2666-47D4-AAD9-5F2B648B2EE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9" i="1" l="1"/>
  <c r="B90" i="1"/>
  <c r="D32" i="1"/>
  <c r="E32" i="1" s="1"/>
  <c r="F32" i="1" s="1"/>
  <c r="G32" i="1" s="1"/>
  <c r="D45" i="1"/>
  <c r="E45" i="1" s="1"/>
  <c r="F45" i="1" s="1"/>
  <c r="G45" i="1" s="1"/>
  <c r="C66" i="1"/>
  <c r="C54" i="1"/>
  <c r="C55" i="1"/>
  <c r="C56" i="1"/>
  <c r="C52" i="1"/>
  <c r="C40" i="1"/>
  <c r="C60" i="1" s="1"/>
  <c r="C30" i="1"/>
  <c r="D30" i="1" s="1"/>
  <c r="C45" i="1"/>
  <c r="C43" i="1"/>
  <c r="D43" i="1" s="1"/>
  <c r="E43" i="1" s="1"/>
  <c r="F43" i="1" s="1"/>
  <c r="G43" i="1" s="1"/>
  <c r="C42" i="1"/>
  <c r="C62" i="1" s="1"/>
  <c r="C80" i="1" s="1"/>
  <c r="C37" i="1"/>
  <c r="D37" i="1" s="1"/>
  <c r="E37" i="1" s="1"/>
  <c r="F37" i="1" s="1"/>
  <c r="C35" i="1"/>
  <c r="D35" i="1" s="1"/>
  <c r="E35" i="1" s="1"/>
  <c r="C32" i="1"/>
  <c r="C29" i="1"/>
  <c r="D29" i="1" s="1"/>
  <c r="D55" i="1" s="1"/>
  <c r="C28" i="1"/>
  <c r="D28" i="1" s="1"/>
  <c r="C26" i="1"/>
  <c r="C82" i="1" s="1"/>
  <c r="A125" i="1"/>
  <c r="B122" i="1"/>
  <c r="B116" i="1"/>
  <c r="B98" i="1"/>
  <c r="B95" i="1"/>
  <c r="B94" i="1"/>
  <c r="B42" i="1"/>
  <c r="B109" i="1" s="1"/>
  <c r="B37" i="1"/>
  <c r="B33" i="1"/>
  <c r="B35" i="1" s="1"/>
  <c r="B27" i="1"/>
  <c r="A127" i="1"/>
  <c r="C94" i="1"/>
  <c r="H67" i="1"/>
  <c r="H41" i="1"/>
  <c r="C110" i="1"/>
  <c r="H29" i="1"/>
  <c r="C123" i="1"/>
  <c r="C90" i="1"/>
  <c r="H66" i="1"/>
  <c r="H40" i="1"/>
  <c r="C122" i="1"/>
  <c r="C89" i="1"/>
  <c r="H65" i="1"/>
  <c r="H38" i="1"/>
  <c r="C121" i="1"/>
  <c r="H84" i="1"/>
  <c r="H63" i="1"/>
  <c r="H37" i="1"/>
  <c r="C120" i="1"/>
  <c r="H83" i="1"/>
  <c r="H61" i="1"/>
  <c r="H35" i="1"/>
  <c r="C117" i="1"/>
  <c r="H82" i="1"/>
  <c r="H60" i="1"/>
  <c r="H34" i="1"/>
  <c r="C116" i="1"/>
  <c r="H80" i="1"/>
  <c r="H62" i="1"/>
  <c r="H33" i="1"/>
  <c r="C112" i="1"/>
  <c r="H79" i="1"/>
  <c r="H53" i="1"/>
  <c r="H30" i="1"/>
  <c r="H78" i="1"/>
  <c r="H54" i="1"/>
  <c r="C98" i="1"/>
  <c r="H68" i="1"/>
  <c r="C109" i="1"/>
  <c r="H74" i="1"/>
  <c r="H55" i="1"/>
  <c r="H28" i="1"/>
  <c r="C108" i="1"/>
  <c r="H73" i="1"/>
  <c r="H56" i="1"/>
  <c r="H27" i="1"/>
  <c r="H106" i="1"/>
  <c r="H72" i="1"/>
  <c r="H57" i="1"/>
  <c r="H26" i="1"/>
  <c r="H105" i="1"/>
  <c r="H71" i="1"/>
  <c r="H52" i="1"/>
  <c r="H104" i="1"/>
  <c r="H70" i="1"/>
  <c r="H47" i="1"/>
  <c r="C100" i="1"/>
  <c r="C97" i="1"/>
  <c r="H46" i="1"/>
  <c r="C96" i="1"/>
  <c r="H42" i="1"/>
  <c r="H69" i="1"/>
  <c r="E30" i="1" l="1"/>
  <c r="D56" i="1"/>
  <c r="D66" i="1"/>
  <c r="D54" i="1"/>
  <c r="E28" i="1"/>
  <c r="F28" i="1" s="1"/>
  <c r="B96" i="1"/>
  <c r="D42" i="1"/>
  <c r="D40" i="1"/>
  <c r="E40" i="1" s="1"/>
  <c r="E60" i="1" s="1"/>
  <c r="G37" i="1"/>
  <c r="F35" i="1"/>
  <c r="G35" i="1" s="1"/>
  <c r="E66" i="1"/>
  <c r="F30" i="1"/>
  <c r="F66" i="1"/>
  <c r="E56" i="1"/>
  <c r="F56" i="1"/>
  <c r="F54" i="1"/>
  <c r="E29" i="1"/>
  <c r="E55" i="1"/>
  <c r="B38" i="1"/>
  <c r="B46" i="1" s="1"/>
  <c r="B97" i="1"/>
  <c r="B100" i="1" s="1"/>
  <c r="G28" i="1" l="1"/>
  <c r="G54" i="1" s="1"/>
  <c r="E54" i="1"/>
  <c r="D26" i="1"/>
  <c r="D60" i="1"/>
  <c r="D62" i="1"/>
  <c r="D80" i="1" s="1"/>
  <c r="E42" i="1"/>
  <c r="G30" i="1"/>
  <c r="G56" i="1" s="1"/>
  <c r="G66" i="1"/>
  <c r="F29" i="1"/>
  <c r="E26" i="1"/>
  <c r="E82" i="1" s="1"/>
  <c r="F40" i="1"/>
  <c r="F60" i="1" s="1"/>
  <c r="B47" i="1"/>
  <c r="F42" i="1" l="1"/>
  <c r="E62" i="1"/>
  <c r="E80" i="1" s="1"/>
  <c r="D82" i="1"/>
  <c r="D52" i="1"/>
  <c r="E52" i="1"/>
  <c r="G29" i="1"/>
  <c r="G55" i="1" s="1"/>
  <c r="F26" i="1"/>
  <c r="F82" i="1" s="1"/>
  <c r="G40" i="1"/>
  <c r="G60" i="1" s="1"/>
  <c r="F55" i="1"/>
  <c r="F62" i="1" l="1"/>
  <c r="F80" i="1" s="1"/>
  <c r="G42" i="1"/>
  <c r="G62" i="1" s="1"/>
  <c r="G80" i="1" s="1"/>
  <c r="G26" i="1"/>
  <c r="G82" i="1" s="1"/>
  <c r="F52" i="1"/>
  <c r="G52" i="1" l="1"/>
  <c r="C27" i="1" l="1"/>
  <c r="D27" i="1"/>
  <c r="E27" i="1"/>
  <c r="F27" i="1"/>
  <c r="G27" i="1"/>
  <c r="C33" i="1"/>
  <c r="D33" i="1"/>
  <c r="E33" i="1"/>
  <c r="F33" i="1"/>
  <c r="G33" i="1"/>
  <c r="C34" i="1"/>
  <c r="D34" i="1"/>
  <c r="E34" i="1"/>
  <c r="F34" i="1"/>
  <c r="G34" i="1"/>
  <c r="C38" i="1"/>
  <c r="D38" i="1"/>
  <c r="E38" i="1"/>
  <c r="F38" i="1"/>
  <c r="G38" i="1"/>
  <c r="C41" i="1"/>
  <c r="D41" i="1"/>
  <c r="E41" i="1"/>
  <c r="F41" i="1"/>
  <c r="G41" i="1"/>
  <c r="C46" i="1"/>
  <c r="D46" i="1"/>
  <c r="E46" i="1"/>
  <c r="F46" i="1"/>
  <c r="G46" i="1"/>
  <c r="C47" i="1"/>
  <c r="D47" i="1"/>
  <c r="E47" i="1"/>
  <c r="F47" i="1"/>
  <c r="G47" i="1"/>
  <c r="C53" i="1"/>
  <c r="D53" i="1"/>
  <c r="E53" i="1"/>
  <c r="F53" i="1"/>
  <c r="G53" i="1"/>
  <c r="C57" i="1"/>
  <c r="D57" i="1"/>
  <c r="E57" i="1"/>
  <c r="F57" i="1"/>
  <c r="G57" i="1"/>
  <c r="C61" i="1"/>
  <c r="D61" i="1"/>
  <c r="E61" i="1"/>
  <c r="F61" i="1"/>
  <c r="G61" i="1"/>
  <c r="C63" i="1"/>
  <c r="D63" i="1"/>
  <c r="E63" i="1"/>
  <c r="F63" i="1"/>
  <c r="G63" i="1"/>
  <c r="C65" i="1"/>
  <c r="D65" i="1"/>
  <c r="E65" i="1"/>
  <c r="F65" i="1"/>
  <c r="G65" i="1"/>
  <c r="C67" i="1"/>
  <c r="D67" i="1"/>
  <c r="E67" i="1"/>
  <c r="F67" i="1"/>
  <c r="G67" i="1"/>
  <c r="C68" i="1"/>
  <c r="D68" i="1"/>
  <c r="E68" i="1"/>
  <c r="F68" i="1"/>
  <c r="G68" i="1"/>
  <c r="C69" i="1"/>
  <c r="D69" i="1"/>
  <c r="E69" i="1"/>
  <c r="F69" i="1"/>
  <c r="G69" i="1"/>
  <c r="C70" i="1"/>
  <c r="D70" i="1"/>
  <c r="E70" i="1"/>
  <c r="F70" i="1"/>
  <c r="G70" i="1"/>
  <c r="C71" i="1"/>
  <c r="D71" i="1"/>
  <c r="E71" i="1"/>
  <c r="F71" i="1"/>
  <c r="G71" i="1"/>
  <c r="C72" i="1"/>
  <c r="D72" i="1"/>
  <c r="E72" i="1"/>
  <c r="F72" i="1"/>
  <c r="G72" i="1"/>
  <c r="C73" i="1"/>
  <c r="D73" i="1"/>
  <c r="E73" i="1"/>
  <c r="F73" i="1"/>
  <c r="G73" i="1"/>
  <c r="C74" i="1"/>
  <c r="D74" i="1"/>
  <c r="E74" i="1"/>
  <c r="F74" i="1"/>
  <c r="G74" i="1"/>
  <c r="C78" i="1"/>
  <c r="D78" i="1"/>
  <c r="E78" i="1"/>
  <c r="F78" i="1"/>
  <c r="G78" i="1"/>
  <c r="C79" i="1"/>
  <c r="D79" i="1"/>
  <c r="E79" i="1"/>
  <c r="F79" i="1"/>
  <c r="G79" i="1"/>
  <c r="C83" i="1"/>
  <c r="D83" i="1"/>
  <c r="E83" i="1"/>
  <c r="F83" i="1"/>
  <c r="G83" i="1"/>
  <c r="C84" i="1"/>
  <c r="D84" i="1"/>
  <c r="E84" i="1"/>
  <c r="F84" i="1"/>
  <c r="G84" i="1"/>
  <c r="C104" i="1"/>
  <c r="D104" i="1"/>
  <c r="E104" i="1"/>
  <c r="F104" i="1"/>
  <c r="G104" i="1"/>
  <c r="G105" i="1"/>
  <c r="C106" i="1"/>
  <c r="D106" i="1"/>
  <c r="E106" i="1"/>
  <c r="F106" i="1"/>
  <c r="G106" i="1"/>
  <c r="B108" i="1"/>
  <c r="B110" i="1"/>
  <c r="B112" i="1"/>
  <c r="B117" i="1"/>
  <c r="B120" i="1"/>
  <c r="B121" i="1"/>
  <c r="E121" i="1"/>
  <c r="B123" i="1"/>
  <c r="B127" i="1"/>
</calcChain>
</file>

<file path=xl/sharedStrings.xml><?xml version="1.0" encoding="utf-8"?>
<sst xmlns="http://schemas.openxmlformats.org/spreadsheetml/2006/main" count="106" uniqueCount="106">
  <si>
    <t>SMALL BANK
Pro forma model</t>
  </si>
  <si>
    <t>Cash as percent of deposits</t>
  </si>
  <si>
    <t>Interest on cash</t>
  </si>
  <si>
    <t>Interest on other investment securities</t>
  </si>
  <si>
    <t>Interest on mortgages</t>
  </si>
  <si>
    <t>Interest on other earning assets</t>
  </si>
  <si>
    <t>Interest on loans</t>
  </si>
  <si>
    <t>Interest on deposits</t>
  </si>
  <si>
    <t>Interest on short-term borrowing</t>
  </si>
  <si>
    <t>Interest on long-term debt</t>
  </si>
  <si>
    <t>Loan loss as % of outstanding loans</t>
  </si>
  <si>
    <t>Noninterest income as % of interest income</t>
  </si>
  <si>
    <t>Noninterest expense as % of net interest income</t>
  </si>
  <si>
    <t>&lt;-- was 74.35%, but Large Bank analyst thinks this will go down to 70%</t>
  </si>
  <si>
    <t>Growth rate of net loans</t>
  </si>
  <si>
    <t>Growth rate of deposits</t>
  </si>
  <si>
    <t>Depreciation rate</t>
  </si>
  <si>
    <t>Income tax rate</t>
  </si>
  <si>
    <t>Dividend payout ratio</t>
  </si>
  <si>
    <t>Balance sheets
thousand $</t>
  </si>
  <si>
    <t>2006
Financial statements</t>
  </si>
  <si>
    <t>Cash</t>
  </si>
  <si>
    <t>Other investment securities, including
     money market instruments 
     [balance sheet plug]</t>
  </si>
  <si>
    <t>Mortgage loans held for sale</t>
  </si>
  <si>
    <t>Other earning assets</t>
  </si>
  <si>
    <t>Loans, net</t>
  </si>
  <si>
    <t>Land</t>
  </si>
  <si>
    <t>Other fixed assets</t>
  </si>
  <si>
    <t>Accumulated depreciation</t>
  </si>
  <si>
    <t>Other assets</t>
  </si>
  <si>
    <t>Total Assets</t>
  </si>
  <si>
    <t>Deposits</t>
  </si>
  <si>
    <t>Short-term borrowings
     [balance sheet plug]</t>
  </si>
  <si>
    <t>Other liabilities</t>
    <phoneticPr fontId="8" type="noConversion"/>
  </si>
  <si>
    <t>Shareholders' equity</t>
  </si>
  <si>
    <t xml:space="preserve">     Stock</t>
  </si>
  <si>
    <t xml:space="preserve">     Accumulated retained earnings</t>
  </si>
  <si>
    <t>Total Liabilities and Shareholders' Equity</t>
  </si>
  <si>
    <t>Income statements
thousand $</t>
  </si>
  <si>
    <t xml:space="preserve">Interest income </t>
  </si>
  <si>
    <t xml:space="preserve">     Interest on cash balances</t>
  </si>
  <si>
    <t xml:space="preserve">     Interest on other investment securities</t>
  </si>
  <si>
    <t xml:space="preserve">     Interest on mortgage loans</t>
  </si>
  <si>
    <t xml:space="preserve">     Interest on other earning assets</t>
  </si>
  <si>
    <t xml:space="preserve">     Interest on net loans</t>
  </si>
  <si>
    <t>Total interest income</t>
  </si>
  <si>
    <t>Interest expense</t>
  </si>
  <si>
    <t xml:space="preserve">     Interest on deposits</t>
  </si>
  <si>
    <t xml:space="preserve">     Interest on short-term borrowings</t>
  </si>
  <si>
    <t xml:space="preserve">     Interest on long-term borrowing</t>
  </si>
  <si>
    <t>Total interest expense</t>
  </si>
  <si>
    <t>Net interest income</t>
  </si>
  <si>
    <t>Provision for loan loss</t>
  </si>
  <si>
    <t>Noninterest income</t>
  </si>
  <si>
    <t>Noninterest expenses</t>
  </si>
  <si>
    <t>Depreciation and amortization</t>
  </si>
  <si>
    <t>Income before income tax</t>
  </si>
  <si>
    <t>Provision for income tax</t>
  </si>
  <si>
    <t xml:space="preserve">Net income </t>
  </si>
  <si>
    <t>Dividends</t>
  </si>
  <si>
    <t>Retained earnings</t>
  </si>
  <si>
    <t>Free Cash Flow Calculations</t>
  </si>
  <si>
    <t>Profit after taxes</t>
  </si>
  <si>
    <t>Add back depreciation</t>
  </si>
  <si>
    <t>Add back after-tax interest on permanent debt</t>
  </si>
  <si>
    <t>Changes in operating Net Working Capital</t>
  </si>
  <si>
    <t xml:space="preserve">     Subtract increases in Cash</t>
  </si>
  <si>
    <t>Subtract increases in Fixed Assets at Cost</t>
  </si>
  <si>
    <t>Free cash flow</t>
  </si>
  <si>
    <t>Valuation of FCFs and terminal value</t>
  </si>
  <si>
    <t>Equity beta</t>
  </si>
  <si>
    <t>Risk-free rate</t>
  </si>
  <si>
    <t>Market risk premium</t>
  </si>
  <si>
    <r>
      <t>Cost of equity, r</t>
    </r>
    <r>
      <rPr>
        <vertAlign val="subscript"/>
        <sz val="10"/>
        <rFont val="Arial"/>
        <family val="2"/>
      </rPr>
      <t>E</t>
    </r>
  </si>
  <si>
    <r>
      <t>Cost of debt, r</t>
    </r>
    <r>
      <rPr>
        <vertAlign val="subscript"/>
        <sz val="10"/>
        <rFont val="Arial"/>
        <family val="2"/>
      </rPr>
      <t>D</t>
    </r>
  </si>
  <si>
    <t>Current market value/share of Small Bank</t>
  </si>
  <si>
    <t>&lt;-- This is the current market value of Small Bank shares</t>
  </si>
  <si>
    <t>Number of shares of Small Bank</t>
  </si>
  <si>
    <t>Equity value</t>
  </si>
  <si>
    <t>Debt value</t>
  </si>
  <si>
    <t>Percentage of equity in capital structure</t>
  </si>
  <si>
    <t>Percentage of debt in capital structure</t>
  </si>
  <si>
    <t>Tax rate</t>
  </si>
  <si>
    <t>Discount rate, WACC</t>
  </si>
  <si>
    <t>Terminal growth rate of FCF</t>
  </si>
  <si>
    <t>Free Cash Flow</t>
  </si>
  <si>
    <t>Terminal value</t>
  </si>
  <si>
    <t>Total</t>
  </si>
  <si>
    <t>Value of Small Bank</t>
  </si>
  <si>
    <t>Long-term debt</t>
  </si>
  <si>
    <t>Implied equity value</t>
  </si>
  <si>
    <t>Number of Small Bank shares</t>
  </si>
  <si>
    <t>Imputed per-share value of Small Bank</t>
  </si>
  <si>
    <t>Number of Large Bank shares</t>
  </si>
  <si>
    <t>Value of Large Bank share</t>
  </si>
  <si>
    <t>Market value of Large Bank equity, before merger</t>
  </si>
  <si>
    <t>Exchange ratio (number of shares of Large Bank offered per share of Small Bank), x</t>
  </si>
  <si>
    <t>Check</t>
  </si>
  <si>
    <t>Number of shares, new entity</t>
  </si>
  <si>
    <t>Value of equity, new entity</t>
  </si>
  <si>
    <t>Total value of Large Bank ex-shareholders</t>
  </si>
  <si>
    <t>Total value of Small Bank ex-shareholders</t>
  </si>
  <si>
    <t>Net fixed assets and land</t>
    <phoneticPr fontId="1" type="noConversion"/>
  </si>
  <si>
    <t>Long-term indebtedness</t>
    <phoneticPr fontId="1" type="noConversion"/>
  </si>
  <si>
    <t>Page 45</t>
    <phoneticPr fontId="1" type="noConversion"/>
  </si>
  <si>
    <t>Page83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</si>
</sst>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0.0%"/>
    <numFmt numFmtId="177" formatCode="&quot;$&quot;#,##0_);[Red]\(&quot;$&quot;#,##0\)"/>
    <numFmt numFmtId="178" formatCode="&quot;$&quot;#,##0.00_);[Red]\(&quot;$&quot;#,##0.00\)"/>
  </numFmts>
  <fonts count="1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vertAlign val="subscript"/>
      <sz val="10"/>
      <name val="Arial"/>
      <family val="2"/>
    </font>
    <font>
      <b/>
      <sz val="11"/>
      <color theme="1"/>
      <name val="等线"/>
      <family val="3"/>
      <charset val="134"/>
      <scheme val="minor"/>
    </font>
    <font>
      <sz val="11"/>
      <color rgb="FF00B050"/>
      <name val="等线"/>
      <family val="2"/>
      <charset val="134"/>
      <scheme val="minor"/>
    </font>
    <font>
      <sz val="11"/>
      <color rgb="FF00B05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0" fillId="0" borderId="0" xfId="0" applyAlignment="1"/>
    <xf numFmtId="0" fontId="5" fillId="0" borderId="0" xfId="0" applyFont="1" applyAlignment="1">
      <alignment horizontal="left"/>
    </xf>
    <xf numFmtId="176" fontId="5" fillId="0" borderId="0" xfId="0" applyNumberFormat="1" applyFont="1" applyAlignment="1">
      <alignment horizontal="right"/>
    </xf>
    <xf numFmtId="0" fontId="5" fillId="0" borderId="0" xfId="0" applyFont="1" applyAlignment="1"/>
    <xf numFmtId="0" fontId="5" fillId="0" borderId="0" xfId="0" applyFont="1" applyAlignment="1">
      <alignment wrapText="1"/>
    </xf>
    <xf numFmtId="10" fontId="5" fillId="0" borderId="0" xfId="0" applyNumberFormat="1" applyFont="1" applyAlignment="1">
      <alignment horizontal="right"/>
    </xf>
    <xf numFmtId="0" fontId="5" fillId="0" borderId="0" xfId="0" applyFont="1" applyAlignment="1">
      <alignment horizontal="right" wrapText="1"/>
    </xf>
    <xf numFmtId="0" fontId="6" fillId="0" borderId="0" xfId="0" applyFont="1" applyAlignment="1"/>
    <xf numFmtId="16" fontId="0" fillId="0" borderId="0" xfId="0" quotePrefix="1" applyNumberFormat="1" applyAlignment="1">
      <alignment horizontal="centerContinuous"/>
    </xf>
    <xf numFmtId="0" fontId="0" fillId="0" borderId="0" xfId="0" applyAlignment="1">
      <alignment horizontal="centerContinuous"/>
    </xf>
    <xf numFmtId="9" fontId="5" fillId="0" borderId="0" xfId="0" applyNumberFormat="1" applyFont="1" applyAlignment="1">
      <alignment horizontal="right"/>
    </xf>
    <xf numFmtId="3" fontId="0" fillId="0" borderId="0" xfId="0" applyNumberFormat="1" applyAlignment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7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wrapText="1"/>
    </xf>
    <xf numFmtId="3" fontId="2" fillId="0" borderId="0" xfId="1" applyNumberFormat="1" applyAlignment="1">
      <alignment horizontal="right" vertical="center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177" fontId="0" fillId="0" borderId="0" xfId="0" applyNumberFormat="1" applyAlignment="1"/>
    <xf numFmtId="0" fontId="7" fillId="0" borderId="0" xfId="0" applyFont="1" applyAlignment="1">
      <alignment horizontal="center" wrapText="1"/>
    </xf>
    <xf numFmtId="0" fontId="7" fillId="0" borderId="0" xfId="0" applyFont="1" applyAlignment="1"/>
    <xf numFmtId="178" fontId="0" fillId="0" borderId="0" xfId="0" applyNumberFormat="1" applyAlignment="1"/>
    <xf numFmtId="10" fontId="0" fillId="0" borderId="0" xfId="0" applyNumberFormat="1" applyAlignment="1"/>
    <xf numFmtId="2" fontId="0" fillId="0" borderId="0" xfId="0" applyNumberFormat="1" applyAlignment="1"/>
    <xf numFmtId="10" fontId="0" fillId="0" borderId="0" xfId="2" applyNumberFormat="1" applyFont="1" applyAlignment="1"/>
    <xf numFmtId="9" fontId="0" fillId="0" borderId="0" xfId="2" applyFont="1" applyAlignment="1"/>
    <xf numFmtId="38" fontId="0" fillId="0" borderId="0" xfId="0" applyNumberFormat="1" applyAlignment="1"/>
    <xf numFmtId="4" fontId="0" fillId="0" borderId="0" xfId="0" applyNumberFormat="1" applyAlignment="1"/>
    <xf numFmtId="0" fontId="0" fillId="0" borderId="0" xfId="0" applyAlignment="1">
      <alignment horizontal="right"/>
    </xf>
    <xf numFmtId="9" fontId="6" fillId="0" borderId="0" xfId="0" applyNumberFormat="1" applyFont="1" applyAlignment="1"/>
    <xf numFmtId="176" fontId="6" fillId="0" borderId="0" xfId="0" applyNumberFormat="1" applyFont="1" applyAlignment="1"/>
    <xf numFmtId="0" fontId="0" fillId="2" borderId="0" xfId="0" applyFill="1" applyAlignment="1"/>
    <xf numFmtId="0" fontId="5" fillId="2" borderId="0" xfId="0" applyFont="1" applyFill="1" applyAlignment="1">
      <alignment horizontal="left"/>
    </xf>
    <xf numFmtId="0" fontId="10" fillId="3" borderId="0" xfId="0" applyFont="1" applyFill="1" applyAlignment="1"/>
    <xf numFmtId="0" fontId="11" fillId="0" borderId="0" xfId="0" applyFont="1" applyAlignment="1"/>
    <xf numFmtId="0" fontId="12" fillId="0" borderId="0" xfId="0" applyFont="1" applyAlignment="1"/>
    <xf numFmtId="0" fontId="3" fillId="0" borderId="0" xfId="0" applyFont="1" applyAlignment="1">
      <alignment horizontal="left" wrapText="1"/>
    </xf>
    <xf numFmtId="0" fontId="3" fillId="0" borderId="0" xfId="0" applyFont="1" applyAlignment="1">
      <alignment vertical="center" wrapText="1"/>
    </xf>
    <xf numFmtId="0" fontId="0" fillId="4" borderId="0" xfId="0" applyFill="1" applyAlignment="1"/>
    <xf numFmtId="3" fontId="0" fillId="5" borderId="0" xfId="0" applyNumberFormat="1" applyFill="1" applyAlignment="1">
      <alignment horizontal="right" vertical="center"/>
    </xf>
    <xf numFmtId="3" fontId="0" fillId="6" borderId="0" xfId="0" applyNumberFormat="1" applyFill="1" applyAlignment="1"/>
    <xf numFmtId="10" fontId="2" fillId="6" borderId="0" xfId="2" applyNumberFormat="1" applyFill="1" applyAlignment="1"/>
    <xf numFmtId="3" fontId="13" fillId="0" borderId="0" xfId="0" applyNumberFormat="1" applyFont="1" applyAlignment="1"/>
    <xf numFmtId="2" fontId="0" fillId="6" borderId="0" xfId="0" applyNumberFormat="1" applyFill="1" applyAlignment="1"/>
    <xf numFmtId="0" fontId="3" fillId="0" borderId="0" xfId="0" applyFont="1" applyAlignment="1"/>
    <xf numFmtId="10" fontId="0" fillId="4" borderId="0" xfId="2" applyNumberFormat="1" applyFont="1" applyFill="1" applyAlignment="1"/>
    <xf numFmtId="10" fontId="0" fillId="4" borderId="0" xfId="0" applyNumberFormat="1" applyFill="1" applyAlignment="1"/>
    <xf numFmtId="38" fontId="0" fillId="4" borderId="0" xfId="0" applyNumberFormat="1" applyFill="1" applyAlignment="1"/>
    <xf numFmtId="2" fontId="0" fillId="4" borderId="0" xfId="0" applyNumberFormat="1" applyFill="1" applyAlignment="1"/>
    <xf numFmtId="0" fontId="4" fillId="0" borderId="0" xfId="0" applyFont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3" fontId="0" fillId="7" borderId="0" xfId="0" applyNumberFormat="1" applyFill="1" applyAlignmen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2314574</xdr:colOff>
      <xdr:row>77</xdr:row>
      <xdr:rowOff>22006</xdr:rowOff>
    </xdr:from>
    <xdr:to>
      <xdr:col>25</xdr:col>
      <xdr:colOff>91768</xdr:colOff>
      <xdr:row>220</xdr:row>
      <xdr:rowOff>18196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81DB241C-3ECF-6400-4D90-DB1E5BB24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492936" y="14348920"/>
          <a:ext cx="10577349" cy="2468617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J136"/>
  <sheetViews>
    <sheetView tabSelected="1" zoomScale="145" zoomScaleNormal="145" workbookViewId="0">
      <selection activeCell="H3" sqref="H3"/>
    </sheetView>
  </sheetViews>
  <sheetFormatPr defaultRowHeight="13.8" x14ac:dyDescent="0.25"/>
  <cols>
    <col min="1" max="1" width="42.44140625" style="1" customWidth="1"/>
    <col min="2" max="2" width="14" style="1" customWidth="1"/>
    <col min="3" max="7" width="12.44140625" style="1" customWidth="1"/>
    <col min="8" max="8" width="35.109375" style="14" customWidth="1"/>
    <col min="9" max="10" width="8.88671875" style="1"/>
  </cols>
  <sheetData>
    <row r="1" spans="1:10" ht="17.399999999999999" x14ac:dyDescent="0.25">
      <c r="A1" s="53" t="s">
        <v>0</v>
      </c>
      <c r="B1" s="53"/>
      <c r="C1" s="53"/>
      <c r="D1" s="53"/>
      <c r="E1" s="53"/>
      <c r="F1" s="53"/>
      <c r="G1" s="53"/>
      <c r="H1" s="53"/>
    </row>
    <row r="2" spans="1:10" x14ac:dyDescent="0.25">
      <c r="A2" s="2" t="s">
        <v>1</v>
      </c>
      <c r="B2" s="3">
        <v>0.05</v>
      </c>
      <c r="C2" s="2"/>
      <c r="D2" s="2"/>
      <c r="E2" s="2"/>
      <c r="F2" s="2"/>
      <c r="G2" s="4"/>
      <c r="H2" s="5"/>
      <c r="I2" s="4"/>
      <c r="J2" s="4"/>
    </row>
    <row r="3" spans="1:10" x14ac:dyDescent="0.25">
      <c r="A3" s="36" t="s">
        <v>2</v>
      </c>
      <c r="B3" s="3">
        <v>0</v>
      </c>
      <c r="C3" s="2"/>
      <c r="D3" s="2"/>
      <c r="E3" s="2"/>
      <c r="F3" s="2"/>
      <c r="G3" s="4"/>
      <c r="H3" s="5"/>
      <c r="I3" s="4"/>
      <c r="J3" s="4"/>
    </row>
    <row r="4" spans="1:10" x14ac:dyDescent="0.25">
      <c r="A4" s="36" t="s">
        <v>3</v>
      </c>
      <c r="B4" s="6">
        <v>6.1899999999999997E-2</v>
      </c>
      <c r="C4" s="2"/>
      <c r="D4" s="2"/>
      <c r="E4" s="2"/>
      <c r="F4" s="2"/>
      <c r="G4" s="4"/>
      <c r="H4" s="5"/>
      <c r="I4" s="4"/>
      <c r="J4" s="4"/>
    </row>
    <row r="5" spans="1:10" x14ac:dyDescent="0.25">
      <c r="A5" s="36" t="s">
        <v>4</v>
      </c>
      <c r="B5" s="6">
        <v>8.1299999999999997E-2</v>
      </c>
      <c r="C5" s="2"/>
      <c r="D5" s="2"/>
      <c r="E5" s="2"/>
      <c r="F5" s="2"/>
      <c r="G5" s="4"/>
      <c r="H5" s="5"/>
      <c r="I5" s="4"/>
      <c r="J5" s="4"/>
    </row>
    <row r="6" spans="1:10" x14ac:dyDescent="0.25">
      <c r="A6" s="36" t="s">
        <v>5</v>
      </c>
      <c r="B6" s="6">
        <v>6.7100000000000007E-2</v>
      </c>
      <c r="C6" s="2"/>
      <c r="D6" s="2"/>
      <c r="E6" s="2"/>
      <c r="F6" s="2"/>
      <c r="G6" s="4"/>
      <c r="H6" s="5"/>
      <c r="I6" s="4"/>
      <c r="J6" s="4"/>
    </row>
    <row r="7" spans="1:10" x14ac:dyDescent="0.25">
      <c r="A7" s="36" t="s">
        <v>6</v>
      </c>
      <c r="B7" s="6">
        <v>8.77E-2</v>
      </c>
      <c r="C7" s="2"/>
      <c r="D7" s="2"/>
      <c r="E7" s="2"/>
      <c r="F7" s="2"/>
      <c r="G7" s="4"/>
      <c r="H7" s="5"/>
      <c r="I7" s="4"/>
      <c r="J7" s="4"/>
    </row>
    <row r="8" spans="1:10" x14ac:dyDescent="0.25">
      <c r="A8" s="2"/>
      <c r="B8" s="6"/>
      <c r="C8" s="2"/>
      <c r="D8" s="2"/>
      <c r="E8" s="2"/>
      <c r="F8" s="2"/>
      <c r="G8" s="4"/>
      <c r="H8" s="5"/>
      <c r="I8" s="4"/>
      <c r="J8" s="4"/>
    </row>
    <row r="9" spans="1:10" x14ac:dyDescent="0.25">
      <c r="A9" s="2" t="s">
        <v>7</v>
      </c>
      <c r="B9" s="6">
        <v>3.5099999999999999E-2</v>
      </c>
      <c r="C9" s="6">
        <v>3.5999999999999997E-2</v>
      </c>
      <c r="D9" s="6">
        <v>3.7999999999999999E-2</v>
      </c>
      <c r="E9" s="6">
        <v>3.9E-2</v>
      </c>
      <c r="F9" s="6">
        <v>0.04</v>
      </c>
      <c r="G9" s="6">
        <v>4.2000000000000003E-2</v>
      </c>
      <c r="H9" s="7"/>
      <c r="I9" s="4"/>
      <c r="J9" s="4"/>
    </row>
    <row r="10" spans="1:10" x14ac:dyDescent="0.25">
      <c r="A10" s="2" t="s">
        <v>8</v>
      </c>
      <c r="B10" s="6">
        <v>4.7199999999999999E-2</v>
      </c>
      <c r="C10" s="2"/>
      <c r="D10" s="2"/>
      <c r="E10" s="2"/>
      <c r="F10" s="2"/>
      <c r="G10" s="4"/>
      <c r="H10" s="5"/>
      <c r="I10" s="4"/>
      <c r="J10" s="4"/>
    </row>
    <row r="11" spans="1:10" x14ac:dyDescent="0.25">
      <c r="A11" s="2" t="s">
        <v>9</v>
      </c>
      <c r="B11" s="6">
        <v>6.3799999999999996E-2</v>
      </c>
      <c r="C11" s="2"/>
      <c r="D11" s="2"/>
      <c r="E11" s="2"/>
      <c r="F11" s="2"/>
      <c r="G11" s="4"/>
      <c r="H11" s="5"/>
      <c r="I11" s="4"/>
      <c r="J11" s="4"/>
    </row>
    <row r="12" spans="1:10" x14ac:dyDescent="0.25">
      <c r="A12" s="2"/>
      <c r="B12" s="6"/>
      <c r="C12" s="2"/>
      <c r="D12" s="2"/>
      <c r="E12" s="2"/>
      <c r="F12" s="2"/>
      <c r="G12" s="4"/>
      <c r="H12" s="5"/>
      <c r="I12" s="4"/>
      <c r="J12" s="4"/>
    </row>
    <row r="13" spans="1:10" x14ac:dyDescent="0.25">
      <c r="A13" s="2" t="s">
        <v>10</v>
      </c>
      <c r="B13" s="6">
        <v>3.0000000000000001E-3</v>
      </c>
      <c r="C13" s="2"/>
      <c r="D13" s="2"/>
      <c r="E13" s="2"/>
      <c r="F13" s="2"/>
      <c r="G13" s="4"/>
      <c r="H13" s="5"/>
      <c r="I13" s="4"/>
      <c r="J13" s="4"/>
    </row>
    <row r="14" spans="1:10" x14ac:dyDescent="0.25">
      <c r="A14" s="2" t="s">
        <v>11</v>
      </c>
      <c r="B14" s="6">
        <v>0.253</v>
      </c>
      <c r="C14" s="2"/>
      <c r="D14" s="8"/>
      <c r="G14" s="4"/>
      <c r="H14" s="5"/>
      <c r="I14" s="4"/>
      <c r="J14" s="4"/>
    </row>
    <row r="15" spans="1:10" x14ac:dyDescent="0.25">
      <c r="A15" s="2" t="s">
        <v>12</v>
      </c>
      <c r="B15" s="6">
        <v>0.7</v>
      </c>
      <c r="C15" s="2" t="s">
        <v>13</v>
      </c>
      <c r="E15" s="9"/>
      <c r="F15" s="10"/>
      <c r="G15" s="4"/>
      <c r="H15" s="5"/>
      <c r="I15" s="4"/>
      <c r="J15" s="4"/>
    </row>
    <row r="16" spans="1:10" x14ac:dyDescent="0.25">
      <c r="A16" s="2"/>
      <c r="B16" s="6"/>
      <c r="C16" s="2"/>
      <c r="E16" s="8"/>
      <c r="F16" s="8"/>
      <c r="G16" s="4"/>
      <c r="H16" s="5"/>
      <c r="I16" s="4"/>
      <c r="J16" s="4"/>
    </row>
    <row r="17" spans="1:10" x14ac:dyDescent="0.25">
      <c r="A17" s="2" t="s">
        <v>14</v>
      </c>
      <c r="B17" s="11">
        <v>0.06</v>
      </c>
      <c r="C17" s="2"/>
      <c r="E17" s="12"/>
      <c r="F17" s="12"/>
      <c r="G17" s="4"/>
      <c r="H17" s="5"/>
      <c r="I17" s="4"/>
      <c r="J17" s="4"/>
    </row>
    <row r="18" spans="1:10" x14ac:dyDescent="0.25">
      <c r="A18" s="2" t="s">
        <v>15</v>
      </c>
      <c r="B18" s="11">
        <v>0.05</v>
      </c>
      <c r="C18" s="2"/>
      <c r="E18" s="12"/>
      <c r="F18" s="12"/>
      <c r="G18" s="4"/>
      <c r="H18" s="5"/>
      <c r="I18" s="4"/>
      <c r="J18" s="4"/>
    </row>
    <row r="19" spans="1:10" x14ac:dyDescent="0.25">
      <c r="A19" s="2"/>
      <c r="B19" s="11"/>
      <c r="C19" s="2"/>
      <c r="E19" s="12"/>
      <c r="F19" s="12"/>
      <c r="G19" s="4"/>
      <c r="H19" s="5"/>
      <c r="I19" s="4"/>
      <c r="J19" s="4"/>
    </row>
    <row r="20" spans="1:10" x14ac:dyDescent="0.25">
      <c r="A20" s="2" t="s">
        <v>16</v>
      </c>
      <c r="B20" s="11">
        <v>0.1</v>
      </c>
      <c r="C20" s="2"/>
      <c r="E20" s="12"/>
      <c r="F20" s="12"/>
      <c r="G20" s="4"/>
      <c r="H20" s="5"/>
      <c r="I20" s="4"/>
      <c r="J20" s="4"/>
    </row>
    <row r="21" spans="1:10" x14ac:dyDescent="0.25">
      <c r="A21" s="2" t="s">
        <v>17</v>
      </c>
      <c r="B21" s="11">
        <v>0.35</v>
      </c>
      <c r="C21" s="2"/>
      <c r="E21" s="12"/>
      <c r="F21" s="12"/>
      <c r="G21" s="4"/>
      <c r="H21" s="5"/>
      <c r="I21" s="4"/>
      <c r="J21" s="4"/>
    </row>
    <row r="22" spans="1:10" x14ac:dyDescent="0.25">
      <c r="A22" s="2" t="s">
        <v>18</v>
      </c>
      <c r="B22" s="11">
        <v>0.6</v>
      </c>
      <c r="C22" s="2"/>
      <c r="E22" s="12"/>
      <c r="F22" s="12"/>
      <c r="G22" s="4"/>
      <c r="H22" s="5"/>
      <c r="I22" s="4"/>
      <c r="J22" s="4"/>
    </row>
    <row r="23" spans="1:10" x14ac:dyDescent="0.25">
      <c r="A23" s="2"/>
      <c r="B23" s="2"/>
      <c r="C23" s="2"/>
      <c r="D23" s="2"/>
      <c r="E23" s="2"/>
      <c r="F23" s="2"/>
      <c r="G23" s="4"/>
      <c r="H23" s="5"/>
      <c r="I23" s="4"/>
      <c r="J23" s="4"/>
    </row>
    <row r="24" spans="1:10" x14ac:dyDescent="0.25">
      <c r="A24" s="13"/>
      <c r="B24" s="13"/>
      <c r="C24" s="13"/>
      <c r="D24" s="13"/>
      <c r="E24" s="13"/>
      <c r="F24" s="13"/>
    </row>
    <row r="25" spans="1:10" ht="39.6" x14ac:dyDescent="0.25">
      <c r="A25" s="15" t="s">
        <v>19</v>
      </c>
      <c r="B25" s="16" t="s">
        <v>20</v>
      </c>
      <c r="C25" s="17">
        <v>2007</v>
      </c>
      <c r="D25" s="17">
        <v>2008</v>
      </c>
      <c r="E25" s="17">
        <v>2009</v>
      </c>
      <c r="F25" s="17">
        <v>2010</v>
      </c>
      <c r="G25" s="17">
        <v>2011</v>
      </c>
      <c r="H25" s="18"/>
      <c r="I25" s="8"/>
      <c r="J25" s="8"/>
    </row>
    <row r="26" spans="1:10" x14ac:dyDescent="0.25">
      <c r="A26" s="1" t="s">
        <v>21</v>
      </c>
      <c r="B26" s="12">
        <v>386832</v>
      </c>
      <c r="C26" s="12">
        <f>C40*$B$2</f>
        <v>400041.70500000007</v>
      </c>
      <c r="D26" s="12">
        <f t="shared" ref="D26:G26" si="0">D40*$B$2</f>
        <v>420043.79025000008</v>
      </c>
      <c r="E26" s="12">
        <f t="shared" si="0"/>
        <v>441045.97976250009</v>
      </c>
      <c r="F26" s="12">
        <f t="shared" si="0"/>
        <v>463098.27875062509</v>
      </c>
      <c r="G26" s="12">
        <f t="shared" si="0"/>
        <v>486253.19268815638</v>
      </c>
      <c r="H26" s="14" t="str">
        <f ca="1">[1]!getformula(G26)</f>
        <v>&lt;--  =G40*$B$2</v>
      </c>
    </row>
    <row r="27" spans="1:10" ht="41.4" x14ac:dyDescent="0.25">
      <c r="A27" s="40" t="s">
        <v>22</v>
      </c>
      <c r="B27" s="19">
        <f>243162+1946944</f>
        <v>2190106</v>
      </c>
      <c r="C27" s="43">
        <f ca="1">IF(C26+C28+C29+C30+C35+C37&gt;C47,0,C47-(C26+C28+C29+C30+C35+C37))</f>
        <v>2013468.5145162996</v>
      </c>
      <c r="D27" s="43">
        <f t="shared" ref="D27:G27" ca="1" si="1">IF(D26+D28+D29+D30+D35+D37&gt;D47,0,D47-(D26+D28+D29+D30+D35+D37))</f>
        <v>2080732.6099081449</v>
      </c>
      <c r="E27" s="43">
        <f t="shared" ca="1" si="1"/>
        <v>2146037.1817778712</v>
      </c>
      <c r="F27" s="43">
        <f t="shared" ca="1" si="1"/>
        <v>2209643.6273526922</v>
      </c>
      <c r="G27" s="43">
        <f t="shared" ca="1" si="1"/>
        <v>2271118.2233429458</v>
      </c>
      <c r="H27" s="14" t="str">
        <f ca="1">[1]!getformula(G27)</f>
        <v>&lt;--  =IF(G26+G28+G29+G30+G35+G37&gt;G47,0,G47-(G26+G28+G29+G30+G35+G37))</v>
      </c>
    </row>
    <row r="28" spans="1:10" x14ac:dyDescent="0.25">
      <c r="A28" s="38" t="s">
        <v>23</v>
      </c>
      <c r="B28" s="12">
        <v>18953</v>
      </c>
      <c r="C28" s="12">
        <f>B28</f>
        <v>18953</v>
      </c>
      <c r="D28" s="12">
        <f t="shared" ref="D28:G28" si="2">C28</f>
        <v>18953</v>
      </c>
      <c r="E28" s="12">
        <f t="shared" si="2"/>
        <v>18953</v>
      </c>
      <c r="F28" s="12">
        <f t="shared" si="2"/>
        <v>18953</v>
      </c>
      <c r="G28" s="12">
        <f t="shared" si="2"/>
        <v>18953</v>
      </c>
      <c r="H28" s="12" t="str">
        <f ca="1">[1]!getformula(G28)</f>
        <v>&lt;--  =F28</v>
      </c>
    </row>
    <row r="29" spans="1:10" x14ac:dyDescent="0.25">
      <c r="A29" s="39" t="s">
        <v>24</v>
      </c>
      <c r="B29" s="12">
        <v>21444</v>
      </c>
      <c r="C29" s="12">
        <f>B29</f>
        <v>21444</v>
      </c>
      <c r="D29" s="12">
        <f t="shared" ref="D29:G29" si="3">C29</f>
        <v>21444</v>
      </c>
      <c r="E29" s="12">
        <f t="shared" si="3"/>
        <v>21444</v>
      </c>
      <c r="F29" s="12">
        <f t="shared" si="3"/>
        <v>21444</v>
      </c>
      <c r="G29" s="12">
        <f t="shared" si="3"/>
        <v>21444</v>
      </c>
      <c r="H29" s="12" t="str">
        <f ca="1">[1]!getformula(G29)</f>
        <v>&lt;--  =F29</v>
      </c>
    </row>
    <row r="30" spans="1:10" x14ac:dyDescent="0.25">
      <c r="A30" s="35" t="s">
        <v>25</v>
      </c>
      <c r="B30" s="12">
        <v>5869914</v>
      </c>
      <c r="C30" s="12">
        <f>B30*(1+$B$17)</f>
        <v>6222108.8399999999</v>
      </c>
      <c r="D30" s="12">
        <f t="shared" ref="D30:G30" si="4">C30*(1+$B$17)</f>
        <v>6595435.3704000004</v>
      </c>
      <c r="E30" s="12">
        <f t="shared" si="4"/>
        <v>6991161.4926240006</v>
      </c>
      <c r="F30" s="12">
        <f t="shared" si="4"/>
        <v>7410631.1821814412</v>
      </c>
      <c r="G30" s="12">
        <f t="shared" si="4"/>
        <v>7855269.0531123281</v>
      </c>
      <c r="H30" s="12" t="str">
        <f ca="1">[1]!getformula(G30)</f>
        <v>&lt;--  =F30*(1+$B$17)</v>
      </c>
    </row>
    <row r="31" spans="1:10" x14ac:dyDescent="0.25">
      <c r="B31" s="12"/>
      <c r="C31" s="12"/>
      <c r="D31" s="12"/>
      <c r="E31" s="12"/>
      <c r="F31" s="12"/>
      <c r="G31" s="12"/>
    </row>
    <row r="32" spans="1:10" x14ac:dyDescent="0.25">
      <c r="A32" s="38" t="s">
        <v>26</v>
      </c>
      <c r="B32" s="12">
        <v>38099</v>
      </c>
      <c r="C32" s="12">
        <f>B32</f>
        <v>38099</v>
      </c>
      <c r="D32" s="12">
        <f t="shared" ref="D32:G32" si="5">C32</f>
        <v>38099</v>
      </c>
      <c r="E32" s="12">
        <f t="shared" si="5"/>
        <v>38099</v>
      </c>
      <c r="F32" s="12">
        <f t="shared" si="5"/>
        <v>38099</v>
      </c>
      <c r="G32" s="12">
        <f t="shared" si="5"/>
        <v>38099</v>
      </c>
      <c r="H32" s="1"/>
    </row>
    <row r="33" spans="1:8" x14ac:dyDescent="0.25">
      <c r="A33" s="1" t="s">
        <v>27</v>
      </c>
      <c r="B33" s="12">
        <f>169101+113855</f>
        <v>282956</v>
      </c>
      <c r="C33" s="12">
        <f ca="1">C34+C35</f>
        <v>356727.77777777775</v>
      </c>
      <c r="D33" s="12">
        <f t="shared" ref="D33:G33" ca="1" si="6">D34+D35</f>
        <v>396364.19753086421</v>
      </c>
      <c r="E33" s="12">
        <f t="shared" ca="1" si="6"/>
        <v>440404.66392318247</v>
      </c>
      <c r="F33" s="12">
        <f t="shared" ca="1" si="6"/>
        <v>489338.51547020272</v>
      </c>
      <c r="G33" s="12">
        <f t="shared" ca="1" si="6"/>
        <v>543709.46163355862</v>
      </c>
      <c r="H33" s="12" t="str">
        <f ca="1">[1]!getformula(G33)</f>
        <v>&lt;--  =G34+G35</v>
      </c>
    </row>
    <row r="34" spans="1:8" x14ac:dyDescent="0.25">
      <c r="A34" s="1" t="s">
        <v>28</v>
      </c>
      <c r="B34" s="12">
        <v>156754</v>
      </c>
      <c r="C34" s="12">
        <f ca="1">B34-C69</f>
        <v>192426.77777777778</v>
      </c>
      <c r="D34" s="12">
        <f t="shared" ref="D34:G34" ca="1" si="7">C34-D69</f>
        <v>232063.19753086421</v>
      </c>
      <c r="E34" s="12">
        <f t="shared" ca="1" si="7"/>
        <v>276103.66392318247</v>
      </c>
      <c r="F34" s="12">
        <f t="shared" ca="1" si="7"/>
        <v>325037.51547020272</v>
      </c>
      <c r="G34" s="12">
        <f t="shared" ca="1" si="7"/>
        <v>379408.46163355862</v>
      </c>
      <c r="H34" s="12" t="str">
        <f ca="1">[1]!getformula(G34)</f>
        <v>&lt;--  =F34-G69</v>
      </c>
    </row>
    <row r="35" spans="1:8" x14ac:dyDescent="0.25">
      <c r="A35" s="38" t="s">
        <v>102</v>
      </c>
      <c r="B35" s="12">
        <f>B32+B33-B34</f>
        <v>164301</v>
      </c>
      <c r="C35" s="12">
        <f>B35</f>
        <v>164301</v>
      </c>
      <c r="D35" s="12">
        <f t="shared" ref="D35:G35" si="8">C35</f>
        <v>164301</v>
      </c>
      <c r="E35" s="12">
        <f t="shared" si="8"/>
        <v>164301</v>
      </c>
      <c r="F35" s="12">
        <f t="shared" si="8"/>
        <v>164301</v>
      </c>
      <c r="G35" s="12">
        <f t="shared" si="8"/>
        <v>164301</v>
      </c>
      <c r="H35" s="12" t="str">
        <f ca="1">[1]!getformula(G35)</f>
        <v>&lt;--  =F35</v>
      </c>
    </row>
    <row r="36" spans="1:8" x14ac:dyDescent="0.25">
      <c r="B36" s="12"/>
      <c r="C36" s="12"/>
      <c r="D36" s="12"/>
      <c r="E36" s="12"/>
      <c r="F36" s="12"/>
      <c r="G36" s="12"/>
      <c r="H36" s="1"/>
    </row>
    <row r="37" spans="1:8" x14ac:dyDescent="0.25">
      <c r="A37" s="38" t="s">
        <v>29</v>
      </c>
      <c r="B37" s="12">
        <f>524388-164301</f>
        <v>360087</v>
      </c>
      <c r="C37" s="12">
        <f>B37</f>
        <v>360087</v>
      </c>
      <c r="D37" s="12">
        <f t="shared" ref="D37:G37" si="9">C37</f>
        <v>360087</v>
      </c>
      <c r="E37" s="12">
        <f t="shared" si="9"/>
        <v>360087</v>
      </c>
      <c r="F37" s="12">
        <f t="shared" si="9"/>
        <v>360087</v>
      </c>
      <c r="G37" s="12">
        <f t="shared" si="9"/>
        <v>360087</v>
      </c>
      <c r="H37" s="12" t="str">
        <f ca="1">[1]!getformula(G37)</f>
        <v>&lt;--  =F37</v>
      </c>
    </row>
    <row r="38" spans="1:8" x14ac:dyDescent="0.25">
      <c r="A38" s="8" t="s">
        <v>30</v>
      </c>
      <c r="B38" s="12">
        <f t="shared" ref="B38:C38" si="10">B37+B35+SUM(B26:B30)</f>
        <v>9011637</v>
      </c>
      <c r="C38" s="12">
        <f t="shared" ca="1" si="10"/>
        <v>9200404.0595162995</v>
      </c>
      <c r="D38" s="12">
        <f t="shared" ref="D38:G38" ca="1" si="11">D37+D35+SUM(D26:D30)</f>
        <v>9660996.7705581449</v>
      </c>
      <c r="E38" s="12">
        <f t="shared" ca="1" si="11"/>
        <v>10143029.654164372</v>
      </c>
      <c r="F38" s="12">
        <f t="shared" ca="1" si="11"/>
        <v>10648158.088284759</v>
      </c>
      <c r="G38" s="12">
        <f t="shared" ca="1" si="11"/>
        <v>11177425.46914343</v>
      </c>
      <c r="H38" s="12" t="str">
        <f ca="1">[1]!getformula(G38)</f>
        <v>&lt;--  =G37+G35+SUM(G26:G30)</v>
      </c>
    </row>
    <row r="39" spans="1:8" x14ac:dyDescent="0.25">
      <c r="B39" s="12"/>
      <c r="C39" s="12"/>
      <c r="D39" s="12"/>
      <c r="E39" s="12"/>
      <c r="F39" s="12"/>
      <c r="G39" s="12"/>
      <c r="H39" s="1"/>
    </row>
    <row r="40" spans="1:8" x14ac:dyDescent="0.25">
      <c r="A40" s="1" t="s">
        <v>31</v>
      </c>
      <c r="B40" s="12">
        <v>7619842</v>
      </c>
      <c r="C40" s="12">
        <f>B40*(1+$B$18)</f>
        <v>8000834.1000000006</v>
      </c>
      <c r="D40" s="12">
        <f t="shared" ref="D40:G40" si="12">C40*(1+$B$18)</f>
        <v>8400875.8050000016</v>
      </c>
      <c r="E40" s="12">
        <f t="shared" si="12"/>
        <v>8820919.5952500012</v>
      </c>
      <c r="F40" s="12">
        <f t="shared" si="12"/>
        <v>9261965.5750125013</v>
      </c>
      <c r="G40" s="12">
        <f t="shared" si="12"/>
        <v>9725063.8537631277</v>
      </c>
      <c r="H40" s="12" t="str">
        <f ca="1">[1]!getformula(G40)</f>
        <v>&lt;--  =F40*(1+$B$18)</v>
      </c>
    </row>
    <row r="41" spans="1:8" ht="27.6" x14ac:dyDescent="0.25">
      <c r="A41" s="41" t="s">
        <v>32</v>
      </c>
      <c r="B41" s="21">
        <v>251687</v>
      </c>
      <c r="C41" s="21">
        <f ca="1">IF(C38&gt;C40+SUM(C42:C46),C38-C40-SUM(C42:C46),0)</f>
        <v>0</v>
      </c>
      <c r="D41" s="21">
        <f t="shared" ref="D41:G41" ca="1" si="13">IF(D38&gt;D40+SUM(D42:D46),D38-D40-SUM(D42:D46),0)</f>
        <v>0</v>
      </c>
      <c r="E41" s="21">
        <f t="shared" ca="1" si="13"/>
        <v>0</v>
      </c>
      <c r="F41" s="21">
        <f t="shared" ca="1" si="13"/>
        <v>0</v>
      </c>
      <c r="G41" s="21">
        <f t="shared" ca="1" si="13"/>
        <v>0</v>
      </c>
      <c r="H41" s="12" t="str">
        <f ca="1">[1]!getformula(G41)</f>
        <v>&lt;--  =IF(G38&gt;G40+SUM(G42:G46),G38-G40-SUM(G42:G46),0)</v>
      </c>
    </row>
    <row r="42" spans="1:8" x14ac:dyDescent="0.25">
      <c r="A42" s="39" t="s">
        <v>103</v>
      </c>
      <c r="B42" s="12">
        <f>2826</f>
        <v>2826</v>
      </c>
      <c r="C42" s="12">
        <f>B42</f>
        <v>2826</v>
      </c>
      <c r="D42" s="12">
        <f t="shared" ref="D42:G42" si="14">C42</f>
        <v>2826</v>
      </c>
      <c r="E42" s="12">
        <f t="shared" si="14"/>
        <v>2826</v>
      </c>
      <c r="F42" s="12">
        <f t="shared" si="14"/>
        <v>2826</v>
      </c>
      <c r="G42" s="12">
        <f t="shared" si="14"/>
        <v>2826</v>
      </c>
      <c r="H42" s="12" t="str">
        <f ca="1">[1]!getformula(G42)</f>
        <v>&lt;--  =F42</v>
      </c>
    </row>
    <row r="43" spans="1:8" x14ac:dyDescent="0.25">
      <c r="A43" s="1" t="s">
        <v>33</v>
      </c>
      <c r="B43" s="12">
        <v>126126</v>
      </c>
      <c r="C43" s="12">
        <f>B43</f>
        <v>126126</v>
      </c>
      <c r="D43" s="12">
        <f t="shared" ref="D43:G43" si="15">C43</f>
        <v>126126</v>
      </c>
      <c r="E43" s="12">
        <f t="shared" si="15"/>
        <v>126126</v>
      </c>
      <c r="F43" s="12">
        <f t="shared" si="15"/>
        <v>126126</v>
      </c>
      <c r="G43" s="12">
        <f t="shared" si="15"/>
        <v>126126</v>
      </c>
      <c r="H43" s="12"/>
    </row>
    <row r="44" spans="1:8" x14ac:dyDescent="0.25">
      <c r="A44" s="1" t="s">
        <v>34</v>
      </c>
      <c r="B44" s="12"/>
      <c r="C44" s="12"/>
      <c r="D44" s="12"/>
      <c r="E44" s="12"/>
      <c r="F44" s="12"/>
      <c r="G44" s="12"/>
      <c r="H44" s="12"/>
    </row>
    <row r="45" spans="1:8" x14ac:dyDescent="0.25">
      <c r="A45" s="1" t="s">
        <v>35</v>
      </c>
      <c r="B45" s="12">
        <v>489322</v>
      </c>
      <c r="C45" s="12">
        <f>B45</f>
        <v>489322</v>
      </c>
      <c r="D45" s="12">
        <f t="shared" ref="D45:G45" si="16">C45</f>
        <v>489322</v>
      </c>
      <c r="E45" s="12">
        <f t="shared" si="16"/>
        <v>489322</v>
      </c>
      <c r="F45" s="12">
        <f t="shared" si="16"/>
        <v>489322</v>
      </c>
      <c r="G45" s="12">
        <f t="shared" si="16"/>
        <v>489322</v>
      </c>
      <c r="H45" s="12"/>
    </row>
    <row r="46" spans="1:8" x14ac:dyDescent="0.25">
      <c r="A46" s="1" t="s">
        <v>36</v>
      </c>
      <c r="B46" s="12">
        <f>B38-SUM(B40:B45)</f>
        <v>521834</v>
      </c>
      <c r="C46" s="12">
        <f ca="1">B46+C74</f>
        <v>581295.95951629721</v>
      </c>
      <c r="D46" s="12">
        <f t="shared" ref="D46:G46" ca="1" si="17">C46+D74</f>
        <v>641846.96555814345</v>
      </c>
      <c r="E46" s="12">
        <f t="shared" ca="1" si="17"/>
        <v>703836.05891437014</v>
      </c>
      <c r="F46" s="12">
        <f t="shared" ca="1" si="17"/>
        <v>767918.5132722581</v>
      </c>
      <c r="G46" s="12">
        <f t="shared" ca="1" si="17"/>
        <v>834087.61538030207</v>
      </c>
      <c r="H46" s="12" t="str">
        <f ca="1">[1]!getformula(G46)</f>
        <v>&lt;--  =F46+G74</v>
      </c>
    </row>
    <row r="47" spans="1:8" x14ac:dyDescent="0.25">
      <c r="A47" s="8" t="s">
        <v>37</v>
      </c>
      <c r="B47" s="12">
        <f>SUM(B40:B46)</f>
        <v>9011637</v>
      </c>
      <c r="C47" s="44">
        <f ca="1">SUM(C40:C46)</f>
        <v>9200404.0595162995</v>
      </c>
      <c r="D47" s="44">
        <f t="shared" ref="D47:G47" ca="1" si="18">SUM(D40:D46)</f>
        <v>9660996.7705581449</v>
      </c>
      <c r="E47" s="44">
        <f t="shared" ca="1" si="18"/>
        <v>10143029.654164372</v>
      </c>
      <c r="F47" s="44">
        <f t="shared" ca="1" si="18"/>
        <v>10648158.088284759</v>
      </c>
      <c r="G47" s="44">
        <f t="shared" ca="1" si="18"/>
        <v>11177425.46914343</v>
      </c>
      <c r="H47" s="12" t="str">
        <f ca="1">[1]!getformula(G47)</f>
        <v>&lt;--  =SUM(G40:G46)</v>
      </c>
    </row>
    <row r="48" spans="1:8" x14ac:dyDescent="0.25">
      <c r="A48" s="8"/>
      <c r="B48" s="22"/>
      <c r="C48" s="22"/>
      <c r="D48" s="22"/>
      <c r="E48" s="22"/>
      <c r="F48" s="22"/>
      <c r="G48" s="22"/>
      <c r="H48" s="1"/>
    </row>
    <row r="49" spans="1:10" x14ac:dyDescent="0.25">
      <c r="A49" s="8"/>
      <c r="B49" s="22"/>
      <c r="C49" s="22"/>
      <c r="D49" s="22"/>
      <c r="E49" s="22"/>
      <c r="F49" s="22"/>
      <c r="G49" s="22"/>
      <c r="H49" s="1"/>
    </row>
    <row r="50" spans="1:10" ht="31.2" x14ac:dyDescent="0.3">
      <c r="A50" s="23" t="s">
        <v>38</v>
      </c>
      <c r="C50" s="17">
        <v>2007</v>
      </c>
      <c r="D50" s="17">
        <v>2008</v>
      </c>
      <c r="E50" s="17">
        <v>2009</v>
      </c>
      <c r="F50" s="17">
        <v>2010</v>
      </c>
      <c r="G50" s="17">
        <v>2011</v>
      </c>
      <c r="H50" s="8"/>
      <c r="I50" s="8"/>
      <c r="J50" s="8"/>
    </row>
    <row r="51" spans="1:10" x14ac:dyDescent="0.25">
      <c r="A51" s="1" t="s">
        <v>39</v>
      </c>
      <c r="B51" s="8"/>
      <c r="H51" s="1"/>
    </row>
    <row r="52" spans="1:10" x14ac:dyDescent="0.25">
      <c r="A52" s="1" t="s">
        <v>40</v>
      </c>
      <c r="B52" s="12"/>
      <c r="C52" s="12">
        <f>AVERAGE(B26:C26)*$B3</f>
        <v>0</v>
      </c>
      <c r="D52" s="12">
        <f t="shared" ref="D52:G52" si="19">AVERAGE(C26:D26)*$B3</f>
        <v>0</v>
      </c>
      <c r="E52" s="12">
        <f t="shared" si="19"/>
        <v>0</v>
      </c>
      <c r="F52" s="12">
        <f t="shared" si="19"/>
        <v>0</v>
      </c>
      <c r="G52" s="12">
        <f t="shared" si="19"/>
        <v>0</v>
      </c>
      <c r="H52" s="12" t="str">
        <f ca="1">[1]!getformula(G52)</f>
        <v>&lt;--  =AVERAGE(F26:G26)*$B3</v>
      </c>
    </row>
    <row r="53" spans="1:10" x14ac:dyDescent="0.25">
      <c r="A53" s="1" t="s">
        <v>41</v>
      </c>
      <c r="B53" s="12"/>
      <c r="C53" s="12">
        <f t="shared" ref="C53:C56" ca="1" si="20">AVERAGE(B27:C27)*$B4</f>
        <v>130100.63122427947</v>
      </c>
      <c r="D53" s="12">
        <f t="shared" ref="D53:G53" ca="1" si="21">AVERAGE(C27:D27)*$B4</f>
        <v>126715.52480093655</v>
      </c>
      <c r="E53" s="12">
        <f t="shared" ca="1" si="21"/>
        <v>130818.52505268219</v>
      </c>
      <c r="F53" s="12">
        <f t="shared" ca="1" si="21"/>
        <v>134808.32104259092</v>
      </c>
      <c r="G53" s="12">
        <f t="shared" ca="1" si="21"/>
        <v>138679.57927902997</v>
      </c>
      <c r="H53" s="12" t="str">
        <f ca="1">[1]!getformula(G53)</f>
        <v>&lt;--  =AVERAGE(F27:G27)*$B4</v>
      </c>
    </row>
    <row r="54" spans="1:10" x14ac:dyDescent="0.25">
      <c r="A54" s="1" t="s">
        <v>42</v>
      </c>
      <c r="B54" s="12"/>
      <c r="C54" s="12">
        <f t="shared" si="20"/>
        <v>1540.8788999999999</v>
      </c>
      <c r="D54" s="12">
        <f t="shared" ref="D54:G54" si="22">AVERAGE(C28:D28)*$B5</f>
        <v>1540.8788999999999</v>
      </c>
      <c r="E54" s="12">
        <f t="shared" si="22"/>
        <v>1540.8788999999999</v>
      </c>
      <c r="F54" s="12">
        <f t="shared" si="22"/>
        <v>1540.8788999999999</v>
      </c>
      <c r="G54" s="12">
        <f t="shared" si="22"/>
        <v>1540.8788999999999</v>
      </c>
      <c r="H54" s="12" t="str">
        <f ca="1">[1]!getformula(G54)</f>
        <v>&lt;--  =AVERAGE(F28:G28)*$B5</v>
      </c>
    </row>
    <row r="55" spans="1:10" x14ac:dyDescent="0.25">
      <c r="A55" s="1" t="s">
        <v>43</v>
      </c>
      <c r="B55" s="12"/>
      <c r="C55" s="12">
        <f t="shared" si="20"/>
        <v>1438.8924000000002</v>
      </c>
      <c r="D55" s="12">
        <f t="shared" ref="D55:G55" si="23">AVERAGE(C29:D29)*$B6</f>
        <v>1438.8924000000002</v>
      </c>
      <c r="E55" s="12">
        <f t="shared" si="23"/>
        <v>1438.8924000000002</v>
      </c>
      <c r="F55" s="12">
        <f t="shared" si="23"/>
        <v>1438.8924000000002</v>
      </c>
      <c r="G55" s="12">
        <f t="shared" si="23"/>
        <v>1438.8924000000002</v>
      </c>
      <c r="H55" s="12" t="str">
        <f ca="1">[1]!getformula(G55)</f>
        <v>&lt;--  =AVERAGE(F29:G29)*$B6</v>
      </c>
    </row>
    <row r="56" spans="1:10" x14ac:dyDescent="0.25">
      <c r="A56" s="1" t="s">
        <v>44</v>
      </c>
      <c r="B56" s="12"/>
      <c r="C56" s="12">
        <f t="shared" si="20"/>
        <v>530235.20153399999</v>
      </c>
      <c r="D56" s="12">
        <f t="shared" ref="D56:G56" si="24">AVERAGE(C30:D30)*$B7</f>
        <v>562049.31362604001</v>
      </c>
      <c r="E56" s="12">
        <f t="shared" si="24"/>
        <v>595772.27244360244</v>
      </c>
      <c r="F56" s="12">
        <f t="shared" si="24"/>
        <v>631518.6087902186</v>
      </c>
      <c r="G56" s="12">
        <f t="shared" si="24"/>
        <v>669409.72531763173</v>
      </c>
      <c r="H56" s="12" t="str">
        <f ca="1">[1]!getformula(G56)</f>
        <v>&lt;--  =AVERAGE(F30:G30)*$B7</v>
      </c>
    </row>
    <row r="57" spans="1:10" x14ac:dyDescent="0.25">
      <c r="A57" s="42" t="s">
        <v>45</v>
      </c>
      <c r="B57" s="12"/>
      <c r="C57" s="12">
        <f ca="1">SUM(C52:C56)</f>
        <v>663315.60405827942</v>
      </c>
      <c r="D57" s="12">
        <f t="shared" ref="D57:G57" ca="1" si="25">SUM(D52:D56)</f>
        <v>691744.6097269766</v>
      </c>
      <c r="E57" s="12">
        <f t="shared" ca="1" si="25"/>
        <v>729570.56879628461</v>
      </c>
      <c r="F57" s="12">
        <f t="shared" ca="1" si="25"/>
        <v>769306.70113280951</v>
      </c>
      <c r="G57" s="12">
        <f t="shared" ca="1" si="25"/>
        <v>811069.07589666173</v>
      </c>
      <c r="H57" s="12" t="str">
        <f ca="1">[1]!getformula(G57)</f>
        <v>&lt;--  =SUM(G52:G56)</v>
      </c>
    </row>
    <row r="58" spans="1:10" x14ac:dyDescent="0.25">
      <c r="B58" s="12"/>
      <c r="C58" s="12"/>
      <c r="D58" s="12"/>
      <c r="E58" s="12"/>
      <c r="F58" s="12"/>
      <c r="G58" s="12"/>
      <c r="H58" s="1"/>
    </row>
    <row r="59" spans="1:10" x14ac:dyDescent="0.25">
      <c r="A59" s="1" t="s">
        <v>46</v>
      </c>
      <c r="B59" s="12"/>
      <c r="C59" s="12"/>
      <c r="D59" s="12"/>
      <c r="E59" s="12"/>
      <c r="F59" s="12"/>
      <c r="G59" s="12"/>
      <c r="H59" s="1"/>
    </row>
    <row r="60" spans="1:10" x14ac:dyDescent="0.25">
      <c r="A60" s="1" t="s">
        <v>47</v>
      </c>
      <c r="B60" s="12"/>
      <c r="C60" s="12">
        <f>-C40*B$9</f>
        <v>-280829.27691000002</v>
      </c>
      <c r="D60" s="12">
        <f t="shared" ref="D60:G60" si="26">-D40*C$9</f>
        <v>-302431.52898000006</v>
      </c>
      <c r="E60" s="12">
        <f t="shared" si="26"/>
        <v>-335194.94461950002</v>
      </c>
      <c r="F60" s="12">
        <f t="shared" si="26"/>
        <v>-361216.65742548753</v>
      </c>
      <c r="G60" s="12">
        <f t="shared" si="26"/>
        <v>-389002.55415052513</v>
      </c>
      <c r="H60" s="12" t="str">
        <f ca="1">[1]!getformula(G60)</f>
        <v>&lt;--  =-G40*F$9</v>
      </c>
    </row>
    <row r="61" spans="1:10" x14ac:dyDescent="0.25">
      <c r="A61" s="1" t="s">
        <v>48</v>
      </c>
      <c r="B61" s="12"/>
      <c r="C61" s="12">
        <f ca="1">-C41*$B10</f>
        <v>0</v>
      </c>
      <c r="D61" s="12">
        <f t="shared" ref="D61:G61" ca="1" si="27">-D41*$B10</f>
        <v>0</v>
      </c>
      <c r="E61" s="12">
        <f t="shared" ca="1" si="27"/>
        <v>0</v>
      </c>
      <c r="F61" s="12">
        <f t="shared" ca="1" si="27"/>
        <v>0</v>
      </c>
      <c r="G61" s="12">
        <f t="shared" ca="1" si="27"/>
        <v>0</v>
      </c>
      <c r="H61" s="12" t="str">
        <f ca="1">[1]!getformula(G61)</f>
        <v>&lt;--  =-G41*$B10</v>
      </c>
    </row>
    <row r="62" spans="1:10" x14ac:dyDescent="0.25">
      <c r="A62" s="1" t="s">
        <v>49</v>
      </c>
      <c r="B62" s="12"/>
      <c r="C62" s="12">
        <f>-C42*$B11</f>
        <v>-180.2988</v>
      </c>
      <c r="D62" s="12">
        <f t="shared" ref="D62:G62" si="28">-D42*$B11</f>
        <v>-180.2988</v>
      </c>
      <c r="E62" s="12">
        <f t="shared" si="28"/>
        <v>-180.2988</v>
      </c>
      <c r="F62" s="12">
        <f t="shared" si="28"/>
        <v>-180.2988</v>
      </c>
      <c r="G62" s="12">
        <f t="shared" si="28"/>
        <v>-180.2988</v>
      </c>
      <c r="H62" s="12" t="str">
        <f ca="1">[1]!getformula(G62)</f>
        <v>&lt;--  =-G42*$B11</v>
      </c>
    </row>
    <row r="63" spans="1:10" x14ac:dyDescent="0.25">
      <c r="A63" s="42" t="s">
        <v>50</v>
      </c>
      <c r="B63" s="12"/>
      <c r="C63" s="12">
        <f ca="1">SUM(C60:C62)</f>
        <v>-281009.57571</v>
      </c>
      <c r="D63" s="12">
        <f t="shared" ref="D63:G63" ca="1" si="29">SUM(D60:D62)</f>
        <v>-302611.82778000005</v>
      </c>
      <c r="E63" s="12">
        <f t="shared" ca="1" si="29"/>
        <v>-335375.24341950001</v>
      </c>
      <c r="F63" s="12">
        <f t="shared" ca="1" si="29"/>
        <v>-361396.95622548752</v>
      </c>
      <c r="G63" s="12">
        <f t="shared" ca="1" si="29"/>
        <v>-389182.85295052512</v>
      </c>
      <c r="H63" s="12" t="str">
        <f ca="1">[1]!getformula(G63)</f>
        <v>&lt;--  =SUM(G60:G62)</v>
      </c>
    </row>
    <row r="64" spans="1:10" x14ac:dyDescent="0.25">
      <c r="B64" s="12"/>
      <c r="C64" s="12"/>
      <c r="D64" s="12"/>
      <c r="E64" s="12"/>
      <c r="F64" s="12"/>
      <c r="G64" s="12"/>
      <c r="H64" s="1"/>
    </row>
    <row r="65" spans="1:10" x14ac:dyDescent="0.25">
      <c r="A65" s="37" t="s">
        <v>51</v>
      </c>
      <c r="B65" s="12"/>
      <c r="C65" s="12">
        <f ca="1">C63+C57</f>
        <v>382306.02834827942</v>
      </c>
      <c r="D65" s="12">
        <f t="shared" ref="D65:G65" ca="1" si="30">D63+D57</f>
        <v>389132.78194697655</v>
      </c>
      <c r="E65" s="12">
        <f t="shared" ca="1" si="30"/>
        <v>394195.3253767846</v>
      </c>
      <c r="F65" s="12">
        <f t="shared" ca="1" si="30"/>
        <v>407909.74490732199</v>
      </c>
      <c r="G65" s="12">
        <f t="shared" ca="1" si="30"/>
        <v>421886.22294613661</v>
      </c>
      <c r="H65" s="12" t="str">
        <f ca="1">[1]!getformula(G65)</f>
        <v>&lt;--  =G63+G57</v>
      </c>
    </row>
    <row r="66" spans="1:10" x14ac:dyDescent="0.25">
      <c r="A66" s="1" t="s">
        <v>52</v>
      </c>
      <c r="B66" s="12"/>
      <c r="C66" s="12">
        <f>-$B$13*AVERAGE(B30:C30)</f>
        <v>-18138.03426</v>
      </c>
      <c r="D66" s="12">
        <f t="shared" ref="D66:G66" si="31">-$B$13*AVERAGE(C30:D30)</f>
        <v>-19226.316315600001</v>
      </c>
      <c r="E66" s="12">
        <f t="shared" si="31"/>
        <v>-20379.895294536</v>
      </c>
      <c r="F66" s="12">
        <f t="shared" si="31"/>
        <v>-21602.689012208164</v>
      </c>
      <c r="G66" s="12">
        <f t="shared" si="31"/>
        <v>-22898.850352940652</v>
      </c>
      <c r="H66" s="12" t="str">
        <f ca="1">[1]!getformula(G66)</f>
        <v>&lt;--  =-$B$13*AVERAGE(F30:G30)</v>
      </c>
    </row>
    <row r="67" spans="1:10" x14ac:dyDescent="0.25">
      <c r="A67" s="1" t="s">
        <v>53</v>
      </c>
      <c r="B67" s="12"/>
      <c r="C67" s="12">
        <f ca="1">C57*$B$14</f>
        <v>167818.84782674469</v>
      </c>
      <c r="D67" s="12">
        <f t="shared" ref="D67:G67" ca="1" si="32">D57*$B$14</f>
        <v>175011.38626092509</v>
      </c>
      <c r="E67" s="12">
        <f t="shared" ca="1" si="32"/>
        <v>184581.35390546001</v>
      </c>
      <c r="F67" s="12">
        <f t="shared" ca="1" si="32"/>
        <v>194634.59538660082</v>
      </c>
      <c r="G67" s="12">
        <f t="shared" ca="1" si="32"/>
        <v>205200.47620185543</v>
      </c>
      <c r="H67" s="12" t="str">
        <f ca="1">[1]!getformula(G67)</f>
        <v>&lt;--  =G57*$B$14</v>
      </c>
    </row>
    <row r="68" spans="1:10" x14ac:dyDescent="0.25">
      <c r="A68" s="1" t="s">
        <v>54</v>
      </c>
      <c r="B68" s="12"/>
      <c r="C68" s="12">
        <f ca="1">-C65*$B$15</f>
        <v>-267614.21984379558</v>
      </c>
      <c r="D68" s="12">
        <f t="shared" ref="D68:G68" ca="1" si="33">-D65*$B$15</f>
        <v>-272392.9473628836</v>
      </c>
      <c r="E68" s="12">
        <f t="shared" ca="1" si="33"/>
        <v>-275936.72776374919</v>
      </c>
      <c r="F68" s="12">
        <f t="shared" ca="1" si="33"/>
        <v>-285536.82143512537</v>
      </c>
      <c r="G68" s="12">
        <f t="shared" ca="1" si="33"/>
        <v>-295320.35606229561</v>
      </c>
      <c r="H68" s="12" t="str">
        <f ca="1">[1]!getformula(G68)</f>
        <v>&lt;--  =-G65*$B$15</v>
      </c>
    </row>
    <row r="69" spans="1:10" x14ac:dyDescent="0.25">
      <c r="A69" s="35" t="s">
        <v>55</v>
      </c>
      <c r="B69" s="12"/>
      <c r="C69" s="12">
        <f ca="1">-C33*$B$20</f>
        <v>-35672.777777777774</v>
      </c>
      <c r="D69" s="12">
        <f t="shared" ref="D69:G69" ca="1" si="34">-D33*$B$20</f>
        <v>-39636.419753086426</v>
      </c>
      <c r="E69" s="12">
        <f t="shared" ca="1" si="34"/>
        <v>-44040.466392318252</v>
      </c>
      <c r="F69" s="12">
        <f t="shared" ca="1" si="34"/>
        <v>-48933.851547020276</v>
      </c>
      <c r="G69" s="12">
        <f t="shared" ca="1" si="34"/>
        <v>-54370.946163355868</v>
      </c>
      <c r="H69" s="12" t="str">
        <f ca="1">[1]!getformula(G69)</f>
        <v>&lt;--  =-G33*$B$20</v>
      </c>
    </row>
    <row r="70" spans="1:10" x14ac:dyDescent="0.25">
      <c r="A70" s="37" t="s">
        <v>56</v>
      </c>
      <c r="B70" s="12"/>
      <c r="C70" s="44">
        <f ca="1">SUM(C65:C69)</f>
        <v>228699.84429345073</v>
      </c>
      <c r="D70" s="44">
        <f t="shared" ref="D70:G70" ca="1" si="35">SUM(D65:D69)</f>
        <v>232888.48477633155</v>
      </c>
      <c r="E70" s="44">
        <f t="shared" ca="1" si="35"/>
        <v>238419.58983164118</v>
      </c>
      <c r="F70" s="44">
        <f t="shared" ca="1" si="35"/>
        <v>246470.97829956902</v>
      </c>
      <c r="G70" s="44">
        <f t="shared" ca="1" si="35"/>
        <v>254496.54656939986</v>
      </c>
      <c r="H70" s="12" t="str">
        <f ca="1">[1]!getformula(G70)</f>
        <v>&lt;--  =SUM(G65:G69)</v>
      </c>
    </row>
    <row r="71" spans="1:10" x14ac:dyDescent="0.25">
      <c r="A71" s="1" t="s">
        <v>57</v>
      </c>
      <c r="B71" s="12"/>
      <c r="C71" s="12">
        <f ca="1">C70*$B$21</f>
        <v>80044.945502707749</v>
      </c>
      <c r="D71" s="12">
        <f t="shared" ref="D71:G71" ca="1" si="36">D70*$B$21</f>
        <v>81510.96967171604</v>
      </c>
      <c r="E71" s="12">
        <f t="shared" ca="1" si="36"/>
        <v>83446.8564410744</v>
      </c>
      <c r="F71" s="12">
        <f t="shared" ca="1" si="36"/>
        <v>86264.842404849158</v>
      </c>
      <c r="G71" s="12">
        <f t="shared" ca="1" si="36"/>
        <v>89073.791299289951</v>
      </c>
      <c r="H71" s="12" t="str">
        <f ca="1">[1]!getformula(G71)</f>
        <v>&lt;--  =G70*$B$21</v>
      </c>
    </row>
    <row r="72" spans="1:10" x14ac:dyDescent="0.25">
      <c r="A72" s="37" t="s">
        <v>58</v>
      </c>
      <c r="B72" s="12"/>
      <c r="C72" s="12">
        <f ca="1">C70-C71</f>
        <v>148654.89879074297</v>
      </c>
      <c r="D72" s="12">
        <f t="shared" ref="D72:G72" ca="1" si="37">D70-D71</f>
        <v>151377.51510461551</v>
      </c>
      <c r="E72" s="12">
        <f t="shared" ca="1" si="37"/>
        <v>154972.73339056678</v>
      </c>
      <c r="F72" s="12">
        <f t="shared" ca="1" si="37"/>
        <v>160206.13589471986</v>
      </c>
      <c r="G72" s="12">
        <f t="shared" ca="1" si="37"/>
        <v>165422.75527010992</v>
      </c>
      <c r="H72" s="12" t="str">
        <f ca="1">[1]!getformula(G72)</f>
        <v>&lt;--  =G70-G71</v>
      </c>
    </row>
    <row r="73" spans="1:10" x14ac:dyDescent="0.25">
      <c r="A73" s="1" t="s">
        <v>59</v>
      </c>
      <c r="B73" s="12"/>
      <c r="C73" s="12">
        <f ca="1">C72*$B$22</f>
        <v>89192.939274445773</v>
      </c>
      <c r="D73" s="12">
        <f t="shared" ref="D73:G73" ca="1" si="38">D72*$B$22</f>
        <v>90826.509062769299</v>
      </c>
      <c r="E73" s="12">
        <f t="shared" ca="1" si="38"/>
        <v>92983.64003434006</v>
      </c>
      <c r="F73" s="12">
        <f t="shared" ca="1" si="38"/>
        <v>96123.681536831908</v>
      </c>
      <c r="G73" s="12">
        <f t="shared" ca="1" si="38"/>
        <v>99253.653162065952</v>
      </c>
      <c r="H73" s="12" t="str">
        <f ca="1">[1]!getformula(G73)</f>
        <v>&lt;--  =G72*$B$22</v>
      </c>
    </row>
    <row r="74" spans="1:10" x14ac:dyDescent="0.25">
      <c r="A74" s="1" t="s">
        <v>60</v>
      </c>
      <c r="B74" s="12"/>
      <c r="C74" s="12">
        <f ca="1">C72-C73</f>
        <v>59461.959516297196</v>
      </c>
      <c r="D74" s="12">
        <f t="shared" ref="D74:G74" ca="1" si="39">D72-D73</f>
        <v>60551.006041846209</v>
      </c>
      <c r="E74" s="12">
        <f t="shared" ca="1" si="39"/>
        <v>61989.093356226716</v>
      </c>
      <c r="F74" s="12">
        <f t="shared" ca="1" si="39"/>
        <v>64082.454357887953</v>
      </c>
      <c r="G74" s="12">
        <f t="shared" ca="1" si="39"/>
        <v>66169.102108043968</v>
      </c>
      <c r="H74" s="12" t="str">
        <f ca="1">[1]!getformula(G74)</f>
        <v>&lt;--  =G72-G73</v>
      </c>
    </row>
    <row r="75" spans="1:10" x14ac:dyDescent="0.25">
      <c r="H75" s="1"/>
    </row>
    <row r="76" spans="1:10" x14ac:dyDescent="0.25">
      <c r="A76" s="8"/>
      <c r="H76" s="8"/>
      <c r="I76" s="8"/>
      <c r="J76" s="8"/>
    </row>
    <row r="77" spans="1:10" ht="15.6" x14ac:dyDescent="0.3">
      <c r="A77" s="24" t="s">
        <v>61</v>
      </c>
      <c r="B77" s="8"/>
      <c r="C77" s="17">
        <v>2007</v>
      </c>
      <c r="D77" s="17">
        <v>2008</v>
      </c>
      <c r="E77" s="17">
        <v>2009</v>
      </c>
      <c r="F77" s="17">
        <v>2010</v>
      </c>
      <c r="G77" s="17">
        <v>2011</v>
      </c>
      <c r="H77" s="1"/>
    </row>
    <row r="78" spans="1:10" x14ac:dyDescent="0.25">
      <c r="A78" s="1" t="s">
        <v>62</v>
      </c>
      <c r="B78" s="25"/>
      <c r="C78" s="12">
        <f t="shared" ref="C78:G78" ca="1" si="40">C72</f>
        <v>148654.89879074297</v>
      </c>
      <c r="D78" s="12">
        <f t="shared" ca="1" si="40"/>
        <v>151377.51510461551</v>
      </c>
      <c r="E78" s="12">
        <f t="shared" ca="1" si="40"/>
        <v>154972.73339056678</v>
      </c>
      <c r="F78" s="12">
        <f t="shared" ca="1" si="40"/>
        <v>160206.13589471986</v>
      </c>
      <c r="G78" s="12">
        <f t="shared" ca="1" si="40"/>
        <v>165422.75527010992</v>
      </c>
      <c r="H78" s="12" t="str">
        <f ca="1">[1]!getformula(G78)</f>
        <v>&lt;--  =G72</v>
      </c>
    </row>
    <row r="79" spans="1:10" x14ac:dyDescent="0.25">
      <c r="A79" s="1" t="s">
        <v>63</v>
      </c>
      <c r="C79" s="12">
        <f t="shared" ref="C79:G79" ca="1" si="41">-C69</f>
        <v>35672.777777777774</v>
      </c>
      <c r="D79" s="12">
        <f t="shared" ca="1" si="41"/>
        <v>39636.419753086426</v>
      </c>
      <c r="E79" s="12">
        <f t="shared" ca="1" si="41"/>
        <v>44040.466392318252</v>
      </c>
      <c r="F79" s="12">
        <f t="shared" ca="1" si="41"/>
        <v>48933.851547020276</v>
      </c>
      <c r="G79" s="12">
        <f t="shared" ca="1" si="41"/>
        <v>54370.946163355868</v>
      </c>
      <c r="H79" s="12" t="str">
        <f ca="1">[1]!getformula(G79)</f>
        <v>&lt;--  =-G69</v>
      </c>
    </row>
    <row r="80" spans="1:10" x14ac:dyDescent="0.25">
      <c r="A80" s="1" t="s">
        <v>64</v>
      </c>
      <c r="C80" s="12">
        <f t="shared" ref="C80:G80" si="42">-C62*(1-$B$21)</f>
        <v>117.19422</v>
      </c>
      <c r="D80" s="12">
        <f t="shared" si="42"/>
        <v>117.19422</v>
      </c>
      <c r="E80" s="12">
        <f t="shared" si="42"/>
        <v>117.19422</v>
      </c>
      <c r="F80" s="12">
        <f t="shared" si="42"/>
        <v>117.19422</v>
      </c>
      <c r="G80" s="12">
        <f t="shared" si="42"/>
        <v>117.19422</v>
      </c>
      <c r="H80" s="12" t="str">
        <f ca="1">[1]!getformula(G80)</f>
        <v>&lt;--  =-G62*(1-$B$21)</v>
      </c>
    </row>
    <row r="81" spans="1:8" x14ac:dyDescent="0.25">
      <c r="A81" s="1" t="s">
        <v>65</v>
      </c>
      <c r="H81" s="12"/>
    </row>
    <row r="82" spans="1:8" x14ac:dyDescent="0.25">
      <c r="A82" s="1" t="s">
        <v>66</v>
      </c>
      <c r="C82" s="12">
        <f t="shared" ref="C82:G82" si="43">-(C26-B26)</f>
        <v>-13209.705000000075</v>
      </c>
      <c r="D82" s="12">
        <f t="shared" si="43"/>
        <v>-20002.085250000004</v>
      </c>
      <c r="E82" s="12">
        <f t="shared" si="43"/>
        <v>-21002.189512500016</v>
      </c>
      <c r="F82" s="12">
        <f t="shared" si="43"/>
        <v>-22052.298988124996</v>
      </c>
      <c r="G82" s="12">
        <f t="shared" si="43"/>
        <v>-23154.913937531295</v>
      </c>
      <c r="H82" s="12" t="str">
        <f ca="1">[1]!getformula(G82)</f>
        <v>&lt;--  =-(G26-F26)</v>
      </c>
    </row>
    <row r="83" spans="1:8" x14ac:dyDescent="0.25">
      <c r="A83" s="1" t="s">
        <v>67</v>
      </c>
      <c r="C83" s="12">
        <f t="shared" ref="C83:G83" ca="1" si="44">-(C33-B33)</f>
        <v>-73771.777777777752</v>
      </c>
      <c r="D83" s="12">
        <f t="shared" ca="1" si="44"/>
        <v>-39636.419753086462</v>
      </c>
      <c r="E83" s="12">
        <f t="shared" ca="1" si="44"/>
        <v>-44040.466392318252</v>
      </c>
      <c r="F83" s="12">
        <f t="shared" ca="1" si="44"/>
        <v>-48933.851547020255</v>
      </c>
      <c r="G83" s="12">
        <f t="shared" ca="1" si="44"/>
        <v>-54370.946163355897</v>
      </c>
      <c r="H83" s="12" t="str">
        <f ca="1">[1]!getformula(G83)</f>
        <v>&lt;--  =-(G33-F33)</v>
      </c>
    </row>
    <row r="84" spans="1:8" x14ac:dyDescent="0.25">
      <c r="A84" s="1" t="s">
        <v>68</v>
      </c>
      <c r="C84" s="12">
        <f ca="1">SUM(C78:C83)</f>
        <v>97463.388010742929</v>
      </c>
      <c r="D84" s="12">
        <f t="shared" ref="D84:G84" ca="1" si="45">SUM(D78:D83)</f>
        <v>131492.62407461548</v>
      </c>
      <c r="E84" s="12">
        <f t="shared" ca="1" si="45"/>
        <v>134087.73809806677</v>
      </c>
      <c r="F84" s="12">
        <f t="shared" ca="1" si="45"/>
        <v>138271.0311265949</v>
      </c>
      <c r="G84" s="12">
        <f t="shared" ca="1" si="45"/>
        <v>142385.0355525786</v>
      </c>
      <c r="H84" s="12" t="str">
        <f ca="1">[1]!getformula(G84)</f>
        <v>&lt;--  =SUM(G78:G83)</v>
      </c>
    </row>
    <row r="85" spans="1:8" ht="15.6" x14ac:dyDescent="0.3">
      <c r="A85" s="24" t="s">
        <v>69</v>
      </c>
      <c r="H85" s="1"/>
    </row>
    <row r="86" spans="1:8" x14ac:dyDescent="0.25">
      <c r="A86" s="1" t="s">
        <v>70</v>
      </c>
      <c r="B86" s="1">
        <v>0.9</v>
      </c>
      <c r="H86" s="1"/>
    </row>
    <row r="87" spans="1:8" x14ac:dyDescent="0.25">
      <c r="A87" s="1" t="s">
        <v>71</v>
      </c>
      <c r="B87" s="26">
        <v>5.8000000000000003E-2</v>
      </c>
      <c r="D87" s="12"/>
      <c r="E87" s="12"/>
      <c r="F87" s="12"/>
      <c r="H87" s="1"/>
    </row>
    <row r="88" spans="1:8" x14ac:dyDescent="0.25">
      <c r="A88" s="1" t="s">
        <v>72</v>
      </c>
      <c r="B88" s="26">
        <v>0.08</v>
      </c>
      <c r="H88" s="1"/>
    </row>
    <row r="89" spans="1:8" ht="15.6" x14ac:dyDescent="0.35">
      <c r="A89" s="1" t="s">
        <v>73</v>
      </c>
      <c r="B89" s="45">
        <f>B87*(1-B21)+B86*(B88-B87*(1-B21))</f>
        <v>7.5770000000000004E-2</v>
      </c>
      <c r="C89" s="1" t="str">
        <f ca="1">[1]!getformula(B89)</f>
        <v>&lt;--  =B87*(1-B21)+B86*(B88-B87*(1-B21))</v>
      </c>
      <c r="F89" s="48" t="s">
        <v>104</v>
      </c>
      <c r="H89" s="1"/>
    </row>
    <row r="90" spans="1:8" ht="15.6" x14ac:dyDescent="0.35">
      <c r="A90" s="1" t="s">
        <v>74</v>
      </c>
      <c r="B90" s="26">
        <f>B11</f>
        <v>6.3799999999999996E-2</v>
      </c>
      <c r="C90" s="1" t="str">
        <f ca="1">[1]!getformula(B90)</f>
        <v>&lt;--  =B11</v>
      </c>
      <c r="H90" s="1"/>
    </row>
    <row r="91" spans="1:8" x14ac:dyDescent="0.25">
      <c r="B91" s="26"/>
      <c r="H91" s="1"/>
    </row>
    <row r="92" spans="1:8" x14ac:dyDescent="0.25">
      <c r="A92" s="1" t="s">
        <v>75</v>
      </c>
      <c r="B92" s="27">
        <v>51</v>
      </c>
      <c r="C92" s="1" t="s">
        <v>76</v>
      </c>
      <c r="H92" s="1"/>
    </row>
    <row r="93" spans="1:8" x14ac:dyDescent="0.25">
      <c r="A93" s="1" t="s">
        <v>77</v>
      </c>
      <c r="B93" s="12">
        <v>32406000</v>
      </c>
      <c r="H93" s="1"/>
    </row>
    <row r="94" spans="1:8" x14ac:dyDescent="0.25">
      <c r="A94" s="1" t="s">
        <v>78</v>
      </c>
      <c r="B94" s="12">
        <f>B92*B93</f>
        <v>1652706000</v>
      </c>
      <c r="C94" s="1" t="str">
        <f ca="1">[1]!getformula(B94)</f>
        <v>&lt;--  =B92*B93</v>
      </c>
      <c r="H94" s="1"/>
    </row>
    <row r="95" spans="1:8" x14ac:dyDescent="0.25">
      <c r="A95" s="1" t="s">
        <v>79</v>
      </c>
      <c r="B95" s="12">
        <f>B42</f>
        <v>2826</v>
      </c>
      <c r="H95" s="1"/>
    </row>
    <row r="96" spans="1:8" x14ac:dyDescent="0.25">
      <c r="A96" s="1" t="s">
        <v>80</v>
      </c>
      <c r="B96" s="28">
        <f>B94/(B94+B95)</f>
        <v>0.9999982900799248</v>
      </c>
      <c r="C96" s="1" t="str">
        <f ca="1">[1]!getformula(B96)</f>
        <v>&lt;--  =B94/(B94+B95)</v>
      </c>
      <c r="H96" s="1"/>
    </row>
    <row r="97" spans="1:8" x14ac:dyDescent="0.25">
      <c r="A97" s="1" t="s">
        <v>81</v>
      </c>
      <c r="B97" s="28">
        <f>1-B96</f>
        <v>1.7099200751991006E-6</v>
      </c>
      <c r="C97" s="1" t="str">
        <f ca="1">[1]!getformula(B97)</f>
        <v>&lt;--  =1-B96</v>
      </c>
      <c r="H97" s="1"/>
    </row>
    <row r="98" spans="1:8" x14ac:dyDescent="0.25">
      <c r="A98" s="1" t="s">
        <v>82</v>
      </c>
      <c r="B98" s="29">
        <f>B21</f>
        <v>0.35</v>
      </c>
      <c r="C98" s="1" t="str">
        <f ca="1">_xlfn.FORMULATEXT(B98)</f>
        <v>=B21</v>
      </c>
      <c r="H98" s="1"/>
    </row>
    <row r="99" spans="1:8" x14ac:dyDescent="0.25">
      <c r="B99" s="12"/>
      <c r="H99" s="1"/>
    </row>
    <row r="100" spans="1:8" x14ac:dyDescent="0.25">
      <c r="A100" s="1" t="s">
        <v>83</v>
      </c>
      <c r="B100" s="49">
        <f>B89*B96+B97*(1-B98)*B90</f>
        <v>7.5769941349741424E-2</v>
      </c>
      <c r="C100" s="1" t="str">
        <f ca="1">_xlfn.FORMULATEXT(B100)</f>
        <v>=B89*B96+B97*(1-B98)*B90</v>
      </c>
      <c r="H100" s="1"/>
    </row>
    <row r="101" spans="1:8" x14ac:dyDescent="0.25">
      <c r="A101" s="1" t="s">
        <v>84</v>
      </c>
      <c r="B101" s="50">
        <v>0.05</v>
      </c>
      <c r="D101" s="26"/>
      <c r="E101" s="26"/>
      <c r="F101" s="26"/>
      <c r="H101" s="1"/>
    </row>
    <row r="102" spans="1:8" x14ac:dyDescent="0.25">
      <c r="B102" s="26"/>
      <c r="C102" s="26"/>
      <c r="D102" s="26"/>
      <c r="E102" s="26"/>
      <c r="F102" s="26"/>
      <c r="H102" s="1" t="s">
        <v>105</v>
      </c>
    </row>
    <row r="103" spans="1:8" x14ac:dyDescent="0.25">
      <c r="C103" s="17">
        <v>2007</v>
      </c>
      <c r="D103" s="17">
        <v>2008</v>
      </c>
      <c r="E103" s="17">
        <v>2009</v>
      </c>
      <c r="F103" s="17">
        <v>2010</v>
      </c>
      <c r="G103" s="17">
        <v>2011</v>
      </c>
      <c r="H103" s="1"/>
    </row>
    <row r="104" spans="1:8" x14ac:dyDescent="0.25">
      <c r="A104" s="1" t="s">
        <v>85</v>
      </c>
      <c r="C104" s="12">
        <f ca="1">C84</f>
        <v>97463.388010742929</v>
      </c>
      <c r="D104" s="12">
        <f ca="1">D84</f>
        <v>131492.62407461548</v>
      </c>
      <c r="E104" s="12">
        <f ca="1">E84</f>
        <v>134087.73809806677</v>
      </c>
      <c r="F104" s="12">
        <f ca="1">F84</f>
        <v>138271.0311265949</v>
      </c>
      <c r="G104" s="12">
        <f ca="1">G84</f>
        <v>142385.0355525786</v>
      </c>
      <c r="H104" s="12" t="str">
        <f ca="1">[1]!getformula(G104)</f>
        <v>&lt;--  =G84</v>
      </c>
    </row>
    <row r="105" spans="1:8" x14ac:dyDescent="0.25">
      <c r="A105" s="1" t="s">
        <v>86</v>
      </c>
      <c r="G105" s="44">
        <f ca="1">G104*(1+B101)/(B100-B101)</f>
        <v>5801498.9363453742</v>
      </c>
      <c r="H105" s="46" t="str">
        <f ca="1">[1]!getformula(G105)</f>
        <v>&lt;--  =G104*(1+B101)/(B100-B101)</v>
      </c>
    </row>
    <row r="106" spans="1:8" x14ac:dyDescent="0.25">
      <c r="A106" s="1" t="s">
        <v>87</v>
      </c>
      <c r="C106" s="12">
        <f ca="1">C104+C105</f>
        <v>97463.388010742929</v>
      </c>
      <c r="D106" s="12">
        <f ca="1">D104+D105</f>
        <v>131492.62407461548</v>
      </c>
      <c r="E106" s="12">
        <f ca="1">E104+E105</f>
        <v>134087.73809806677</v>
      </c>
      <c r="F106" s="12">
        <f ca="1">F104+F105</f>
        <v>138271.0311265949</v>
      </c>
      <c r="G106" s="12">
        <f ca="1">G104+G105</f>
        <v>5943883.9718979532</v>
      </c>
      <c r="H106" s="12" t="str">
        <f ca="1">[1]!getformula(G106)</f>
        <v>&lt;--  =G104+G105</v>
      </c>
    </row>
    <row r="107" spans="1:8" x14ac:dyDescent="0.25">
      <c r="H107" s="1"/>
    </row>
    <row r="108" spans="1:8" x14ac:dyDescent="0.25">
      <c r="A108" s="42" t="s">
        <v>88</v>
      </c>
      <c r="B108" s="51">
        <f ca="1">NPV(B100,C106:G106)*(1+B100)^0.5*1000</f>
        <v>4709515737.2271261</v>
      </c>
      <c r="C108" s="12" t="str">
        <f ca="1">[1]!getformula(B108)</f>
        <v>&lt;--  =NPV(B100,C106:G106)*(1+B100)^0.5*1000</v>
      </c>
      <c r="H108" s="1"/>
    </row>
    <row r="109" spans="1:8" x14ac:dyDescent="0.25">
      <c r="A109" s="1" t="s">
        <v>89</v>
      </c>
      <c r="B109" s="30">
        <f>B42*1000</f>
        <v>2826000</v>
      </c>
      <c r="C109" s="12" t="str">
        <f ca="1">[1]!getformula(B109)</f>
        <v>&lt;--  =B42*1000</v>
      </c>
      <c r="H109" s="1"/>
    </row>
    <row r="110" spans="1:8" x14ac:dyDescent="0.25">
      <c r="A110" s="1" t="s">
        <v>90</v>
      </c>
      <c r="B110" s="30">
        <f ca="1">B108-B109</f>
        <v>4706689737.2271261</v>
      </c>
      <c r="C110" s="12" t="str">
        <f ca="1">[1]!getformula(B110)</f>
        <v>&lt;--  =B108-B109</v>
      </c>
      <c r="H110" s="1"/>
    </row>
    <row r="111" spans="1:8" x14ac:dyDescent="0.25">
      <c r="A111" s="1" t="s">
        <v>91</v>
      </c>
      <c r="B111" s="12">
        <v>32406000</v>
      </c>
      <c r="C111" s="12"/>
      <c r="H111" s="1"/>
    </row>
    <row r="112" spans="1:8" x14ac:dyDescent="0.25">
      <c r="A112" s="42" t="s">
        <v>92</v>
      </c>
      <c r="B112" s="52">
        <f ca="1">B110/B111</f>
        <v>145.24130522826408</v>
      </c>
      <c r="C112" s="12" t="str">
        <f ca="1">[1]!getformula(B112)</f>
        <v>&lt;--  =B110/B111</v>
      </c>
      <c r="H112" s="1"/>
    </row>
    <row r="113" spans="1:8" x14ac:dyDescent="0.25">
      <c r="B113" s="27"/>
      <c r="H113" s="1"/>
    </row>
    <row r="114" spans="1:8" x14ac:dyDescent="0.25">
      <c r="A114" s="1" t="s">
        <v>93</v>
      </c>
      <c r="B114" s="56">
        <v>294330960</v>
      </c>
      <c r="C114" s="12"/>
      <c r="H114" s="1"/>
    </row>
    <row r="115" spans="1:8" x14ac:dyDescent="0.25">
      <c r="A115" s="1" t="s">
        <v>94</v>
      </c>
      <c r="B115" s="31">
        <v>58</v>
      </c>
      <c r="C115" s="12"/>
      <c r="H115" s="1"/>
    </row>
    <row r="116" spans="1:8" x14ac:dyDescent="0.25">
      <c r="A116" s="1" t="s">
        <v>95</v>
      </c>
      <c r="B116" s="12">
        <f>B115*B114</f>
        <v>17071195680</v>
      </c>
      <c r="C116" s="12" t="str">
        <f ca="1">[1]!getformula(B116)</f>
        <v>&lt;--  =B115*B114</v>
      </c>
      <c r="H116" s="1"/>
    </row>
    <row r="117" spans="1:8" ht="27.6" x14ac:dyDescent="0.25">
      <c r="A117" s="20" t="s">
        <v>96</v>
      </c>
      <c r="B117" s="27">
        <f ca="1">B112/B115</f>
        <v>2.5041604349700703</v>
      </c>
      <c r="C117" s="12" t="str">
        <f ca="1">[1]!getformula(B117)</f>
        <v>&lt;--  =B112/B115</v>
      </c>
      <c r="H117" s="1"/>
    </row>
    <row r="118" spans="1:8" x14ac:dyDescent="0.25">
      <c r="B118" s="27"/>
      <c r="H118" s="1"/>
    </row>
    <row r="119" spans="1:8" x14ac:dyDescent="0.25">
      <c r="A119" s="8" t="s">
        <v>97</v>
      </c>
      <c r="B119" s="27"/>
      <c r="H119" s="1"/>
    </row>
    <row r="120" spans="1:8" x14ac:dyDescent="0.25">
      <c r="A120" s="1" t="s">
        <v>98</v>
      </c>
      <c r="B120" s="44">
        <f ca="1">B114+B117*B111</f>
        <v>375480783.0556401</v>
      </c>
      <c r="C120" s="1" t="str">
        <f ca="1">[1]!getformula(B120)</f>
        <v>&lt;--  =B114+B117*B111</v>
      </c>
      <c r="H120" s="1"/>
    </row>
    <row r="121" spans="1:8" x14ac:dyDescent="0.25">
      <c r="A121" s="1" t="s">
        <v>99</v>
      </c>
      <c r="B121" s="12">
        <f ca="1">B114*B115+B110</f>
        <v>21777885417.227127</v>
      </c>
      <c r="C121" s="1" t="str">
        <f ca="1">[1]!getformula(B121)</f>
        <v>&lt;--  =B114*B115+B110</v>
      </c>
      <c r="E121" s="12">
        <f ca="1">B121/B120</f>
        <v>58</v>
      </c>
      <c r="H121" s="1"/>
    </row>
    <row r="122" spans="1:8" x14ac:dyDescent="0.25">
      <c r="A122" s="1" t="s">
        <v>100</v>
      </c>
      <c r="B122" s="12">
        <f>B115*B114</f>
        <v>17071195680</v>
      </c>
      <c r="C122" s="1" t="str">
        <f ca="1">[1]!getformula(B122)</f>
        <v>&lt;--  =B115*B114</v>
      </c>
      <c r="H122" s="1"/>
    </row>
    <row r="123" spans="1:8" x14ac:dyDescent="0.25">
      <c r="A123" s="1" t="s">
        <v>101</v>
      </c>
      <c r="B123" s="12">
        <f ca="1">B115*B111*B117</f>
        <v>4706689737.2271261</v>
      </c>
      <c r="C123" s="1" t="str">
        <f ca="1">[1]!getformula(B123)</f>
        <v>&lt;--  =B115*B111*B117</v>
      </c>
      <c r="H123" s="1"/>
    </row>
    <row r="124" spans="1:8" x14ac:dyDescent="0.25">
      <c r="H124" s="1"/>
    </row>
    <row r="125" spans="1:8" x14ac:dyDescent="0.25">
      <c r="A125" s="54" t="str">
        <f>"Sensitivity analysis of Small Bank's value as function of its WACC and long-term growth "&amp;CHAR(10)&amp;"Noninterest expense as % of net interest income (cell "&amp;CHAR(COLUMN(B15)+64)&amp;ROW(B15)&amp;"):  " &amp;TEXT(B15,"0.00%")</f>
        <v>Sensitivity analysis of Small Bank's value as function of its WACC and long-term growth 
Noninterest expense as % of net interest income (cell B15):  70.00%</v>
      </c>
      <c r="B125" s="55"/>
      <c r="C125" s="55"/>
      <c r="D125" s="55"/>
      <c r="E125" s="55"/>
      <c r="F125" s="55"/>
      <c r="G125" s="55"/>
      <c r="H125" s="1"/>
    </row>
    <row r="127" spans="1:8" x14ac:dyDescent="0.25">
      <c r="A127" s="32" t="str">
        <f ca="1">"Data table header:  "&amp;[1]!ggetformula(B127)</f>
        <v>Data table header:  =B112</v>
      </c>
      <c r="B127" s="27">
        <f ca="1">B112</f>
        <v>145.24130522826408</v>
      </c>
      <c r="C127" s="33">
        <v>0</v>
      </c>
      <c r="D127" s="33">
        <v>0.02</v>
      </c>
      <c r="E127" s="33">
        <v>0.03</v>
      </c>
      <c r="F127" s="33">
        <v>0.05</v>
      </c>
      <c r="G127" s="33">
        <v>0.06</v>
      </c>
    </row>
    <row r="128" spans="1:8" x14ac:dyDescent="0.25">
      <c r="B128" s="34">
        <v>0.08</v>
      </c>
      <c r="C128" s="27">
        <f t="dataTable" ref="C128:G136" dt2D="1" dtr="1" r1="B101" r2="B100" ca="1"/>
        <v>55.048186958571975</v>
      </c>
      <c r="D128" s="27">
        <v>69.03260939300695</v>
      </c>
      <c r="E128" s="27">
        <v>80.220147340554931</v>
      </c>
      <c r="F128" s="27">
        <v>124.97029913074685</v>
      </c>
      <c r="G128" s="27">
        <v>180.90798886848671</v>
      </c>
    </row>
    <row r="129" spans="2:7" x14ac:dyDescent="0.25">
      <c r="B129" s="34">
        <v>8.5000000000000006E-2</v>
      </c>
      <c r="C129" s="27">
        <v>51.824050932242358</v>
      </c>
      <c r="D129" s="27">
        <v>63.778582137726197</v>
      </c>
      <c r="E129" s="27">
        <v>73.016174432872788</v>
      </c>
      <c r="F129" s="27">
        <v>107.32723152913157</v>
      </c>
      <c r="G129" s="27">
        <v>145.06939433501623</v>
      </c>
    </row>
    <row r="130" spans="2:7" x14ac:dyDescent="0.25">
      <c r="B130" s="34">
        <v>0.09</v>
      </c>
      <c r="C130" s="27">
        <v>48.958780544229832</v>
      </c>
      <c r="D130" s="27">
        <v>59.275357539393717</v>
      </c>
      <c r="E130" s="27">
        <v>67.012790285766641</v>
      </c>
      <c r="F130" s="27">
        <v>94.093804898071838</v>
      </c>
      <c r="G130" s="27">
        <v>121.17481951037706</v>
      </c>
    </row>
    <row r="131" spans="2:7" x14ac:dyDescent="0.25">
      <c r="B131" s="34">
        <v>9.5000000000000001E-2</v>
      </c>
      <c r="C131" s="27">
        <v>46.395698516171464</v>
      </c>
      <c r="D131" s="27">
        <v>55.372768899632291</v>
      </c>
      <c r="E131" s="27">
        <v>61.932935718315186</v>
      </c>
      <c r="F131" s="27">
        <v>83.800158447258212</v>
      </c>
      <c r="G131" s="27">
        <v>104.10543669556243</v>
      </c>
    </row>
    <row r="132" spans="2:7" x14ac:dyDescent="0.25">
      <c r="B132" s="34">
        <v>0.1</v>
      </c>
      <c r="C132" s="27">
        <v>44.089463393920404</v>
      </c>
      <c r="D132" s="27">
        <v>51.958191353219213</v>
      </c>
      <c r="E132" s="27">
        <v>57.57871132414693</v>
      </c>
      <c r="F132" s="27">
        <v>75.564375231115591</v>
      </c>
      <c r="G132" s="27">
        <v>91.301831149713195</v>
      </c>
    </row>
    <row r="133" spans="2:7" x14ac:dyDescent="0.25">
      <c r="B133" s="34">
        <v>0.105</v>
      </c>
      <c r="C133" s="27">
        <v>42.003370530663496</v>
      </c>
      <c r="D133" s="27">
        <v>48.945500147760605</v>
      </c>
      <c r="E133" s="27">
        <v>53.804990879728557</v>
      </c>
      <c r="F133" s="27">
        <v>68.825234960356823</v>
      </c>
      <c r="G133" s="27">
        <v>81.342105027547035</v>
      </c>
    </row>
    <row r="134" spans="2:7" x14ac:dyDescent="0.25">
      <c r="B134" s="34">
        <v>0.11</v>
      </c>
      <c r="C134" s="27">
        <v>40.107389165936688</v>
      </c>
      <c r="D134" s="27">
        <v>46.267709496966447</v>
      </c>
      <c r="E134" s="27">
        <v>50.502929724549404</v>
      </c>
      <c r="F134" s="47">
        <v>63.208590407298281</v>
      </c>
      <c r="G134" s="27">
        <v>73.373118953497354</v>
      </c>
    </row>
    <row r="135" spans="2:7" x14ac:dyDescent="0.25">
      <c r="B135" s="34">
        <v>0.115</v>
      </c>
      <c r="C135" s="27">
        <v>38.376711571337836</v>
      </c>
      <c r="D135" s="27">
        <v>43.871936006721306</v>
      </c>
      <c r="E135" s="27">
        <v>47.589293713010129</v>
      </c>
      <c r="F135" s="27">
        <v>58.455416239085132</v>
      </c>
      <c r="G135" s="27">
        <v>66.851965463779464</v>
      </c>
    </row>
    <row r="136" spans="2:7" x14ac:dyDescent="0.25">
      <c r="B136" s="34">
        <v>0.12</v>
      </c>
      <c r="C136" s="27">
        <v>36.790664910135284</v>
      </c>
      <c r="D136" s="27">
        <v>41.715873073465175</v>
      </c>
      <c r="E136" s="27">
        <v>44.999345182351782</v>
      </c>
      <c r="F136" s="27">
        <v>54.380694064884892</v>
      </c>
      <c r="G136" s="27">
        <v>61.416705726784734</v>
      </c>
    </row>
  </sheetData>
  <mergeCells count="2">
    <mergeCell ref="A1:H1"/>
    <mergeCell ref="A125:G125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2024-10-21T09:21:19Z</dcterms:modified>
</cp:coreProperties>
</file>