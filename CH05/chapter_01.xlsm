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5\"/>
    </mc:Choice>
  </mc:AlternateContent>
  <xr:revisionPtr revIDLastSave="0" documentId="13_ncr:1_{72E70936-E5BD-484F-A32A-100D152D3CE0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7" i="1" l="1"/>
  <c r="D60" i="1" s="1"/>
  <c r="C57" i="1"/>
  <c r="C60" i="1" s="1"/>
  <c r="D51" i="1"/>
  <c r="C51" i="1"/>
  <c r="B51" i="1"/>
  <c r="B57" i="1" s="1"/>
  <c r="B60" i="1" s="1"/>
  <c r="G34" i="1"/>
  <c r="G35" i="1" s="1"/>
  <c r="F34" i="1"/>
  <c r="F35" i="1" s="1"/>
  <c r="C34" i="1"/>
  <c r="B34" i="1"/>
  <c r="C23" i="1"/>
  <c r="C28" i="1" s="1"/>
  <c r="B23" i="1"/>
  <c r="B28" i="1" s="1"/>
  <c r="G17" i="1"/>
  <c r="F17" i="1"/>
  <c r="C12" i="1"/>
  <c r="G6" i="1" s="1"/>
  <c r="B12" i="1"/>
  <c r="F6" i="1" s="1"/>
  <c r="C8" i="1"/>
  <c r="G4" i="1" s="1"/>
  <c r="B8" i="1"/>
  <c r="F4" i="1"/>
  <c r="B35" i="1" l="1"/>
  <c r="F8" i="1"/>
  <c r="F18" i="1" s="1"/>
  <c r="C35" i="1"/>
  <c r="G8" i="1"/>
  <c r="G18" i="1" s="1"/>
  <c r="B18" i="1"/>
  <c r="C18" i="1"/>
</calcChain>
</file>

<file path=xl/sharedStrings.xml><?xml version="1.0" encoding="utf-8"?>
<sst xmlns="http://schemas.openxmlformats.org/spreadsheetml/2006/main" count="114" uniqueCount="84">
  <si>
    <r>
      <t xml:space="preserve">SUMMIT BANK
1996 and 1997, </t>
    </r>
    <r>
      <rPr>
        <b/>
        <sz val="12"/>
        <rFont val="Arial"/>
        <family val="2"/>
      </rPr>
      <t>(thousand $)</t>
    </r>
  </si>
  <si>
    <t>SUMMIT BANK'S BALANCE SHEETS 
IN ENTERPRISE VALUE FORM</t>
  </si>
  <si>
    <t>ASSETS</t>
  </si>
  <si>
    <t>Cash and due from banks</t>
  </si>
  <si>
    <t>Federal funds sold</t>
  </si>
  <si>
    <t>Total investment securities</t>
  </si>
  <si>
    <t>Investment securities</t>
  </si>
  <si>
    <t>Securities Available-for-Sale, at fair value</t>
  </si>
  <si>
    <t>Loans, Net</t>
  </si>
  <si>
    <t>Securities Held-to-Maturity, at cost (fair value
      of $45,360,000 and $58,629,000 at
      December 31, 1997 and 1996, respectively)</t>
  </si>
  <si>
    <t>Total investment securities</t>
    <phoneticPr fontId="4" type="noConversion"/>
  </si>
  <si>
    <t>Minus short-term liabilities</t>
  </si>
  <si>
    <t>Loans, Net of Unearned Discount</t>
    <phoneticPr fontId="4" type="noConversion"/>
  </si>
  <si>
    <t xml:space="preserve">     Allowance for Loan Losses</t>
    <phoneticPr fontId="4" type="noConversion"/>
  </si>
  <si>
    <t>Loans, Net</t>
    <phoneticPr fontId="4" type="noConversion"/>
  </si>
  <si>
    <t>Premises and equipment, net of depreciation</t>
  </si>
  <si>
    <t>Accrued income receivable</t>
    <phoneticPr fontId="4" type="noConversion"/>
  </si>
  <si>
    <t>Other real estate</t>
    <phoneticPr fontId="4" type="noConversion"/>
  </si>
  <si>
    <t>Other assets</t>
  </si>
  <si>
    <t>Net fixed and other assets</t>
  </si>
  <si>
    <t>TOTAL ASSETS</t>
  </si>
  <si>
    <t>ENTERPRISE VALUE</t>
  </si>
  <si>
    <t>LIABILITIES AND SHAREHOLDERS' EQUITY</t>
  </si>
  <si>
    <t>Noninterest-bearing demand deposits</t>
    <phoneticPr fontId="4" type="noConversion"/>
  </si>
  <si>
    <t>Interest-bearing deposits</t>
    <phoneticPr fontId="4" type="noConversion"/>
  </si>
  <si>
    <t>Total deposits</t>
  </si>
  <si>
    <t>Securities sold under agreement to repurchase</t>
    <phoneticPr fontId="4" type="noConversion"/>
  </si>
  <si>
    <t>Accrued interest payable</t>
  </si>
  <si>
    <t>"Permanent debt"</t>
  </si>
  <si>
    <t>Other liabilities</t>
  </si>
  <si>
    <t>TOTAL LIABILITIES</t>
  </si>
  <si>
    <t>Common Stock</t>
  </si>
  <si>
    <t>Capital Surplus</t>
  </si>
  <si>
    <t>Retained Earnings</t>
  </si>
  <si>
    <t>Unrealized Gain on Investment Securities
      Available-for-Sale, Net of Tax</t>
    <phoneticPr fontId="4" type="noConversion"/>
  </si>
  <si>
    <t>Unrealized Gain on Investment Securities
      Available-for-Sale, Net of Tax</t>
  </si>
  <si>
    <t>Total shareholders equity</t>
  </si>
  <si>
    <t>TOTAL LIABILITIES AND SHAREHOLDERS' EQUITY</t>
  </si>
  <si>
    <t>Years ended December 31,</t>
  </si>
  <si>
    <t>----------</t>
  </si>
  <si>
    <t>------------</t>
  </si>
  <si>
    <t xml:space="preserve">Summary of Earnings: </t>
  </si>
  <si>
    <t xml:space="preserve">Interest Income </t>
  </si>
  <si>
    <t xml:space="preserve">Interest Expense </t>
  </si>
  <si>
    <t xml:space="preserve"> </t>
  </si>
  <si>
    <t>--------</t>
  </si>
  <si>
    <t xml:space="preserve">Net Interest Income </t>
  </si>
  <si>
    <t>Provision (Credit) for Loan Losses</t>
  </si>
  <si>
    <t>Securities Gains (Losses)</t>
    <phoneticPr fontId="4" type="noConversion"/>
  </si>
  <si>
    <t xml:space="preserve">Non-interest Income </t>
  </si>
  <si>
    <t xml:space="preserve">Non-interest Expense </t>
  </si>
  <si>
    <t>Earnings Before Income Taxes</t>
    <phoneticPr fontId="4" type="noConversion"/>
  </si>
  <si>
    <t xml:space="preserve">Income Tax Expense </t>
  </si>
  <si>
    <t xml:space="preserve">Net Income </t>
  </si>
  <si>
    <t>Balance Sheet Data (at period-end):</t>
  </si>
  <si>
    <t xml:space="preserve">Total Assets </t>
  </si>
  <si>
    <t xml:space="preserve">Investment Securities </t>
  </si>
  <si>
    <t>Loans, Net of Unearned Discount</t>
  </si>
  <si>
    <t>Allowance for Loan Los ses</t>
  </si>
  <si>
    <t xml:space="preserve">Demand Deposits </t>
  </si>
  <si>
    <t xml:space="preserve">Total Deposits </t>
  </si>
  <si>
    <t>Long-term Debt and Notes Payable</t>
  </si>
  <si>
    <t xml:space="preserve">Shareholders' Equity </t>
  </si>
  <si>
    <t xml:space="preserve">Per Share Data: </t>
  </si>
  <si>
    <t xml:space="preserve">Net Income - Diluted </t>
  </si>
  <si>
    <t>Book Value - Period-En d</t>
  </si>
  <si>
    <t xml:space="preserve">Dividends Paid </t>
  </si>
  <si>
    <t>Weighted Average Share s Outstanding (000)</t>
  </si>
  <si>
    <t>Selected Performance Ratios:</t>
  </si>
  <si>
    <t>Return on Average Assets</t>
  </si>
  <si>
    <t>Return on Average Shar eholders' Equity</t>
  </si>
  <si>
    <t>Net Interest Margin (tax equivalent)</t>
  </si>
  <si>
    <t xml:space="preserve">Efficiency Ratio </t>
  </si>
  <si>
    <t>Asset Quality Ratios:</t>
  </si>
  <si>
    <t>Non-Performing Loans to Total Loans - Period-End</t>
  </si>
  <si>
    <t>Allowance for Loan Losses to Total Loans - Period-End</t>
  </si>
  <si>
    <t>Allowance for Loan Losses to Non-Performing Loans</t>
  </si>
  <si>
    <t>=- Period-End</t>
  </si>
  <si>
    <t>Net Charge-Offs (Recoveries) to Average Loans-0.08</t>
  </si>
  <si>
    <t xml:space="preserve">Shareholders' Equity to Total Assets - Period-End </t>
  </si>
  <si>
    <t xml:space="preserve">Average Shareholders'Equity to Average Assets </t>
  </si>
  <si>
    <t>Total Risk-based Capital to Risk Weighted Assets</t>
  </si>
  <si>
    <t>Leverage Ratio - at Period-End*</t>
  </si>
  <si>
    <t>*  Calculated in accordance with Federal Reserve guidelines currently in effect.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</si>
</sst>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$&quot;#,##0_);[Red]\(&quot;$&quot;#,##0\)"/>
    <numFmt numFmtId="177" formatCode="&quot;$&quot;#,##0.00_);[Red]\(&quot;$&quot;#,##0.00\)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3" fontId="0" fillId="0" borderId="0" xfId="0" applyNumberFormat="1" applyAlignment="1"/>
    <xf numFmtId="0" fontId="4" fillId="0" borderId="0" xfId="0" applyFont="1" applyAlignment="1"/>
    <xf numFmtId="0" fontId="0" fillId="0" borderId="0" xfId="0" applyAlignment="1">
      <alignment wrapText="1"/>
    </xf>
    <xf numFmtId="0" fontId="5" fillId="0" borderId="0" xfId="0" applyFont="1" applyAlignment="1"/>
    <xf numFmtId="3" fontId="5" fillId="0" borderId="0" xfId="0" applyNumberFormat="1" applyFont="1" applyAlignment="1"/>
    <xf numFmtId="3" fontId="3" fillId="0" borderId="0" xfId="0" applyNumberFormat="1" applyFont="1" applyAlignment="1"/>
    <xf numFmtId="176" fontId="0" fillId="0" borderId="0" xfId="0" applyNumberFormat="1" applyAlignment="1"/>
    <xf numFmtId="177" fontId="0" fillId="0" borderId="0" xfId="0" applyNumberFormat="1" applyAlignment="1"/>
    <xf numFmtId="10" fontId="0" fillId="0" borderId="0" xfId="0" applyNumberFormat="1" applyAlignment="1"/>
    <xf numFmtId="0" fontId="0" fillId="0" borderId="0" xfId="0" quotePrefix="1" applyAlignment="1"/>
    <xf numFmtId="0" fontId="2" fillId="2" borderId="0" xfId="0" applyFont="1" applyFill="1" applyAlignment="1">
      <alignment horizontal="center" vertical="center" wrapText="1"/>
    </xf>
    <xf numFmtId="0" fontId="0" fillId="2" borderId="0" xfId="0" applyFill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121920</xdr:colOff>
          <xdr:row>0</xdr:row>
          <xdr:rowOff>0</xdr:rowOff>
        </xdr:from>
        <xdr:to>
          <xdr:col>25</xdr:col>
          <xdr:colOff>335280</xdr:colOff>
          <xdr:row>100</xdr:row>
          <xdr:rowOff>45720</xdr:rowOff>
        </xdr:to>
        <xdr:pic>
          <xdr:nvPicPr>
            <xdr:cNvPr id="2" name="图片 1">
              <a:extLst>
                <a:ext uri="{FF2B5EF4-FFF2-40B4-BE49-F238E27FC236}">
                  <a16:creationId xmlns:a16="http://schemas.microsoft.com/office/drawing/2014/main" id="{1C71EC99-8AE5-1BDC-C9AE-EDF7EC73C6D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[1]Pages 181, 182'!$A$1:$H$101" spid="_x0000_s10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85145" y="0"/>
              <a:ext cx="10576560" cy="1788604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5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178, 179"/>
      <sheetName val="Pages 178, 179 (中文)"/>
      <sheetName val="Pages 181, 182"/>
      <sheetName val="Pages 181, 182 (中文)"/>
      <sheetName val="Page 184"/>
      <sheetName val="Page 184 (中文)"/>
      <sheetName val="Page 185"/>
      <sheetName val="Page 185 (中文)"/>
      <sheetName val="Page 187"/>
      <sheetName val="Page 187 (中文)"/>
      <sheetName val="Pages 190-193"/>
      <sheetName val="Pages 190-193 (中文)"/>
      <sheetName val="Pages 195-196"/>
      <sheetName val="Pages 195-196 (中文)"/>
      <sheetName val="Pages 199-201"/>
      <sheetName val="Pages 199-201 (2)"/>
      <sheetName val="Pages 199-201 (中文)"/>
      <sheetName val="Capital adequacy"/>
      <sheetName val="资本充足(中文)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99"/>
  <sheetViews>
    <sheetView tabSelected="1" workbookViewId="0">
      <selection activeCell="E30" sqref="E30"/>
    </sheetView>
  </sheetViews>
  <sheetFormatPr defaultRowHeight="13.8" x14ac:dyDescent="0.25"/>
  <cols>
    <col min="1" max="1" width="59" style="1" customWidth="1"/>
    <col min="2" max="3" width="9.5546875" style="1" bestFit="1" customWidth="1"/>
    <col min="4" max="4" width="8.88671875" style="1"/>
    <col min="5" max="5" width="40.33203125" style="1" customWidth="1"/>
    <col min="6" max="8" width="8.88671875" style="1"/>
  </cols>
  <sheetData>
    <row r="1" spans="1:7" ht="17.399999999999999" x14ac:dyDescent="0.25">
      <c r="A1" s="14" t="s">
        <v>0</v>
      </c>
      <c r="B1" s="14"/>
      <c r="C1" s="14"/>
      <c r="E1" s="14" t="s">
        <v>1</v>
      </c>
      <c r="F1" s="14"/>
      <c r="G1" s="14"/>
    </row>
    <row r="2" spans="1:7" ht="15.6" x14ac:dyDescent="0.3">
      <c r="A2" s="2" t="s">
        <v>2</v>
      </c>
      <c r="B2" s="3">
        <v>1997</v>
      </c>
      <c r="C2" s="3">
        <v>1996</v>
      </c>
      <c r="E2" s="2" t="s">
        <v>2</v>
      </c>
      <c r="F2" s="3">
        <v>1997</v>
      </c>
      <c r="G2" s="3">
        <v>1996</v>
      </c>
    </row>
    <row r="3" spans="1:7" x14ac:dyDescent="0.25">
      <c r="A3" s="1" t="s">
        <v>3</v>
      </c>
      <c r="B3" s="4">
        <v>30487</v>
      </c>
      <c r="C3" s="4">
        <v>28339</v>
      </c>
      <c r="E3" s="1" t="s">
        <v>3</v>
      </c>
      <c r="F3" s="4">
        <v>30487</v>
      </c>
      <c r="G3" s="4">
        <v>28339</v>
      </c>
    </row>
    <row r="4" spans="1:7" x14ac:dyDescent="0.25">
      <c r="A4" s="1" t="s">
        <v>4</v>
      </c>
      <c r="B4" s="4">
        <v>35760</v>
      </c>
      <c r="C4" s="4">
        <v>20350</v>
      </c>
      <c r="E4" s="1" t="s">
        <v>5</v>
      </c>
      <c r="F4" s="4">
        <f>B8</f>
        <v>141387</v>
      </c>
      <c r="G4" s="4">
        <f>C8</f>
        <v>137363</v>
      </c>
    </row>
    <row r="5" spans="1:7" x14ac:dyDescent="0.25">
      <c r="A5" s="1" t="s">
        <v>6</v>
      </c>
      <c r="B5" s="4"/>
      <c r="C5" s="4"/>
      <c r="F5" s="4"/>
      <c r="G5" s="4"/>
    </row>
    <row r="6" spans="1:7" x14ac:dyDescent="0.25">
      <c r="A6" s="1" t="s">
        <v>7</v>
      </c>
      <c r="B6" s="4">
        <v>60476</v>
      </c>
      <c r="C6" s="4">
        <v>58576</v>
      </c>
      <c r="E6" s="5" t="s">
        <v>8</v>
      </c>
      <c r="F6" s="4">
        <f>B12</f>
        <v>272004</v>
      </c>
      <c r="G6" s="4">
        <f>C12</f>
        <v>217034</v>
      </c>
    </row>
    <row r="7" spans="1:7" ht="41.4" x14ac:dyDescent="0.25">
      <c r="A7" s="6" t="s">
        <v>9</v>
      </c>
      <c r="B7" s="4">
        <v>45151</v>
      </c>
      <c r="C7" s="4">
        <v>58437</v>
      </c>
      <c r="F7" s="4"/>
      <c r="G7" s="4"/>
    </row>
    <row r="8" spans="1:7" x14ac:dyDescent="0.25">
      <c r="A8" s="7" t="s">
        <v>10</v>
      </c>
      <c r="B8" s="8">
        <f>SUM(B4:B7)</f>
        <v>141387</v>
      </c>
      <c r="C8" s="8">
        <f>SUM(C4:C7)</f>
        <v>137363</v>
      </c>
      <c r="E8" s="1" t="s">
        <v>11</v>
      </c>
      <c r="F8" s="4">
        <f>-B28</f>
        <v>-418682</v>
      </c>
      <c r="G8" s="4">
        <f>-C28</f>
        <v>-360168</v>
      </c>
    </row>
    <row r="9" spans="1:7" x14ac:dyDescent="0.25">
      <c r="B9" s="4"/>
      <c r="C9" s="4"/>
      <c r="F9" s="4"/>
      <c r="G9" s="4"/>
    </row>
    <row r="10" spans="1:7" x14ac:dyDescent="0.25">
      <c r="A10" s="1" t="s">
        <v>12</v>
      </c>
      <c r="B10" s="4">
        <v>276069</v>
      </c>
      <c r="C10" s="4">
        <v>220006</v>
      </c>
      <c r="F10" s="4"/>
      <c r="G10" s="4"/>
    </row>
    <row r="11" spans="1:7" x14ac:dyDescent="0.25">
      <c r="A11" s="1" t="s">
        <v>13</v>
      </c>
      <c r="B11" s="4">
        <v>-4065</v>
      </c>
      <c r="C11" s="4">
        <v>-2972</v>
      </c>
      <c r="F11" s="4"/>
      <c r="G11" s="4"/>
    </row>
    <row r="12" spans="1:7" x14ac:dyDescent="0.25">
      <c r="A12" s="7" t="s">
        <v>14</v>
      </c>
      <c r="B12" s="8">
        <f>B10+B11</f>
        <v>272004</v>
      </c>
      <c r="C12" s="8">
        <f>C10+C11</f>
        <v>217034</v>
      </c>
      <c r="F12" s="4"/>
      <c r="G12" s="4"/>
    </row>
    <row r="13" spans="1:7" x14ac:dyDescent="0.25">
      <c r="B13" s="4"/>
      <c r="C13" s="4"/>
      <c r="F13" s="4"/>
      <c r="G13" s="4"/>
    </row>
    <row r="14" spans="1:7" x14ac:dyDescent="0.25">
      <c r="A14" s="1" t="s">
        <v>15</v>
      </c>
      <c r="B14" s="4">
        <v>7916</v>
      </c>
      <c r="C14" s="4">
        <v>7105</v>
      </c>
      <c r="F14" s="4"/>
      <c r="G14" s="4"/>
    </row>
    <row r="15" spans="1:7" x14ac:dyDescent="0.25">
      <c r="A15" s="1" t="s">
        <v>16</v>
      </c>
      <c r="B15" s="4">
        <v>3442</v>
      </c>
      <c r="C15" s="4">
        <v>3189</v>
      </c>
      <c r="F15" s="4"/>
      <c r="G15" s="4"/>
    </row>
    <row r="16" spans="1:7" x14ac:dyDescent="0.25">
      <c r="A16" s="1" t="s">
        <v>17</v>
      </c>
      <c r="B16" s="4">
        <v>151</v>
      </c>
      <c r="C16" s="4">
        <v>166</v>
      </c>
      <c r="F16" s="4"/>
      <c r="G16" s="4"/>
    </row>
    <row r="17" spans="1:7" x14ac:dyDescent="0.25">
      <c r="A17" s="1" t="s">
        <v>18</v>
      </c>
      <c r="B17" s="4">
        <v>4407</v>
      </c>
      <c r="C17" s="4">
        <v>2052</v>
      </c>
      <c r="E17" s="1" t="s">
        <v>19</v>
      </c>
      <c r="F17" s="4">
        <f>SUM(B14:B17)</f>
        <v>15916</v>
      </c>
      <c r="G17" s="4">
        <f>SUM(C14:C17)</f>
        <v>12512</v>
      </c>
    </row>
    <row r="18" spans="1:7" ht="15.6" x14ac:dyDescent="0.3">
      <c r="A18" s="2" t="s">
        <v>20</v>
      </c>
      <c r="B18" s="9">
        <f>SUM(B14:B17)+B12+SUM(B3:B7)</f>
        <v>459794</v>
      </c>
      <c r="C18" s="9">
        <f>SUM(C14:C17)+C12+SUM(C3:C7)</f>
        <v>395248</v>
      </c>
      <c r="E18" s="2" t="s">
        <v>21</v>
      </c>
      <c r="F18" s="9">
        <f>SUM(F3:F17)</f>
        <v>41112</v>
      </c>
      <c r="G18" s="9">
        <f>SUM(G14:G17)+G12+SUM(G3:G8)</f>
        <v>35080</v>
      </c>
    </row>
    <row r="19" spans="1:7" x14ac:dyDescent="0.25">
      <c r="F19" s="4"/>
      <c r="G19" s="4"/>
    </row>
    <row r="20" spans="1:7" ht="15.6" x14ac:dyDescent="0.3">
      <c r="A20" s="2" t="s">
        <v>22</v>
      </c>
      <c r="B20" s="3">
        <v>1997</v>
      </c>
      <c r="C20" s="3">
        <v>1996</v>
      </c>
      <c r="E20" s="2" t="s">
        <v>22</v>
      </c>
      <c r="F20" s="3">
        <v>1997</v>
      </c>
      <c r="G20" s="3">
        <v>1996</v>
      </c>
    </row>
    <row r="21" spans="1:7" x14ac:dyDescent="0.25">
      <c r="A21" s="1" t="s">
        <v>23</v>
      </c>
      <c r="B21" s="4">
        <v>126398</v>
      </c>
      <c r="C21" s="4">
        <v>103695</v>
      </c>
      <c r="F21" s="4"/>
      <c r="G21" s="4"/>
    </row>
    <row r="22" spans="1:7" x14ac:dyDescent="0.25">
      <c r="A22" s="1" t="s">
        <v>24</v>
      </c>
      <c r="B22" s="4">
        <v>275326</v>
      </c>
      <c r="C22" s="4">
        <v>241328</v>
      </c>
      <c r="F22" s="4"/>
      <c r="G22" s="4"/>
    </row>
    <row r="23" spans="1:7" x14ac:dyDescent="0.25">
      <c r="A23" s="7" t="s">
        <v>25</v>
      </c>
      <c r="B23" s="8">
        <f>SUM(B21:B22)</f>
        <v>401724</v>
      </c>
      <c r="C23" s="8">
        <f>SUM(C21:C22)</f>
        <v>345023</v>
      </c>
      <c r="E23" s="7"/>
      <c r="F23" s="4"/>
      <c r="G23" s="4"/>
    </row>
    <row r="24" spans="1:7" x14ac:dyDescent="0.25">
      <c r="B24" s="4"/>
      <c r="C24" s="4"/>
      <c r="F24" s="4"/>
      <c r="G24" s="4"/>
    </row>
    <row r="25" spans="1:7" x14ac:dyDescent="0.25">
      <c r="A25" s="1" t="s">
        <v>26</v>
      </c>
      <c r="B25" s="4">
        <v>14689</v>
      </c>
      <c r="C25" s="4">
        <v>13209</v>
      </c>
      <c r="F25" s="4"/>
      <c r="G25" s="4"/>
    </row>
    <row r="26" spans="1:7" x14ac:dyDescent="0.25">
      <c r="A26" s="1" t="s">
        <v>27</v>
      </c>
      <c r="B26" s="4">
        <v>678</v>
      </c>
      <c r="C26" s="4">
        <v>638</v>
      </c>
      <c r="E26" s="15" t="s">
        <v>28</v>
      </c>
      <c r="F26" s="4">
        <v>0</v>
      </c>
      <c r="G26" s="4">
        <v>0</v>
      </c>
    </row>
    <row r="27" spans="1:7" x14ac:dyDescent="0.25">
      <c r="A27" s="1" t="s">
        <v>29</v>
      </c>
      <c r="B27" s="4">
        <v>1591</v>
      </c>
      <c r="C27" s="4">
        <v>1298</v>
      </c>
      <c r="F27" s="4"/>
      <c r="G27" s="4"/>
    </row>
    <row r="28" spans="1:7" x14ac:dyDescent="0.25">
      <c r="A28" s="7" t="s">
        <v>30</v>
      </c>
      <c r="B28" s="8">
        <f>SUM(B23:B27)</f>
        <v>418682</v>
      </c>
      <c r="C28" s="8">
        <f>SUM(C23:C27)</f>
        <v>360168</v>
      </c>
      <c r="E28" s="7"/>
      <c r="F28" s="4"/>
      <c r="G28" s="4"/>
    </row>
    <row r="29" spans="1:7" x14ac:dyDescent="0.25">
      <c r="B29" s="4"/>
      <c r="C29" s="4"/>
      <c r="F29" s="4"/>
      <c r="G29" s="4"/>
    </row>
    <row r="30" spans="1:7" x14ac:dyDescent="0.25">
      <c r="A30" s="1" t="s">
        <v>31</v>
      </c>
      <c r="B30" s="4">
        <v>8127</v>
      </c>
      <c r="C30" s="4">
        <v>4041</v>
      </c>
      <c r="E30" s="1" t="s">
        <v>31</v>
      </c>
      <c r="F30" s="4">
        <v>8127</v>
      </c>
      <c r="G30" s="4">
        <v>4041</v>
      </c>
    </row>
    <row r="31" spans="1:7" x14ac:dyDescent="0.25">
      <c r="A31" s="1" t="s">
        <v>32</v>
      </c>
      <c r="B31" s="4">
        <v>6251</v>
      </c>
      <c r="C31" s="4">
        <v>6136</v>
      </c>
      <c r="E31" s="1" t="s">
        <v>32</v>
      </c>
      <c r="F31" s="4">
        <v>6251</v>
      </c>
      <c r="G31" s="4">
        <v>6136</v>
      </c>
    </row>
    <row r="32" spans="1:7" x14ac:dyDescent="0.25">
      <c r="A32" s="1" t="s">
        <v>33</v>
      </c>
      <c r="B32" s="4">
        <v>26491</v>
      </c>
      <c r="C32" s="4">
        <v>24675</v>
      </c>
      <c r="E32" s="1" t="s">
        <v>33</v>
      </c>
      <c r="F32" s="4">
        <v>26491</v>
      </c>
      <c r="G32" s="4">
        <v>24675</v>
      </c>
    </row>
    <row r="33" spans="1:7" ht="27.6" x14ac:dyDescent="0.25">
      <c r="A33" s="6" t="s">
        <v>34</v>
      </c>
      <c r="B33" s="4">
        <v>243</v>
      </c>
      <c r="C33" s="4">
        <v>228</v>
      </c>
      <c r="E33" s="6" t="s">
        <v>35</v>
      </c>
      <c r="F33" s="4">
        <v>243</v>
      </c>
      <c r="G33" s="4">
        <v>228</v>
      </c>
    </row>
    <row r="34" spans="1:7" x14ac:dyDescent="0.25">
      <c r="A34" s="7" t="s">
        <v>36</v>
      </c>
      <c r="B34" s="8">
        <f>SUM(B30:B33)</f>
        <v>41112</v>
      </c>
      <c r="C34" s="8">
        <f>SUM(C30:C33)</f>
        <v>35080</v>
      </c>
      <c r="E34" s="7" t="s">
        <v>36</v>
      </c>
      <c r="F34" s="4">
        <f>SUM(F30:F33)</f>
        <v>41112</v>
      </c>
      <c r="G34" s="4">
        <f>SUM(G30:G33)</f>
        <v>35080</v>
      </c>
    </row>
    <row r="35" spans="1:7" ht="15.6" x14ac:dyDescent="0.3">
      <c r="A35" s="2" t="s">
        <v>37</v>
      </c>
      <c r="B35" s="9">
        <f>B34+B28</f>
        <v>459794</v>
      </c>
      <c r="C35" s="9">
        <f>C34+C28</f>
        <v>395248</v>
      </c>
      <c r="E35" s="2" t="s">
        <v>21</v>
      </c>
      <c r="F35" s="9">
        <f>F34+F28</f>
        <v>41112</v>
      </c>
      <c r="G35" s="9">
        <f>G34+G28</f>
        <v>35080</v>
      </c>
    </row>
    <row r="36" spans="1:7" x14ac:dyDescent="0.25">
      <c r="F36" s="4"/>
      <c r="G36" s="4"/>
    </row>
    <row r="43" spans="1:7" x14ac:dyDescent="0.25">
      <c r="C43" s="1" t="s">
        <v>38</v>
      </c>
    </row>
    <row r="44" spans="1:7" x14ac:dyDescent="0.25">
      <c r="B44" s="1" t="s">
        <v>39</v>
      </c>
      <c r="C44" s="1" t="s">
        <v>40</v>
      </c>
      <c r="D44" s="1" t="s">
        <v>40</v>
      </c>
      <c r="E44" s="1" t="s">
        <v>40</v>
      </c>
      <c r="F44" s="1" t="s">
        <v>40</v>
      </c>
    </row>
    <row r="45" spans="1:7" x14ac:dyDescent="0.25">
      <c r="B45" s="1">
        <v>1997</v>
      </c>
      <c r="C45" s="1">
        <v>1996</v>
      </c>
      <c r="D45" s="1">
        <v>1995</v>
      </c>
      <c r="E45" s="1">
        <v>1994</v>
      </c>
      <c r="F45" s="1">
        <v>1993</v>
      </c>
    </row>
    <row r="46" spans="1:7" x14ac:dyDescent="0.25">
      <c r="B46" s="1" t="s">
        <v>39</v>
      </c>
      <c r="C46" s="1" t="s">
        <v>39</v>
      </c>
      <c r="D46" s="1" t="s">
        <v>39</v>
      </c>
      <c r="E46" s="1" t="s">
        <v>39</v>
      </c>
      <c r="F46" s="1" t="s">
        <v>39</v>
      </c>
    </row>
    <row r="47" spans="1:7" x14ac:dyDescent="0.25">
      <c r="A47" s="1" t="s">
        <v>41</v>
      </c>
    </row>
    <row r="48" spans="1:7" x14ac:dyDescent="0.25">
      <c r="A48" s="1" t="s">
        <v>42</v>
      </c>
      <c r="B48" s="10">
        <v>31972</v>
      </c>
      <c r="C48" s="10">
        <v>27577</v>
      </c>
      <c r="D48" s="10">
        <v>22929</v>
      </c>
      <c r="E48" s="10">
        <v>18143</v>
      </c>
      <c r="F48" s="10">
        <v>17095</v>
      </c>
    </row>
    <row r="49" spans="1:6" x14ac:dyDescent="0.25">
      <c r="A49" s="1" t="s">
        <v>43</v>
      </c>
      <c r="B49" s="4">
        <v>11301</v>
      </c>
      <c r="C49" s="4">
        <v>9771</v>
      </c>
      <c r="D49" s="4">
        <v>8277</v>
      </c>
      <c r="E49" s="4">
        <v>5625</v>
      </c>
      <c r="F49" s="4">
        <v>5235</v>
      </c>
    </row>
    <row r="50" spans="1:6" x14ac:dyDescent="0.25">
      <c r="A50" s="1" t="s">
        <v>44</v>
      </c>
      <c r="B50" s="1" t="s">
        <v>45</v>
      </c>
      <c r="C50" s="1" t="s">
        <v>45</v>
      </c>
      <c r="D50" s="1" t="s">
        <v>45</v>
      </c>
      <c r="E50" s="1" t="s">
        <v>45</v>
      </c>
      <c r="F50" s="1" t="s">
        <v>45</v>
      </c>
    </row>
    <row r="51" spans="1:6" x14ac:dyDescent="0.25">
      <c r="A51" s="1" t="s">
        <v>46</v>
      </c>
      <c r="B51" s="4">
        <f>B48-B49</f>
        <v>20671</v>
      </c>
      <c r="C51" s="4">
        <f>C48-C49</f>
        <v>17806</v>
      </c>
      <c r="D51" s="4">
        <f>D48-D49</f>
        <v>14652</v>
      </c>
      <c r="E51" s="4">
        <v>12518</v>
      </c>
      <c r="F51" s="4">
        <v>11860</v>
      </c>
    </row>
    <row r="52" spans="1:6" x14ac:dyDescent="0.25">
      <c r="A52" s="1" t="s">
        <v>47</v>
      </c>
      <c r="B52" s="1">
        <v>-900</v>
      </c>
      <c r="C52" s="1">
        <v>-819</v>
      </c>
      <c r="D52" s="1">
        <v>-236</v>
      </c>
      <c r="E52" s="1">
        <v>-114</v>
      </c>
      <c r="F52" s="1">
        <v>23</v>
      </c>
    </row>
    <row r="53" spans="1:6" x14ac:dyDescent="0.25">
      <c r="A53" s="1" t="s">
        <v>48</v>
      </c>
      <c r="B53" s="1">
        <v>-1</v>
      </c>
      <c r="C53" s="1">
        <v>-14</v>
      </c>
      <c r="D53" s="1">
        <v>-10</v>
      </c>
      <c r="E53" s="1">
        <v>-152</v>
      </c>
      <c r="F53" s="1">
        <v>3</v>
      </c>
    </row>
    <row r="54" spans="1:6" x14ac:dyDescent="0.25">
      <c r="A54" s="1" t="s">
        <v>49</v>
      </c>
      <c r="B54" s="4">
        <v>3266</v>
      </c>
      <c r="C54" s="4">
        <v>2990</v>
      </c>
      <c r="D54" s="4">
        <v>2764</v>
      </c>
      <c r="E54" s="4">
        <v>2729</v>
      </c>
      <c r="F54" s="4">
        <v>2855</v>
      </c>
    </row>
    <row r="55" spans="1:6" x14ac:dyDescent="0.25">
      <c r="A55" s="1" t="s">
        <v>50</v>
      </c>
      <c r="B55" s="4">
        <v>-12318</v>
      </c>
      <c r="C55" s="4">
        <v>-10917</v>
      </c>
      <c r="D55" s="4">
        <v>-9973</v>
      </c>
      <c r="E55" s="4">
        <v>9075</v>
      </c>
      <c r="F55" s="4">
        <v>9155</v>
      </c>
    </row>
    <row r="56" spans="1:6" x14ac:dyDescent="0.25">
      <c r="A56" s="4"/>
      <c r="B56" s="1" t="s">
        <v>45</v>
      </c>
      <c r="C56" s="1" t="s">
        <v>45</v>
      </c>
      <c r="D56" s="1" t="s">
        <v>45</v>
      </c>
      <c r="E56" s="1" t="s">
        <v>45</v>
      </c>
      <c r="F56" s="1" t="s">
        <v>45</v>
      </c>
    </row>
    <row r="57" spans="1:6" x14ac:dyDescent="0.25">
      <c r="A57" s="1" t="s">
        <v>51</v>
      </c>
      <c r="B57" s="4">
        <f>SUM(B51:B55)</f>
        <v>10718</v>
      </c>
      <c r="C57" s="4">
        <f>SUM(C51:C55)</f>
        <v>9046</v>
      </c>
      <c r="D57" s="4">
        <f>SUM(D51:D55)</f>
        <v>7197</v>
      </c>
      <c r="E57" s="4">
        <v>6134</v>
      </c>
      <c r="F57" s="4">
        <v>5540</v>
      </c>
    </row>
    <row r="58" spans="1:6" x14ac:dyDescent="0.25">
      <c r="A58" s="1" t="s">
        <v>52</v>
      </c>
      <c r="B58" s="4">
        <v>-3678</v>
      </c>
      <c r="C58" s="4">
        <v>-3103</v>
      </c>
      <c r="D58" s="4">
        <v>-2468</v>
      </c>
      <c r="E58" s="4">
        <v>2094</v>
      </c>
      <c r="F58" s="4">
        <v>1809</v>
      </c>
    </row>
    <row r="59" spans="1:6" x14ac:dyDescent="0.25">
      <c r="B59" s="1" t="s">
        <v>45</v>
      </c>
      <c r="C59" s="1" t="s">
        <v>45</v>
      </c>
      <c r="D59" s="1" t="s">
        <v>45</v>
      </c>
      <c r="E59" s="1" t="s">
        <v>45</v>
      </c>
      <c r="F59" s="1" t="s">
        <v>45</v>
      </c>
    </row>
    <row r="60" spans="1:6" x14ac:dyDescent="0.25">
      <c r="A60" s="1" t="s">
        <v>53</v>
      </c>
      <c r="B60" s="4">
        <f>B57+B58</f>
        <v>7040</v>
      </c>
      <c r="C60" s="4">
        <f>C57+C58</f>
        <v>5943</v>
      </c>
      <c r="D60" s="4">
        <f>D57+D58</f>
        <v>4729</v>
      </c>
      <c r="E60" s="4">
        <v>4040</v>
      </c>
      <c r="F60" s="4">
        <v>3731</v>
      </c>
    </row>
    <row r="62" spans="1:6" x14ac:dyDescent="0.25">
      <c r="A62" s="1" t="s">
        <v>54</v>
      </c>
    </row>
    <row r="63" spans="1:6" x14ac:dyDescent="0.25">
      <c r="A63" s="1" t="s">
        <v>55</v>
      </c>
      <c r="B63" s="10">
        <v>459794</v>
      </c>
      <c r="C63" s="10">
        <v>395248</v>
      </c>
      <c r="D63" s="10">
        <v>355417</v>
      </c>
      <c r="E63" s="10">
        <v>291011</v>
      </c>
      <c r="F63" s="10">
        <v>280688</v>
      </c>
    </row>
    <row r="64" spans="1:6" x14ac:dyDescent="0.25">
      <c r="A64" s="1" t="s">
        <v>56</v>
      </c>
      <c r="B64" s="4">
        <v>105627</v>
      </c>
      <c r="C64" s="4">
        <v>117013</v>
      </c>
      <c r="D64" s="4">
        <v>119368</v>
      </c>
      <c r="E64" s="4">
        <v>114722</v>
      </c>
      <c r="F64" s="4">
        <v>112315</v>
      </c>
    </row>
    <row r="65" spans="1:6" x14ac:dyDescent="0.25">
      <c r="A65" s="1" t="s">
        <v>57</v>
      </c>
      <c r="B65" s="4">
        <v>276069</v>
      </c>
      <c r="C65" s="4">
        <v>220006</v>
      </c>
      <c r="D65" s="4">
        <v>178493</v>
      </c>
      <c r="E65" s="4">
        <v>138966</v>
      </c>
      <c r="F65" s="4">
        <v>127250</v>
      </c>
    </row>
    <row r="66" spans="1:6" x14ac:dyDescent="0.25">
      <c r="A66" s="1" t="s">
        <v>58</v>
      </c>
      <c r="B66" s="4">
        <v>4065</v>
      </c>
      <c r="C66" s="4">
        <v>2972</v>
      </c>
      <c r="D66" s="4">
        <v>2500</v>
      </c>
      <c r="E66" s="4">
        <v>2410</v>
      </c>
      <c r="F66" s="4">
        <v>2594</v>
      </c>
    </row>
    <row r="67" spans="1:6" x14ac:dyDescent="0.25">
      <c r="A67" s="1" t="s">
        <v>59</v>
      </c>
      <c r="B67" s="4">
        <v>126398</v>
      </c>
      <c r="C67" s="4">
        <v>103695</v>
      </c>
      <c r="D67" s="4">
        <v>89184</v>
      </c>
      <c r="E67" s="4">
        <v>72992</v>
      </c>
      <c r="F67" s="4">
        <v>61165</v>
      </c>
    </row>
    <row r="68" spans="1:6" x14ac:dyDescent="0.25">
      <c r="A68" s="1" t="s">
        <v>60</v>
      </c>
      <c r="B68" s="4">
        <v>401724</v>
      </c>
      <c r="C68" s="4">
        <v>345023</v>
      </c>
      <c r="D68" s="4">
        <v>310109</v>
      </c>
      <c r="E68" s="4">
        <v>259539</v>
      </c>
      <c r="F68" s="4">
        <v>254151</v>
      </c>
    </row>
    <row r="69" spans="1:6" x14ac:dyDescent="0.25">
      <c r="A69" s="1" t="s">
        <v>61</v>
      </c>
      <c r="B69" s="1">
        <v>0</v>
      </c>
      <c r="C69" s="1">
        <v>0</v>
      </c>
      <c r="D69" s="1">
        <v>0</v>
      </c>
      <c r="E69" s="1">
        <v>250</v>
      </c>
      <c r="F69" s="1">
        <v>500</v>
      </c>
    </row>
    <row r="70" spans="1:6" x14ac:dyDescent="0.25">
      <c r="A70" s="1" t="s">
        <v>62</v>
      </c>
      <c r="B70" s="4">
        <v>41112</v>
      </c>
      <c r="C70" s="4">
        <v>35080</v>
      </c>
      <c r="D70" s="4">
        <v>30125</v>
      </c>
      <c r="E70" s="4">
        <v>25334</v>
      </c>
      <c r="F70" s="4">
        <v>22978</v>
      </c>
    </row>
    <row r="72" spans="1:6" x14ac:dyDescent="0.25">
      <c r="A72" s="1" t="s">
        <v>63</v>
      </c>
    </row>
    <row r="73" spans="1:6" x14ac:dyDescent="0.25">
      <c r="A73" s="1" t="s">
        <v>64</v>
      </c>
      <c r="B73" s="11">
        <v>1.04</v>
      </c>
      <c r="C73" s="11">
        <v>0.9</v>
      </c>
      <c r="D73" s="11">
        <v>0.72</v>
      </c>
      <c r="E73" s="11">
        <v>0.61</v>
      </c>
      <c r="F73" s="11">
        <v>0.56999999999999995</v>
      </c>
    </row>
    <row r="74" spans="1:6" x14ac:dyDescent="0.25">
      <c r="A74" s="1" t="s">
        <v>65</v>
      </c>
      <c r="B74" s="1">
        <v>6.32</v>
      </c>
      <c r="C74" s="1">
        <v>5.43</v>
      </c>
      <c r="D74" s="1">
        <v>4.78</v>
      </c>
      <c r="E74" s="1">
        <v>4.01</v>
      </c>
      <c r="F74" s="1">
        <v>3.68</v>
      </c>
    </row>
    <row r="75" spans="1:6" x14ac:dyDescent="0.25">
      <c r="A75" s="1" t="s">
        <v>66</v>
      </c>
      <c r="B75" s="1">
        <v>0.18</v>
      </c>
      <c r="C75" s="1">
        <v>0.14000000000000001</v>
      </c>
      <c r="D75" s="1">
        <v>0.11</v>
      </c>
      <c r="E75" s="1">
        <v>0.09</v>
      </c>
      <c r="F75" s="1">
        <v>5.3999999999999999E-2</v>
      </c>
    </row>
    <row r="76" spans="1:6" x14ac:dyDescent="0.25">
      <c r="A76" s="1" t="s">
        <v>67</v>
      </c>
      <c r="B76" s="4">
        <v>6479</v>
      </c>
      <c r="C76" s="4">
        <v>6399</v>
      </c>
      <c r="D76" s="4">
        <v>6278</v>
      </c>
      <c r="E76" s="4">
        <v>6172</v>
      </c>
      <c r="F76" s="4">
        <v>6192</v>
      </c>
    </row>
    <row r="78" spans="1:6" x14ac:dyDescent="0.25">
      <c r="A78" s="1" t="s">
        <v>68</v>
      </c>
    </row>
    <row r="79" spans="1:6" x14ac:dyDescent="0.25">
      <c r="A79" s="1" t="s">
        <v>69</v>
      </c>
      <c r="B79" s="12">
        <v>1.7000000000000001E-2</v>
      </c>
      <c r="C79" s="12">
        <v>1.6E-2</v>
      </c>
      <c r="D79" s="12">
        <v>1.52E-2</v>
      </c>
      <c r="E79" s="12">
        <v>1.43E-2</v>
      </c>
      <c r="F79" s="12">
        <v>1.4E-2</v>
      </c>
    </row>
    <row r="80" spans="1:6" x14ac:dyDescent="0.25">
      <c r="A80" s="1" t="s">
        <v>70</v>
      </c>
      <c r="B80" s="1">
        <v>18.489999999999998</v>
      </c>
      <c r="C80" s="1">
        <v>18.5</v>
      </c>
      <c r="D80" s="1">
        <v>17.14</v>
      </c>
      <c r="E80" s="1">
        <v>16.55</v>
      </c>
      <c r="F80" s="1">
        <v>17.75</v>
      </c>
    </row>
    <row r="81" spans="1:6" x14ac:dyDescent="0.25">
      <c r="A81" s="1" t="s">
        <v>71</v>
      </c>
      <c r="B81" s="1">
        <v>5.47</v>
      </c>
      <c r="C81" s="1">
        <v>5.24</v>
      </c>
      <c r="D81" s="1">
        <v>5.15</v>
      </c>
      <c r="E81" s="1">
        <v>4.8499999999999996</v>
      </c>
      <c r="F81" s="1">
        <v>4.9000000000000004</v>
      </c>
    </row>
    <row r="82" spans="1:6" x14ac:dyDescent="0.25">
      <c r="A82" s="1" t="s">
        <v>72</v>
      </c>
      <c r="B82" s="1">
        <v>51.5</v>
      </c>
      <c r="C82" s="1">
        <v>52.6</v>
      </c>
      <c r="D82" s="1">
        <v>57.31</v>
      </c>
      <c r="E82" s="1">
        <v>59.96</v>
      </c>
      <c r="F82" s="1">
        <v>61.98</v>
      </c>
    </row>
    <row r="84" spans="1:6" x14ac:dyDescent="0.25">
      <c r="A84" s="1" t="s">
        <v>73</v>
      </c>
    </row>
    <row r="85" spans="1:6" x14ac:dyDescent="0.25">
      <c r="A85" s="1" t="s">
        <v>74</v>
      </c>
      <c r="B85" s="12">
        <v>7.7000000000000002E-3</v>
      </c>
      <c r="C85" s="12">
        <v>5.0000000000000001E-3</v>
      </c>
      <c r="D85" s="12">
        <v>5.4999999999999997E-3</v>
      </c>
      <c r="E85" s="12">
        <v>4.5999999999999999E-3</v>
      </c>
      <c r="F85" s="12">
        <v>1.17E-2</v>
      </c>
    </row>
    <row r="86" spans="1:6" x14ac:dyDescent="0.25">
      <c r="A86" s="1" t="s">
        <v>75</v>
      </c>
      <c r="B86" s="1">
        <v>1.47</v>
      </c>
      <c r="C86" s="1">
        <v>1.35</v>
      </c>
      <c r="D86" s="1">
        <v>1.4</v>
      </c>
      <c r="E86" s="1">
        <v>1.73</v>
      </c>
      <c r="F86" s="1">
        <v>2.04</v>
      </c>
    </row>
    <row r="87" spans="1:6" x14ac:dyDescent="0.25">
      <c r="A87" s="1" t="s">
        <v>76</v>
      </c>
    </row>
    <row r="88" spans="1:6" x14ac:dyDescent="0.25">
      <c r="A88" s="13" t="s">
        <v>77</v>
      </c>
      <c r="B88" s="1">
        <v>193</v>
      </c>
      <c r="C88" s="1">
        <v>270</v>
      </c>
      <c r="D88" s="1">
        <v>252</v>
      </c>
      <c r="E88" s="1">
        <v>375</v>
      </c>
      <c r="F88" s="1">
        <v>174</v>
      </c>
    </row>
    <row r="89" spans="1:6" x14ac:dyDescent="0.25">
      <c r="A89" s="1" t="s">
        <v>78</v>
      </c>
      <c r="B89" s="1">
        <v>-0.08</v>
      </c>
      <c r="C89" s="1">
        <v>0.17</v>
      </c>
      <c r="D89" s="1">
        <v>0.09</v>
      </c>
      <c r="E89" s="1">
        <v>0.05</v>
      </c>
      <c r="F89" s="1">
        <v>0.19</v>
      </c>
    </row>
    <row r="92" spans="1:6" x14ac:dyDescent="0.25">
      <c r="A92" s="1" t="s">
        <v>79</v>
      </c>
      <c r="B92" s="12">
        <v>8.8900000000000007E-2</v>
      </c>
      <c r="C92" s="12">
        <v>8.8300000000000003E-2</v>
      </c>
      <c r="D92" s="12">
        <v>8.4000000000000005E-2</v>
      </c>
      <c r="E92" s="12">
        <v>9.0399999999999994E-2</v>
      </c>
      <c r="F92" s="12">
        <v>8.1900000000000001E-2</v>
      </c>
    </row>
    <row r="93" spans="1:6" x14ac:dyDescent="0.25">
      <c r="A93" s="1" t="s">
        <v>80</v>
      </c>
      <c r="B93" s="1">
        <v>9.2100000000000009</v>
      </c>
      <c r="C93" s="1">
        <v>8.66</v>
      </c>
      <c r="D93" s="1">
        <v>8.85</v>
      </c>
      <c r="E93" s="1">
        <v>8.64</v>
      </c>
      <c r="F93" s="1">
        <v>7.89</v>
      </c>
    </row>
    <row r="94" spans="1:6" x14ac:dyDescent="0.25">
      <c r="A94" s="1" t="s">
        <v>81</v>
      </c>
    </row>
    <row r="95" spans="1:6" x14ac:dyDescent="0.25">
      <c r="B95" s="1">
        <v>15.06</v>
      </c>
      <c r="C95" s="1">
        <v>15.85</v>
      </c>
      <c r="D95" s="1">
        <v>15.91</v>
      </c>
      <c r="E95" s="1">
        <v>18.09</v>
      </c>
      <c r="F95" s="1">
        <v>17.53</v>
      </c>
    </row>
    <row r="96" spans="1:6" x14ac:dyDescent="0.25">
      <c r="A96" s="1" t="s">
        <v>82</v>
      </c>
      <c r="B96" s="1">
        <v>8.83</v>
      </c>
      <c r="C96" s="1">
        <v>8.82</v>
      </c>
      <c r="D96" s="1">
        <v>8.42</v>
      </c>
      <c r="E96" s="1">
        <v>8.69</v>
      </c>
      <c r="F96" s="1">
        <v>8.18</v>
      </c>
    </row>
    <row r="99" spans="1:1" x14ac:dyDescent="0.25">
      <c r="A99" s="1" t="s">
        <v>83</v>
      </c>
    </row>
  </sheetData>
  <mergeCells count="2">
    <mergeCell ref="A1:C1"/>
    <mergeCell ref="E1:G1"/>
  </mergeCells>
  <phoneticPr fontId="1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2024-10-18T09:48:30Z</dcterms:modified>
</cp:coreProperties>
</file>