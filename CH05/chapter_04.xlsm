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5\"/>
    </mc:Choice>
  </mc:AlternateContent>
  <xr:revisionPtr revIDLastSave="0" documentId="13_ncr:1_{065FF629-B2F2-431A-9F10-539A68CCFDA1}" xr6:coauthVersionLast="47" xr6:coauthVersionMax="47" xr10:uidLastSave="{00000000-0000-0000-0000-000000000000}"/>
  <bookViews>
    <workbookView xWindow="-38505" yWindow="0" windowWidth="19410" windowHeight="20985" xr2:uid="{EA6F33A8-FE0E-48B1-8C74-8B2321C6BA8B}"/>
    <workbookView xWindow="-19305" yWindow="0" windowWidth="19410" windowHeight="20985" xr2:uid="{5BC04B76-D7BD-446B-9623-E7DD1B3FC95A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1" l="1"/>
  <c r="D45" i="1"/>
  <c r="E45" i="1"/>
  <c r="F45" i="1"/>
  <c r="G45" i="1"/>
  <c r="C44" i="1"/>
  <c r="D44" i="1"/>
  <c r="E44" i="1"/>
  <c r="F44" i="1"/>
  <c r="G44" i="1"/>
  <c r="C42" i="1"/>
  <c r="D42" i="1"/>
  <c r="D43" i="1" s="1"/>
  <c r="E42" i="1"/>
  <c r="E43" i="1" s="1"/>
  <c r="F42" i="1"/>
  <c r="F43" i="1" s="1"/>
  <c r="G42" i="1"/>
  <c r="G43" i="1" s="1"/>
  <c r="C43" i="1"/>
  <c r="C41" i="1"/>
  <c r="D41" i="1"/>
  <c r="E41" i="1"/>
  <c r="F41" i="1"/>
  <c r="G41" i="1"/>
  <c r="D32" i="1"/>
  <c r="E32" i="1"/>
  <c r="F32" i="1"/>
  <c r="F38" i="1" s="1"/>
  <c r="G32" i="1"/>
  <c r="G38" i="1" s="1"/>
  <c r="D34" i="1"/>
  <c r="D38" i="1" s="1"/>
  <c r="E34" i="1"/>
  <c r="E38" i="1" s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24" i="1"/>
  <c r="E24" i="1" s="1"/>
  <c r="D27" i="1"/>
  <c r="E27" i="1" s="1"/>
  <c r="D28" i="1"/>
  <c r="D16" i="1"/>
  <c r="E16" i="1" s="1"/>
  <c r="F16" i="1" s="1"/>
  <c r="G16" i="1" s="1"/>
  <c r="D18" i="1"/>
  <c r="E18" i="1" s="1"/>
  <c r="D19" i="1"/>
  <c r="D20" i="1" s="1"/>
  <c r="C36" i="1"/>
  <c r="C34" i="1"/>
  <c r="C25" i="1"/>
  <c r="C28" i="1"/>
  <c r="C27" i="1"/>
  <c r="C19" i="1"/>
  <c r="C20" i="1" s="1"/>
  <c r="C21" i="1" s="1"/>
  <c r="C32" i="1"/>
  <c r="C37" i="1"/>
  <c r="C18" i="1"/>
  <c r="C16" i="1"/>
  <c r="C15" i="1"/>
  <c r="C24" i="1"/>
  <c r="B35" i="1"/>
  <c r="B34" i="1"/>
  <c r="B32" i="1"/>
  <c r="B38" i="1" s="1"/>
  <c r="B20" i="1"/>
  <c r="B21" i="1" s="1"/>
  <c r="B28" i="1" s="1"/>
  <c r="B15" i="1"/>
  <c r="C56" i="1"/>
  <c r="H45" i="1"/>
  <c r="H44" i="1"/>
  <c r="H42" i="1"/>
  <c r="H43" i="1"/>
  <c r="H41" i="1"/>
  <c r="H38" i="1"/>
  <c r="H35" i="1"/>
  <c r="H34" i="1"/>
  <c r="H33" i="1"/>
  <c r="H32" i="1"/>
  <c r="H54" i="1"/>
  <c r="H53" i="1"/>
  <c r="H52" i="1"/>
  <c r="H29" i="1"/>
  <c r="H28" i="1"/>
  <c r="H25" i="1"/>
  <c r="H24" i="1"/>
  <c r="H19" i="1"/>
  <c r="H20" i="1"/>
  <c r="H21" i="1"/>
  <c r="H18" i="1"/>
  <c r="H16" i="1"/>
  <c r="H15" i="1"/>
  <c r="E28" i="1" l="1"/>
  <c r="F27" i="1"/>
  <c r="F24" i="1"/>
  <c r="E15" i="1"/>
  <c r="D21" i="1"/>
  <c r="D25" i="1" s="1"/>
  <c r="D29" i="1" s="1"/>
  <c r="D15" i="1"/>
  <c r="F18" i="1"/>
  <c r="E19" i="1"/>
  <c r="F19" i="1" s="1"/>
  <c r="B29" i="1"/>
  <c r="G24" i="1" l="1"/>
  <c r="F15" i="1"/>
  <c r="G27" i="1"/>
  <c r="G28" i="1" s="1"/>
  <c r="F28" i="1"/>
  <c r="F20" i="1"/>
  <c r="F21" i="1" s="1"/>
  <c r="F25" i="1" s="1"/>
  <c r="F29" i="1" s="1"/>
  <c r="G18" i="1"/>
  <c r="E20" i="1"/>
  <c r="E21" i="1" s="1"/>
  <c r="E25" i="1" s="1"/>
  <c r="E29" i="1" s="1"/>
  <c r="G15" i="1" l="1"/>
  <c r="G19" i="1"/>
  <c r="G20" i="1" s="1"/>
  <c r="G21" i="1" s="1"/>
  <c r="G25" i="1" s="1"/>
  <c r="G29" i="1" s="1"/>
  <c r="C52" i="1"/>
  <c r="C54" i="1" s="1"/>
  <c r="E52" i="1" l="1"/>
  <c r="E54" i="1" s="1"/>
  <c r="D52" i="1"/>
  <c r="D54" i="1" s="1"/>
  <c r="F52" i="1" l="1"/>
  <c r="F54" i="1" s="1"/>
  <c r="G52" i="1"/>
  <c r="G53" i="1" l="1"/>
  <c r="G54" i="1" s="1"/>
  <c r="B56" i="1" s="1"/>
  <c r="C29" i="1"/>
  <c r="C35" i="1"/>
  <c r="C38" i="1" s="1"/>
</calcChain>
</file>

<file path=xl/sharedStrings.xml><?xml version="1.0" encoding="utf-8"?>
<sst xmlns="http://schemas.openxmlformats.org/spreadsheetml/2006/main" count="48" uniqueCount="45">
  <si>
    <r>
      <t xml:space="preserve">VALUING ROSARIO BANK
</t>
    </r>
    <r>
      <rPr>
        <b/>
        <sz val="12"/>
        <rFont val="Arial"/>
        <family val="2"/>
      </rPr>
      <t>A model using residual equity cash flows</t>
    </r>
  </si>
  <si>
    <t>Cash as percent of deposits</t>
  </si>
  <si>
    <t>Deposit growth</t>
  </si>
  <si>
    <t>Loan growth</t>
  </si>
  <si>
    <t>Interest paid on deposits</t>
  </si>
  <si>
    <t>Interest earned on loans</t>
  </si>
  <si>
    <t>Interest paid on borrowing</t>
  </si>
  <si>
    <t>General, selling, administrative expenses, growth</t>
  </si>
  <si>
    <t>Fixed assets at cost, growth</t>
  </si>
  <si>
    <t>Depreciation rate</t>
  </si>
  <si>
    <t>Equity as percentage of loans</t>
  </si>
  <si>
    <t>Balance sheet</t>
  </si>
  <si>
    <t>Assets</t>
  </si>
  <si>
    <t>Cash</t>
  </si>
  <si>
    <t>Loans</t>
  </si>
  <si>
    <t>Fixed assets at cost</t>
  </si>
  <si>
    <t>Depreciation</t>
  </si>
  <si>
    <t>Net fixed assets</t>
  </si>
  <si>
    <t>Total Assets</t>
  </si>
  <si>
    <t>Liabilities and equity</t>
  </si>
  <si>
    <t>Deposits</t>
  </si>
  <si>
    <t>Shareholders' equity</t>
  </si>
  <si>
    <t xml:space="preserve">     Stock</t>
  </si>
  <si>
    <t xml:space="preserve">     Accumulated retained earnings</t>
  </si>
  <si>
    <t>Total Liabilities and Shareholders' Equity</t>
  </si>
  <si>
    <t>Income statement</t>
  </si>
  <si>
    <t xml:space="preserve">Interest income </t>
  </si>
  <si>
    <t>Interest expense</t>
  </si>
  <si>
    <t xml:space="preserve">     Paid on deposits</t>
  </si>
  <si>
    <t xml:space="preserve">     Paid on loans</t>
  </si>
  <si>
    <t>GSA expense</t>
  </si>
  <si>
    <t>Net income</t>
  </si>
  <si>
    <t>Cash flow to equity</t>
  </si>
  <si>
    <t>Add back depreciation</t>
  </si>
  <si>
    <t>Free cash flow</t>
  </si>
  <si>
    <t>Subtract increase in accumulated retained earnings</t>
  </si>
  <si>
    <t>Equity cash flow</t>
  </si>
  <si>
    <t>Valuing Rosario Bank</t>
  </si>
  <si>
    <r>
      <t>Cost of equity, r</t>
    </r>
    <r>
      <rPr>
        <vertAlign val="subscript"/>
        <sz val="10"/>
        <rFont val="Arial"/>
        <family val="2"/>
      </rPr>
      <t>E</t>
    </r>
  </si>
  <si>
    <t>Long term equity cash flow growth</t>
  </si>
  <si>
    <t>Bank terminal value</t>
  </si>
  <si>
    <t>Total equity cash flow + terminal value</t>
  </si>
  <si>
    <t>Valuation, using mid-year discounting</t>
  </si>
  <si>
    <t>&lt;-- Capital adequacy ratio</t>
    <phoneticPr fontId="1" type="noConversion"/>
  </si>
  <si>
    <t>Borrowing(PLUG)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</si>
</sst>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7" formatCode="&quot;$&quot;#,##0_);[Red]\(&quot;$&quot;#,##0\)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b/>
      <sz val="11"/>
      <color rgb="FF00B05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9" fontId="5" fillId="0" borderId="0" xfId="0" applyNumberFormat="1" applyFont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wrapText="1"/>
    </xf>
    <xf numFmtId="0" fontId="5" fillId="2" borderId="0" xfId="0" applyFont="1" applyFill="1" applyAlignment="1">
      <alignment horizontal="left"/>
    </xf>
    <xf numFmtId="9" fontId="5" fillId="2" borderId="0" xfId="0" applyNumberFormat="1" applyFont="1" applyFill="1" applyAlignment="1">
      <alignment horizontal="right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3" fontId="0" fillId="0" borderId="0" xfId="0" applyNumberFormat="1" applyAlignment="1"/>
    <xf numFmtId="3" fontId="0" fillId="0" borderId="0" xfId="0" applyNumberFormat="1" applyAlignment="1">
      <alignment horizontal="left" wrapText="1"/>
    </xf>
    <xf numFmtId="0" fontId="0" fillId="0" borderId="0" xfId="0" applyAlignment="1">
      <alignment horizontal="left" wrapText="1"/>
    </xf>
    <xf numFmtId="3" fontId="2" fillId="0" borderId="0" xfId="1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6" fillId="0" borderId="0" xfId="0" applyFont="1" applyAlignment="1"/>
    <xf numFmtId="3" fontId="0" fillId="0" borderId="0" xfId="0" applyNumberFormat="1">
      <alignment vertical="center"/>
    </xf>
    <xf numFmtId="0" fontId="0" fillId="2" borderId="0" xfId="0" applyFill="1" applyAlignment="1"/>
    <xf numFmtId="3" fontId="0" fillId="2" borderId="0" xfId="0" applyNumberFormat="1" applyFill="1" applyAlignment="1"/>
    <xf numFmtId="177" fontId="0" fillId="0" borderId="0" xfId="0" applyNumberFormat="1" applyAlignment="1"/>
    <xf numFmtId="0" fontId="4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2" applyNumberFormat="1" applyFont="1" applyAlignment="1"/>
    <xf numFmtId="0" fontId="5" fillId="2" borderId="0" xfId="0" applyFont="1" applyFill="1" applyAlignment="1"/>
    <xf numFmtId="3" fontId="0" fillId="0" borderId="0" xfId="0" applyNumberFormat="1" applyFill="1" applyAlignment="1"/>
    <xf numFmtId="0" fontId="8" fillId="0" borderId="0" xfId="0" applyFont="1" applyAlignment="1"/>
    <xf numFmtId="0" fontId="5" fillId="3" borderId="0" xfId="0" applyFont="1" applyFill="1" applyAlignment="1"/>
    <xf numFmtId="3" fontId="0" fillId="0" borderId="0" xfId="0" applyNumberFormat="1" applyFill="1">
      <alignment vertical="center"/>
    </xf>
    <xf numFmtId="0" fontId="0" fillId="3" borderId="0" xfId="0" applyFill="1" applyAlignment="1">
      <alignment vertical="center" wrapText="1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53578</xdr:colOff>
      <xdr:row>0</xdr:row>
      <xdr:rowOff>154781</xdr:rowOff>
    </xdr:from>
    <xdr:to>
      <xdr:col>27</xdr:col>
      <xdr:colOff>130362</xdr:colOff>
      <xdr:row>59</xdr:row>
      <xdr:rowOff>133366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EA5D84E-5978-C937-CBEC-7189A4DAD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5219" y="154781"/>
          <a:ext cx="11002911" cy="103513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178, 179"/>
      <sheetName val="Pages 178, 179 (中文)"/>
      <sheetName val="Pages 181, 182"/>
      <sheetName val="Pages 181, 182 (中文)"/>
      <sheetName val="Page 184"/>
      <sheetName val="Page 184 (中文)"/>
      <sheetName val="Page 185"/>
      <sheetName val="Page 185 (中文)"/>
      <sheetName val="Page 187"/>
      <sheetName val="Page 187 (中文)"/>
      <sheetName val="Pages 190-193"/>
      <sheetName val="Pages 190-193 (中文)"/>
      <sheetName val="Pages 195-196"/>
      <sheetName val="Pages 195-196 (中文)"/>
      <sheetName val="Pages 199-201"/>
      <sheetName val="Pages 199-201 (2)"/>
      <sheetName val="Pages 199-201 (中文)"/>
      <sheetName val="Capital adequacy"/>
      <sheetName val="资本充足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8"/>
  <sheetViews>
    <sheetView tabSelected="1" topLeftCell="L28" zoomScale="160" zoomScaleNormal="160" workbookViewId="0">
      <selection activeCell="J6" sqref="J6"/>
    </sheetView>
    <sheetView tabSelected="1" topLeftCell="A33" zoomScale="175" zoomScaleNormal="175" workbookViewId="1">
      <selection activeCell="C47" sqref="C47"/>
    </sheetView>
  </sheetViews>
  <sheetFormatPr defaultRowHeight="13.8" x14ac:dyDescent="0.25"/>
  <cols>
    <col min="1" max="1" width="42.5546875" style="10" bestFit="1" customWidth="1"/>
    <col min="2" max="2" width="10.109375" style="10" bestFit="1" customWidth="1"/>
    <col min="3" max="3" width="9.44140625" style="10" bestFit="1" customWidth="1"/>
    <col min="4" max="5" width="10" style="10" bestFit="1" customWidth="1"/>
    <col min="6" max="7" width="10.109375" style="10" bestFit="1" customWidth="1"/>
    <col min="8" max="8" width="54.5546875" style="10" bestFit="1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3">
        <v>0.2</v>
      </c>
      <c r="C2" s="2"/>
      <c r="D2" s="2"/>
      <c r="E2" s="2"/>
      <c r="F2" s="2"/>
      <c r="G2" s="4"/>
      <c r="H2" s="5"/>
    </row>
    <row r="3" spans="1:8" x14ac:dyDescent="0.25">
      <c r="A3" s="2" t="s">
        <v>2</v>
      </c>
      <c r="B3" s="3">
        <v>0.1</v>
      </c>
      <c r="C3" s="2"/>
      <c r="D3" s="2"/>
      <c r="E3" s="2"/>
      <c r="F3" s="2"/>
      <c r="G3" s="4"/>
      <c r="H3" s="5"/>
    </row>
    <row r="4" spans="1:8" x14ac:dyDescent="0.25">
      <c r="A4" s="2" t="s">
        <v>3</v>
      </c>
      <c r="B4" s="3">
        <v>0.12</v>
      </c>
      <c r="C4" s="2"/>
      <c r="D4" s="2"/>
      <c r="E4" s="2"/>
      <c r="F4" s="2"/>
      <c r="G4" s="4"/>
      <c r="H4" s="5"/>
    </row>
    <row r="5" spans="1:8" x14ac:dyDescent="0.25">
      <c r="A5" s="2" t="s">
        <v>4</v>
      </c>
      <c r="B5" s="3">
        <v>0.01</v>
      </c>
      <c r="C5" s="2"/>
      <c r="D5" s="2"/>
      <c r="E5" s="2"/>
      <c r="F5" s="2"/>
      <c r="G5" s="4"/>
      <c r="H5" s="5"/>
    </row>
    <row r="6" spans="1:8" x14ac:dyDescent="0.25">
      <c r="A6" s="2" t="s">
        <v>5</v>
      </c>
      <c r="B6" s="3">
        <v>0.11</v>
      </c>
      <c r="C6" s="2"/>
      <c r="D6" s="2"/>
      <c r="E6" s="2"/>
      <c r="F6" s="2"/>
      <c r="G6" s="4"/>
      <c r="H6" s="5"/>
    </row>
    <row r="7" spans="1:8" x14ac:dyDescent="0.25">
      <c r="A7" s="2" t="s">
        <v>6</v>
      </c>
      <c r="B7" s="3">
        <v>0.06</v>
      </c>
      <c r="C7" s="2"/>
      <c r="D7" s="2"/>
      <c r="E7" s="2"/>
      <c r="F7" s="2"/>
      <c r="G7" s="4"/>
      <c r="H7" s="5"/>
    </row>
    <row r="8" spans="1:8" x14ac:dyDescent="0.25">
      <c r="A8" s="2" t="s">
        <v>7</v>
      </c>
      <c r="B8" s="3">
        <v>0.03</v>
      </c>
      <c r="C8" s="2"/>
      <c r="D8" s="2"/>
      <c r="E8" s="2"/>
      <c r="F8" s="2"/>
      <c r="G8" s="4"/>
      <c r="H8" s="5"/>
    </row>
    <row r="9" spans="1:8" x14ac:dyDescent="0.25">
      <c r="A9" s="2" t="s">
        <v>8</v>
      </c>
      <c r="B9" s="3">
        <v>0.1</v>
      </c>
      <c r="C9" s="2"/>
      <c r="D9" s="2"/>
      <c r="E9" s="2"/>
      <c r="F9" s="2"/>
      <c r="G9" s="4"/>
      <c r="H9" s="5"/>
    </row>
    <row r="10" spans="1:8" x14ac:dyDescent="0.25">
      <c r="A10" s="2" t="s">
        <v>9</v>
      </c>
      <c r="B10" s="3">
        <v>0.08</v>
      </c>
      <c r="C10" s="2"/>
      <c r="D10" s="2"/>
      <c r="E10" s="2"/>
      <c r="F10" s="2"/>
      <c r="G10" s="4"/>
      <c r="H10" s="5"/>
    </row>
    <row r="11" spans="1:8" x14ac:dyDescent="0.25">
      <c r="A11" s="6" t="s">
        <v>10</v>
      </c>
      <c r="B11" s="7">
        <v>0.15</v>
      </c>
      <c r="C11" s="2" t="s">
        <v>43</v>
      </c>
      <c r="D11" s="2"/>
      <c r="E11" s="2"/>
      <c r="F11" s="2"/>
      <c r="G11" s="4"/>
      <c r="H11" s="5"/>
    </row>
    <row r="12" spans="1:8" x14ac:dyDescent="0.25">
      <c r="A12" s="2"/>
      <c r="B12" s="2"/>
      <c r="C12" s="2"/>
      <c r="D12" s="2"/>
      <c r="E12" s="2"/>
      <c r="F12" s="2"/>
      <c r="G12" s="4"/>
      <c r="H12" s="5"/>
    </row>
    <row r="13" spans="1:8" ht="15.6" x14ac:dyDescent="0.25">
      <c r="A13" s="8" t="s">
        <v>11</v>
      </c>
      <c r="B13" s="9"/>
      <c r="C13" s="9"/>
      <c r="D13" s="9"/>
      <c r="E13" s="9"/>
      <c r="F13" s="9"/>
      <c r="H13" s="11"/>
    </row>
    <row r="14" spans="1:8" x14ac:dyDescent="0.25">
      <c r="A14" s="12" t="s">
        <v>12</v>
      </c>
      <c r="B14" s="13">
        <v>2006</v>
      </c>
      <c r="C14" s="14">
        <v>2007</v>
      </c>
      <c r="D14" s="14">
        <v>2008</v>
      </c>
      <c r="E14" s="14">
        <v>2009</v>
      </c>
      <c r="F14" s="14">
        <v>2010</v>
      </c>
      <c r="G14" s="14">
        <v>2011</v>
      </c>
      <c r="H14" s="15"/>
    </row>
    <row r="15" spans="1:8" x14ac:dyDescent="0.25">
      <c r="A15" s="10" t="s">
        <v>13</v>
      </c>
      <c r="B15" s="16">
        <f t="shared" ref="B15:G15" si="0">B24*$B$2</f>
        <v>740000</v>
      </c>
      <c r="C15" s="16">
        <f>C24*$B$2</f>
        <v>814000.00000000012</v>
      </c>
      <c r="D15" s="16">
        <f t="shared" ref="D15:G15" si="1">D24*$B$2</f>
        <v>895400.00000000023</v>
      </c>
      <c r="E15" s="16">
        <f t="shared" si="1"/>
        <v>984940.00000000047</v>
      </c>
      <c r="F15" s="16">
        <f t="shared" si="1"/>
        <v>1083434.0000000007</v>
      </c>
      <c r="G15" s="16">
        <f t="shared" si="1"/>
        <v>1191777.4000000008</v>
      </c>
      <c r="H15" s="17" t="str">
        <f ca="1">[2]!getformula(G15)</f>
        <v>&lt;--  =G24*$B$2</v>
      </c>
    </row>
    <row r="16" spans="1:8" x14ac:dyDescent="0.25">
      <c r="A16" s="18" t="s">
        <v>14</v>
      </c>
      <c r="B16" s="19">
        <v>4000000</v>
      </c>
      <c r="C16" s="20">
        <f>B16*(1+$B$4)</f>
        <v>4480000</v>
      </c>
      <c r="D16" s="20">
        <f t="shared" ref="D16:G16" si="2">C16*(1+$B$4)</f>
        <v>5017600.0000000009</v>
      </c>
      <c r="E16" s="20">
        <f t="shared" si="2"/>
        <v>5619712.0000000019</v>
      </c>
      <c r="F16" s="20">
        <f t="shared" si="2"/>
        <v>6294077.4400000023</v>
      </c>
      <c r="G16" s="20">
        <f t="shared" si="2"/>
        <v>7049366.7328000031</v>
      </c>
      <c r="H16" s="17" t="str">
        <f ca="1">[2]!getformula(G16)</f>
        <v>&lt;--  =F16*(1+$B$4)</v>
      </c>
    </row>
    <row r="17" spans="1:8" x14ac:dyDescent="0.25">
      <c r="B17" s="16"/>
      <c r="C17" s="16"/>
      <c r="D17" s="16"/>
      <c r="E17" s="16"/>
      <c r="F17" s="16"/>
      <c r="G17" s="16"/>
      <c r="H17" s="11"/>
    </row>
    <row r="18" spans="1:8" x14ac:dyDescent="0.25">
      <c r="A18" s="10" t="s">
        <v>15</v>
      </c>
      <c r="B18" s="16">
        <v>400000</v>
      </c>
      <c r="C18" s="16">
        <f>B18*(1+$B$9)</f>
        <v>440000.00000000006</v>
      </c>
      <c r="D18" s="16">
        <f t="shared" ref="D18:G18" si="3">C18*(1+$B$9)</f>
        <v>484000.00000000012</v>
      </c>
      <c r="E18" s="16">
        <f t="shared" si="3"/>
        <v>532400.00000000012</v>
      </c>
      <c r="F18" s="16">
        <f t="shared" si="3"/>
        <v>585640.00000000023</v>
      </c>
      <c r="G18" s="16">
        <f t="shared" si="3"/>
        <v>644204.00000000035</v>
      </c>
      <c r="H18" s="16" t="str">
        <f ca="1">[2]!getformula(G18)</f>
        <v>&lt;--  =F18*(1+$B$9)</v>
      </c>
    </row>
    <row r="19" spans="1:8" x14ac:dyDescent="0.25">
      <c r="A19" s="10" t="s">
        <v>16</v>
      </c>
      <c r="B19" s="16">
        <v>100000</v>
      </c>
      <c r="C19" s="31">
        <f>B19+$B$10*AVERAGE(B18:C18)</f>
        <v>133600</v>
      </c>
      <c r="D19" s="31">
        <f t="shared" ref="D19:G19" si="4">C19+$B$10*AVERAGE(C18:D18)</f>
        <v>170560</v>
      </c>
      <c r="E19" s="31">
        <f t="shared" si="4"/>
        <v>211216</v>
      </c>
      <c r="F19" s="31">
        <f t="shared" si="4"/>
        <v>255937.60000000003</v>
      </c>
      <c r="G19" s="31">
        <f t="shared" si="4"/>
        <v>305131.36000000004</v>
      </c>
      <c r="H19" s="16" t="str">
        <f ca="1">[2]!getformula(G19)</f>
        <v>&lt;--  =F19+$B$10*AVERAGE(F18:G18)</v>
      </c>
    </row>
    <row r="20" spans="1:8" x14ac:dyDescent="0.25">
      <c r="A20" s="10" t="s">
        <v>17</v>
      </c>
      <c r="B20" s="16">
        <f t="shared" ref="B20:G20" si="5">B18-B19</f>
        <v>300000</v>
      </c>
      <c r="C20" s="31">
        <f>C18-C19</f>
        <v>306400.00000000006</v>
      </c>
      <c r="D20" s="31">
        <f t="shared" ref="D20:G20" si="6">D18-D19</f>
        <v>313440.00000000012</v>
      </c>
      <c r="E20" s="31">
        <f t="shared" si="6"/>
        <v>321184.00000000012</v>
      </c>
      <c r="F20" s="31">
        <f t="shared" si="6"/>
        <v>329702.4000000002</v>
      </c>
      <c r="G20" s="31">
        <f t="shared" si="6"/>
        <v>339072.64000000031</v>
      </c>
      <c r="H20" s="16" t="str">
        <f ca="1">[2]!getformula(G20)</f>
        <v>&lt;--  =G18-G19</v>
      </c>
    </row>
    <row r="21" spans="1:8" x14ac:dyDescent="0.25">
      <c r="A21" s="21" t="s">
        <v>18</v>
      </c>
      <c r="B21" s="16">
        <f t="shared" ref="B21:G21" si="7">B20+B16+B15</f>
        <v>5040000</v>
      </c>
      <c r="C21" s="16">
        <f t="shared" si="7"/>
        <v>5600400</v>
      </c>
      <c r="D21" s="16">
        <f t="shared" ref="D21:G21" si="8">D20+D16+D15</f>
        <v>6226440.0000000009</v>
      </c>
      <c r="E21" s="16">
        <f t="shared" si="8"/>
        <v>6925836.0000000019</v>
      </c>
      <c r="F21" s="16">
        <f t="shared" si="8"/>
        <v>7707213.8400000036</v>
      </c>
      <c r="G21" s="16">
        <f t="shared" si="8"/>
        <v>8580216.7728000041</v>
      </c>
      <c r="H21" s="16" t="str">
        <f ca="1">[2]!getformula(G21)</f>
        <v>&lt;--  =G20+G16+G15</v>
      </c>
    </row>
    <row r="22" spans="1:8" x14ac:dyDescent="0.25">
      <c r="B22" s="16"/>
      <c r="C22" s="16"/>
      <c r="D22" s="16"/>
      <c r="E22" s="16"/>
      <c r="F22" s="16"/>
      <c r="G22" s="16"/>
    </row>
    <row r="23" spans="1:8" x14ac:dyDescent="0.25">
      <c r="A23" s="21" t="s">
        <v>19</v>
      </c>
      <c r="B23" s="13">
        <v>2006</v>
      </c>
      <c r="C23" s="14">
        <v>2007</v>
      </c>
      <c r="D23" s="14">
        <v>2008</v>
      </c>
      <c r="E23" s="14">
        <v>2009</v>
      </c>
      <c r="F23" s="14">
        <v>2010</v>
      </c>
      <c r="G23" s="14">
        <v>2011</v>
      </c>
    </row>
    <row r="24" spans="1:8" x14ac:dyDescent="0.25">
      <c r="A24" s="10" t="s">
        <v>20</v>
      </c>
      <c r="B24" s="16">
        <v>3700000</v>
      </c>
      <c r="C24" s="31">
        <f>B24*(1+$B$3)</f>
        <v>4070000.0000000005</v>
      </c>
      <c r="D24" s="31">
        <f t="shared" ref="D24:G24" si="9">C24*(1+$B$3)</f>
        <v>4477000.0000000009</v>
      </c>
      <c r="E24" s="31">
        <f t="shared" si="9"/>
        <v>4924700.0000000019</v>
      </c>
      <c r="F24" s="31">
        <f t="shared" si="9"/>
        <v>5417170.0000000028</v>
      </c>
      <c r="G24" s="31">
        <f t="shared" si="9"/>
        <v>5958887.0000000037</v>
      </c>
      <c r="H24" s="16" t="str">
        <f ca="1">[2]!getformula(G24)</f>
        <v>&lt;--  =F24*(1+$B$3)</v>
      </c>
    </row>
    <row r="25" spans="1:8" x14ac:dyDescent="0.25">
      <c r="A25" s="35" t="s">
        <v>44</v>
      </c>
      <c r="B25" s="22">
        <v>700000</v>
      </c>
      <c r="C25" s="34">
        <f>IF(C21&gt;C24+SUM(C27:C28),C21-C24-SUM(C27:C28),0)</f>
        <v>858399.99999999953</v>
      </c>
      <c r="D25" s="34">
        <f t="shared" ref="D25:G25" si="10">IF(D21&gt;D24+SUM(D27:D28),D21-D24-SUM(D27:D28),0)</f>
        <v>996799.99999999988</v>
      </c>
      <c r="E25" s="34">
        <f t="shared" si="10"/>
        <v>1158179.1999999997</v>
      </c>
      <c r="F25" s="34">
        <f t="shared" si="10"/>
        <v>1345932.2240000004</v>
      </c>
      <c r="G25" s="34">
        <f t="shared" si="10"/>
        <v>1563924.7628800001</v>
      </c>
      <c r="H25" s="16" t="str">
        <f ca="1">[2]!getformula(G25)</f>
        <v>&lt;--  =IF(G21&gt;G24+SUM(G27:G28),G21-G24-SUM(G27:G28),0)</v>
      </c>
    </row>
    <row r="26" spans="1:8" x14ac:dyDescent="0.25">
      <c r="A26" s="10" t="s">
        <v>21</v>
      </c>
      <c r="B26" s="16"/>
      <c r="C26" s="31"/>
      <c r="D26" s="31"/>
      <c r="E26" s="31"/>
      <c r="F26" s="31"/>
      <c r="G26" s="31"/>
      <c r="H26" s="16"/>
    </row>
    <row r="27" spans="1:8" x14ac:dyDescent="0.25">
      <c r="A27" s="32" t="s">
        <v>22</v>
      </c>
      <c r="B27" s="16">
        <v>200000</v>
      </c>
      <c r="C27" s="31">
        <f>B27</f>
        <v>200000</v>
      </c>
      <c r="D27" s="31">
        <f t="shared" ref="D27:G27" si="11">C27</f>
        <v>200000</v>
      </c>
      <c r="E27" s="31">
        <f t="shared" si="11"/>
        <v>200000</v>
      </c>
      <c r="F27" s="31">
        <f t="shared" si="11"/>
        <v>200000</v>
      </c>
      <c r="G27" s="31">
        <f t="shared" si="11"/>
        <v>200000</v>
      </c>
      <c r="H27" s="16"/>
    </row>
    <row r="28" spans="1:8" x14ac:dyDescent="0.25">
      <c r="A28" s="23" t="s">
        <v>23</v>
      </c>
      <c r="B28" s="24">
        <f>B21-B24-B25-B27</f>
        <v>440000</v>
      </c>
      <c r="C28" s="31">
        <f>$B$11*C16-C27</f>
        <v>472000</v>
      </c>
      <c r="D28" s="31">
        <f t="shared" ref="D28:G28" si="12">$B$11*D16-D27</f>
        <v>552640.00000000012</v>
      </c>
      <c r="E28" s="31">
        <f t="shared" si="12"/>
        <v>642956.80000000028</v>
      </c>
      <c r="F28" s="31">
        <f t="shared" si="12"/>
        <v>744111.61600000027</v>
      </c>
      <c r="G28" s="31">
        <f t="shared" si="12"/>
        <v>857405.00992000033</v>
      </c>
      <c r="H28" s="16" t="str">
        <f ca="1">[2]!getformula(G28)</f>
        <v>&lt;--  =$B$11*G16-G27</v>
      </c>
    </row>
    <row r="29" spans="1:8" x14ac:dyDescent="0.25">
      <c r="A29" s="21" t="s">
        <v>24</v>
      </c>
      <c r="B29" s="16">
        <f t="shared" ref="B29:G29" si="13">SUM(B24:B28)</f>
        <v>5040000</v>
      </c>
      <c r="C29" s="31">
        <f>SUM(C24:C28)</f>
        <v>5600400</v>
      </c>
      <c r="D29" s="31">
        <f t="shared" ref="D29:G29" si="14">SUM(D24:D28)</f>
        <v>6226440.0000000009</v>
      </c>
      <c r="E29" s="31">
        <f t="shared" si="14"/>
        <v>6925836.0000000019</v>
      </c>
      <c r="F29" s="31">
        <f t="shared" si="14"/>
        <v>7707213.8400000036</v>
      </c>
      <c r="G29" s="31">
        <f t="shared" si="14"/>
        <v>8580216.7728000041</v>
      </c>
      <c r="H29" s="16" t="str">
        <f ca="1">[2]!getformula(G29)</f>
        <v>&lt;--  =SUM(G24:G28)</v>
      </c>
    </row>
    <row r="30" spans="1:8" x14ac:dyDescent="0.25">
      <c r="A30" s="21"/>
      <c r="B30" s="25"/>
      <c r="C30" s="25"/>
      <c r="D30" s="25"/>
      <c r="E30" s="25"/>
      <c r="F30" s="25"/>
      <c r="G30" s="25"/>
    </row>
    <row r="31" spans="1:8" ht="15.6" x14ac:dyDescent="0.3">
      <c r="A31" s="26" t="s">
        <v>25</v>
      </c>
      <c r="B31" s="27">
        <v>2006</v>
      </c>
      <c r="C31" s="14">
        <v>2007</v>
      </c>
      <c r="D31" s="14">
        <v>2008</v>
      </c>
      <c r="E31" s="14">
        <v>2009</v>
      </c>
      <c r="F31" s="14">
        <v>2010</v>
      </c>
      <c r="G31" s="14">
        <v>2011</v>
      </c>
      <c r="H31" s="21"/>
    </row>
    <row r="32" spans="1:8" x14ac:dyDescent="0.25">
      <c r="A32" s="10" t="s">
        <v>26</v>
      </c>
      <c r="B32" s="16">
        <f t="shared" ref="B32:G32" si="15">$B$6*AVERAGE(A16:B16)</f>
        <v>440000</v>
      </c>
      <c r="C32" s="16">
        <f t="shared" si="15"/>
        <v>466400</v>
      </c>
      <c r="D32" s="16">
        <f t="shared" ref="D32" si="16">$B$6*AVERAGE(C16:D16)</f>
        <v>522368</v>
      </c>
      <c r="E32" s="16">
        <f t="shared" ref="E32" si="17">$B$6*AVERAGE(D16:E16)</f>
        <v>585052.16000000027</v>
      </c>
      <c r="F32" s="16">
        <f t="shared" ref="F32" si="18">$B$6*AVERAGE(E16:F16)</f>
        <v>655258.41920000024</v>
      </c>
      <c r="G32" s="16">
        <f t="shared" ref="G32" si="19">$B$6*AVERAGE(F16:G16)</f>
        <v>733889.42950400023</v>
      </c>
      <c r="H32" s="16" t="str">
        <f ca="1">[2]!getformula(G32)</f>
        <v>&lt;--  =$B$6*AVERAGE(F16:G16)</v>
      </c>
    </row>
    <row r="33" spans="1:8" x14ac:dyDescent="0.25">
      <c r="A33" s="4" t="s">
        <v>27</v>
      </c>
      <c r="B33" s="16"/>
      <c r="C33" s="16"/>
      <c r="D33" s="16"/>
      <c r="E33" s="16"/>
      <c r="F33" s="16"/>
      <c r="G33" s="16"/>
      <c r="H33" s="16" t="str">
        <f ca="1">[2]!getformula(G33)</f>
        <v xml:space="preserve">&lt;--  </v>
      </c>
    </row>
    <row r="34" spans="1:8" x14ac:dyDescent="0.25">
      <c r="A34" s="4" t="s">
        <v>28</v>
      </c>
      <c r="B34" s="16">
        <f t="shared" ref="B34:G34" si="20">-$B$5*AVERAGE(A24:B24)</f>
        <v>-37000</v>
      </c>
      <c r="C34" s="31">
        <f>-$B$5*AVERAGE(B24:C24)</f>
        <v>-38850</v>
      </c>
      <c r="D34" s="31">
        <f t="shared" ref="D34:G34" si="21">-$B$5*AVERAGE(C24:D24)</f>
        <v>-42735.000000000007</v>
      </c>
      <c r="E34" s="31">
        <f t="shared" si="21"/>
        <v>-47008.500000000022</v>
      </c>
      <c r="F34" s="31">
        <f t="shared" si="21"/>
        <v>-51709.35000000002</v>
      </c>
      <c r="G34" s="31">
        <f t="shared" si="21"/>
        <v>-56880.28500000004</v>
      </c>
      <c r="H34" s="16" t="str">
        <f ca="1">[2]!getformula(G34)</f>
        <v>&lt;--  =-$B$5*AVERAGE(F24:G24)</v>
      </c>
    </row>
    <row r="35" spans="1:8" x14ac:dyDescent="0.25">
      <c r="A35" s="4" t="s">
        <v>29</v>
      </c>
      <c r="B35" s="16">
        <f t="shared" ref="B35:G35" si="22">-$B$7*AVERAGE(A25:B25)</f>
        <v>-42000</v>
      </c>
      <c r="C35" s="31">
        <f>-$B$7*AVERAGE(B25:C25)</f>
        <v>-46751.999999999985</v>
      </c>
      <c r="D35" s="31">
        <f t="shared" ref="D35:G35" si="23">-$B$7*AVERAGE(C25:D25)</f>
        <v>-55655.999999999985</v>
      </c>
      <c r="E35" s="31">
        <f t="shared" si="23"/>
        <v>-64649.375999999989</v>
      </c>
      <c r="F35" s="31">
        <f t="shared" si="23"/>
        <v>-75123.342720000001</v>
      </c>
      <c r="G35" s="31">
        <f t="shared" si="23"/>
        <v>-87295.709606400022</v>
      </c>
      <c r="H35" s="16" t="str">
        <f ca="1">[2]!getformula(G35)</f>
        <v>&lt;--  =-$B$7*AVERAGE(F25:G25)</v>
      </c>
    </row>
    <row r="36" spans="1:8" x14ac:dyDescent="0.25">
      <c r="A36" s="33" t="s">
        <v>30</v>
      </c>
      <c r="B36" s="16">
        <v>-200000</v>
      </c>
      <c r="C36" s="31">
        <f>B36</f>
        <v>-200000</v>
      </c>
      <c r="D36" s="31">
        <f t="shared" ref="D36:G36" si="24">C36</f>
        <v>-200000</v>
      </c>
      <c r="E36" s="31">
        <f t="shared" si="24"/>
        <v>-200000</v>
      </c>
      <c r="F36" s="31">
        <f t="shared" si="24"/>
        <v>-200000</v>
      </c>
      <c r="G36" s="31">
        <f t="shared" si="24"/>
        <v>-200000</v>
      </c>
      <c r="H36" s="16"/>
    </row>
    <row r="37" spans="1:8" x14ac:dyDescent="0.25">
      <c r="A37" s="4" t="s">
        <v>16</v>
      </c>
      <c r="B37" s="16">
        <v>-30000</v>
      </c>
      <c r="C37" s="31">
        <f>-$B$10*AVERAGE(B18:C18)</f>
        <v>-33600</v>
      </c>
      <c r="D37" s="31">
        <f t="shared" ref="D37:G37" si="25">-$B$10*AVERAGE(C18:D18)</f>
        <v>-36960.000000000007</v>
      </c>
      <c r="E37" s="31">
        <f t="shared" si="25"/>
        <v>-40656.000000000007</v>
      </c>
      <c r="F37" s="31">
        <f t="shared" si="25"/>
        <v>-44721.60000000002</v>
      </c>
      <c r="G37" s="31">
        <f t="shared" si="25"/>
        <v>-49193.760000000017</v>
      </c>
      <c r="H37" s="16"/>
    </row>
    <row r="38" spans="1:8" x14ac:dyDescent="0.25">
      <c r="A38" s="4" t="s">
        <v>31</v>
      </c>
      <c r="B38" s="16">
        <f t="shared" ref="B38:G38" si="26">SUM(B32:B37)</f>
        <v>131000</v>
      </c>
      <c r="C38" s="31">
        <f t="shared" si="26"/>
        <v>147198</v>
      </c>
      <c r="D38" s="31">
        <f t="shared" ref="D38:G38" si="27">SUM(D32:D37)</f>
        <v>187017</v>
      </c>
      <c r="E38" s="31">
        <f t="shared" si="27"/>
        <v>232738.28400000028</v>
      </c>
      <c r="F38" s="31">
        <f t="shared" si="27"/>
        <v>283704.12648000027</v>
      </c>
      <c r="G38" s="31">
        <f t="shared" si="27"/>
        <v>340519.6748976002</v>
      </c>
      <c r="H38" s="16" t="str">
        <f ca="1">[2]!getformula(G38)</f>
        <v>&lt;--  =SUM(G32:G37)</v>
      </c>
    </row>
    <row r="39" spans="1:8" x14ac:dyDescent="0.25">
      <c r="A39" s="4"/>
      <c r="B39" s="16"/>
      <c r="C39" s="16"/>
      <c r="D39" s="16"/>
      <c r="E39" s="16"/>
      <c r="F39" s="16"/>
      <c r="G39" s="16"/>
      <c r="H39" s="16"/>
    </row>
    <row r="40" spans="1:8" ht="15.6" x14ac:dyDescent="0.3">
      <c r="A40" s="28" t="s">
        <v>32</v>
      </c>
      <c r="B40" s="16"/>
      <c r="C40" s="14">
        <v>2007</v>
      </c>
      <c r="D40" s="14">
        <v>2008</v>
      </c>
      <c r="E40" s="14">
        <v>2009</v>
      </c>
      <c r="F40" s="14">
        <v>2010</v>
      </c>
      <c r="G40" s="14">
        <v>2011</v>
      </c>
      <c r="H40" s="16"/>
    </row>
    <row r="41" spans="1:8" x14ac:dyDescent="0.25">
      <c r="A41" s="4" t="s">
        <v>31</v>
      </c>
      <c r="B41" s="16"/>
      <c r="C41" s="16">
        <f t="shared" ref="C41:G41" si="28">C38</f>
        <v>147198</v>
      </c>
      <c r="D41" s="16">
        <f t="shared" si="28"/>
        <v>187017</v>
      </c>
      <c r="E41" s="16">
        <f t="shared" si="28"/>
        <v>232738.28400000028</v>
      </c>
      <c r="F41" s="16">
        <f t="shared" si="28"/>
        <v>283704.12648000027</v>
      </c>
      <c r="G41" s="16">
        <f t="shared" si="28"/>
        <v>340519.6748976002</v>
      </c>
      <c r="H41" s="16" t="str">
        <f ca="1">[2]!getformula(G41)</f>
        <v>&lt;--  =G38</v>
      </c>
    </row>
    <row r="42" spans="1:8" x14ac:dyDescent="0.25">
      <c r="A42" s="4" t="s">
        <v>33</v>
      </c>
      <c r="B42" s="16"/>
      <c r="C42" s="16">
        <f t="shared" ref="C42:G42" si="29">-C37</f>
        <v>33600</v>
      </c>
      <c r="D42" s="16">
        <f t="shared" si="29"/>
        <v>36960.000000000007</v>
      </c>
      <c r="E42" s="16">
        <f t="shared" si="29"/>
        <v>40656.000000000007</v>
      </c>
      <c r="F42" s="16">
        <f t="shared" si="29"/>
        <v>44721.60000000002</v>
      </c>
      <c r="G42" s="16">
        <f t="shared" si="29"/>
        <v>49193.760000000017</v>
      </c>
      <c r="H42" s="16" t="str">
        <f ca="1">[2]!getformula(G42)</f>
        <v>&lt;--  =-G37</v>
      </c>
    </row>
    <row r="43" spans="1:8" x14ac:dyDescent="0.25">
      <c r="A43" s="33" t="s">
        <v>34</v>
      </c>
      <c r="B43" s="16"/>
      <c r="C43" s="16">
        <f t="shared" ref="C43:G43" si="30">SUM(C41:C42)</f>
        <v>180798</v>
      </c>
      <c r="D43" s="16">
        <f t="shared" si="30"/>
        <v>223977</v>
      </c>
      <c r="E43" s="16">
        <f t="shared" si="30"/>
        <v>273394.28400000028</v>
      </c>
      <c r="F43" s="16">
        <f t="shared" si="30"/>
        <v>328425.7264800003</v>
      </c>
      <c r="G43" s="16">
        <f t="shared" si="30"/>
        <v>389713.43489760021</v>
      </c>
      <c r="H43" s="16" t="str">
        <f ca="1">[2]!getformula(G43)</f>
        <v>&lt;--  =SUM(G41:G42)</v>
      </c>
    </row>
    <row r="44" spans="1:8" x14ac:dyDescent="0.25">
      <c r="A44" s="4" t="s">
        <v>35</v>
      </c>
      <c r="B44" s="16"/>
      <c r="C44" s="16">
        <f t="shared" ref="C44:G44" si="31">B28-C28</f>
        <v>-32000</v>
      </c>
      <c r="D44" s="16">
        <f t="shared" si="31"/>
        <v>-80640.000000000116</v>
      </c>
      <c r="E44" s="16">
        <f t="shared" si="31"/>
        <v>-90316.800000000163</v>
      </c>
      <c r="F44" s="16">
        <f t="shared" si="31"/>
        <v>-101154.81599999999</v>
      </c>
      <c r="G44" s="16">
        <f t="shared" si="31"/>
        <v>-113293.39392000006</v>
      </c>
      <c r="H44" s="16" t="str">
        <f ca="1">[2]!getformula(G44)</f>
        <v>&lt;--  =F28-G28</v>
      </c>
    </row>
    <row r="45" spans="1:8" x14ac:dyDescent="0.25">
      <c r="A45" s="33" t="s">
        <v>36</v>
      </c>
      <c r="B45" s="16"/>
      <c r="C45" s="16">
        <f t="shared" ref="C45:G45" si="32">C43+C44</f>
        <v>148798</v>
      </c>
      <c r="D45" s="16">
        <f t="shared" si="32"/>
        <v>143336.99999999988</v>
      </c>
      <c r="E45" s="16">
        <f t="shared" si="32"/>
        <v>183077.48400000011</v>
      </c>
      <c r="F45" s="16">
        <f t="shared" si="32"/>
        <v>227270.91048000031</v>
      </c>
      <c r="G45" s="16">
        <f t="shared" si="32"/>
        <v>276420.04097760015</v>
      </c>
      <c r="H45" s="16" t="str">
        <f ca="1">[2]!getformula(G45)</f>
        <v>&lt;--  =G43+G44</v>
      </c>
    </row>
    <row r="46" spans="1:8" x14ac:dyDescent="0.25">
      <c r="A46" s="4"/>
      <c r="B46" s="16"/>
      <c r="C46" s="16"/>
      <c r="D46" s="16"/>
      <c r="E46" s="16"/>
      <c r="F46" s="16"/>
      <c r="G46" s="16"/>
      <c r="H46" s="16"/>
    </row>
    <row r="47" spans="1:8" ht="15.6" x14ac:dyDescent="0.3">
      <c r="A47" s="28" t="s">
        <v>37</v>
      </c>
      <c r="B47" s="16"/>
      <c r="H47" s="16"/>
    </row>
    <row r="48" spans="1:8" ht="15.6" x14ac:dyDescent="0.35">
      <c r="A48" s="4" t="s">
        <v>38</v>
      </c>
      <c r="B48" s="29">
        <v>0.16</v>
      </c>
      <c r="C48" s="16"/>
      <c r="D48" s="16"/>
      <c r="E48" s="16"/>
      <c r="F48" s="16"/>
      <c r="G48" s="16"/>
      <c r="H48" s="16"/>
    </row>
    <row r="49" spans="1:8" x14ac:dyDescent="0.25">
      <c r="A49" s="4" t="s">
        <v>39</v>
      </c>
      <c r="B49" s="29">
        <v>0.08</v>
      </c>
      <c r="C49" s="16"/>
      <c r="D49" s="16"/>
      <c r="E49" s="16"/>
      <c r="F49" s="16"/>
      <c r="G49" s="16"/>
      <c r="H49" s="16"/>
    </row>
    <row r="50" spans="1:8" x14ac:dyDescent="0.25">
      <c r="A50" s="4"/>
      <c r="B50" s="16"/>
      <c r="C50" s="16"/>
      <c r="D50" s="16"/>
      <c r="E50" s="16"/>
      <c r="F50" s="16"/>
      <c r="G50" s="16"/>
      <c r="H50" s="16"/>
    </row>
    <row r="51" spans="1:8" x14ac:dyDescent="0.25">
      <c r="B51" s="16"/>
      <c r="C51" s="14">
        <v>2007</v>
      </c>
      <c r="D51" s="14">
        <v>2008</v>
      </c>
      <c r="E51" s="14">
        <v>2009</v>
      </c>
      <c r="F51" s="14">
        <v>2010</v>
      </c>
      <c r="G51" s="14">
        <v>2011</v>
      </c>
      <c r="H51" s="16"/>
    </row>
    <row r="52" spans="1:8" x14ac:dyDescent="0.25">
      <c r="A52" s="4" t="s">
        <v>36</v>
      </c>
      <c r="B52" s="16"/>
      <c r="C52" s="16">
        <f>C45</f>
        <v>148798</v>
      </c>
      <c r="D52" s="16">
        <f>D45</f>
        <v>143336.99999999988</v>
      </c>
      <c r="E52" s="16">
        <f>E45</f>
        <v>183077.48400000011</v>
      </c>
      <c r="F52" s="16">
        <f>F45</f>
        <v>227270.91048000031</v>
      </c>
      <c r="G52" s="16">
        <f>G45</f>
        <v>276420.04097760015</v>
      </c>
      <c r="H52" s="16" t="str">
        <f ca="1">[2]!getformula(G52)</f>
        <v>&lt;--  =G45</v>
      </c>
    </row>
    <row r="53" spans="1:8" x14ac:dyDescent="0.25">
      <c r="A53" s="4" t="s">
        <v>40</v>
      </c>
      <c r="B53" s="16"/>
      <c r="C53" s="16"/>
      <c r="D53" s="16"/>
      <c r="E53" s="16"/>
      <c r="F53" s="16"/>
      <c r="G53" s="16">
        <f>G52*(1+B49)/(B48-B49)</f>
        <v>3731670.5531976023</v>
      </c>
      <c r="H53" s="16" t="str">
        <f ca="1">[2]!getformula(G53)</f>
        <v>&lt;--  =G52*(1+B49)/(B48-B49)</v>
      </c>
    </row>
    <row r="54" spans="1:8" x14ac:dyDescent="0.25">
      <c r="A54" s="4" t="s">
        <v>41</v>
      </c>
      <c r="B54" s="16"/>
      <c r="C54" s="16">
        <f>SUM(C52:C53)</f>
        <v>148798</v>
      </c>
      <c r="D54" s="16">
        <f>SUM(D52:D53)</f>
        <v>143336.99999999988</v>
      </c>
      <c r="E54" s="16">
        <f>SUM(E52:E53)</f>
        <v>183077.48400000011</v>
      </c>
      <c r="F54" s="16">
        <f>SUM(F52:F53)</f>
        <v>227270.91048000031</v>
      </c>
      <c r="G54" s="16">
        <f>SUM(G52:G53)</f>
        <v>4008090.5941752023</v>
      </c>
      <c r="H54" s="16" t="str">
        <f ca="1">[2]!getformula(G54)</f>
        <v>&lt;--  =SUM(G52:G53)</v>
      </c>
    </row>
    <row r="55" spans="1:8" x14ac:dyDescent="0.25">
      <c r="A55" s="4"/>
      <c r="B55" s="16"/>
      <c r="C55" s="16"/>
      <c r="D55" s="16"/>
      <c r="E55" s="16"/>
      <c r="F55" s="16"/>
      <c r="G55" s="16"/>
      <c r="H55" s="16"/>
    </row>
    <row r="56" spans="1:8" x14ac:dyDescent="0.25">
      <c r="A56" s="30" t="s">
        <v>42</v>
      </c>
      <c r="B56" s="24">
        <f>NPV(B48,C54:G54)*(1+B48)^0.5</f>
        <v>2569704.4380613966</v>
      </c>
      <c r="C56" s="16" t="str">
        <f ca="1">[2]!getformula(B56)</f>
        <v>&lt;--  =NPV(B48,C54:G54)*(1+B48)^0.5</v>
      </c>
      <c r="D56" s="16"/>
      <c r="E56" s="16"/>
      <c r="F56" s="16"/>
      <c r="G56" s="16"/>
      <c r="H56" s="16"/>
    </row>
    <row r="57" spans="1:8" x14ac:dyDescent="0.25">
      <c r="A57" s="4"/>
    </row>
    <row r="58" spans="1:8" x14ac:dyDescent="0.25">
      <c r="A58" s="4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2024-10-21T10:09:15Z</dcterms:modified>
</cp:coreProperties>
</file>