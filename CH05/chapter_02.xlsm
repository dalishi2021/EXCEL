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/>
  <workbookPr defaultThemeVersion="166925"/>
  <mc:AlternateContent xmlns:mc="http://schemas.openxmlformats.org/markup-compatibility/2006">
    <mc:Choice Requires="x15">
      <x15ac:absPath xmlns:x15ac="http://schemas.microsoft.com/office/spreadsheetml/2010/11/ac" url="D:\lizhengdong\交易框架\5_工具箱\_书库\编程\Excel\CH05\"/>
    </mc:Choice>
  </mc:AlternateContent>
  <xr:revisionPtr revIDLastSave="0" documentId="13_ncr:1_{B805AF1D-B003-45C7-A917-05E795797D0E}" xr6:coauthVersionLast="47" xr6:coauthVersionMax="47" xr10:uidLastSave="{00000000-0000-0000-0000-000000000000}"/>
  <bookViews>
    <workbookView xWindow="-38520" yWindow="-120" windowWidth="38640" windowHeight="21120" xr2:uid="{EA6F33A8-FE0E-48B1-8C74-8B2321C6BA8B}"/>
  </bookViews>
  <sheets>
    <sheet name="Sheet2" sheetId="2" r:id="rId1"/>
  </sheets>
  <externalReferences>
    <externalReference r:id="rId2"/>
    <externalReference r:id="rId3"/>
  </externalReferences>
  <definedNames>
    <definedName name="_xlnm.Print_Area" localSheetId="0">Sheet2!$A$1:$E$50</definedName>
  </definedNames>
  <calcPr calcId="191029" iterate="1" iterateDelta="1.0000000000000001E-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50" i="2" l="1"/>
  <c r="D48" i="2"/>
  <c r="C48" i="2"/>
  <c r="B48" i="2"/>
  <c r="D38" i="2"/>
  <c r="C38" i="2"/>
  <c r="B38" i="2"/>
  <c r="D22" i="2"/>
  <c r="C22" i="2"/>
  <c r="C50" i="2" s="1"/>
  <c r="B22" i="2"/>
  <c r="B50" i="2" s="1"/>
  <c r="E50" i="2"/>
  <c r="E48" i="2"/>
  <c r="E38" i="2"/>
  <c r="E22" i="2"/>
</calcChain>
</file>

<file path=xl/sharedStrings.xml><?xml version="1.0" encoding="utf-8"?>
<sst xmlns="http://schemas.openxmlformats.org/spreadsheetml/2006/main" count="49" uniqueCount="46">
  <si>
    <t>Trading account securities</t>
  </si>
  <si>
    <t>Operating Activities:</t>
  </si>
  <si>
    <t>Net income</t>
  </si>
  <si>
    <t>Deferred tax expense (benefit)</t>
  </si>
  <si>
    <t>Securities premium amortization (discount accretion), net</t>
  </si>
  <si>
    <t>Net (gain) loss on securities transactions</t>
  </si>
  <si>
    <t>Depreciation and amortization</t>
  </si>
  <si>
    <t>Net gain on sale of loans held for sale and other assets</t>
  </si>
  <si>
    <t>Tax benefit from stock compensation</t>
  </si>
  <si>
    <t>Amortization of deferred compensation</t>
  </si>
  <si>
    <t>Earnings on life insurance policies</t>
  </si>
  <si>
    <t>Net change in:</t>
  </si>
  <si>
    <t>Net cash from operating activities</t>
  </si>
  <si>
    <t/>
  </si>
  <si>
    <t>Investing Activities:</t>
  </si>
  <si>
    <t>Securities held to maturity:</t>
  </si>
  <si>
    <t>Purchases</t>
  </si>
  <si>
    <t>Maturities, calls and principal payments</t>
  </si>
  <si>
    <t>Securities available for sale:</t>
  </si>
  <si>
    <t>Sales</t>
  </si>
  <si>
    <t>Net change in loans</t>
  </si>
  <si>
    <t>Net cash paid in acquisitions</t>
  </si>
  <si>
    <t>Proceeds from sales of premises and equipment</t>
  </si>
  <si>
    <t>Purchases of premises and equipment</t>
  </si>
  <si>
    <t>Benefits received on life insurance policies</t>
  </si>
  <si>
    <t>Proceeds from sales of repossessed properties</t>
  </si>
  <si>
    <t>Net cash from investing activities</t>
  </si>
  <si>
    <t>Financing Activities:</t>
  </si>
  <si>
    <t>Net change in deposits</t>
  </si>
  <si>
    <t>Net change in short-term borrowings</t>
  </si>
  <si>
    <t>Principal payments on notes payable and other borrowings</t>
  </si>
  <si>
    <t>Proceeds from junior subordinated deferrable interest debentures</t>
  </si>
  <si>
    <t>Proceeds from stock option exercises</t>
  </si>
  <si>
    <t>Purchase of treasury stock</t>
  </si>
  <si>
    <t>Cash dividends paid</t>
  </si>
  <si>
    <t>Net cash from financing activities</t>
  </si>
  <si>
    <t>Free cash flow (FCF)</t>
  </si>
  <si>
    <r>
      <rPr>
        <sz val="10"/>
        <color rgb="FFFF0000"/>
        <rFont val="Arial"/>
        <family val="2"/>
      </rPr>
      <t>Provision</t>
    </r>
    <r>
      <rPr>
        <sz val="10"/>
        <rFont val="Arial"/>
        <family val="2"/>
      </rPr>
      <t xml:space="preserve"> for possible loan losses</t>
    </r>
    <phoneticPr fontId="1" type="noConversion"/>
  </si>
  <si>
    <r>
      <t xml:space="preserve">CULLEN FROST BANKERS INC.
Computing the Free Cash Flow from the </t>
    </r>
    <r>
      <rPr>
        <b/>
        <sz val="14"/>
        <color rgb="FFFF0000"/>
        <rFont val="Arial"/>
        <family val="2"/>
      </rPr>
      <t>Consolidated</t>
    </r>
    <r>
      <rPr>
        <b/>
        <sz val="14"/>
        <rFont val="Arial"/>
        <family val="2"/>
      </rPr>
      <t xml:space="preserve"> Statement of Cash Flows</t>
    </r>
    <phoneticPr fontId="1" type="noConversion"/>
  </si>
  <si>
    <r>
      <t xml:space="preserve">Adjustments to </t>
    </r>
    <r>
      <rPr>
        <sz val="10"/>
        <color rgb="FFFF0000"/>
        <rFont val="Arial"/>
        <family val="2"/>
      </rPr>
      <t>reconcile</t>
    </r>
    <r>
      <rPr>
        <sz val="10"/>
        <rFont val="Arial"/>
        <family val="2"/>
      </rPr>
      <t xml:space="preserve"> net income to net cash from operating activities:</t>
    </r>
    <phoneticPr fontId="1" type="noConversion"/>
  </si>
  <si>
    <r>
      <rPr>
        <sz val="10"/>
        <color rgb="FFFF0000"/>
        <rFont val="Arial"/>
        <family val="2"/>
      </rPr>
      <t>Accretion</t>
    </r>
    <r>
      <rPr>
        <sz val="10"/>
        <rFont val="Arial"/>
        <family val="2"/>
      </rPr>
      <t xml:space="preserve"> of loan discounts</t>
    </r>
    <phoneticPr fontId="1" type="noConversion"/>
  </si>
  <si>
    <r>
      <rPr>
        <sz val="10"/>
        <color rgb="FFFF0000"/>
        <rFont val="Arial"/>
        <family val="2"/>
      </rPr>
      <t>Origination</t>
    </r>
    <r>
      <rPr>
        <sz val="10"/>
        <rFont val="Arial"/>
        <family val="2"/>
      </rPr>
      <t xml:space="preserve"> of loans held for sale, net of principal collected</t>
    </r>
    <phoneticPr fontId="1" type="noConversion"/>
  </si>
  <si>
    <r>
      <rPr>
        <sz val="10"/>
        <color rgb="FFFF0000"/>
        <rFont val="Arial"/>
        <family val="2"/>
      </rPr>
      <t>Proceeds</t>
    </r>
    <r>
      <rPr>
        <sz val="10"/>
        <rFont val="Arial"/>
        <family val="2"/>
      </rPr>
      <t xml:space="preserve"> from sales of loans held for sale</t>
    </r>
    <phoneticPr fontId="1" type="noConversion"/>
  </si>
  <si>
    <r>
      <t xml:space="preserve">Net </t>
    </r>
    <r>
      <rPr>
        <sz val="10"/>
        <color rgb="FFFF0000"/>
        <rFont val="Arial"/>
        <family val="2"/>
      </rPr>
      <t>proceeds</t>
    </r>
    <r>
      <rPr>
        <sz val="10"/>
        <rFont val="Arial"/>
        <family val="2"/>
      </rPr>
      <t xml:space="preserve"> from settlement of legal claims</t>
    </r>
    <phoneticPr fontId="1" type="noConversion"/>
  </si>
  <si>
    <r>
      <rPr>
        <sz val="10"/>
        <color rgb="FFFF0000"/>
        <rFont val="Arial"/>
        <family val="2"/>
      </rPr>
      <t>Accrued</t>
    </r>
    <r>
      <rPr>
        <sz val="10"/>
        <rFont val="Arial"/>
        <family val="2"/>
      </rPr>
      <t xml:space="preserve"> interest receivable and other assets</t>
    </r>
    <phoneticPr fontId="1" type="noConversion"/>
  </si>
  <si>
    <r>
      <rPr>
        <sz val="10"/>
        <color rgb="FFFF0000"/>
        <rFont val="Arial"/>
        <family val="2"/>
      </rPr>
      <t>Accrued</t>
    </r>
    <r>
      <rPr>
        <sz val="10"/>
        <rFont val="Arial"/>
        <family val="2"/>
      </rPr>
      <t xml:space="preserve"> interest payable and other liabilities</t>
    </r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</si>
</sst>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0"/>
      <name val="Arial"/>
      <family val="2"/>
    </font>
    <font>
      <b/>
      <sz val="14"/>
      <name val="Arial"/>
      <family val="2"/>
    </font>
    <font>
      <b/>
      <sz val="10"/>
      <name val="Arial"/>
      <family val="2"/>
    </font>
    <font>
      <b/>
      <sz val="12"/>
      <name val="Arial"/>
      <family val="2"/>
    </font>
    <font>
      <sz val="10"/>
      <color rgb="FFFF0000"/>
      <name val="Arial"/>
      <family val="2"/>
    </font>
    <font>
      <b/>
      <sz val="14"/>
      <color rgb="FFFF000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theme="9" tint="0.59999389629810485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2" fillId="0" borderId="0"/>
  </cellStyleXfs>
  <cellXfs count="18">
    <xf numFmtId="0" fontId="0" fillId="0" borderId="0" xfId="0">
      <alignment vertical="center"/>
    </xf>
    <xf numFmtId="0" fontId="3" fillId="0" borderId="0" xfId="1" applyFont="1" applyAlignment="1">
      <alignment horizontal="center" vertical="center" wrapText="1"/>
    </xf>
    <xf numFmtId="0" fontId="4" fillId="0" borderId="0" xfId="1" applyFont="1" applyAlignment="1">
      <alignment wrapText="1"/>
    </xf>
    <xf numFmtId="0" fontId="4" fillId="0" borderId="0" xfId="1" applyFont="1" applyAlignment="1">
      <alignment horizontal="center"/>
    </xf>
    <xf numFmtId="0" fontId="2" fillId="0" borderId="0" xfId="1"/>
    <xf numFmtId="0" fontId="2" fillId="0" borderId="0" xfId="1" applyAlignment="1">
      <alignment wrapText="1"/>
    </xf>
    <xf numFmtId="3" fontId="2" fillId="0" borderId="0" xfId="1" applyNumberFormat="1"/>
    <xf numFmtId="0" fontId="5" fillId="0" borderId="0" xfId="1" applyFont="1" applyAlignment="1">
      <alignment wrapText="1"/>
    </xf>
    <xf numFmtId="3" fontId="5" fillId="0" borderId="0" xfId="1" applyNumberFormat="1" applyFont="1"/>
    <xf numFmtId="0" fontId="2" fillId="2" borderId="0" xfId="1" applyFill="1" applyAlignment="1">
      <alignment wrapText="1"/>
    </xf>
    <xf numFmtId="3" fontId="2" fillId="2" borderId="0" xfId="1" applyNumberFormat="1" applyFill="1"/>
    <xf numFmtId="0" fontId="2" fillId="0" borderId="0" xfId="1" applyAlignment="1">
      <alignment horizontal="center"/>
    </xf>
    <xf numFmtId="0" fontId="2" fillId="0" borderId="0" xfId="1" applyAlignment="1">
      <alignment horizontal="left" wrapText="1"/>
    </xf>
    <xf numFmtId="0" fontId="2" fillId="0" borderId="0" xfId="1" applyAlignment="1">
      <alignment horizontal="left" wrapText="1" indent="1"/>
    </xf>
    <xf numFmtId="0" fontId="5" fillId="2" borderId="0" xfId="1" applyFont="1" applyFill="1" applyAlignment="1">
      <alignment wrapText="1"/>
    </xf>
    <xf numFmtId="3" fontId="5" fillId="2" borderId="0" xfId="1" applyNumberFormat="1" applyFont="1" applyFill="1"/>
    <xf numFmtId="0" fontId="2" fillId="3" borderId="0" xfId="1" applyFill="1" applyAlignment="1">
      <alignment wrapText="1"/>
    </xf>
    <xf numFmtId="0" fontId="5" fillId="3" borderId="0" xfId="1" applyFont="1" applyFill="1" applyAlignment="1">
      <alignment wrapText="1"/>
    </xf>
  </cellXfs>
  <cellStyles count="2">
    <cellStyle name="Normal_Cullen Frost Bankers" xfId="1" xr:uid="{1A4C4A6E-C4E6-4312-975C-F770D9547300}"/>
    <cellStyle name="常规" xfId="0" builtinId="0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externalLink" Target="externalLinks/externalLink2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521970</xdr:colOff>
      <xdr:row>0</xdr:row>
      <xdr:rowOff>529590</xdr:rowOff>
    </xdr:from>
    <xdr:to>
      <xdr:col>20</xdr:col>
      <xdr:colOff>294640</xdr:colOff>
      <xdr:row>50</xdr:row>
      <xdr:rowOff>100965</xdr:rowOff>
    </xdr:to>
    <xdr:pic>
      <xdr:nvPicPr>
        <xdr:cNvPr id="2" name="图片 1">
          <a:extLst>
            <a:ext uri="{FF2B5EF4-FFF2-40B4-BE49-F238E27FC236}">
              <a16:creationId xmlns:a16="http://schemas.microsoft.com/office/drawing/2014/main" id="{5AAE8784-08E2-A181-F0A5-EA03A66AD19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9443720" y="529590"/>
          <a:ext cx="8821420" cy="99853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lizhengdong\&#20132;&#26131;&#26694;&#26550;\5_&#24037;&#20855;&#31665;\_&#20070;&#24211;\&#32534;&#31243;\Excel\&#36130;&#21153;&#37329;&#34701;&#24314;&#27169;&#31532;&#19977;&#29256;&#65288;&#29992;ECCEL&#24037;&#20855;&#65289;\Chapter%20files\fm3_chapter05.xls" TargetMode="External"/><Relationship Id="rId1" Type="http://schemas.openxmlformats.org/officeDocument/2006/relationships/externalLinkPath" Target="/lizhengdong/&#20132;&#26131;&#26694;&#26550;/5_&#24037;&#20855;&#31665;/_&#20070;&#24211;/&#32534;&#31243;/Excel/&#36130;&#21153;&#37329;&#34701;&#24314;&#27169;&#31532;&#19977;&#29256;&#65288;&#29992;ECCEL&#24037;&#20855;&#65289;/Chapter%20files/fm3_chapter05.xls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li'zheng'dong\AppData\Roaming\Microsoft\AddIns\&#33258;&#23450;&#20041;&#20989;&#25968;.xla" TargetMode="External"/><Relationship Id="rId1" Type="http://schemas.openxmlformats.org/officeDocument/2006/relationships/externalLinkPath" Target="file:///C:\Users\li'zheng'dong\AppData\Roaming\Microsoft\AddIns\&#33258;&#23450;&#20041;&#20989;&#25968;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ages 178, 179"/>
      <sheetName val="Pages 178, 179 (中文)"/>
      <sheetName val="Pages 181, 182"/>
      <sheetName val="Pages 181, 182 (中文)"/>
      <sheetName val="Page 184"/>
      <sheetName val="Page 184 (中文)"/>
      <sheetName val="Page 185"/>
      <sheetName val="Page 185 (中文)"/>
      <sheetName val="Page 187"/>
      <sheetName val="Page 187 (中文)"/>
      <sheetName val="Pages 190-193"/>
      <sheetName val="Pages 190-193 (中文)"/>
      <sheetName val="Pages 195-196"/>
      <sheetName val="Pages 195-196 (中文)"/>
      <sheetName val="Pages 199-201"/>
      <sheetName val="Pages 199-201 (2)"/>
      <sheetName val="Pages 199-201 (中文)"/>
      <sheetName val="Capital adequacy"/>
      <sheetName val="资本充足(中文)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definedNames>
      <definedName name="getformula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F23F5C-5C81-48E3-B05C-3C09B45A711F}">
  <dimension ref="A1:E51"/>
  <sheetViews>
    <sheetView tabSelected="1" view="pageBreakPreview" zoomScale="60" zoomScaleNormal="145" workbookViewId="0">
      <selection activeCell="AD47" sqref="AD47"/>
    </sheetView>
  </sheetViews>
  <sheetFormatPr defaultRowHeight="13.8" x14ac:dyDescent="0.25"/>
  <cols>
    <col min="1" max="1" width="43.109375" style="5" customWidth="1"/>
    <col min="2" max="5" width="21.6640625" style="4" customWidth="1"/>
  </cols>
  <sheetData>
    <row r="1" spans="1:5" ht="61.8" customHeight="1" x14ac:dyDescent="0.25">
      <c r="A1" s="1" t="s">
        <v>38</v>
      </c>
      <c r="B1" s="1"/>
      <c r="C1" s="1"/>
      <c r="D1" s="1"/>
      <c r="E1" s="1"/>
    </row>
    <row r="2" spans="1:5" x14ac:dyDescent="0.25">
      <c r="A2" s="2" t="s">
        <v>1</v>
      </c>
      <c r="B2" s="3">
        <v>2005</v>
      </c>
      <c r="C2" s="3">
        <v>2004</v>
      </c>
      <c r="D2" s="3">
        <v>2003</v>
      </c>
      <c r="E2" s="11"/>
    </row>
    <row r="3" spans="1:5" x14ac:dyDescent="0.25">
      <c r="A3" s="16" t="s">
        <v>2</v>
      </c>
      <c r="B3" s="6">
        <v>165423000</v>
      </c>
      <c r="C3" s="6">
        <v>141325000</v>
      </c>
      <c r="D3" s="6">
        <v>130501000</v>
      </c>
      <c r="E3" s="6"/>
    </row>
    <row r="4" spans="1:5" ht="26.4" x14ac:dyDescent="0.25">
      <c r="A4" s="5" t="s">
        <v>39</v>
      </c>
      <c r="B4" s="6"/>
      <c r="C4" s="6"/>
      <c r="D4" s="6"/>
      <c r="E4" s="6"/>
    </row>
    <row r="5" spans="1:5" x14ac:dyDescent="0.25">
      <c r="A5" s="5" t="s">
        <v>37</v>
      </c>
      <c r="B5" s="6">
        <v>10250000</v>
      </c>
      <c r="C5" s="6">
        <v>2500000</v>
      </c>
      <c r="D5" s="6">
        <v>10544000</v>
      </c>
      <c r="E5" s="6"/>
    </row>
    <row r="6" spans="1:5" x14ac:dyDescent="0.25">
      <c r="A6" s="5" t="s">
        <v>3</v>
      </c>
      <c r="B6" s="6">
        <v>555000</v>
      </c>
      <c r="C6" s="6">
        <v>5319000</v>
      </c>
      <c r="D6" s="6">
        <v>-3778000</v>
      </c>
      <c r="E6" s="6"/>
    </row>
    <row r="7" spans="1:5" x14ac:dyDescent="0.25">
      <c r="A7" s="5" t="s">
        <v>40</v>
      </c>
      <c r="B7" s="6">
        <v>-10124000</v>
      </c>
      <c r="C7" s="6">
        <v>-6102000</v>
      </c>
      <c r="D7" s="6">
        <v>-4127000</v>
      </c>
      <c r="E7" s="6"/>
    </row>
    <row r="8" spans="1:5" ht="26.4" x14ac:dyDescent="0.25">
      <c r="A8" s="12" t="s">
        <v>4</v>
      </c>
      <c r="B8" s="6">
        <v>329000</v>
      </c>
      <c r="C8" s="6">
        <v>1815000</v>
      </c>
      <c r="D8" s="6">
        <v>1167000</v>
      </c>
      <c r="E8" s="6"/>
    </row>
    <row r="9" spans="1:5" x14ac:dyDescent="0.25">
      <c r="A9" s="12" t="s">
        <v>5</v>
      </c>
      <c r="B9" s="6">
        <v>-19000</v>
      </c>
      <c r="C9" s="6">
        <v>3377000</v>
      </c>
      <c r="D9" s="6">
        <v>-40000</v>
      </c>
      <c r="E9" s="6"/>
    </row>
    <row r="10" spans="1:5" x14ac:dyDescent="0.25">
      <c r="A10" s="5" t="s">
        <v>6</v>
      </c>
      <c r="B10" s="6">
        <v>24357000</v>
      </c>
      <c r="C10" s="6">
        <v>24482000</v>
      </c>
      <c r="D10" s="6">
        <v>25751000</v>
      </c>
      <c r="E10" s="6"/>
    </row>
    <row r="11" spans="1:5" ht="26.4" x14ac:dyDescent="0.25">
      <c r="A11" s="12" t="s">
        <v>41</v>
      </c>
      <c r="B11" s="6">
        <v>-60839000</v>
      </c>
      <c r="C11" s="6">
        <v>-61035000</v>
      </c>
      <c r="D11" s="6">
        <v>-63828000</v>
      </c>
      <c r="E11" s="6"/>
    </row>
    <row r="12" spans="1:5" x14ac:dyDescent="0.25">
      <c r="A12" s="5" t="s">
        <v>42</v>
      </c>
      <c r="B12" s="6">
        <v>76431000</v>
      </c>
      <c r="C12" s="6">
        <v>58139000</v>
      </c>
      <c r="D12" s="6">
        <v>50813000</v>
      </c>
      <c r="E12" s="6"/>
    </row>
    <row r="13" spans="1:5" ht="26.4" x14ac:dyDescent="0.25">
      <c r="A13" s="12" t="s">
        <v>7</v>
      </c>
      <c r="B13" s="6">
        <v>-3418000</v>
      </c>
      <c r="C13" s="6">
        <v>-2274000</v>
      </c>
      <c r="D13" s="6">
        <v>-3465000</v>
      </c>
      <c r="E13" s="6"/>
    </row>
    <row r="14" spans="1:5" x14ac:dyDescent="0.25">
      <c r="A14" s="5" t="s">
        <v>43</v>
      </c>
      <c r="B14" s="6">
        <v>-2389000</v>
      </c>
      <c r="C14" s="6">
        <v>0</v>
      </c>
      <c r="D14" s="6">
        <v>0</v>
      </c>
      <c r="E14" s="6"/>
    </row>
    <row r="15" spans="1:5" x14ac:dyDescent="0.25">
      <c r="A15" s="5" t="s">
        <v>8</v>
      </c>
      <c r="B15" s="6">
        <v>11371000</v>
      </c>
      <c r="C15" s="6">
        <v>11524000</v>
      </c>
      <c r="D15" s="6">
        <v>3638000</v>
      </c>
      <c r="E15" s="6"/>
    </row>
    <row r="16" spans="1:5" x14ac:dyDescent="0.25">
      <c r="A16" s="5" t="s">
        <v>9</v>
      </c>
      <c r="B16" s="6">
        <v>1986000</v>
      </c>
      <c r="C16" s="6">
        <v>1377000</v>
      </c>
      <c r="D16" s="6">
        <v>833000</v>
      </c>
      <c r="E16" s="6"/>
    </row>
    <row r="17" spans="1:5" x14ac:dyDescent="0.25">
      <c r="A17" s="5" t="s">
        <v>10</v>
      </c>
      <c r="B17" s="6">
        <v>-3934000</v>
      </c>
      <c r="C17" s="6">
        <v>-4128000</v>
      </c>
      <c r="D17" s="6">
        <v>-4624000</v>
      </c>
      <c r="E17" s="6"/>
    </row>
    <row r="18" spans="1:5" x14ac:dyDescent="0.25">
      <c r="A18" s="16" t="s">
        <v>11</v>
      </c>
      <c r="B18" s="6"/>
      <c r="C18" s="6"/>
      <c r="D18" s="6"/>
      <c r="E18" s="6"/>
    </row>
    <row r="19" spans="1:5" x14ac:dyDescent="0.25">
      <c r="A19" s="5" t="s">
        <v>0</v>
      </c>
      <c r="B19" s="6">
        <v>-1546000</v>
      </c>
      <c r="C19" s="6">
        <v>918000</v>
      </c>
      <c r="D19" s="6">
        <v>-594000</v>
      </c>
      <c r="E19" s="6"/>
    </row>
    <row r="20" spans="1:5" x14ac:dyDescent="0.25">
      <c r="A20" s="12" t="s">
        <v>44</v>
      </c>
      <c r="B20" s="6">
        <v>-52150000</v>
      </c>
      <c r="C20" s="6">
        <v>-30480000</v>
      </c>
      <c r="D20" s="6">
        <v>25334000</v>
      </c>
      <c r="E20" s="6"/>
    </row>
    <row r="21" spans="1:5" x14ac:dyDescent="0.25">
      <c r="A21" s="12" t="s">
        <v>45</v>
      </c>
      <c r="B21" s="6">
        <v>-23847000</v>
      </c>
      <c r="C21" s="6">
        <v>-17976000</v>
      </c>
      <c r="D21" s="6">
        <v>34237000</v>
      </c>
      <c r="E21" s="6"/>
    </row>
    <row r="22" spans="1:5" ht="15.6" x14ac:dyDescent="0.3">
      <c r="A22" s="17" t="s">
        <v>12</v>
      </c>
      <c r="B22" s="8">
        <f>SUM(B3:B21)</f>
        <v>132436000</v>
      </c>
      <c r="C22" s="8">
        <f>SUM(C3:C21)</f>
        <v>128781000</v>
      </c>
      <c r="D22" s="8">
        <f>SUM(D3:D21)</f>
        <v>202362000</v>
      </c>
      <c r="E22" s="6" t="str">
        <f ca="1">[2]!getformula(D22)</f>
        <v>&lt;--  =SUM(D3:D21)</v>
      </c>
    </row>
    <row r="23" spans="1:5" x14ac:dyDescent="0.25">
      <c r="A23" s="5" t="s">
        <v>13</v>
      </c>
      <c r="B23" s="6"/>
      <c r="C23" s="6"/>
      <c r="D23" s="6"/>
      <c r="E23" s="6"/>
    </row>
    <row r="24" spans="1:5" x14ac:dyDescent="0.25">
      <c r="A24" s="2" t="s">
        <v>14</v>
      </c>
      <c r="B24" s="3">
        <v>2005</v>
      </c>
      <c r="C24" s="3">
        <v>2004</v>
      </c>
      <c r="D24" s="3">
        <v>2003</v>
      </c>
      <c r="E24" s="11"/>
    </row>
    <row r="25" spans="1:5" x14ac:dyDescent="0.25">
      <c r="A25" s="5" t="s">
        <v>15</v>
      </c>
      <c r="B25" s="6"/>
      <c r="C25" s="6"/>
      <c r="D25" s="6"/>
      <c r="E25" s="6"/>
    </row>
    <row r="26" spans="1:5" x14ac:dyDescent="0.25">
      <c r="A26" s="13" t="s">
        <v>16</v>
      </c>
      <c r="B26" s="6"/>
      <c r="C26" s="6"/>
      <c r="D26" s="6">
        <v>-1000000</v>
      </c>
      <c r="E26" s="6"/>
    </row>
    <row r="27" spans="1:5" x14ac:dyDescent="0.25">
      <c r="A27" s="13" t="s">
        <v>17</v>
      </c>
      <c r="B27" s="6">
        <v>4004000</v>
      </c>
      <c r="C27" s="6">
        <v>8466000</v>
      </c>
      <c r="D27" s="6">
        <v>12023000</v>
      </c>
      <c r="E27" s="6"/>
    </row>
    <row r="28" spans="1:5" x14ac:dyDescent="0.25">
      <c r="A28" s="5" t="s">
        <v>18</v>
      </c>
      <c r="B28" s="6"/>
      <c r="C28" s="6"/>
      <c r="D28" s="6"/>
      <c r="E28" s="6"/>
    </row>
    <row r="29" spans="1:5" x14ac:dyDescent="0.25">
      <c r="A29" s="13" t="s">
        <v>16</v>
      </c>
      <c r="B29" s="6">
        <v>-10763788000</v>
      </c>
      <c r="C29" s="6">
        <v>-8518256000</v>
      </c>
      <c r="D29" s="6">
        <v>-8603817000</v>
      </c>
      <c r="E29" s="6"/>
    </row>
    <row r="30" spans="1:5" x14ac:dyDescent="0.25">
      <c r="A30" s="13" t="s">
        <v>19</v>
      </c>
      <c r="B30" s="6">
        <v>19812000</v>
      </c>
      <c r="C30" s="6">
        <v>597369000</v>
      </c>
      <c r="D30" s="6">
        <v>6768029000</v>
      </c>
      <c r="E30" s="6"/>
    </row>
    <row r="31" spans="1:5" x14ac:dyDescent="0.25">
      <c r="A31" s="5" t="s">
        <v>17</v>
      </c>
      <c r="B31" s="6">
        <v>10944589000</v>
      </c>
      <c r="C31" s="6">
        <v>7873115000</v>
      </c>
      <c r="D31" s="6">
        <v>1272290000</v>
      </c>
      <c r="E31" s="6"/>
    </row>
    <row r="32" spans="1:5" x14ac:dyDescent="0.25">
      <c r="A32" s="5" t="s">
        <v>20</v>
      </c>
      <c r="B32" s="6">
        <v>-605415000</v>
      </c>
      <c r="C32" s="6">
        <v>-581043000</v>
      </c>
      <c r="D32" s="6">
        <v>-65555000</v>
      </c>
      <c r="E32" s="6"/>
    </row>
    <row r="33" spans="1:5" x14ac:dyDescent="0.25">
      <c r="A33" s="5" t="s">
        <v>21</v>
      </c>
      <c r="B33" s="6">
        <v>-13297000</v>
      </c>
      <c r="C33" s="6">
        <v>-7063000</v>
      </c>
      <c r="D33" s="6">
        <v>-750000</v>
      </c>
      <c r="E33" s="6"/>
    </row>
    <row r="34" spans="1:5" x14ac:dyDescent="0.25">
      <c r="A34" s="12" t="s">
        <v>22</v>
      </c>
      <c r="B34" s="6">
        <v>465000</v>
      </c>
      <c r="C34" s="6">
        <v>276000</v>
      </c>
      <c r="D34" s="6">
        <v>1070000</v>
      </c>
      <c r="E34" s="6"/>
    </row>
    <row r="35" spans="1:5" x14ac:dyDescent="0.25">
      <c r="A35" s="5" t="s">
        <v>23</v>
      </c>
      <c r="B35" s="6">
        <v>-18098000</v>
      </c>
      <c r="C35" s="6">
        <v>-15398000</v>
      </c>
      <c r="D35" s="6">
        <v>-12512000</v>
      </c>
      <c r="E35" s="6"/>
    </row>
    <row r="36" spans="1:5" x14ac:dyDescent="0.25">
      <c r="A36" s="5" t="s">
        <v>24</v>
      </c>
      <c r="B36" s="6">
        <v>6553000</v>
      </c>
      <c r="C36" s="6">
        <v>4883000</v>
      </c>
      <c r="D36" s="6">
        <v>3296000</v>
      </c>
      <c r="E36" s="6"/>
    </row>
    <row r="37" spans="1:5" x14ac:dyDescent="0.25">
      <c r="A37" s="12" t="s">
        <v>25</v>
      </c>
      <c r="B37" s="6">
        <v>3457000</v>
      </c>
      <c r="C37" s="6">
        <v>4247000</v>
      </c>
      <c r="D37" s="6">
        <v>7211000</v>
      </c>
      <c r="E37" s="6"/>
    </row>
    <row r="38" spans="1:5" ht="15.6" x14ac:dyDescent="0.3">
      <c r="A38" s="7" t="s">
        <v>26</v>
      </c>
      <c r="B38" s="8">
        <f>SUM(B26:B37)</f>
        <v>-421718000</v>
      </c>
      <c r="C38" s="8">
        <f>SUM(C26:C37)</f>
        <v>-633404000</v>
      </c>
      <c r="D38" s="8">
        <f>SUM(D26:D37)</f>
        <v>-619715000</v>
      </c>
      <c r="E38" s="6" t="str">
        <f ca="1">[2]!getformula(D38)</f>
        <v>&lt;--  =SUM(D26:D37)</v>
      </c>
    </row>
    <row r="39" spans="1:5" x14ac:dyDescent="0.25">
      <c r="A39" s="5" t="s">
        <v>13</v>
      </c>
      <c r="B39" s="6"/>
      <c r="C39" s="6"/>
      <c r="D39" s="6"/>
      <c r="E39" s="6"/>
    </row>
    <row r="40" spans="1:5" x14ac:dyDescent="0.25">
      <c r="A40" s="2" t="s">
        <v>27</v>
      </c>
      <c r="B40" s="3">
        <v>2005</v>
      </c>
      <c r="C40" s="3">
        <v>2004</v>
      </c>
      <c r="D40" s="3">
        <v>2003</v>
      </c>
      <c r="E40" s="11"/>
    </row>
    <row r="41" spans="1:5" x14ac:dyDescent="0.25">
      <c r="A41" s="5" t="s">
        <v>28</v>
      </c>
      <c r="B41" s="6">
        <v>721655000</v>
      </c>
      <c r="C41" s="6">
        <v>36821000</v>
      </c>
      <c r="D41" s="6">
        <v>440714000</v>
      </c>
      <c r="E41" s="6"/>
    </row>
    <row r="42" spans="1:5" x14ac:dyDescent="0.25">
      <c r="A42" s="5" t="s">
        <v>29</v>
      </c>
      <c r="B42" s="6">
        <v>234187000</v>
      </c>
      <c r="C42" s="6">
        <v>84541000</v>
      </c>
      <c r="D42" s="6">
        <v>-389417000</v>
      </c>
      <c r="E42" s="6"/>
    </row>
    <row r="43" spans="1:5" ht="26.4" x14ac:dyDescent="0.25">
      <c r="A43" s="9" t="s">
        <v>30</v>
      </c>
      <c r="B43" s="10"/>
      <c r="C43" s="10"/>
      <c r="D43" s="10"/>
      <c r="E43" s="6"/>
    </row>
    <row r="44" spans="1:5" ht="26.4" x14ac:dyDescent="0.25">
      <c r="A44" s="9" t="s">
        <v>31</v>
      </c>
      <c r="B44" s="10"/>
      <c r="C44" s="10"/>
      <c r="D44" s="10"/>
      <c r="E44" s="6"/>
    </row>
    <row r="45" spans="1:5" x14ac:dyDescent="0.25">
      <c r="A45" s="9" t="s">
        <v>32</v>
      </c>
      <c r="B45" s="10"/>
      <c r="C45" s="10"/>
      <c r="D45" s="10"/>
      <c r="E45" s="6"/>
    </row>
    <row r="46" spans="1:5" x14ac:dyDescent="0.25">
      <c r="A46" s="9" t="s">
        <v>33</v>
      </c>
      <c r="B46" s="10"/>
      <c r="C46" s="10"/>
      <c r="D46" s="10"/>
      <c r="E46" s="6"/>
    </row>
    <row r="47" spans="1:5" x14ac:dyDescent="0.25">
      <c r="A47" s="9" t="s">
        <v>34</v>
      </c>
      <c r="B47" s="10"/>
      <c r="C47" s="10"/>
      <c r="D47" s="10"/>
      <c r="E47" s="6"/>
    </row>
    <row r="48" spans="1:5" ht="15.6" x14ac:dyDescent="0.3">
      <c r="A48" s="7" t="s">
        <v>35</v>
      </c>
      <c r="B48" s="8">
        <f>SUM(B41:B47)</f>
        <v>955842000</v>
      </c>
      <c r="C48" s="8">
        <f>SUM(C41:C47)</f>
        <v>121362000</v>
      </c>
      <c r="D48" s="8">
        <f>SUM(D41:D47)</f>
        <v>51297000</v>
      </c>
      <c r="E48" s="6" t="str">
        <f ca="1">[2]!getformula(D48)</f>
        <v>&lt;--  =SUM(D41:D47)</v>
      </c>
    </row>
    <row r="49" spans="1:5" x14ac:dyDescent="0.25">
      <c r="B49" s="6"/>
      <c r="C49" s="6"/>
      <c r="D49" s="6"/>
      <c r="E49" s="6"/>
    </row>
    <row r="50" spans="1:5" ht="15.6" x14ac:dyDescent="0.3">
      <c r="A50" s="14" t="s">
        <v>36</v>
      </c>
      <c r="B50" s="15">
        <f>B22+B38+B48</f>
        <v>666560000</v>
      </c>
      <c r="C50" s="15">
        <f>C22+C38+C48</f>
        <v>-383261000</v>
      </c>
      <c r="D50" s="15">
        <f>D22+D38+D48</f>
        <v>-366056000</v>
      </c>
      <c r="E50" s="6" t="str">
        <f ca="1">[2]!getformula(D50)</f>
        <v>&lt;--  =D22+D38+D48</v>
      </c>
    </row>
    <row r="51" spans="1:5" x14ac:dyDescent="0.25">
      <c r="B51" s="6"/>
      <c r="C51" s="6"/>
      <c r="D51" s="6"/>
      <c r="E51" s="6"/>
    </row>
  </sheetData>
  <mergeCells count="1">
    <mergeCell ref="A1:E1"/>
  </mergeCells>
  <phoneticPr fontId="1" type="noConversion"/>
  <conditionalFormatting sqref="B1:D1048576">
    <cfRule type="cellIs" dxfId="0" priority="1" operator="lessThan">
      <formula>0</formula>
    </cfRule>
  </conditionalFormatting>
  <pageMargins left="0.7" right="0.7" top="0.75" bottom="0.75" header="0.3" footer="0.3"/>
  <pageSetup paperSize="9" scale="66" orientation="portrait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</vt:i4>
      </vt:variant>
      <vt:variant>
        <vt:lpstr>命名范围</vt:lpstr>
      </vt:variant>
      <vt:variant>
        <vt:i4>1</vt:i4>
      </vt:variant>
    </vt:vector>
  </HeadingPairs>
  <TitlesOfParts>
    <vt:vector size="2" baseType="lpstr">
      <vt:lpstr>Sheet2</vt:lpstr>
      <vt:lpstr>Sheet2!Print_Area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正东 李</dc:creator>
  <cp:lastModifiedBy>正东 李</cp:lastModifiedBy>
  <cp:lastPrinted>2024-10-21T03:12:11Z</cp:lastPrinted>
  <dcterms:created xsi:type="dcterms:W3CDTF">2024-10-05T13:27:14Z</dcterms:created>
  <dcterms:modified xsi:type="dcterms:W3CDTF">2024-10-21T03:19:39Z</dcterms:modified>
</cp:coreProperties>
</file>