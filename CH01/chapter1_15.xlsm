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"/>
    </mc:Choice>
  </mc:AlternateContent>
  <xr:revisionPtr revIDLastSave="0" documentId="13_ncr:1_{F51F8251-5357-4CAA-A785-BCD0039DAF2D}" xr6:coauthVersionLast="47" xr6:coauthVersionMax="47" xr10:uidLastSave="{00000000-0000-0000-0000-000000000000}"/>
  <bookViews>
    <workbookView xWindow="-38520" yWindow="-120" windowWidth="38640" windowHeight="21120" xr2:uid="{FDA57E0C-BA1B-4CB9-BA7D-04DEFE0B411C}"/>
  </bookViews>
  <sheets>
    <sheet name="Sheet1" sheetId="1" r:id="rId1"/>
  </sheets>
  <functionGroups builtInGroupCount="19"/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1" i="1" l="1"/>
  <c r="B30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6" i="1"/>
  <c r="G8" i="1"/>
  <c r="G9" i="1"/>
  <c r="G10" i="1"/>
  <c r="G11" i="1"/>
  <c r="G12" i="1"/>
  <c r="G13" i="1"/>
  <c r="G14" i="1" s="1"/>
  <c r="G15" i="1" s="1"/>
  <c r="G16" i="1" s="1"/>
  <c r="G17" i="1" s="1"/>
  <c r="G18" i="1" s="1"/>
  <c r="G19" i="1" s="1"/>
  <c r="G7" i="1"/>
  <c r="H5" i="1"/>
  <c r="B3" i="1"/>
  <c r="I5" i="1"/>
  <c r="C3" i="1"/>
</calcChain>
</file>

<file path=xl/sharedStrings.xml><?xml version="1.0" encoding="utf-8"?>
<sst xmlns="http://schemas.openxmlformats.org/spreadsheetml/2006/main" count="11" uniqueCount="9">
  <si>
    <t>多个内部收益率</t>
    <phoneticPr fontId="1" type="noConversion"/>
  </si>
  <si>
    <t>折现率</t>
    <phoneticPr fontId="1" type="noConversion"/>
  </si>
  <si>
    <t>净现值</t>
    <phoneticPr fontId="1" type="noConversion"/>
  </si>
  <si>
    <t>年</t>
    <phoneticPr fontId="1" type="noConversion"/>
  </si>
  <si>
    <t>现金流</t>
    <phoneticPr fontId="1" type="noConversion"/>
  </si>
  <si>
    <t>数据表</t>
    <phoneticPr fontId="1" type="noConversion"/>
  </si>
  <si>
    <t>两个IRR的确定</t>
    <phoneticPr fontId="1" type="noConversion"/>
  </si>
  <si>
    <t>第一个IRR</t>
    <phoneticPr fontId="1" type="noConversion"/>
  </si>
  <si>
    <t>第二个IRR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</si>
</sst>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%"/>
    <numFmt numFmtId="178" formatCode="0.00_ "/>
  </numFmts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10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9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0" applyNumberFormat="1">
      <alignment vertical="center"/>
    </xf>
    <xf numFmtId="9" fontId="0" fillId="0" borderId="0" xfId="0" applyNumberFormat="1">
      <alignment vertical="center"/>
    </xf>
    <xf numFmtId="10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两个</a:t>
            </a:r>
            <a:r>
              <a:rPr lang="en-US" altLang="zh-CN"/>
              <a:t>IRR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Sheet1!$H$4</c:f>
              <c:strCache>
                <c:ptCount val="1"/>
                <c:pt idx="0">
                  <c:v>净现值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Sheet1!$G$6:$G$19</c:f>
              <c:numCache>
                <c:formatCode>0%</c:formatCode>
                <c:ptCount val="14"/>
                <c:pt idx="0">
                  <c:v>0</c:v>
                </c:pt>
                <c:pt idx="1">
                  <c:v>0.03</c:v>
                </c:pt>
                <c:pt idx="2">
                  <c:v>0.06</c:v>
                </c:pt>
                <c:pt idx="3">
                  <c:v>0.09</c:v>
                </c:pt>
                <c:pt idx="4">
                  <c:v>0.12</c:v>
                </c:pt>
                <c:pt idx="5">
                  <c:v>0.15</c:v>
                </c:pt>
                <c:pt idx="6">
                  <c:v>0.18</c:v>
                </c:pt>
                <c:pt idx="7">
                  <c:v>0.21</c:v>
                </c:pt>
                <c:pt idx="8">
                  <c:v>0.24</c:v>
                </c:pt>
                <c:pt idx="9">
                  <c:v>0.27</c:v>
                </c:pt>
                <c:pt idx="10">
                  <c:v>0.30000000000000004</c:v>
                </c:pt>
                <c:pt idx="11">
                  <c:v>0.33000000000000007</c:v>
                </c:pt>
                <c:pt idx="12">
                  <c:v>0.3600000000000001</c:v>
                </c:pt>
                <c:pt idx="13">
                  <c:v>0.39000000000000012</c:v>
                </c:pt>
              </c:numCache>
            </c:numRef>
          </c:xVal>
          <c:yVal>
            <c:numRef>
              <c:f>Sheet1!$H$6:$H$19</c:f>
              <c:numCache>
                <c:formatCode>0.00_ </c:formatCode>
                <c:ptCount val="14"/>
                <c:pt idx="0">
                  <c:v>-20</c:v>
                </c:pt>
                <c:pt idx="1">
                  <c:v>-10.507575424608092</c:v>
                </c:pt>
                <c:pt idx="2">
                  <c:v>-3.9854362682000044</c:v>
                </c:pt>
                <c:pt idx="3">
                  <c:v>0.24085647329212634</c:v>
                </c:pt>
                <c:pt idx="4">
                  <c:v>2.6925493400257778</c:v>
                </c:pt>
                <c:pt idx="5">
                  <c:v>3.7742340642815009</c:v>
                </c:pt>
                <c:pt idx="6">
                  <c:v>3.8011460077677839</c:v>
                </c:pt>
                <c:pt idx="7">
                  <c:v>3.0197000689104811</c:v>
                </c:pt>
                <c:pt idx="8">
                  <c:v>1.6230390485557962</c:v>
                </c:pt>
                <c:pt idx="9">
                  <c:v>-0.237122901511583</c:v>
                </c:pt>
                <c:pt idx="10">
                  <c:v>-2.4414276595572915</c:v>
                </c:pt>
                <c:pt idx="11">
                  <c:v>-4.895886047904952</c:v>
                </c:pt>
                <c:pt idx="12">
                  <c:v>-7.5264699851815919</c:v>
                </c:pt>
                <c:pt idx="13">
                  <c:v>-10.274907341794687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77-4654-B446-3605BF800C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9335960"/>
        <c:axId val="649343520"/>
      </c:scatterChart>
      <c:valAx>
        <c:axId val="649335960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9343520"/>
        <c:crosses val="autoZero"/>
        <c:crossBetween val="midCat"/>
      </c:valAx>
      <c:valAx>
        <c:axId val="6493435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净现值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9335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842367</xdr:colOff>
      <xdr:row>11</xdr:row>
      <xdr:rowOff>58221</xdr:rowOff>
    </xdr:from>
    <xdr:to>
      <xdr:col>2</xdr:col>
      <xdr:colOff>2330648</xdr:colOff>
      <xdr:row>27</xdr:row>
      <xdr:rowOff>42981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6DEF1725-B70E-5E8B-C903-9817F1E27D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1516142</xdr:colOff>
      <xdr:row>17</xdr:row>
      <xdr:rowOff>115014</xdr:rowOff>
    </xdr:from>
    <xdr:to>
      <xdr:col>3</xdr:col>
      <xdr:colOff>2143</xdr:colOff>
      <xdr:row>19</xdr:row>
      <xdr:rowOff>97155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1F49FE68-6C4D-5382-7438-B3480747504D}"/>
            </a:ext>
          </a:extLst>
        </xdr:cNvPr>
        <xdr:cNvSpPr txBox="1"/>
      </xdr:nvSpPr>
      <xdr:spPr>
        <a:xfrm>
          <a:off x="4599861" y="3579733"/>
          <a:ext cx="867251" cy="3274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折现率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26AAB-0327-4600-8C88-8CB9D2EC007E}">
  <sheetPr codeName="Sheet1"/>
  <dimension ref="A1:I31"/>
  <sheetViews>
    <sheetView tabSelected="1" zoomScale="160" zoomScaleNormal="160" workbookViewId="0">
      <selection activeCell="E21" sqref="E21"/>
    </sheetView>
  </sheetViews>
  <sheetFormatPr defaultRowHeight="13.8" x14ac:dyDescent="0.25"/>
  <cols>
    <col min="1" max="1" width="27" style="1" customWidth="1"/>
    <col min="2" max="2" width="18" style="1" bestFit="1" customWidth="1"/>
    <col min="3" max="3" width="34.6640625" style="1" bestFit="1" customWidth="1"/>
    <col min="4" max="4" width="22.44140625" bestFit="1" customWidth="1"/>
    <col min="8" max="8" width="11.77734375" bestFit="1" customWidth="1"/>
  </cols>
  <sheetData>
    <row r="1" spans="1:9" ht="55.2" customHeight="1" x14ac:dyDescent="0.25">
      <c r="A1" s="5" t="s">
        <v>0</v>
      </c>
      <c r="B1" s="5"/>
      <c r="C1" s="5"/>
      <c r="D1" s="2"/>
    </row>
    <row r="2" spans="1:9" x14ac:dyDescent="0.25">
      <c r="A2" s="1" t="s">
        <v>1</v>
      </c>
      <c r="B2" s="6">
        <v>0.06</v>
      </c>
    </row>
    <row r="3" spans="1:9" x14ac:dyDescent="0.25">
      <c r="A3" s="1" t="s">
        <v>2</v>
      </c>
      <c r="B3" s="7">
        <f>NPV(B2,B7:B11)+B6</f>
        <v>-3.9854362682000044</v>
      </c>
      <c r="C3" s="1" t="str">
        <f ca="1">_xlfn.FORMULATEXT(B3)</f>
        <v>=NPV(B2,B7:B11)+B6</v>
      </c>
      <c r="G3" s="8" t="s">
        <v>5</v>
      </c>
      <c r="H3" s="8"/>
    </row>
    <row r="4" spans="1:9" x14ac:dyDescent="0.25">
      <c r="G4" t="s">
        <v>1</v>
      </c>
      <c r="H4" t="s">
        <v>2</v>
      </c>
    </row>
    <row r="5" spans="1:9" x14ac:dyDescent="0.25">
      <c r="A5" s="1" t="s">
        <v>3</v>
      </c>
      <c r="B5" s="4" t="s">
        <v>4</v>
      </c>
      <c r="H5" s="9">
        <f>B3</f>
        <v>-3.9854362682000044</v>
      </c>
      <c r="I5" t="str">
        <f ca="1">_xlfn.FORMULATEXT(H5)</f>
        <v>=B3</v>
      </c>
    </row>
    <row r="6" spans="1:9" x14ac:dyDescent="0.25">
      <c r="A6" s="1">
        <v>0</v>
      </c>
      <c r="B6" s="1">
        <v>-145</v>
      </c>
      <c r="G6" s="10">
        <v>0</v>
      </c>
      <c r="H6" s="9">
        <f>NPV(G6,$B$7:$B$11)+$B$6</f>
        <v>-20</v>
      </c>
    </row>
    <row r="7" spans="1:9" x14ac:dyDescent="0.25">
      <c r="A7" s="1">
        <v>1</v>
      </c>
      <c r="B7" s="1">
        <v>100</v>
      </c>
      <c r="G7" s="10">
        <f>G6+3%</f>
        <v>0.03</v>
      </c>
      <c r="H7" s="9">
        <f t="shared" ref="H7:H19" si="0">NPV(G7,$B$7:$B$11)+$B$6</f>
        <v>-10.507575424608092</v>
      </c>
    </row>
    <row r="8" spans="1:9" x14ac:dyDescent="0.25">
      <c r="A8" s="1">
        <v>2</v>
      </c>
      <c r="B8" s="1">
        <v>100</v>
      </c>
      <c r="G8" s="10">
        <f t="shared" ref="G8:G19" si="1">G7+3%</f>
        <v>0.06</v>
      </c>
      <c r="H8" s="9">
        <f t="shared" si="0"/>
        <v>-3.9854362682000044</v>
      </c>
    </row>
    <row r="9" spans="1:9" x14ac:dyDescent="0.25">
      <c r="A9" s="1">
        <v>3</v>
      </c>
      <c r="B9" s="1">
        <v>100</v>
      </c>
      <c r="G9" s="10">
        <f t="shared" si="1"/>
        <v>0.09</v>
      </c>
      <c r="H9" s="9">
        <f t="shared" si="0"/>
        <v>0.24085647329212634</v>
      </c>
    </row>
    <row r="10" spans="1:9" x14ac:dyDescent="0.25">
      <c r="A10" s="1">
        <v>4</v>
      </c>
      <c r="B10" s="1">
        <v>100</v>
      </c>
      <c r="G10" s="10">
        <f t="shared" si="1"/>
        <v>0.12</v>
      </c>
      <c r="H10" s="9">
        <f t="shared" si="0"/>
        <v>2.6925493400257778</v>
      </c>
    </row>
    <row r="11" spans="1:9" x14ac:dyDescent="0.25">
      <c r="A11" s="1">
        <v>5</v>
      </c>
      <c r="B11" s="1">
        <v>-275</v>
      </c>
      <c r="G11" s="10">
        <f t="shared" si="1"/>
        <v>0.15</v>
      </c>
      <c r="H11" s="9">
        <f t="shared" si="0"/>
        <v>3.7742340642815009</v>
      </c>
    </row>
    <row r="12" spans="1:9" x14ac:dyDescent="0.25">
      <c r="G12" s="10">
        <f t="shared" si="1"/>
        <v>0.18</v>
      </c>
      <c r="H12" s="9">
        <f t="shared" si="0"/>
        <v>3.8011460077677839</v>
      </c>
    </row>
    <row r="13" spans="1:9" x14ac:dyDescent="0.25">
      <c r="G13" s="10">
        <f t="shared" si="1"/>
        <v>0.21</v>
      </c>
      <c r="H13" s="9">
        <f t="shared" si="0"/>
        <v>3.0197000689104811</v>
      </c>
    </row>
    <row r="14" spans="1:9" x14ac:dyDescent="0.25">
      <c r="G14" s="10">
        <f t="shared" si="1"/>
        <v>0.24</v>
      </c>
      <c r="H14" s="9">
        <f t="shared" si="0"/>
        <v>1.6230390485557962</v>
      </c>
    </row>
    <row r="15" spans="1:9" x14ac:dyDescent="0.25">
      <c r="G15" s="10">
        <f t="shared" si="1"/>
        <v>0.27</v>
      </c>
      <c r="H15" s="9">
        <f t="shared" si="0"/>
        <v>-0.237122901511583</v>
      </c>
    </row>
    <row r="16" spans="1:9" x14ac:dyDescent="0.25">
      <c r="G16" s="10">
        <f t="shared" si="1"/>
        <v>0.30000000000000004</v>
      </c>
      <c r="H16" s="9">
        <f t="shared" si="0"/>
        <v>-2.4414276595572915</v>
      </c>
    </row>
    <row r="17" spans="1:8" x14ac:dyDescent="0.25">
      <c r="G17" s="10">
        <f t="shared" si="1"/>
        <v>0.33000000000000007</v>
      </c>
      <c r="H17" s="9">
        <f t="shared" si="0"/>
        <v>-4.895886047904952</v>
      </c>
    </row>
    <row r="18" spans="1:8" x14ac:dyDescent="0.25">
      <c r="G18" s="10">
        <f t="shared" si="1"/>
        <v>0.3600000000000001</v>
      </c>
      <c r="H18" s="9">
        <f t="shared" si="0"/>
        <v>-7.5264699851815919</v>
      </c>
    </row>
    <row r="19" spans="1:8" x14ac:dyDescent="0.25">
      <c r="G19" s="10">
        <f t="shared" si="1"/>
        <v>0.39000000000000012</v>
      </c>
      <c r="H19" s="9">
        <f t="shared" si="0"/>
        <v>-10.274907341794687</v>
      </c>
    </row>
    <row r="20" spans="1:8" x14ac:dyDescent="0.25">
      <c r="G20" s="11"/>
    </row>
    <row r="29" spans="1:8" x14ac:dyDescent="0.25">
      <c r="A29" s="1" t="s">
        <v>6</v>
      </c>
    </row>
    <row r="30" spans="1:8" x14ac:dyDescent="0.25">
      <c r="A30" s="1" t="s">
        <v>7</v>
      </c>
      <c r="B30" s="3">
        <f>IRR(B6:B11,0)</f>
        <v>8.7828273849489102E-2</v>
      </c>
    </row>
    <row r="31" spans="1:8" x14ac:dyDescent="0.25">
      <c r="A31" s="1" t="s">
        <v>8</v>
      </c>
      <c r="B31" s="3">
        <f>IRR(B6:B11,0.3)</f>
        <v>0.266495007167735</v>
      </c>
    </row>
  </sheetData>
  <mergeCells count="2">
    <mergeCell ref="A1:C1"/>
    <mergeCell ref="G3:H3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2024-10-05T02:51:35Z</dcterms:created>
  <dcterms:modified xsi:type="dcterms:W3CDTF">2024-10-05T08:25:24Z</dcterms:modified>
</cp:coreProperties>
</file>