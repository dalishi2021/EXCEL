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1\"/>
    </mc:Choice>
  </mc:AlternateContent>
  <xr:revisionPtr revIDLastSave="0" documentId="13_ncr:1_{477AC70E-2E6F-4B72-AF81-EA1FA2599EA1}" xr6:coauthVersionLast="47" xr6:coauthVersionMax="47" xr10:uidLastSave="{00000000-0000-0000-0000-000000000000}"/>
  <bookViews>
    <workbookView xWindow="-108" yWindow="-108" windowWidth="23256" windowHeight="12456" xr2:uid="{FDA57E0C-BA1B-4CB9-BA7D-04DEFE0B411C}"/>
  </bookViews>
  <sheets>
    <sheet name="Sheet1" sheetId="4" r:id="rId1"/>
  </sheets>
  <functionGroups builtInGroupCount="19"/>
  <definedNames>
    <definedName name="solver_adj" localSheetId="0" hidden="1">Sheet1!$B$3</definedName>
    <definedName name="solver_cvg" localSheetId="0" hidden="1">0.0001</definedName>
    <definedName name="solver_drv" localSheetId="0" hidden="1">1</definedName>
    <definedName name="solver_eng" localSheetId="0" hidden="1">2</definedName>
    <definedName name="solver_est" localSheetId="0" hidden="1">1</definedName>
    <definedName name="solver_itr" localSheetId="0" hidden="1">2147483647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Sheet1!$E$19</definedName>
    <definedName name="solver_pre" localSheetId="0" hidden="1">0.000001</definedName>
    <definedName name="solver_rbv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3</definedName>
    <definedName name="solver_val" localSheetId="0" hidden="1">0</definedName>
    <definedName name="solver_ver" localSheetId="0" hidden="1">3</definedName>
  </definedNam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3" i="4" l="1"/>
  <c r="C14" i="4"/>
  <c r="C15" i="4"/>
  <c r="C16" i="4"/>
  <c r="C17" i="4"/>
  <c r="C18" i="4"/>
  <c r="C19" i="4"/>
  <c r="C12" i="4"/>
  <c r="C8" i="4"/>
  <c r="C9" i="4"/>
  <c r="C10" i="4"/>
  <c r="C11" i="4"/>
  <c r="C7" i="4"/>
  <c r="D7" i="4" s="1"/>
  <c r="E7" i="4" s="1"/>
  <c r="B8" i="4" s="1"/>
  <c r="D8" i="4" s="1"/>
  <c r="C5" i="4"/>
  <c r="F7" i="4"/>
  <c r="D5" i="4"/>
  <c r="E8" i="4" l="1"/>
  <c r="B9" i="4" s="1"/>
  <c r="D9" i="4" s="1"/>
  <c r="E9" i="4" s="1"/>
  <c r="B10" i="4" s="1"/>
  <c r="D10" i="4" s="1"/>
  <c r="E10" i="4" s="1"/>
  <c r="B11" i="4" s="1"/>
  <c r="D11" i="4" s="1"/>
  <c r="E11" i="4" s="1"/>
  <c r="B12" i="4" s="1"/>
  <c r="D12" i="4" s="1"/>
  <c r="E12" i="4" s="1"/>
  <c r="B13" i="4" s="1"/>
  <c r="D13" i="4" s="1"/>
  <c r="E13" i="4" s="1"/>
  <c r="B14" i="4" s="1"/>
  <c r="D14" i="4" s="1"/>
  <c r="E14" i="4" s="1"/>
  <c r="B15" i="4" s="1"/>
  <c r="D15" i="4" s="1"/>
  <c r="E15" i="4" s="1"/>
  <c r="B16" i="4" s="1"/>
  <c r="D16" i="4" s="1"/>
  <c r="E16" i="4" s="1"/>
  <c r="B17" i="4" s="1"/>
  <c r="D17" i="4" s="1"/>
  <c r="E17" i="4" s="1"/>
  <c r="B18" i="4" s="1"/>
  <c r="D18" i="4" s="1"/>
  <c r="E18" i="4" s="1"/>
  <c r="B19" i="4" s="1"/>
  <c r="D19" i="4" s="1"/>
  <c r="E19" i="4" s="1"/>
</calcChain>
</file>

<file path=xl/sharedStrings.xml><?xml version="1.0" encoding="utf-8"?>
<sst xmlns="http://schemas.openxmlformats.org/spreadsheetml/2006/main" count="9" uniqueCount="9">
  <si>
    <t>年</t>
    <phoneticPr fontId="1" type="noConversion"/>
  </si>
  <si>
    <t>利率</t>
    <phoneticPr fontId="1" type="noConversion"/>
  </si>
  <si>
    <t>获得的利息</t>
    <phoneticPr fontId="1" type="noConversion"/>
  </si>
  <si>
    <t>年末总的账户余额</t>
    <phoneticPr fontId="1" type="noConversion"/>
  </si>
  <si>
    <t>一个退休金问题</t>
    <phoneticPr fontId="1" type="noConversion"/>
  </si>
  <si>
    <t>每年存款</t>
    <phoneticPr fontId="1" type="noConversion"/>
  </si>
  <si>
    <t>每年提取退休金</t>
    <phoneticPr fontId="1" type="noConversion"/>
  </si>
  <si>
    <t>开始年度账面余额</t>
    <phoneticPr fontId="1" type="noConversion"/>
  </si>
  <si>
    <t>在每年初的存款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</si>
</sst>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6"/>
      <color theme="1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9" fontId="0" fillId="0" borderId="0" xfId="0" applyNumberFormat="1">
      <alignment vertical="center"/>
    </xf>
    <xf numFmtId="4" fontId="0" fillId="0" borderId="0" xfId="0" applyNumberFormat="1" applyAlignment="1">
      <alignment horizontal="center" vertical="center"/>
    </xf>
    <xf numFmtId="3" fontId="0" fillId="0" borderId="0" xfId="0" applyNumberFormat="1">
      <alignment vertical="center"/>
    </xf>
    <xf numFmtId="9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/>
    </xf>
    <xf numFmtId="4" fontId="3" fillId="0" borderId="0" xfId="0" applyNumberFormat="1" applyFont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45968-9850-4EEA-AF81-DFB187EEBF06}">
  <dimension ref="A1:F21"/>
  <sheetViews>
    <sheetView tabSelected="1" workbookViewId="0">
      <selection activeCell="H11" sqref="H11"/>
    </sheetView>
  </sheetViews>
  <sheetFormatPr defaultRowHeight="13.8" x14ac:dyDescent="0.25"/>
  <cols>
    <col min="1" max="1" width="16.109375" bestFit="1" customWidth="1"/>
    <col min="2" max="2" width="18.33203125" bestFit="1" customWidth="1"/>
    <col min="3" max="3" width="16.109375" bestFit="1" customWidth="1"/>
    <col min="4" max="4" width="13.88671875" bestFit="1" customWidth="1"/>
    <col min="5" max="5" width="18.33203125" bestFit="1" customWidth="1"/>
    <col min="6" max="6" width="12.44140625" bestFit="1" customWidth="1"/>
  </cols>
  <sheetData>
    <row r="1" spans="1:6" ht="20.399999999999999" x14ac:dyDescent="0.25">
      <c r="A1" s="6" t="s">
        <v>4</v>
      </c>
      <c r="B1" s="6"/>
      <c r="C1" s="6"/>
      <c r="D1" s="6"/>
      <c r="E1" s="6"/>
    </row>
    <row r="2" spans="1:6" x14ac:dyDescent="0.25">
      <c r="A2" s="1" t="s">
        <v>1</v>
      </c>
      <c r="B2" s="2">
        <v>0.08</v>
      </c>
    </row>
    <row r="3" spans="1:6" x14ac:dyDescent="0.25">
      <c r="A3" s="1" t="s">
        <v>5</v>
      </c>
      <c r="B3" s="4">
        <v>48000</v>
      </c>
    </row>
    <row r="4" spans="1:6" x14ac:dyDescent="0.25">
      <c r="A4" s="1" t="s">
        <v>6</v>
      </c>
      <c r="B4" s="4">
        <v>30000</v>
      </c>
    </row>
    <row r="5" spans="1:6" x14ac:dyDescent="0.25">
      <c r="A5" s="1"/>
      <c r="B5" s="5"/>
      <c r="C5" s="1" t="str">
        <f ca="1">_xlfn.FORMULATEXT(C7)</f>
        <v>=$B$3</v>
      </c>
      <c r="D5" t="str">
        <f ca="1">_xlfn.FORMULATEXT(D7)</f>
        <v>=$B$2*(C7+B7)</v>
      </c>
    </row>
    <row r="6" spans="1:6" x14ac:dyDescent="0.25">
      <c r="A6" s="1" t="s">
        <v>0</v>
      </c>
      <c r="B6" s="1" t="s">
        <v>7</v>
      </c>
      <c r="C6" s="1" t="s">
        <v>8</v>
      </c>
      <c r="D6" s="1" t="s">
        <v>2</v>
      </c>
      <c r="E6" t="s">
        <v>3</v>
      </c>
    </row>
    <row r="7" spans="1:6" x14ac:dyDescent="0.25">
      <c r="A7" s="1">
        <v>1</v>
      </c>
      <c r="B7" s="3">
        <v>0</v>
      </c>
      <c r="C7" s="3">
        <f>$B$3</f>
        <v>48000</v>
      </c>
      <c r="D7" s="3">
        <f>$B$2*(C7+B7)</f>
        <v>3840</v>
      </c>
      <c r="E7" s="3">
        <f>D7+C7+B7</f>
        <v>51840</v>
      </c>
      <c r="F7" t="str">
        <f ca="1">_xlfn.FORMULATEXT(E7)</f>
        <v>=D7+C7+B7</v>
      </c>
    </row>
    <row r="8" spans="1:6" x14ac:dyDescent="0.25">
      <c r="A8" s="1">
        <v>2</v>
      </c>
      <c r="B8" s="3">
        <f>E7</f>
        <v>51840</v>
      </c>
      <c r="C8" s="3">
        <f t="shared" ref="C8:C11" si="0">$B$3</f>
        <v>48000</v>
      </c>
      <c r="D8" s="3">
        <f>$B$2*(C8+B8)</f>
        <v>7987.2</v>
      </c>
      <c r="E8" s="3">
        <f>D8+C8+B8</f>
        <v>107827.2</v>
      </c>
    </row>
    <row r="9" spans="1:6" x14ac:dyDescent="0.25">
      <c r="A9" s="1">
        <v>3</v>
      </c>
      <c r="B9" s="3">
        <f t="shared" ref="B9:B19" si="1">E8</f>
        <v>107827.2</v>
      </c>
      <c r="C9" s="3">
        <f t="shared" si="0"/>
        <v>48000</v>
      </c>
      <c r="D9" s="3">
        <f t="shared" ref="D9:D19" si="2">$B$2*(C9+B9)</f>
        <v>12466.176000000001</v>
      </c>
      <c r="E9" s="3">
        <f t="shared" ref="E9:E19" si="3">D9+C9+B9</f>
        <v>168293.37599999999</v>
      </c>
    </row>
    <row r="10" spans="1:6" x14ac:dyDescent="0.25">
      <c r="A10" s="1">
        <v>4</v>
      </c>
      <c r="B10" s="3">
        <f t="shared" si="1"/>
        <v>168293.37599999999</v>
      </c>
      <c r="C10" s="3">
        <f t="shared" si="0"/>
        <v>48000</v>
      </c>
      <c r="D10" s="3">
        <f t="shared" si="2"/>
        <v>17303.470079999999</v>
      </c>
      <c r="E10" s="3">
        <f t="shared" si="3"/>
        <v>233596.84607999999</v>
      </c>
    </row>
    <row r="11" spans="1:6" x14ac:dyDescent="0.25">
      <c r="A11" s="1">
        <v>5</v>
      </c>
      <c r="B11" s="3">
        <f t="shared" si="1"/>
        <v>233596.84607999999</v>
      </c>
      <c r="C11" s="3">
        <f t="shared" si="0"/>
        <v>48000</v>
      </c>
      <c r="D11" s="3">
        <f t="shared" si="2"/>
        <v>22527.747686399998</v>
      </c>
      <c r="E11" s="3">
        <f t="shared" si="3"/>
        <v>304124.59376640001</v>
      </c>
    </row>
    <row r="12" spans="1:6" x14ac:dyDescent="0.25">
      <c r="A12" s="1">
        <v>6</v>
      </c>
      <c r="B12" s="3">
        <f t="shared" si="1"/>
        <v>304124.59376640001</v>
      </c>
      <c r="C12" s="3">
        <f>-$B$4</f>
        <v>-30000</v>
      </c>
      <c r="D12" s="3">
        <f t="shared" si="2"/>
        <v>21929.967501312</v>
      </c>
      <c r="E12" s="3">
        <f t="shared" si="3"/>
        <v>296054.56126771204</v>
      </c>
    </row>
    <row r="13" spans="1:6" x14ac:dyDescent="0.25">
      <c r="A13" s="1">
        <v>7</v>
      </c>
      <c r="B13" s="3">
        <f t="shared" si="1"/>
        <v>296054.56126771204</v>
      </c>
      <c r="C13" s="3">
        <f t="shared" ref="C13:C19" si="4">-$B$4</f>
        <v>-30000</v>
      </c>
      <c r="D13" s="3">
        <f t="shared" si="2"/>
        <v>21284.364901416964</v>
      </c>
      <c r="E13" s="3">
        <f t="shared" si="3"/>
        <v>287338.92616912897</v>
      </c>
    </row>
    <row r="14" spans="1:6" x14ac:dyDescent="0.25">
      <c r="A14" s="1">
        <v>8</v>
      </c>
      <c r="B14" s="3">
        <f t="shared" si="1"/>
        <v>287338.92616912897</v>
      </c>
      <c r="C14" s="3">
        <f t="shared" si="4"/>
        <v>-30000</v>
      </c>
      <c r="D14" s="3">
        <f t="shared" si="2"/>
        <v>20587.114093530319</v>
      </c>
      <c r="E14" s="3">
        <f t="shared" si="3"/>
        <v>277926.04026265931</v>
      </c>
    </row>
    <row r="15" spans="1:6" x14ac:dyDescent="0.25">
      <c r="A15" s="1">
        <v>9</v>
      </c>
      <c r="B15" s="3">
        <f t="shared" si="1"/>
        <v>277926.04026265931</v>
      </c>
      <c r="C15" s="3">
        <f t="shared" si="4"/>
        <v>-30000</v>
      </c>
      <c r="D15" s="3">
        <f t="shared" si="2"/>
        <v>19834.083221012745</v>
      </c>
      <c r="E15" s="3">
        <f t="shared" si="3"/>
        <v>267760.12348367204</v>
      </c>
    </row>
    <row r="16" spans="1:6" x14ac:dyDescent="0.25">
      <c r="A16" s="1">
        <v>10</v>
      </c>
      <c r="B16" s="3">
        <f t="shared" si="1"/>
        <v>267760.12348367204</v>
      </c>
      <c r="C16" s="3">
        <f t="shared" si="4"/>
        <v>-30000</v>
      </c>
      <c r="D16" s="3">
        <f t="shared" si="2"/>
        <v>19020.809878693763</v>
      </c>
      <c r="E16" s="3">
        <f t="shared" si="3"/>
        <v>256780.93336236582</v>
      </c>
    </row>
    <row r="17" spans="1:5" x14ac:dyDescent="0.25">
      <c r="A17" s="1">
        <v>11</v>
      </c>
      <c r="B17" s="3">
        <f t="shared" si="1"/>
        <v>256780.93336236582</v>
      </c>
      <c r="C17" s="3">
        <f t="shared" si="4"/>
        <v>-30000</v>
      </c>
      <c r="D17" s="3">
        <f t="shared" si="2"/>
        <v>18142.474668989267</v>
      </c>
      <c r="E17" s="3">
        <f t="shared" si="3"/>
        <v>244923.40803135509</v>
      </c>
    </row>
    <row r="18" spans="1:5" x14ac:dyDescent="0.25">
      <c r="A18" s="1">
        <v>12</v>
      </c>
      <c r="B18" s="3">
        <f t="shared" si="1"/>
        <v>244923.40803135509</v>
      </c>
      <c r="C18" s="3">
        <f t="shared" si="4"/>
        <v>-30000</v>
      </c>
      <c r="D18" s="3">
        <f t="shared" si="2"/>
        <v>17193.87264250841</v>
      </c>
      <c r="E18" s="3">
        <f t="shared" si="3"/>
        <v>232117.28067386351</v>
      </c>
    </row>
    <row r="19" spans="1:5" x14ac:dyDescent="0.25">
      <c r="A19" s="1">
        <v>13</v>
      </c>
      <c r="B19" s="3">
        <f t="shared" si="1"/>
        <v>232117.28067386351</v>
      </c>
      <c r="C19" s="3">
        <f t="shared" si="4"/>
        <v>-30000</v>
      </c>
      <c r="D19" s="3">
        <f t="shared" si="2"/>
        <v>16169.382453909082</v>
      </c>
      <c r="E19" s="7">
        <f t="shared" si="3"/>
        <v>218286.6631277726</v>
      </c>
    </row>
    <row r="20" spans="1:5" x14ac:dyDescent="0.25">
      <c r="A20" s="1"/>
    </row>
    <row r="21" spans="1:5" x14ac:dyDescent="0.25">
      <c r="A21" s="1"/>
    </row>
  </sheetData>
  <mergeCells count="1">
    <mergeCell ref="A1:E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2024-10-05T02:51:35Z</dcterms:created>
  <dcterms:modified xsi:type="dcterms:W3CDTF">2024-10-05T11:44:17Z</dcterms:modified>
</cp:coreProperties>
</file>