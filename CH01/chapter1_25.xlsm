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95FFB3CE-A2C8-4225-8C24-FC60D4FA443D}" xr6:coauthVersionLast="47" xr6:coauthVersionMax="47" xr10:uidLastSave="{00000000-0000-0000-0000-000000000000}"/>
  <bookViews>
    <workbookView xWindow="-108" yWindow="-108" windowWidth="23256" windowHeight="12456" xr2:uid="{112F3A5B-D167-409E-80B0-0384CB4D2DDE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2" i="1"/>
  <c r="B11" i="1"/>
  <c r="B7" i="1"/>
  <c r="B5" i="1"/>
  <c r="C11" i="1"/>
  <c r="C7" i="1"/>
  <c r="C5" i="1"/>
</calcChain>
</file>

<file path=xl/sharedStrings.xml><?xml version="1.0" encoding="utf-8"?>
<sst xmlns="http://schemas.openxmlformats.org/spreadsheetml/2006/main" count="9" uniqueCount="8">
  <si>
    <t>计算价格的收益</t>
    <phoneticPr fontId="2" type="noConversion"/>
  </si>
  <si>
    <t>初始存款</t>
    <phoneticPr fontId="2" type="noConversion"/>
  </si>
  <si>
    <t>年末余额</t>
    <phoneticPr fontId="2" type="noConversion"/>
  </si>
  <si>
    <t>连续复利的期数</t>
    <phoneticPr fontId="2" type="noConversion"/>
  </si>
  <si>
    <t>隐含的年利率</t>
    <phoneticPr fontId="2" type="noConversion"/>
  </si>
  <si>
    <t>连续收益率</t>
    <phoneticPr fontId="2" type="noConversion"/>
  </si>
  <si>
    <t>等价的n个连续期的年利率</t>
    <phoneticPr fontId="2" type="noConversion"/>
  </si>
  <si>
    <t>比率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</si>
</sst>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8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1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A5816-CEE0-46FF-B0AF-0C558D7163AF}">
  <dimension ref="A1:C17"/>
  <sheetViews>
    <sheetView tabSelected="1" workbookViewId="0">
      <selection activeCell="G8" sqref="G8"/>
    </sheetView>
  </sheetViews>
  <sheetFormatPr defaultRowHeight="13.8" x14ac:dyDescent="0.25"/>
  <cols>
    <col min="1" max="1" width="16.109375" bestFit="1" customWidth="1"/>
    <col min="2" max="2" width="14" customWidth="1"/>
    <col min="3" max="3" width="16.44140625" customWidth="1"/>
  </cols>
  <sheetData>
    <row r="1" spans="1:3" ht="22.8" x14ac:dyDescent="0.25">
      <c r="A1" s="3" t="s">
        <v>0</v>
      </c>
      <c r="B1" s="3"/>
      <c r="C1" s="3"/>
    </row>
    <row r="2" spans="1:3" x14ac:dyDescent="0.25">
      <c r="A2" t="s">
        <v>1</v>
      </c>
      <c r="B2">
        <v>1000</v>
      </c>
    </row>
    <row r="3" spans="1:3" x14ac:dyDescent="0.25">
      <c r="A3" t="s">
        <v>2</v>
      </c>
      <c r="B3">
        <v>1200</v>
      </c>
    </row>
    <row r="4" spans="1:3" x14ac:dyDescent="0.25">
      <c r="A4" t="s">
        <v>3</v>
      </c>
      <c r="B4">
        <v>2</v>
      </c>
    </row>
    <row r="5" spans="1:3" x14ac:dyDescent="0.25">
      <c r="A5" t="s">
        <v>4</v>
      </c>
      <c r="B5" s="2">
        <f>((B3/B2)^(1/B4)-1)*B4</f>
        <v>0.1908902300206643</v>
      </c>
      <c r="C5" t="str">
        <f ca="1">_xlfn.FORMULATEXT(B5)</f>
        <v>=((B3/B2)^(1/B4)-1)*B4</v>
      </c>
    </row>
    <row r="7" spans="1:3" x14ac:dyDescent="0.25">
      <c r="A7" t="s">
        <v>5</v>
      </c>
      <c r="B7" s="2">
        <f>LN(B3/B2)</f>
        <v>0.18232155679395459</v>
      </c>
      <c r="C7" t="str">
        <f ca="1">_xlfn.FORMULATEXT(B7)</f>
        <v>=LN(B3/B2)</v>
      </c>
    </row>
    <row r="9" spans="1:3" ht="22.8" x14ac:dyDescent="0.25">
      <c r="A9" s="3" t="s">
        <v>6</v>
      </c>
      <c r="B9" s="3"/>
      <c r="C9" s="3"/>
    </row>
    <row r="10" spans="1:3" x14ac:dyDescent="0.25">
      <c r="A10" s="1" t="s">
        <v>5</v>
      </c>
      <c r="B10" s="4" t="s">
        <v>7</v>
      </c>
    </row>
    <row r="11" spans="1:3" x14ac:dyDescent="0.25">
      <c r="B11" s="5">
        <f>B5</f>
        <v>0.1908902300206643</v>
      </c>
      <c r="C11" t="str">
        <f ca="1">_xlfn.FORMULATEXT(B11)</f>
        <v>=B5</v>
      </c>
    </row>
    <row r="12" spans="1:3" x14ac:dyDescent="0.25">
      <c r="A12" s="1">
        <v>1</v>
      </c>
      <c r="B12" s="2">
        <f>(($B$3/$B$2)^(1/A12)-1)*A12</f>
        <v>0.19999999999999996</v>
      </c>
    </row>
    <row r="13" spans="1:3" x14ac:dyDescent="0.25">
      <c r="A13" s="1">
        <v>2</v>
      </c>
      <c r="B13" s="2">
        <f t="shared" ref="B13:B17" si="0">(($B$3/$B$2)^(1/A13)-1)*A13</f>
        <v>0.1908902300206643</v>
      </c>
    </row>
    <row r="14" spans="1:3" x14ac:dyDescent="0.25">
      <c r="A14" s="1">
        <v>4</v>
      </c>
      <c r="B14" s="2">
        <f t="shared" si="0"/>
        <v>0.18654055756842247</v>
      </c>
    </row>
    <row r="15" spans="1:3" x14ac:dyDescent="0.25">
      <c r="A15" s="1">
        <v>8</v>
      </c>
      <c r="B15" s="2">
        <f t="shared" si="0"/>
        <v>0.1844150017637034</v>
      </c>
    </row>
    <row r="16" spans="1:3" x14ac:dyDescent="0.25">
      <c r="A16" s="1">
        <v>20</v>
      </c>
      <c r="B16" s="2">
        <f t="shared" si="0"/>
        <v>0.18315511655226047</v>
      </c>
    </row>
    <row r="17" spans="1:2" x14ac:dyDescent="0.25">
      <c r="A17" s="1">
        <v>1000</v>
      </c>
      <c r="B17" s="2">
        <f t="shared" si="0"/>
        <v>0.18233817837920441</v>
      </c>
    </row>
  </sheetData>
  <mergeCells count="2">
    <mergeCell ref="A1:C1"/>
    <mergeCell ref="A9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2024-10-05T12:46:50Z</dcterms:created>
  <dcterms:modified xsi:type="dcterms:W3CDTF">2024-10-05T13:26:58Z</dcterms:modified>
</cp:coreProperties>
</file>