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1\"/>
    </mc:Choice>
  </mc:AlternateContent>
  <xr:revisionPtr revIDLastSave="0" documentId="13_ncr:1_{877516A8-2690-45F6-88DE-23C97DCCAC5F}" xr6:coauthVersionLast="47" xr6:coauthVersionMax="47" xr10:uidLastSave="{00000000-0000-0000-0000-000000000000}"/>
  <bookViews>
    <workbookView xWindow="-108" yWindow="-108" windowWidth="23256" windowHeight="12456" xr2:uid="{FDA57E0C-BA1B-4CB9-BA7D-04DEFE0B411C}"/>
  </bookViews>
  <sheets>
    <sheet name="Sheet1" sheetId="2" r:id="rId1"/>
  </sheets>
  <functionGroups builtInGroupCount="19"/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3" i="2" l="1"/>
  <c r="F6" i="2"/>
  <c r="F7" i="2"/>
  <c r="F8" i="2"/>
  <c r="F9" i="2"/>
  <c r="F10" i="2"/>
  <c r="F11" i="2"/>
  <c r="F12" i="2"/>
  <c r="F13" i="2"/>
  <c r="F14" i="2"/>
  <c r="F15" i="2"/>
  <c r="F5" i="2"/>
  <c r="F4" i="2"/>
  <c r="E7" i="2"/>
  <c r="E8" i="2"/>
  <c r="E9" i="2" s="1"/>
  <c r="E10" i="2" s="1"/>
  <c r="E11" i="2" s="1"/>
  <c r="E12" i="2" s="1"/>
  <c r="E13" i="2" s="1"/>
  <c r="E14" i="2" s="1"/>
  <c r="E15" i="2" s="1"/>
  <c r="E6" i="2"/>
  <c r="G4" i="2"/>
</calcChain>
</file>

<file path=xl/sharedStrings.xml><?xml version="1.0" encoding="utf-8"?>
<sst xmlns="http://schemas.openxmlformats.org/spreadsheetml/2006/main" count="6" uniqueCount="6">
  <si>
    <t>年</t>
    <phoneticPr fontId="1" type="noConversion"/>
  </si>
  <si>
    <t>现金流</t>
    <phoneticPr fontId="1" type="noConversion"/>
  </si>
  <si>
    <t>数据表</t>
    <phoneticPr fontId="1" type="noConversion"/>
  </si>
  <si>
    <t>债券的现金流量:NPV曲线与X轴相交一次，因此只有一个IRR</t>
    <phoneticPr fontId="1" type="noConversion"/>
  </si>
  <si>
    <t>折现率对NPV的影响</t>
    <phoneticPr fontId="1" type="noConversion"/>
  </si>
  <si>
    <t>IRR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</si>
</sst>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¥&quot;#,##0.00;[Red]&quot;¥&quot;\-#,##0.00"/>
  </numFmts>
  <fonts count="2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>
      <alignment vertical="center"/>
    </xf>
    <xf numFmtId="1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8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债券现金流量的</a:t>
            </a:r>
            <a:r>
              <a:rPr lang="en-US" altLang="zh-CN"/>
              <a:t>NPV</a:t>
            </a:r>
            <a:endParaRPr lang="zh-CN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Sheet1!$E$5:$E$15</c:f>
              <c:numCache>
                <c:formatCode>0.00%</c:formatCode>
                <c:ptCount val="11"/>
                <c:pt idx="0" formatCode="0%">
                  <c:v>0</c:v>
                </c:pt>
                <c:pt idx="1">
                  <c:v>0.02</c:v>
                </c:pt>
                <c:pt idx="2">
                  <c:v>0.04</c:v>
                </c:pt>
                <c:pt idx="3">
                  <c:v>0.06</c:v>
                </c:pt>
                <c:pt idx="4">
                  <c:v>0.08</c:v>
                </c:pt>
                <c:pt idx="5">
                  <c:v>0.1</c:v>
                </c:pt>
                <c:pt idx="6">
                  <c:v>0.12000000000000001</c:v>
                </c:pt>
                <c:pt idx="7">
                  <c:v>0.14000000000000001</c:v>
                </c:pt>
                <c:pt idx="8">
                  <c:v>0.16</c:v>
                </c:pt>
                <c:pt idx="9">
                  <c:v>0.18</c:v>
                </c:pt>
                <c:pt idx="10">
                  <c:v>0.19999999999999998</c:v>
                </c:pt>
              </c:numCache>
            </c:numRef>
          </c:xVal>
          <c:yVal>
            <c:numRef>
              <c:f>Sheet1!$F$5:$F$15</c:f>
              <c:numCache>
                <c:formatCode>"¥"#,##0.00_);[Red]\("¥"#,##0.00\)</c:formatCode>
                <c:ptCount val="11"/>
                <c:pt idx="0">
                  <c:v>1000</c:v>
                </c:pt>
                <c:pt idx="1">
                  <c:v>786.03851523955382</c:v>
                </c:pt>
                <c:pt idx="2">
                  <c:v>603.96469249702341</c:v>
                </c:pt>
                <c:pt idx="3">
                  <c:v>448.39175243878162</c:v>
                </c:pt>
                <c:pt idx="4">
                  <c:v>314.93277887450563</c:v>
                </c:pt>
                <c:pt idx="5">
                  <c:v>199.99999999999955</c:v>
                </c:pt>
                <c:pt idx="6">
                  <c:v>100.64720466322774</c:v>
                </c:pt>
                <c:pt idx="7">
                  <c:v>14.445444243074121</c:v>
                </c:pt>
                <c:pt idx="8">
                  <c:v>-60.615453700742364</c:v>
                </c:pt>
                <c:pt idx="9">
                  <c:v>-126.20526056422</c:v>
                </c:pt>
                <c:pt idx="10">
                  <c:v>-183.71598031931103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78-41C7-BE54-EE3014D09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1203784"/>
        <c:axId val="671199824"/>
      </c:scatterChart>
      <c:valAx>
        <c:axId val="671203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折现率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71199824"/>
        <c:crosses val="autoZero"/>
        <c:crossBetween val="midCat"/>
      </c:valAx>
      <c:valAx>
        <c:axId val="671199824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zh-CN"/>
                  <a:t>NPV</a:t>
                </a:r>
                <a:endParaRPr lang="zh-CN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zh-CN"/>
            </a:p>
          </c:txPr>
        </c:title>
        <c:numFmt formatCode="&quot;¥&quot;#,##0.00_);[Red]\(&quot;¥&quot;#,##0.00\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671203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5</xdr:row>
      <xdr:rowOff>53340</xdr:rowOff>
    </xdr:from>
    <xdr:to>
      <xdr:col>14</xdr:col>
      <xdr:colOff>228600</xdr:colOff>
      <xdr:row>20</xdr:row>
      <xdr:rowOff>167640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5C3755AA-66B1-8E2C-0445-ECED228B0F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53F8E2-D450-4D54-AC8C-308861E7D086}">
  <dimension ref="A1:K15"/>
  <sheetViews>
    <sheetView tabSelected="1" workbookViewId="0">
      <selection activeCell="G20" sqref="G20"/>
    </sheetView>
  </sheetViews>
  <sheetFormatPr defaultRowHeight="13.8" x14ac:dyDescent="0.25"/>
  <cols>
    <col min="4" max="4" width="2.33203125" customWidth="1"/>
    <col min="6" max="6" width="9.44140625" bestFit="1" customWidth="1"/>
  </cols>
  <sheetData>
    <row r="1" spans="1:11" x14ac:dyDescent="0.25">
      <c r="A1" s="4" t="s">
        <v>3</v>
      </c>
      <c r="B1" s="4"/>
      <c r="C1" s="4"/>
      <c r="D1" s="4"/>
      <c r="E1" s="4"/>
      <c r="F1" s="4"/>
      <c r="G1" s="4"/>
      <c r="H1" s="4"/>
      <c r="I1" s="4"/>
      <c r="J1" s="4"/>
      <c r="K1" s="4"/>
    </row>
    <row r="2" spans="1:11" x14ac:dyDescent="0.25">
      <c r="A2" t="s">
        <v>0</v>
      </c>
      <c r="B2" t="s">
        <v>1</v>
      </c>
      <c r="E2" s="4" t="s">
        <v>2</v>
      </c>
      <c r="F2" s="4"/>
    </row>
    <row r="3" spans="1:11" x14ac:dyDescent="0.25">
      <c r="A3" s="1">
        <v>0</v>
      </c>
      <c r="B3">
        <v>-800</v>
      </c>
      <c r="E3" s="4" t="s">
        <v>4</v>
      </c>
      <c r="F3" s="4"/>
    </row>
    <row r="4" spans="1:11" x14ac:dyDescent="0.25">
      <c r="A4" s="1">
        <v>1</v>
      </c>
      <c r="B4">
        <v>100</v>
      </c>
      <c r="F4" s="5">
        <f>NPV(E4,$B$4:$B$11)+$B$3</f>
        <v>1000</v>
      </c>
      <c r="G4" t="str">
        <f ca="1">_xlfn.FORMULATEXT(F4)</f>
        <v>=NPV(E4,$B$4:$B$11)+$B$3</v>
      </c>
    </row>
    <row r="5" spans="1:11" x14ac:dyDescent="0.25">
      <c r="A5" s="1">
        <v>2</v>
      </c>
      <c r="B5">
        <v>100</v>
      </c>
      <c r="E5" s="2">
        <v>0</v>
      </c>
      <c r="F5" s="5">
        <f>NPV(E5,$B$4:$B$11)+$B$3</f>
        <v>1000</v>
      </c>
    </row>
    <row r="6" spans="1:11" x14ac:dyDescent="0.25">
      <c r="A6" s="1">
        <v>3</v>
      </c>
      <c r="B6">
        <v>100</v>
      </c>
      <c r="E6" s="3">
        <f>E5+2%</f>
        <v>0.02</v>
      </c>
      <c r="F6" s="5">
        <f t="shared" ref="F6:F15" si="0">NPV(E6,$B$4:$B$11)+$B$3</f>
        <v>786.03851523955382</v>
      </c>
    </row>
    <row r="7" spans="1:11" x14ac:dyDescent="0.25">
      <c r="A7" s="1">
        <v>4</v>
      </c>
      <c r="B7">
        <v>100</v>
      </c>
      <c r="E7" s="3">
        <f t="shared" ref="E7:E15" si="1">E6+2%</f>
        <v>0.04</v>
      </c>
      <c r="F7" s="5">
        <f t="shared" si="0"/>
        <v>603.96469249702341</v>
      </c>
    </row>
    <row r="8" spans="1:11" x14ac:dyDescent="0.25">
      <c r="A8" s="1">
        <v>5</v>
      </c>
      <c r="B8">
        <v>100</v>
      </c>
      <c r="E8" s="3">
        <f t="shared" si="1"/>
        <v>0.06</v>
      </c>
      <c r="F8" s="5">
        <f t="shared" si="0"/>
        <v>448.39175243878162</v>
      </c>
    </row>
    <row r="9" spans="1:11" x14ac:dyDescent="0.25">
      <c r="A9" s="1">
        <v>6</v>
      </c>
      <c r="B9">
        <v>100</v>
      </c>
      <c r="E9" s="3">
        <f t="shared" si="1"/>
        <v>0.08</v>
      </c>
      <c r="F9" s="5">
        <f t="shared" si="0"/>
        <v>314.93277887450563</v>
      </c>
    </row>
    <row r="10" spans="1:11" x14ac:dyDescent="0.25">
      <c r="A10" s="1">
        <v>7</v>
      </c>
      <c r="B10">
        <v>100</v>
      </c>
      <c r="E10" s="3">
        <f t="shared" si="1"/>
        <v>0.1</v>
      </c>
      <c r="F10" s="5">
        <f t="shared" si="0"/>
        <v>199.99999999999955</v>
      </c>
    </row>
    <row r="11" spans="1:11" x14ac:dyDescent="0.25">
      <c r="A11" s="1">
        <v>8</v>
      </c>
      <c r="B11">
        <v>1100</v>
      </c>
      <c r="E11" s="3">
        <f t="shared" si="1"/>
        <v>0.12000000000000001</v>
      </c>
      <c r="F11" s="5">
        <f t="shared" si="0"/>
        <v>100.64720466322774</v>
      </c>
    </row>
    <row r="12" spans="1:11" x14ac:dyDescent="0.25">
      <c r="E12" s="3">
        <f t="shared" si="1"/>
        <v>0.14000000000000001</v>
      </c>
      <c r="F12" s="5">
        <f t="shared" si="0"/>
        <v>14.445444243074121</v>
      </c>
    </row>
    <row r="13" spans="1:11" x14ac:dyDescent="0.25">
      <c r="A13" t="s">
        <v>5</v>
      </c>
      <c r="B13" s="3">
        <f>IRR(B3:B11)</f>
        <v>0.14364208444928206</v>
      </c>
      <c r="E13" s="3">
        <f t="shared" si="1"/>
        <v>0.16</v>
      </c>
      <c r="F13" s="5">
        <f t="shared" si="0"/>
        <v>-60.615453700742364</v>
      </c>
    </row>
    <row r="14" spans="1:11" x14ac:dyDescent="0.25">
      <c r="E14" s="3">
        <f t="shared" si="1"/>
        <v>0.18</v>
      </c>
      <c r="F14" s="5">
        <f t="shared" si="0"/>
        <v>-126.20526056422</v>
      </c>
    </row>
    <row r="15" spans="1:11" x14ac:dyDescent="0.25">
      <c r="E15" s="3">
        <f t="shared" si="1"/>
        <v>0.19999999999999998</v>
      </c>
      <c r="F15" s="5">
        <f t="shared" si="0"/>
        <v>-183.71598031931103</v>
      </c>
    </row>
  </sheetData>
  <mergeCells count="3">
    <mergeCell ref="A1:K1"/>
    <mergeCell ref="E2:F2"/>
    <mergeCell ref="E3:F3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2024-10-05T02:51:35Z</dcterms:created>
  <dcterms:modified xsi:type="dcterms:W3CDTF">2024-10-05T08:34:52Z</dcterms:modified>
</cp:coreProperties>
</file>