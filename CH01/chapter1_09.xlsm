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7EB72422-5C8E-4325-B851-D8ECB875BEF9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D17" i="1"/>
  <c r="E17" i="1"/>
  <c r="B18" i="1" s="1"/>
  <c r="B17" i="1"/>
  <c r="E16" i="1"/>
  <c r="D16" i="1"/>
  <c r="B16" i="1"/>
  <c r="E15" i="1"/>
  <c r="D15" i="1"/>
  <c r="B15" i="1"/>
  <c r="A21" i="1"/>
  <c r="F15" i="1"/>
  <c r="A13" i="1"/>
  <c r="C10" i="1"/>
  <c r="D18" i="1" l="1"/>
  <c r="E18" i="1" s="1"/>
  <c r="B19" i="1"/>
  <c r="D19" i="1" s="1"/>
  <c r="E19" i="1" s="1"/>
</calcChain>
</file>

<file path=xl/sharedStrings.xml><?xml version="1.0" encoding="utf-8"?>
<sst xmlns="http://schemas.openxmlformats.org/spreadsheetml/2006/main" count="10" uniqueCount="10">
  <si>
    <t>内部收益率</t>
    <phoneticPr fontId="1" type="noConversion"/>
  </si>
  <si>
    <t>年</t>
    <phoneticPr fontId="1" type="noConversion"/>
  </si>
  <si>
    <t>现金流量</t>
    <phoneticPr fontId="1" type="noConversion"/>
  </si>
  <si>
    <t>内部收益率</t>
    <phoneticPr fontId="1" type="noConversion"/>
  </si>
  <si>
    <t>在贷款表中应用内部收益率</t>
    <phoneticPr fontId="1" type="noConversion"/>
  </si>
  <si>
    <t>年</t>
    <phoneticPr fontId="1" type="noConversion"/>
  </si>
  <si>
    <t>年初投资</t>
    <phoneticPr fontId="1" type="noConversion"/>
  </si>
  <si>
    <t>年末现金流</t>
    <phoneticPr fontId="1" type="noConversion"/>
  </si>
  <si>
    <t>收益</t>
    <phoneticPr fontId="1" type="noConversion"/>
  </si>
  <si>
    <t>本金偿还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</si>
</sst>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F21"/>
  <sheetViews>
    <sheetView tabSelected="1" topLeftCell="A2" zoomScale="220" zoomScaleNormal="220" workbookViewId="0">
      <selection activeCell="C21" sqref="C21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6" max="6" width="10.5546875" bestFit="1" customWidth="1"/>
    <col min="8" max="8" width="11.77734375" bestFit="1" customWidth="1"/>
  </cols>
  <sheetData>
    <row r="1" spans="1:6" ht="55.2" customHeight="1" x14ac:dyDescent="0.25">
      <c r="A1" s="4" t="s">
        <v>0</v>
      </c>
      <c r="B1" s="4"/>
      <c r="C1" s="4"/>
      <c r="D1" s="2"/>
    </row>
    <row r="2" spans="1:6" x14ac:dyDescent="0.25">
      <c r="A2" s="1" t="s">
        <v>1</v>
      </c>
      <c r="B2" s="1" t="s">
        <v>2</v>
      </c>
    </row>
    <row r="3" spans="1:6" x14ac:dyDescent="0.25">
      <c r="A3" s="1">
        <v>0</v>
      </c>
      <c r="B3" s="1">
        <v>-800</v>
      </c>
    </row>
    <row r="4" spans="1:6" x14ac:dyDescent="0.25">
      <c r="A4" s="1">
        <v>1</v>
      </c>
      <c r="B4" s="1">
        <v>200</v>
      </c>
    </row>
    <row r="5" spans="1:6" x14ac:dyDescent="0.25">
      <c r="A5" s="1">
        <v>2</v>
      </c>
      <c r="B5" s="1">
        <v>250</v>
      </c>
    </row>
    <row r="6" spans="1:6" x14ac:dyDescent="0.25">
      <c r="A6" s="1">
        <v>3</v>
      </c>
      <c r="B6" s="1">
        <v>300</v>
      </c>
    </row>
    <row r="7" spans="1:6" x14ac:dyDescent="0.25">
      <c r="A7" s="1">
        <v>4</v>
      </c>
      <c r="B7" s="1">
        <v>350</v>
      </c>
    </row>
    <row r="8" spans="1:6" x14ac:dyDescent="0.25">
      <c r="A8" s="1">
        <v>5</v>
      </c>
      <c r="B8" s="1">
        <v>400</v>
      </c>
    </row>
    <row r="10" spans="1:6" x14ac:dyDescent="0.25">
      <c r="A10" s="1" t="s">
        <v>3</v>
      </c>
      <c r="B10" s="3">
        <v>0.22159999999999999</v>
      </c>
      <c r="C10" s="1" t="str">
        <f ca="1">ggetformula(B10)</f>
        <v>0.2216</v>
      </c>
    </row>
    <row r="12" spans="1:6" x14ac:dyDescent="0.25">
      <c r="A12" s="1" t="s">
        <v>4</v>
      </c>
    </row>
    <row r="13" spans="1:6" ht="34.799999999999997" customHeight="1" x14ac:dyDescent="0.25">
      <c r="A13" s="1" t="str">
        <f ca="1">_xlfn.FORMULATEXT(B15)</f>
        <v>=-B3</v>
      </c>
    </row>
    <row r="14" spans="1:6" x14ac:dyDescent="0.25">
      <c r="A14" s="1" t="s">
        <v>5</v>
      </c>
      <c r="B14" s="1" t="s">
        <v>6</v>
      </c>
      <c r="C14" s="1" t="s">
        <v>7</v>
      </c>
      <c r="D14" s="1" t="s">
        <v>8</v>
      </c>
      <c r="E14" s="1" t="s">
        <v>9</v>
      </c>
    </row>
    <row r="15" spans="1:6" x14ac:dyDescent="0.25">
      <c r="A15" s="1">
        <v>1</v>
      </c>
      <c r="B15" s="1">
        <f>-B3</f>
        <v>800</v>
      </c>
      <c r="C15" s="1">
        <v>200</v>
      </c>
      <c r="D15" s="1">
        <f>$B$10*B15</f>
        <v>177.28</v>
      </c>
      <c r="E15">
        <f>C15-D15</f>
        <v>22.72</v>
      </c>
      <c r="F15" t="str">
        <f ca="1">_xlfn.FORMULATEXT(E15)</f>
        <v>=C15-D15</v>
      </c>
    </row>
    <row r="16" spans="1:6" x14ac:dyDescent="0.25">
      <c r="A16" s="1">
        <v>2</v>
      </c>
      <c r="B16" s="1">
        <f>B15-E15</f>
        <v>777.28</v>
      </c>
      <c r="C16" s="1">
        <v>250</v>
      </c>
      <c r="D16" s="1">
        <f>$B$10*B16</f>
        <v>172.24524799999998</v>
      </c>
      <c r="E16">
        <f>C16-D16</f>
        <v>77.754752000000025</v>
      </c>
    </row>
    <row r="17" spans="1:5" x14ac:dyDescent="0.25">
      <c r="A17" s="1">
        <v>3</v>
      </c>
      <c r="B17" s="1">
        <f>B16-E16</f>
        <v>699.52524799999992</v>
      </c>
      <c r="C17" s="1">
        <v>300</v>
      </c>
      <c r="D17" s="1">
        <f t="shared" ref="D17:D19" si="0">$B$10*B17</f>
        <v>155.01479495679999</v>
      </c>
      <c r="E17">
        <f t="shared" ref="E17:E19" si="1">C17-D17</f>
        <v>144.98520504320001</v>
      </c>
    </row>
    <row r="18" spans="1:5" x14ac:dyDescent="0.25">
      <c r="A18" s="1">
        <v>4</v>
      </c>
      <c r="B18" s="1">
        <f>B17-E17</f>
        <v>554.54004295679988</v>
      </c>
      <c r="C18" s="1">
        <v>350</v>
      </c>
      <c r="D18" s="1">
        <f t="shared" si="0"/>
        <v>122.88607351922685</v>
      </c>
      <c r="E18">
        <f t="shared" si="1"/>
        <v>227.11392648077316</v>
      </c>
    </row>
    <row r="19" spans="1:5" x14ac:dyDescent="0.25">
      <c r="A19" s="1">
        <v>5</v>
      </c>
      <c r="B19" s="1">
        <f>B18-E18</f>
        <v>327.42611647602672</v>
      </c>
      <c r="C19" s="1">
        <v>400</v>
      </c>
      <c r="D19" s="1">
        <f t="shared" si="0"/>
        <v>72.557627411087523</v>
      </c>
      <c r="E19">
        <f t="shared" si="1"/>
        <v>327.44237258891246</v>
      </c>
    </row>
    <row r="20" spans="1:5" x14ac:dyDescent="0.25">
      <c r="A20" s="1">
        <v>6</v>
      </c>
      <c r="B20" s="1">
        <f>B19-E19</f>
        <v>-1.6256112885741913E-2</v>
      </c>
    </row>
    <row r="21" spans="1:5" x14ac:dyDescent="0.25">
      <c r="A21" s="1" t="str">
        <f ca="1">_xlfn.FORMULATEXT(B16)</f>
        <v>=B15-E15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2024-10-05T07:22:40Z</dcterms:modified>
</cp:coreProperties>
</file>