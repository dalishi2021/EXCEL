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E2311366-B28B-4753-89C7-73F3CF4334EF}" xr6:coauthVersionLast="47" xr6:coauthVersionMax="47" xr10:uidLastSave="{00000000-0000-0000-0000-000000000000}"/>
  <bookViews>
    <workbookView xWindow="-38520" yWindow="-120" windowWidth="38640" windowHeight="21120" xr2:uid="{FDA57E0C-BA1B-4CB9-BA7D-04DEFE0B411C}"/>
  </bookViews>
  <sheets>
    <sheet name="Sheet1" sheetId="1" r:id="rId1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1" l="1"/>
  <c r="B12" i="1"/>
  <c r="B13" i="1"/>
  <c r="B14" i="1"/>
  <c r="B11" i="1"/>
  <c r="B7" i="1"/>
  <c r="B10" i="1"/>
  <c r="C14" i="1"/>
  <c r="C13" i="1"/>
  <c r="C12" i="1"/>
  <c r="C11" i="1"/>
  <c r="C22" i="1"/>
  <c r="C16" i="1"/>
  <c r="C10" i="1"/>
  <c r="C7" i="1"/>
  <c r="B16" i="1" l="1"/>
</calcChain>
</file>

<file path=xl/sharedStrings.xml><?xml version="1.0" encoding="utf-8"?>
<sst xmlns="http://schemas.openxmlformats.org/spreadsheetml/2006/main" count="15" uniqueCount="11">
  <si>
    <t>每期偿付额,C</t>
    <phoneticPr fontId="1" type="noConversion"/>
  </si>
  <si>
    <t>未来偿付期数,n</t>
    <phoneticPr fontId="1" type="noConversion"/>
  </si>
  <si>
    <t>折现率,r</t>
    <phoneticPr fontId="1" type="noConversion"/>
  </si>
  <si>
    <t>年金现值</t>
    <phoneticPr fontId="1" type="noConversion"/>
  </si>
  <si>
    <t>运用公式</t>
    <phoneticPr fontId="1" type="noConversion"/>
  </si>
  <si>
    <t>期数</t>
    <phoneticPr fontId="1" type="noConversion"/>
  </si>
  <si>
    <t>年金</t>
    <phoneticPr fontId="1" type="noConversion"/>
  </si>
  <si>
    <t>运用NPV函数计算现值</t>
    <phoneticPr fontId="1" type="noConversion"/>
  </si>
  <si>
    <t>计算有限期增长年金的值</t>
    <phoneticPr fontId="1" type="noConversion"/>
  </si>
  <si>
    <t>增长率,g</t>
    <phoneticPr fontId="1" type="noConversion"/>
  </si>
  <si>
    <t>计算无限期增长年金的值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</si>
</sst>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;[Red]&quot;¥&quot;\-#,##0.00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8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10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26AAB-0327-4600-8C88-8CB9D2EC007E}">
  <sheetPr codeName="Sheet1"/>
  <dimension ref="A1:H22"/>
  <sheetViews>
    <sheetView tabSelected="1" zoomScale="220" zoomScaleNormal="220" workbookViewId="0">
      <selection activeCell="C2" sqref="C2"/>
    </sheetView>
  </sheetViews>
  <sheetFormatPr defaultRowHeight="13.8" x14ac:dyDescent="0.25"/>
  <cols>
    <col min="1" max="1" width="27" style="1" customWidth="1"/>
    <col min="2" max="2" width="10.5546875" style="1" bestFit="1" customWidth="1"/>
    <col min="3" max="3" width="34.6640625" style="1" bestFit="1" customWidth="1"/>
    <col min="4" max="4" width="22.44140625" bestFit="1" customWidth="1"/>
    <col min="8" max="8" width="11.77734375" bestFit="1" customWidth="1"/>
  </cols>
  <sheetData>
    <row r="1" spans="1:8" ht="55.2" customHeight="1" x14ac:dyDescent="0.25">
      <c r="A1" s="8" t="s">
        <v>8</v>
      </c>
      <c r="B1" s="8"/>
      <c r="C1" s="8"/>
      <c r="D1" s="4"/>
    </row>
    <row r="2" spans="1:8" x14ac:dyDescent="0.25">
      <c r="A2" s="1" t="s">
        <v>0</v>
      </c>
      <c r="B2" s="5">
        <v>1000</v>
      </c>
      <c r="E2" s="1"/>
      <c r="F2" s="1"/>
      <c r="G2" s="2"/>
      <c r="H2" s="3"/>
    </row>
    <row r="3" spans="1:8" x14ac:dyDescent="0.25">
      <c r="A3" s="1" t="s">
        <v>9</v>
      </c>
      <c r="B3" s="2">
        <v>0.06</v>
      </c>
      <c r="E3" s="1"/>
      <c r="F3" s="1"/>
      <c r="G3" s="1"/>
      <c r="H3" s="1"/>
    </row>
    <row r="4" spans="1:8" x14ac:dyDescent="0.25">
      <c r="A4" s="1" t="s">
        <v>1</v>
      </c>
      <c r="B4" s="1">
        <v>5</v>
      </c>
      <c r="E4" s="1"/>
      <c r="F4" s="1"/>
      <c r="G4" s="1"/>
      <c r="H4" s="1"/>
    </row>
    <row r="5" spans="1:8" x14ac:dyDescent="0.25">
      <c r="A5" s="1" t="s">
        <v>2</v>
      </c>
      <c r="B5" s="2">
        <v>0.12</v>
      </c>
      <c r="D5" s="1"/>
      <c r="E5" s="1"/>
      <c r="F5" s="1"/>
      <c r="G5" s="1"/>
      <c r="H5" s="1"/>
    </row>
    <row r="6" spans="1:8" x14ac:dyDescent="0.25">
      <c r="A6" s="1" t="s">
        <v>3</v>
      </c>
      <c r="E6" s="1"/>
      <c r="F6" s="1"/>
      <c r="G6" s="1"/>
      <c r="H6" s="1"/>
    </row>
    <row r="7" spans="1:8" x14ac:dyDescent="0.25">
      <c r="A7" s="1" t="s">
        <v>4</v>
      </c>
      <c r="B7" s="1">
        <f>B2*(1-((1+B3)/(1+B5))^B4)/(B5-B3)</f>
        <v>4010.914471003759</v>
      </c>
      <c r="C7" s="1" t="str">
        <f ca="1">_xlfn.FORMULATEXT(B7)</f>
        <v>=B2*(1-((1+B3)/(1+B5))^B4)/(B5-B3)</v>
      </c>
      <c r="E7" s="1"/>
      <c r="F7" s="1"/>
      <c r="G7" s="1"/>
      <c r="H7" s="1"/>
    </row>
    <row r="8" spans="1:8" x14ac:dyDescent="0.25">
      <c r="C8" s="6"/>
      <c r="E8" s="1"/>
      <c r="F8" s="1"/>
      <c r="G8" s="1"/>
      <c r="H8" s="1"/>
    </row>
    <row r="9" spans="1:8" x14ac:dyDescent="0.25">
      <c r="A9" s="1" t="s">
        <v>5</v>
      </c>
      <c r="B9" s="1" t="s">
        <v>6</v>
      </c>
      <c r="C9" s="6"/>
      <c r="E9" s="1"/>
      <c r="F9" s="1"/>
      <c r="G9" s="1"/>
      <c r="H9" s="1"/>
    </row>
    <row r="10" spans="1:8" x14ac:dyDescent="0.25">
      <c r="A10" s="1">
        <v>1</v>
      </c>
      <c r="B10" s="5">
        <f>B2</f>
        <v>1000</v>
      </c>
      <c r="C10" s="6" t="str">
        <f ca="1">_xlfn.FORMULATEXT(B10)</f>
        <v>=B2</v>
      </c>
      <c r="E10" s="1"/>
      <c r="F10" s="1"/>
      <c r="G10" s="1"/>
      <c r="H10" s="1"/>
    </row>
    <row r="11" spans="1:8" x14ac:dyDescent="0.25">
      <c r="A11" s="1">
        <v>2</v>
      </c>
      <c r="B11" s="5">
        <f>$B$2*(1+$B$3)^(A11-1)</f>
        <v>1060</v>
      </c>
      <c r="C11" s="6" t="str">
        <f ca="1">_xlfn.FORMULATEXT(B11)</f>
        <v>=$B$2*(1+$B$3)^(A11-1)</v>
      </c>
      <c r="E11" s="1"/>
      <c r="F11" s="1"/>
      <c r="G11" s="1"/>
      <c r="H11" s="1"/>
    </row>
    <row r="12" spans="1:8" x14ac:dyDescent="0.25">
      <c r="A12" s="1">
        <v>3</v>
      </c>
      <c r="B12" s="5">
        <f t="shared" ref="B12:B14" si="0">$B$2*(1+$B$3)^(A12-1)</f>
        <v>1123.6000000000001</v>
      </c>
      <c r="C12" s="6" t="str">
        <f ca="1">_xlfn.FORMULATEXT(B12)</f>
        <v>=$B$2*(1+$B$3)^(A12-1)</v>
      </c>
      <c r="E12" s="1"/>
      <c r="F12" s="1"/>
      <c r="G12" s="1"/>
      <c r="H12" s="1"/>
    </row>
    <row r="13" spans="1:8" x14ac:dyDescent="0.25">
      <c r="A13" s="1">
        <v>4</v>
      </c>
      <c r="B13" s="5">
        <f t="shared" si="0"/>
        <v>1191.0160000000003</v>
      </c>
      <c r="C13" s="6" t="str">
        <f ca="1">_xlfn.FORMULATEXT(B13)</f>
        <v>=$B$2*(1+$B$3)^(A13-1)</v>
      </c>
      <c r="E13" s="1"/>
      <c r="F13" s="1"/>
      <c r="G13" s="1"/>
      <c r="H13" s="1"/>
    </row>
    <row r="14" spans="1:8" x14ac:dyDescent="0.25">
      <c r="A14" s="1">
        <v>5</v>
      </c>
      <c r="B14" s="5">
        <f t="shared" si="0"/>
        <v>1262.4769600000004</v>
      </c>
      <c r="C14" s="6" t="str">
        <f ca="1">_xlfn.FORMULATEXT(B14)</f>
        <v>=$B$2*(1+$B$3)^(A14-1)</v>
      </c>
      <c r="E14" s="1"/>
      <c r="F14" s="1"/>
      <c r="G14" s="1"/>
      <c r="H14" s="1"/>
    </row>
    <row r="15" spans="1:8" x14ac:dyDescent="0.25">
      <c r="B15" s="3"/>
      <c r="E15" s="1"/>
      <c r="F15" s="1"/>
      <c r="G15" s="1"/>
      <c r="H15" s="1"/>
    </row>
    <row r="16" spans="1:8" x14ac:dyDescent="0.25">
      <c r="A16" s="1" t="s">
        <v>7</v>
      </c>
      <c r="B16" s="3">
        <f>NPV(B5,B10:B14)</f>
        <v>4010.9144710037572</v>
      </c>
      <c r="C16" s="6" t="str">
        <f ca="1">_xlfn.FORMULATEXT(B16)</f>
        <v>=NPV(B5,B10:B14)</v>
      </c>
      <c r="E16" s="1"/>
      <c r="F16" s="1"/>
      <c r="G16" s="1"/>
      <c r="H16" s="1"/>
    </row>
    <row r="18" spans="1:4" x14ac:dyDescent="0.25">
      <c r="A18" s="8" t="s">
        <v>10</v>
      </c>
      <c r="B18" s="8"/>
      <c r="C18" s="8"/>
    </row>
    <row r="19" spans="1:4" x14ac:dyDescent="0.25">
      <c r="A19" s="1" t="s">
        <v>0</v>
      </c>
      <c r="B19" s="5">
        <v>1000</v>
      </c>
      <c r="C19" s="5"/>
    </row>
    <row r="20" spans="1:4" x14ac:dyDescent="0.25">
      <c r="A20" s="1" t="s">
        <v>9</v>
      </c>
      <c r="B20" s="2">
        <v>0.06</v>
      </c>
      <c r="C20" s="5"/>
      <c r="D20" s="9"/>
    </row>
    <row r="21" spans="1:4" x14ac:dyDescent="0.25">
      <c r="A21" s="1" t="s">
        <v>2</v>
      </c>
      <c r="B21" s="2">
        <v>0.12</v>
      </c>
      <c r="C21" s="7"/>
      <c r="D21" s="9"/>
    </row>
    <row r="22" spans="1:4" x14ac:dyDescent="0.25">
      <c r="A22" s="1" t="s">
        <v>3</v>
      </c>
      <c r="B22" s="1">
        <f>B19/(B21-B20)</f>
        <v>16666.666666666668</v>
      </c>
      <c r="C22" s="6" t="str">
        <f ca="1">_xlfn.FORMULATEXT(B22)</f>
        <v>=B19/(B21-B20)</v>
      </c>
      <c r="D22" s="1"/>
    </row>
  </sheetData>
  <mergeCells count="2">
    <mergeCell ref="A1:C1"/>
    <mergeCell ref="A18:C18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2024-10-05T06:50:51Z</dcterms:modified>
</cp:coreProperties>
</file>