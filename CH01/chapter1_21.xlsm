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291CAD39-288C-44B4-926D-245E9A3101D7}" xr6:coauthVersionLast="47" xr6:coauthVersionMax="47" xr10:uidLastSave="{00000000-0000-0000-0000-000000000000}"/>
  <bookViews>
    <workbookView xWindow="-108" yWindow="-108" windowWidth="23256" windowHeight="12456" xr2:uid="{FDA57E0C-BA1B-4CB9-BA7D-04DEFE0B411C}"/>
  </bookViews>
  <sheets>
    <sheet name="Sheet1" sheetId="4" r:id="rId1"/>
  </sheets>
  <functionGroups builtInGroupCount="19"/>
  <definedNames>
    <definedName name="solver_adj" localSheetId="0" hidden="1">Sheet1!$B$3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Sheet1!$E$19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4" l="1"/>
  <c r="C14" i="4"/>
  <c r="C15" i="4"/>
  <c r="C16" i="4"/>
  <c r="C17" i="4"/>
  <c r="C18" i="4"/>
  <c r="C19" i="4"/>
  <c r="C12" i="4"/>
  <c r="C8" i="4"/>
  <c r="C9" i="4"/>
  <c r="C10" i="4"/>
  <c r="C11" i="4"/>
  <c r="C7" i="4"/>
  <c r="D7" i="4" s="1"/>
  <c r="E7" i="4" s="1"/>
  <c r="B8" i="4" s="1"/>
  <c r="D5" i="4"/>
  <c r="C5" i="4"/>
  <c r="F7" i="4"/>
  <c r="D8" i="4" l="1"/>
  <c r="E8" i="4" s="1"/>
  <c r="B9" i="4" s="1"/>
  <c r="D9" i="4" s="1"/>
  <c r="E9" i="4" s="1"/>
  <c r="B10" i="4" s="1"/>
  <c r="D10" i="4" s="1"/>
  <c r="E10" i="4" s="1"/>
  <c r="B11" i="4" s="1"/>
  <c r="D11" i="4" s="1"/>
  <c r="E11" i="4" s="1"/>
  <c r="B12" i="4" s="1"/>
  <c r="D12" i="4" s="1"/>
  <c r="E12" i="4" s="1"/>
  <c r="B13" i="4" s="1"/>
  <c r="D13" i="4" s="1"/>
  <c r="E13" i="4" s="1"/>
  <c r="B14" i="4" s="1"/>
  <c r="D14" i="4" s="1"/>
  <c r="E14" i="4" s="1"/>
  <c r="B15" i="4" s="1"/>
  <c r="D15" i="4" s="1"/>
  <c r="E15" i="4" s="1"/>
  <c r="B16" i="4" s="1"/>
  <c r="D16" i="4" s="1"/>
  <c r="E16" i="4" s="1"/>
  <c r="B17" i="4" s="1"/>
  <c r="D17" i="4" s="1"/>
  <c r="E17" i="4" s="1"/>
  <c r="B18" i="4" s="1"/>
  <c r="D18" i="4" s="1"/>
  <c r="E18" i="4" s="1"/>
  <c r="B19" i="4" s="1"/>
  <c r="D19" i="4" s="1"/>
  <c r="E19" i="4" s="1"/>
</calcChain>
</file>

<file path=xl/sharedStrings.xml><?xml version="1.0" encoding="utf-8"?>
<sst xmlns="http://schemas.openxmlformats.org/spreadsheetml/2006/main" count="9" uniqueCount="9">
  <si>
    <t>年</t>
    <phoneticPr fontId="1" type="noConversion"/>
  </si>
  <si>
    <t>利率</t>
    <phoneticPr fontId="1" type="noConversion"/>
  </si>
  <si>
    <t>获得的利息</t>
    <phoneticPr fontId="1" type="noConversion"/>
  </si>
  <si>
    <t>年末总的账户余额</t>
    <phoneticPr fontId="1" type="noConversion"/>
  </si>
  <si>
    <t>一个退休金问题</t>
    <phoneticPr fontId="1" type="noConversion"/>
  </si>
  <si>
    <t>每年存款</t>
    <phoneticPr fontId="1" type="noConversion"/>
  </si>
  <si>
    <t>每年提取退休金</t>
    <phoneticPr fontId="1" type="noConversion"/>
  </si>
  <si>
    <t>开始年度账面余额</t>
    <phoneticPr fontId="1" type="noConversion"/>
  </si>
  <si>
    <t>在每年初的存款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</si>
</sst>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4" fontId="0" fillId="0" borderId="0" xfId="0" applyNumberFormat="1" applyAlignment="1">
      <alignment horizontal="center" vertical="center"/>
    </xf>
    <xf numFmtId="3" fontId="0" fillId="0" borderId="0" xfId="0" applyNumberFormat="1">
      <alignment vertical="center"/>
    </xf>
    <xf numFmtId="9" fontId="0" fillId="0" borderId="0" xfId="0" applyNumberFormat="1" applyAlignment="1">
      <alignment horizontal="center" vertical="center"/>
    </xf>
    <xf numFmtId="4" fontId="3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" fontId="3" fillId="0" borderId="0" xfId="0" applyNumberFormat="1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21</xdr:col>
      <xdr:colOff>434683</xdr:colOff>
      <xdr:row>58</xdr:row>
      <xdr:rowOff>84761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669B1086-FE79-CBF4-F785-F7E270585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589020"/>
          <a:ext cx="16109023" cy="67446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45968-9850-4EEA-AF81-DFB187EEBF06}">
  <dimension ref="A1:F21"/>
  <sheetViews>
    <sheetView tabSelected="1" workbookViewId="0">
      <selection activeCell="B3" sqref="B3"/>
    </sheetView>
  </sheetViews>
  <sheetFormatPr defaultRowHeight="13.8" x14ac:dyDescent="0.25"/>
  <cols>
    <col min="1" max="1" width="16.109375" bestFit="1" customWidth="1"/>
    <col min="2" max="2" width="18.33203125" bestFit="1" customWidth="1"/>
    <col min="3" max="3" width="16.109375" bestFit="1" customWidth="1"/>
    <col min="4" max="4" width="13.88671875" bestFit="1" customWidth="1"/>
    <col min="5" max="5" width="18.33203125" bestFit="1" customWidth="1"/>
    <col min="6" max="6" width="12.44140625" bestFit="1" customWidth="1"/>
  </cols>
  <sheetData>
    <row r="1" spans="1:6" ht="20.399999999999999" x14ac:dyDescent="0.25">
      <c r="A1" s="7" t="s">
        <v>4</v>
      </c>
      <c r="B1" s="7"/>
      <c r="C1" s="7"/>
      <c r="D1" s="7"/>
      <c r="E1" s="7"/>
    </row>
    <row r="2" spans="1:6" x14ac:dyDescent="0.25">
      <c r="A2" s="1" t="s">
        <v>1</v>
      </c>
      <c r="B2" s="2">
        <v>0.08</v>
      </c>
    </row>
    <row r="3" spans="1:6" x14ac:dyDescent="0.25">
      <c r="A3" s="1" t="s">
        <v>5</v>
      </c>
      <c r="B3" s="8">
        <v>29386.551000840605</v>
      </c>
    </row>
    <row r="4" spans="1:6" x14ac:dyDescent="0.25">
      <c r="A4" s="1" t="s">
        <v>6</v>
      </c>
      <c r="B4" s="4">
        <v>30000</v>
      </c>
    </row>
    <row r="5" spans="1:6" x14ac:dyDescent="0.25">
      <c r="A5" s="1"/>
      <c r="B5" s="5"/>
      <c r="C5" s="1" t="str">
        <f ca="1">_xlfn.FORMULATEXT(C7)</f>
        <v>=$B$3</v>
      </c>
      <c r="D5" t="str">
        <f ca="1">_xlfn.FORMULATEXT(D7)</f>
        <v>=$B$2*(C7+B7)</v>
      </c>
    </row>
    <row r="6" spans="1:6" x14ac:dyDescent="0.25">
      <c r="A6" s="1" t="s">
        <v>0</v>
      </c>
      <c r="B6" s="1" t="s">
        <v>7</v>
      </c>
      <c r="C6" s="1" t="s">
        <v>8</v>
      </c>
      <c r="D6" s="1" t="s">
        <v>2</v>
      </c>
      <c r="E6" t="s">
        <v>3</v>
      </c>
    </row>
    <row r="7" spans="1:6" x14ac:dyDescent="0.25">
      <c r="A7" s="1">
        <v>1</v>
      </c>
      <c r="B7" s="3">
        <v>0</v>
      </c>
      <c r="C7" s="3">
        <f>$B$3</f>
        <v>29386.551000840605</v>
      </c>
      <c r="D7" s="3">
        <f>$B$2*(C7+B7)</f>
        <v>2350.9240800672483</v>
      </c>
      <c r="E7" s="3">
        <f>D7+C7+B7</f>
        <v>31737.475080907854</v>
      </c>
      <c r="F7" t="str">
        <f ca="1">_xlfn.FORMULATEXT(E7)</f>
        <v>=D7+C7+B7</v>
      </c>
    </row>
    <row r="8" spans="1:6" x14ac:dyDescent="0.25">
      <c r="A8" s="1">
        <v>2</v>
      </c>
      <c r="B8" s="3">
        <f>E7</f>
        <v>31737.475080907854</v>
      </c>
      <c r="C8" s="3">
        <f t="shared" ref="C8:C11" si="0">$B$3</f>
        <v>29386.551000840605</v>
      </c>
      <c r="D8" s="3">
        <f>$B$2*(C8+B8)</f>
        <v>4889.9220865398765</v>
      </c>
      <c r="E8" s="3">
        <f>D8+C8+B8</f>
        <v>66013.948168288334</v>
      </c>
    </row>
    <row r="9" spans="1:6" x14ac:dyDescent="0.25">
      <c r="A9" s="1">
        <v>3</v>
      </c>
      <c r="B9" s="3">
        <f t="shared" ref="B9:B19" si="1">E8</f>
        <v>66013.948168288334</v>
      </c>
      <c r="C9" s="3">
        <f t="shared" si="0"/>
        <v>29386.551000840605</v>
      </c>
      <c r="D9" s="3">
        <f t="shared" ref="D9:D19" si="2">$B$2*(C9+B9)</f>
        <v>7632.0399335303155</v>
      </c>
      <c r="E9" s="3">
        <f t="shared" ref="E9:E19" si="3">D9+C9+B9</f>
        <v>103032.53910265926</v>
      </c>
    </row>
    <row r="10" spans="1:6" x14ac:dyDescent="0.25">
      <c r="A10" s="1">
        <v>4</v>
      </c>
      <c r="B10" s="3">
        <f t="shared" si="1"/>
        <v>103032.53910265926</v>
      </c>
      <c r="C10" s="3">
        <f t="shared" si="0"/>
        <v>29386.551000840605</v>
      </c>
      <c r="D10" s="3">
        <f t="shared" si="2"/>
        <v>10593.527208279989</v>
      </c>
      <c r="E10" s="3">
        <f t="shared" si="3"/>
        <v>143012.61731177985</v>
      </c>
    </row>
    <row r="11" spans="1:6" x14ac:dyDescent="0.25">
      <c r="A11" s="1">
        <v>5</v>
      </c>
      <c r="B11" s="3">
        <f t="shared" si="1"/>
        <v>143012.61731177985</v>
      </c>
      <c r="C11" s="3">
        <f t="shared" si="0"/>
        <v>29386.551000840605</v>
      </c>
      <c r="D11" s="3">
        <f t="shared" si="2"/>
        <v>13791.933465009637</v>
      </c>
      <c r="E11" s="3">
        <f t="shared" si="3"/>
        <v>186191.1017776301</v>
      </c>
    </row>
    <row r="12" spans="1:6" x14ac:dyDescent="0.25">
      <c r="A12" s="1">
        <v>6</v>
      </c>
      <c r="B12" s="3">
        <f t="shared" si="1"/>
        <v>186191.1017776301</v>
      </c>
      <c r="C12" s="3">
        <f>-$B$4</f>
        <v>-30000</v>
      </c>
      <c r="D12" s="3">
        <f t="shared" si="2"/>
        <v>12495.288142210409</v>
      </c>
      <c r="E12" s="3">
        <f t="shared" si="3"/>
        <v>168686.3899198405</v>
      </c>
    </row>
    <row r="13" spans="1:6" x14ac:dyDescent="0.25">
      <c r="A13" s="1">
        <v>7</v>
      </c>
      <c r="B13" s="3">
        <f t="shared" si="1"/>
        <v>168686.3899198405</v>
      </c>
      <c r="C13" s="3">
        <f t="shared" ref="C13:C19" si="4">-$B$4</f>
        <v>-30000</v>
      </c>
      <c r="D13" s="3">
        <f t="shared" si="2"/>
        <v>11094.911193587241</v>
      </c>
      <c r="E13" s="3">
        <f t="shared" si="3"/>
        <v>149781.30111342773</v>
      </c>
    </row>
    <row r="14" spans="1:6" x14ac:dyDescent="0.25">
      <c r="A14" s="1">
        <v>8</v>
      </c>
      <c r="B14" s="3">
        <f t="shared" si="1"/>
        <v>149781.30111342773</v>
      </c>
      <c r="C14" s="3">
        <f t="shared" si="4"/>
        <v>-30000</v>
      </c>
      <c r="D14" s="3">
        <f t="shared" si="2"/>
        <v>9582.5040890742184</v>
      </c>
      <c r="E14" s="3">
        <f t="shared" si="3"/>
        <v>129363.80520250194</v>
      </c>
    </row>
    <row r="15" spans="1:6" x14ac:dyDescent="0.25">
      <c r="A15" s="1">
        <v>9</v>
      </c>
      <c r="B15" s="3">
        <f t="shared" si="1"/>
        <v>129363.80520250194</v>
      </c>
      <c r="C15" s="3">
        <f t="shared" si="4"/>
        <v>-30000</v>
      </c>
      <c r="D15" s="3">
        <f t="shared" si="2"/>
        <v>7949.1044162001554</v>
      </c>
      <c r="E15" s="3">
        <f t="shared" si="3"/>
        <v>107312.90961870211</v>
      </c>
    </row>
    <row r="16" spans="1:6" x14ac:dyDescent="0.25">
      <c r="A16" s="1">
        <v>10</v>
      </c>
      <c r="B16" s="3">
        <f t="shared" si="1"/>
        <v>107312.90961870211</v>
      </c>
      <c r="C16" s="3">
        <f t="shared" si="4"/>
        <v>-30000</v>
      </c>
      <c r="D16" s="3">
        <f t="shared" si="2"/>
        <v>6185.0327694961688</v>
      </c>
      <c r="E16" s="3">
        <f t="shared" si="3"/>
        <v>83497.94238819828</v>
      </c>
    </row>
    <row r="17" spans="1:5" x14ac:dyDescent="0.25">
      <c r="A17" s="1">
        <v>11</v>
      </c>
      <c r="B17" s="3">
        <f t="shared" si="1"/>
        <v>83497.94238819828</v>
      </c>
      <c r="C17" s="3">
        <f t="shared" si="4"/>
        <v>-30000</v>
      </c>
      <c r="D17" s="3">
        <f t="shared" si="2"/>
        <v>4279.8353910558626</v>
      </c>
      <c r="E17" s="3">
        <f t="shared" si="3"/>
        <v>57777.777779254146</v>
      </c>
    </row>
    <row r="18" spans="1:5" x14ac:dyDescent="0.25">
      <c r="A18" s="1">
        <v>12</v>
      </c>
      <c r="B18" s="3">
        <f t="shared" si="1"/>
        <v>57777.777779254146</v>
      </c>
      <c r="C18" s="3">
        <f t="shared" si="4"/>
        <v>-30000</v>
      </c>
      <c r="D18" s="3">
        <f t="shared" si="2"/>
        <v>2222.2222223403319</v>
      </c>
      <c r="E18" s="3">
        <f t="shared" si="3"/>
        <v>30000.000001594479</v>
      </c>
    </row>
    <row r="19" spans="1:5" x14ac:dyDescent="0.25">
      <c r="A19" s="1">
        <v>13</v>
      </c>
      <c r="B19" s="3">
        <f t="shared" si="1"/>
        <v>30000.000001594479</v>
      </c>
      <c r="C19" s="3">
        <f t="shared" si="4"/>
        <v>-30000</v>
      </c>
      <c r="D19" s="3">
        <f t="shared" si="2"/>
        <v>1.2755830539390444E-7</v>
      </c>
      <c r="E19" s="6">
        <f t="shared" si="3"/>
        <v>1.7220372683368623E-6</v>
      </c>
    </row>
    <row r="20" spans="1:5" x14ac:dyDescent="0.25">
      <c r="A20" s="1"/>
    </row>
    <row r="21" spans="1:5" x14ac:dyDescent="0.25">
      <c r="A21" s="1"/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2024-10-05T11:45:51Z</dcterms:modified>
</cp:coreProperties>
</file>