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327DD35D-839A-4CCA-AF97-6DEFBA5D0B27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D10" i="1" l="1"/>
  <c r="D5" i="1"/>
  <c r="D4" i="1"/>
  <c r="B10" i="1"/>
  <c r="C10" i="1"/>
</calcChain>
</file>

<file path=xl/sharedStrings.xml><?xml version="1.0" encoding="utf-8"?>
<sst xmlns="http://schemas.openxmlformats.org/spreadsheetml/2006/main" count="4" uniqueCount="4">
  <si>
    <t>内部收益率</t>
    <phoneticPr fontId="1" type="noConversion"/>
  </si>
  <si>
    <t>年</t>
    <phoneticPr fontId="1" type="noConversion"/>
  </si>
  <si>
    <t>现金流量</t>
    <phoneticPr fontId="1" type="noConversion"/>
  </si>
  <si>
    <t>内部收益率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</si>
</sst>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10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D10"/>
  <sheetViews>
    <sheetView tabSelected="1" zoomScale="220" zoomScaleNormal="220" workbookViewId="0">
      <selection activeCell="D14" sqref="D14"/>
    </sheetView>
  </sheetViews>
  <sheetFormatPr defaultRowHeight="13.8" x14ac:dyDescent="0.25"/>
  <cols>
    <col min="1" max="1" width="27" style="1" customWidth="1"/>
    <col min="2" max="2" width="10.5546875" style="1" bestFit="1" customWidth="1"/>
    <col min="3" max="3" width="34.6640625" style="1" bestFit="1" customWidth="1"/>
    <col min="4" max="4" width="22.44140625" bestFit="1" customWidth="1"/>
    <col min="8" max="8" width="11.77734375" bestFit="1" customWidth="1"/>
  </cols>
  <sheetData>
    <row r="1" spans="1:4" ht="55.2" customHeight="1" x14ac:dyDescent="0.25">
      <c r="A1" s="4" t="s">
        <v>0</v>
      </c>
      <c r="B1" s="4"/>
      <c r="C1" s="4"/>
      <c r="D1" s="2"/>
    </row>
    <row r="2" spans="1:4" x14ac:dyDescent="0.25">
      <c r="A2" s="1" t="s">
        <v>1</v>
      </c>
      <c r="B2" s="1" t="s">
        <v>2</v>
      </c>
    </row>
    <row r="3" spans="1:4" x14ac:dyDescent="0.25">
      <c r="A3" s="1">
        <v>0</v>
      </c>
      <c r="B3" s="1">
        <v>-800</v>
      </c>
      <c r="D3">
        <v>-80000</v>
      </c>
    </row>
    <row r="4" spans="1:4" x14ac:dyDescent="0.25">
      <c r="A4" s="1">
        <v>1</v>
      </c>
      <c r="B4" s="1">
        <v>200</v>
      </c>
      <c r="D4">
        <f>3600*12</f>
        <v>43200</v>
      </c>
    </row>
    <row r="5" spans="1:4" x14ac:dyDescent="0.25">
      <c r="A5" s="1">
        <v>2</v>
      </c>
      <c r="B5" s="1">
        <v>250</v>
      </c>
      <c r="D5">
        <f>3000*12</f>
        <v>36000</v>
      </c>
    </row>
    <row r="6" spans="1:4" x14ac:dyDescent="0.25">
      <c r="A6" s="1">
        <v>3</v>
      </c>
      <c r="B6" s="1">
        <v>300</v>
      </c>
      <c r="D6">
        <f>2600*12</f>
        <v>31200</v>
      </c>
    </row>
    <row r="7" spans="1:4" x14ac:dyDescent="0.25">
      <c r="A7" s="1">
        <v>4</v>
      </c>
      <c r="B7" s="1">
        <v>350</v>
      </c>
    </row>
    <row r="8" spans="1:4" x14ac:dyDescent="0.25">
      <c r="A8" s="1">
        <v>5</v>
      </c>
      <c r="B8" s="1">
        <v>400</v>
      </c>
    </row>
    <row r="10" spans="1:4" x14ac:dyDescent="0.25">
      <c r="A10" s="1" t="s">
        <v>3</v>
      </c>
      <c r="B10" s="3">
        <f>IRR(B3:B8)</f>
        <v>0.22160309795512223</v>
      </c>
      <c r="C10" s="1" t="str">
        <f ca="1">_xlfn.FORMULATEXT(B10)</f>
        <v>=IRR(B3:B8)</v>
      </c>
      <c r="D10" s="5">
        <f>IRR(D3:D6)</f>
        <v>0.19199868209919968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2024-11-06T12:43:11Z</dcterms:modified>
</cp:coreProperties>
</file>