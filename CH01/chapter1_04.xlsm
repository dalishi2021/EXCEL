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817DC660-3C17-4C66-B81F-251E8354E2FD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" l="1"/>
  <c r="B16" i="1"/>
  <c r="B10" i="1"/>
  <c r="B7" i="1"/>
  <c r="B6" i="1"/>
  <c r="C21" i="1"/>
  <c r="C16" i="1"/>
  <c r="C10" i="1"/>
  <c r="C7" i="1"/>
  <c r="C6" i="1"/>
</calcChain>
</file>

<file path=xl/sharedStrings.xml><?xml version="1.0" encoding="utf-8"?>
<sst xmlns="http://schemas.openxmlformats.org/spreadsheetml/2006/main" count="14" uniqueCount="11">
  <si>
    <t>计算有限期年金的值</t>
    <phoneticPr fontId="1" type="noConversion"/>
  </si>
  <si>
    <t>每期偿付额,C</t>
    <phoneticPr fontId="1" type="noConversion"/>
  </si>
  <si>
    <t>未来偿付期数,n</t>
    <phoneticPr fontId="1" type="noConversion"/>
  </si>
  <si>
    <t>折现率,r</t>
    <phoneticPr fontId="1" type="noConversion"/>
  </si>
  <si>
    <t>年金现值</t>
    <phoneticPr fontId="1" type="noConversion"/>
  </si>
  <si>
    <t>运用公式</t>
    <phoneticPr fontId="1" type="noConversion"/>
  </si>
  <si>
    <t>运用PV函数</t>
    <phoneticPr fontId="1" type="noConversion"/>
  </si>
  <si>
    <t>期数</t>
    <phoneticPr fontId="1" type="noConversion"/>
  </si>
  <si>
    <t>年金</t>
    <phoneticPr fontId="1" type="noConversion"/>
  </si>
  <si>
    <t>运用NPV函数计算现值</t>
    <phoneticPr fontId="1" type="noConversion"/>
  </si>
  <si>
    <t>计算无限期年金的值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</si>
</sst>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8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D21"/>
  <sheetViews>
    <sheetView tabSelected="1" zoomScale="220" zoomScaleNormal="220" workbookViewId="0">
      <selection activeCell="D18" sqref="D18"/>
    </sheetView>
  </sheetViews>
  <sheetFormatPr defaultRowHeight="13.8" x14ac:dyDescent="0.25"/>
  <cols>
    <col min="1" max="1" width="27" style="1" customWidth="1"/>
    <col min="2" max="2" width="10.5546875" style="1" bestFit="1" customWidth="1"/>
    <col min="3" max="3" width="23.77734375" style="1" bestFit="1" customWidth="1"/>
    <col min="4" max="4" width="22.44140625" bestFit="1" customWidth="1"/>
  </cols>
  <sheetData>
    <row r="1" spans="1:4" ht="55.2" customHeight="1" x14ac:dyDescent="0.25">
      <c r="A1" s="7" t="s">
        <v>0</v>
      </c>
      <c r="B1" s="7"/>
      <c r="C1" s="7"/>
      <c r="D1" s="4"/>
    </row>
    <row r="2" spans="1:4" x14ac:dyDescent="0.25">
      <c r="A2" s="1" t="s">
        <v>1</v>
      </c>
      <c r="B2" s="5">
        <v>1000</v>
      </c>
    </row>
    <row r="3" spans="1:4" x14ac:dyDescent="0.25">
      <c r="A3" s="1" t="s">
        <v>2</v>
      </c>
      <c r="B3" s="1">
        <v>5</v>
      </c>
    </row>
    <row r="4" spans="1:4" x14ac:dyDescent="0.25">
      <c r="A4" s="1" t="s">
        <v>3</v>
      </c>
      <c r="B4" s="2">
        <v>0.12</v>
      </c>
      <c r="D4" s="1"/>
    </row>
    <row r="5" spans="1:4" x14ac:dyDescent="0.25">
      <c r="A5" s="1" t="s">
        <v>4</v>
      </c>
    </row>
    <row r="6" spans="1:4" x14ac:dyDescent="0.25">
      <c r="A6" s="1" t="s">
        <v>5</v>
      </c>
      <c r="B6" s="1">
        <f>B2*(1-1/(1+B4)^B3)/B4</f>
        <v>3604.7762023450068</v>
      </c>
      <c r="C6" s="1" t="str">
        <f ca="1">_xlfn.FORMULATEXT(B6)</f>
        <v>=B2*(1-1/(1+B4)^B3)/B4</v>
      </c>
    </row>
    <row r="7" spans="1:4" x14ac:dyDescent="0.25">
      <c r="A7" s="1" t="s">
        <v>6</v>
      </c>
      <c r="B7" s="3">
        <f>PV(B4,B3,-B2)</f>
        <v>3604.7762023450064</v>
      </c>
      <c r="C7" s="6" t="str">
        <f ca="1">_xlfn.FORMULATEXT(B7)</f>
        <v>=PV(B4,B3,-B2)</v>
      </c>
    </row>
    <row r="8" spans="1:4" x14ac:dyDescent="0.25">
      <c r="C8" s="6"/>
    </row>
    <row r="9" spans="1:4" x14ac:dyDescent="0.25">
      <c r="A9" s="1" t="s">
        <v>7</v>
      </c>
      <c r="B9" s="1" t="s">
        <v>8</v>
      </c>
      <c r="C9" s="6"/>
    </row>
    <row r="10" spans="1:4" x14ac:dyDescent="0.25">
      <c r="A10" s="1">
        <v>1</v>
      </c>
      <c r="B10" s="5">
        <f>B2</f>
        <v>1000</v>
      </c>
      <c r="C10" s="6" t="str">
        <f ca="1">_xlfn.FORMULATEXT(B10)</f>
        <v>=B2</v>
      </c>
    </row>
    <row r="11" spans="1:4" x14ac:dyDescent="0.25">
      <c r="A11" s="1">
        <v>2</v>
      </c>
      <c r="B11" s="5">
        <v>1000</v>
      </c>
    </row>
    <row r="12" spans="1:4" x14ac:dyDescent="0.25">
      <c r="A12" s="1">
        <v>3</v>
      </c>
      <c r="B12" s="5">
        <v>1000</v>
      </c>
    </row>
    <row r="13" spans="1:4" x14ac:dyDescent="0.25">
      <c r="A13" s="1">
        <v>4</v>
      </c>
      <c r="B13" s="5">
        <v>1000</v>
      </c>
    </row>
    <row r="14" spans="1:4" x14ac:dyDescent="0.25">
      <c r="A14" s="1">
        <v>5</v>
      </c>
      <c r="B14" s="5">
        <v>1000</v>
      </c>
    </row>
    <row r="15" spans="1:4" x14ac:dyDescent="0.25">
      <c r="B15" s="3"/>
    </row>
    <row r="16" spans="1:4" x14ac:dyDescent="0.25">
      <c r="A16" s="1" t="s">
        <v>9</v>
      </c>
      <c r="B16" s="3">
        <f>NPV(B4,B10:B14)</f>
        <v>3604.7762023450041</v>
      </c>
      <c r="C16" s="6" t="str">
        <f ca="1">_xlfn.FORMULATEXT(B16)</f>
        <v>=NPV(B4,B10:B14)</v>
      </c>
    </row>
    <row r="18" spans="1:3" x14ac:dyDescent="0.25">
      <c r="A18" s="7" t="s">
        <v>10</v>
      </c>
      <c r="B18" s="7"/>
      <c r="C18" s="7"/>
    </row>
    <row r="19" spans="1:3" x14ac:dyDescent="0.25">
      <c r="A19" s="1" t="s">
        <v>1</v>
      </c>
      <c r="B19" s="5">
        <v>1000</v>
      </c>
      <c r="C19" s="5"/>
    </row>
    <row r="20" spans="1:3" x14ac:dyDescent="0.25">
      <c r="A20" s="1" t="s">
        <v>3</v>
      </c>
      <c r="B20" s="2">
        <v>0.12</v>
      </c>
      <c r="C20" s="8"/>
    </row>
    <row r="21" spans="1:3" x14ac:dyDescent="0.25">
      <c r="A21" s="1" t="s">
        <v>4</v>
      </c>
      <c r="B21" s="1">
        <f>B19/B20</f>
        <v>8333.3333333333339</v>
      </c>
      <c r="C21" s="6" t="str">
        <f ca="1">_xlfn.FORMULATEXT(B21)</f>
        <v>=B19/B20</v>
      </c>
    </row>
  </sheetData>
  <mergeCells count="2">
    <mergeCell ref="A1:C1"/>
    <mergeCell ref="A18:C1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2024-10-05T05:49:29Z</dcterms:modified>
</cp:coreProperties>
</file>