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C27F3FAC-6C4B-4AC4-985B-4637CD3D600B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4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4" l="1"/>
  <c r="B9" i="4"/>
  <c r="D9" i="4" s="1"/>
  <c r="E9" i="4" s="1"/>
  <c r="B10" i="4" s="1"/>
  <c r="D10" i="4" s="1"/>
  <c r="E10" i="4" s="1"/>
  <c r="B11" i="4" s="1"/>
  <c r="D11" i="4" s="1"/>
  <c r="E11" i="4" s="1"/>
  <c r="B12" i="4" s="1"/>
  <c r="D12" i="4" s="1"/>
  <c r="E12" i="4" s="1"/>
  <c r="B13" i="4" s="1"/>
  <c r="D13" i="4" s="1"/>
  <c r="E13" i="4" s="1"/>
  <c r="B14" i="4" s="1"/>
  <c r="D14" i="4" s="1"/>
  <c r="E14" i="4" s="1"/>
  <c r="B15" i="4" s="1"/>
  <c r="D15" i="4" s="1"/>
  <c r="E15" i="4" s="1"/>
  <c r="B16" i="4" s="1"/>
  <c r="D16" i="4" s="1"/>
  <c r="E16" i="4" s="1"/>
  <c r="E8" i="4"/>
  <c r="D8" i="4"/>
  <c r="B8" i="4"/>
  <c r="E7" i="4"/>
  <c r="D7" i="4"/>
  <c r="B5" i="4"/>
  <c r="D5" i="4"/>
  <c r="C18" i="4"/>
  <c r="F8" i="4"/>
  <c r="F7" i="4"/>
</calcChain>
</file>

<file path=xl/sharedStrings.xml><?xml version="1.0" encoding="utf-8"?>
<sst xmlns="http://schemas.openxmlformats.org/spreadsheetml/2006/main" count="10" uniqueCount="10">
  <si>
    <t>年</t>
    <phoneticPr fontId="1" type="noConversion"/>
  </si>
  <si>
    <t>利率</t>
    <phoneticPr fontId="1" type="noConversion"/>
  </si>
  <si>
    <t>每年存款的终值</t>
    <phoneticPr fontId="1" type="noConversion"/>
  </si>
  <si>
    <t>年金存款</t>
    <phoneticPr fontId="1" type="noConversion"/>
  </si>
  <si>
    <t>存款期数</t>
    <phoneticPr fontId="1" type="noConversion"/>
  </si>
  <si>
    <t>账户年初余额</t>
    <phoneticPr fontId="1" type="noConversion"/>
  </si>
  <si>
    <t>每年初的存款</t>
    <phoneticPr fontId="1" type="noConversion"/>
  </si>
  <si>
    <t>获得的利息</t>
    <phoneticPr fontId="1" type="noConversion"/>
  </si>
  <si>
    <t>年末总的账户余额</t>
    <phoneticPr fontId="1" type="noConversion"/>
  </si>
  <si>
    <t>终值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</si>
</sst>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¥&quot;#,##0.00;[Red]&quot;¥&quot;\-#,##0.00"/>
    <numFmt numFmtId="176" formatCode="0_ 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8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5968-9850-4EEA-AF81-DFB187EEBF06}">
  <dimension ref="A1:F22"/>
  <sheetViews>
    <sheetView tabSelected="1" workbookViewId="0">
      <selection activeCell="N11" sqref="N11"/>
    </sheetView>
  </sheetViews>
  <sheetFormatPr defaultRowHeight="13.8" x14ac:dyDescent="0.25"/>
  <cols>
    <col min="2" max="4" width="13.88671875" bestFit="1" customWidth="1"/>
    <col min="5" max="5" width="18.33203125" bestFit="1" customWidth="1"/>
    <col min="6" max="6" width="12.44140625" bestFit="1" customWidth="1"/>
  </cols>
  <sheetData>
    <row r="1" spans="1:6" ht="20.399999999999999" x14ac:dyDescent="0.25">
      <c r="A1" s="8" t="s">
        <v>2</v>
      </c>
      <c r="B1" s="8"/>
      <c r="C1" s="8"/>
      <c r="D1" s="8"/>
      <c r="E1" s="8"/>
    </row>
    <row r="2" spans="1:6" x14ac:dyDescent="0.25">
      <c r="A2" s="1" t="s">
        <v>1</v>
      </c>
      <c r="B2" s="2">
        <v>0.1</v>
      </c>
    </row>
    <row r="3" spans="1:6" x14ac:dyDescent="0.25">
      <c r="A3" s="1" t="s">
        <v>3</v>
      </c>
      <c r="B3" s="5">
        <v>1000</v>
      </c>
    </row>
    <row r="4" spans="1:6" x14ac:dyDescent="0.25">
      <c r="A4" s="1" t="s">
        <v>4</v>
      </c>
      <c r="B4" s="4">
        <v>10</v>
      </c>
    </row>
    <row r="5" spans="1:6" x14ac:dyDescent="0.25">
      <c r="A5" s="1"/>
      <c r="B5" s="7" t="str">
        <f ca="1">_xlfn.FORMULATEXT(B8)</f>
        <v>=E7</v>
      </c>
      <c r="D5" t="str">
        <f ca="1">_xlfn.FORMULATEXT(D7)</f>
        <v>=$B$2*(B7+C7)</v>
      </c>
    </row>
    <row r="6" spans="1:6" x14ac:dyDescent="0.25">
      <c r="A6" s="1" t="s">
        <v>0</v>
      </c>
      <c r="B6" t="s">
        <v>5</v>
      </c>
      <c r="C6" t="s">
        <v>6</v>
      </c>
      <c r="D6" s="1" t="s">
        <v>7</v>
      </c>
      <c r="E6" t="s">
        <v>8</v>
      </c>
    </row>
    <row r="7" spans="1:6" x14ac:dyDescent="0.25">
      <c r="A7" s="1">
        <v>1</v>
      </c>
      <c r="B7" s="3">
        <v>0</v>
      </c>
      <c r="C7" s="3">
        <v>1000</v>
      </c>
      <c r="D7" s="3">
        <f>$B$2*(B7+C7)</f>
        <v>100</v>
      </c>
      <c r="E7" s="3">
        <f>D7+C7+B7</f>
        <v>1100</v>
      </c>
      <c r="F7" t="str">
        <f ca="1">_xlfn.FORMULATEXT(E7)</f>
        <v>=D7+C7+B7</v>
      </c>
    </row>
    <row r="8" spans="1:6" x14ac:dyDescent="0.25">
      <c r="A8" s="1">
        <v>2</v>
      </c>
      <c r="B8" s="3">
        <f>E7</f>
        <v>1100</v>
      </c>
      <c r="C8" s="3">
        <v>1000</v>
      </c>
      <c r="D8" s="3">
        <f>$B$2*(B8+C8)</f>
        <v>210</v>
      </c>
      <c r="E8" s="3">
        <f>D8+C8+B8</f>
        <v>2310</v>
      </c>
      <c r="F8" t="str">
        <f ca="1">_xlfn.FORMULATEXT(E8)</f>
        <v>=D8+C8+B8</v>
      </c>
    </row>
    <row r="9" spans="1:6" x14ac:dyDescent="0.25">
      <c r="A9" s="1">
        <v>3</v>
      </c>
      <c r="B9" s="3">
        <f t="shared" ref="B9:B16" si="0">E8</f>
        <v>2310</v>
      </c>
      <c r="C9" s="3">
        <v>1000</v>
      </c>
      <c r="D9" s="3">
        <f t="shared" ref="D9:D16" si="1">$B$2*(B9+C9)</f>
        <v>331</v>
      </c>
      <c r="E9" s="3">
        <f t="shared" ref="E9:E16" si="2">D9+C9+B9</f>
        <v>3641</v>
      </c>
    </row>
    <row r="10" spans="1:6" x14ac:dyDescent="0.25">
      <c r="A10" s="1">
        <v>4</v>
      </c>
      <c r="B10" s="3">
        <f t="shared" si="0"/>
        <v>3641</v>
      </c>
      <c r="C10" s="3">
        <v>1000</v>
      </c>
      <c r="D10" s="3">
        <f t="shared" si="1"/>
        <v>464.1</v>
      </c>
      <c r="E10" s="3">
        <f t="shared" si="2"/>
        <v>5105.1000000000004</v>
      </c>
    </row>
    <row r="11" spans="1:6" x14ac:dyDescent="0.25">
      <c r="A11" s="1">
        <v>5</v>
      </c>
      <c r="B11" s="3">
        <f t="shared" si="0"/>
        <v>5105.1000000000004</v>
      </c>
      <c r="C11" s="3">
        <v>1000</v>
      </c>
      <c r="D11" s="3">
        <f t="shared" si="1"/>
        <v>610.5100000000001</v>
      </c>
      <c r="E11" s="3">
        <f t="shared" si="2"/>
        <v>6715.6100000000006</v>
      </c>
    </row>
    <row r="12" spans="1:6" x14ac:dyDescent="0.25">
      <c r="A12" s="1">
        <v>6</v>
      </c>
      <c r="B12" s="3">
        <f t="shared" si="0"/>
        <v>6715.6100000000006</v>
      </c>
      <c r="C12" s="3">
        <v>1000</v>
      </c>
      <c r="D12" s="3">
        <f t="shared" si="1"/>
        <v>771.56100000000015</v>
      </c>
      <c r="E12" s="3">
        <f t="shared" si="2"/>
        <v>8487.1710000000003</v>
      </c>
    </row>
    <row r="13" spans="1:6" x14ac:dyDescent="0.25">
      <c r="A13" s="1">
        <v>7</v>
      </c>
      <c r="B13" s="3">
        <f t="shared" si="0"/>
        <v>8487.1710000000003</v>
      </c>
      <c r="C13" s="3">
        <v>1000</v>
      </c>
      <c r="D13" s="3">
        <f t="shared" si="1"/>
        <v>948.71710000000007</v>
      </c>
      <c r="E13" s="3">
        <f t="shared" si="2"/>
        <v>10435.8881</v>
      </c>
    </row>
    <row r="14" spans="1:6" x14ac:dyDescent="0.25">
      <c r="A14" s="1">
        <v>8</v>
      </c>
      <c r="B14" s="3">
        <f t="shared" si="0"/>
        <v>10435.8881</v>
      </c>
      <c r="C14" s="3">
        <v>1000</v>
      </c>
      <c r="D14" s="3">
        <f t="shared" si="1"/>
        <v>1143.58881</v>
      </c>
      <c r="E14" s="3">
        <f t="shared" si="2"/>
        <v>12579.476910000001</v>
      </c>
    </row>
    <row r="15" spans="1:6" x14ac:dyDescent="0.25">
      <c r="A15" s="1">
        <v>9</v>
      </c>
      <c r="B15" s="3">
        <f t="shared" si="0"/>
        <v>12579.476910000001</v>
      </c>
      <c r="C15" s="3">
        <v>1000</v>
      </c>
      <c r="D15" s="3">
        <f t="shared" si="1"/>
        <v>1357.9476910000003</v>
      </c>
      <c r="E15" s="3">
        <f t="shared" si="2"/>
        <v>14937.424601000002</v>
      </c>
    </row>
    <row r="16" spans="1:6" x14ac:dyDescent="0.25">
      <c r="A16" s="1">
        <v>10</v>
      </c>
      <c r="B16" s="3">
        <f t="shared" si="0"/>
        <v>14937.424601000002</v>
      </c>
      <c r="C16" s="3">
        <v>1000</v>
      </c>
      <c r="D16" s="3">
        <f t="shared" si="1"/>
        <v>1593.7424601000002</v>
      </c>
      <c r="E16" s="3">
        <f t="shared" si="2"/>
        <v>17531.167061100001</v>
      </c>
    </row>
    <row r="17" spans="1:3" x14ac:dyDescent="0.25">
      <c r="A17" s="1"/>
      <c r="B17" s="3"/>
    </row>
    <row r="18" spans="1:3" x14ac:dyDescent="0.25">
      <c r="A18" s="1" t="s">
        <v>9</v>
      </c>
      <c r="B18" s="6">
        <f>FV(B2,B4,-B3,,1)</f>
        <v>17531.167061100023</v>
      </c>
      <c r="C18" t="str">
        <f ca="1">_xlfn.FORMULATEXT(B18)</f>
        <v>=FV(B2,B4,-B3,,1)</v>
      </c>
    </row>
    <row r="19" spans="1:3" x14ac:dyDescent="0.25">
      <c r="A19" s="1"/>
      <c r="C19" s="1"/>
    </row>
    <row r="20" spans="1:3" x14ac:dyDescent="0.25">
      <c r="A20" s="1"/>
    </row>
    <row r="21" spans="1:3" x14ac:dyDescent="0.25">
      <c r="A21" s="1"/>
    </row>
    <row r="22" spans="1:3" x14ac:dyDescent="0.25">
      <c r="A22" s="1"/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2024-10-05T11:24:09Z</dcterms:modified>
</cp:coreProperties>
</file>