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66E7A059-8D83-4D30-BFC5-01981CF52F23}" xr6:coauthVersionLast="47" xr6:coauthVersionMax="47" xr10:uidLastSave="{00000000-0000-0000-0000-000000000000}"/>
  <bookViews>
    <workbookView xWindow="-108" yWindow="-108" windowWidth="23256" windowHeight="12456" xr2:uid="{FDA57E0C-BA1B-4CB9-BA7D-04DEFE0B411C}"/>
  </bookViews>
  <sheets>
    <sheet name="Sheet1" sheetId="4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4" l="1"/>
  <c r="B15" i="4"/>
  <c r="B7" i="4"/>
  <c r="C7" i="4"/>
  <c r="D7" i="4"/>
  <c r="B8" i="4" s="1"/>
  <c r="C8" i="4" s="1"/>
  <c r="D8" i="4" s="1"/>
  <c r="B9" i="4" s="1"/>
  <c r="C9" i="4" s="1"/>
  <c r="D9" i="4" s="1"/>
  <c r="B10" i="4" s="1"/>
  <c r="C10" i="4" s="1"/>
  <c r="D10" i="4" s="1"/>
  <c r="B11" i="4" s="1"/>
  <c r="C11" i="4" s="1"/>
  <c r="D11" i="4" s="1"/>
  <c r="B12" i="4" s="1"/>
  <c r="C12" i="4" s="1"/>
  <c r="D12" i="4" s="1"/>
  <c r="B13" i="4" s="1"/>
  <c r="C13" i="4" s="1"/>
  <c r="D13" i="4" s="1"/>
  <c r="B14" i="4" s="1"/>
  <c r="C14" i="4" s="1"/>
  <c r="D14" i="4" s="1"/>
  <c r="D6" i="4"/>
  <c r="C6" i="4"/>
  <c r="B6" i="4"/>
  <c r="D5" i="4"/>
  <c r="C5" i="4"/>
  <c r="D17" i="4"/>
  <c r="B3" i="4"/>
  <c r="C3" i="4"/>
  <c r="E5" i="4"/>
</calcChain>
</file>

<file path=xl/sharedStrings.xml><?xml version="1.0" encoding="utf-8"?>
<sst xmlns="http://schemas.openxmlformats.org/spreadsheetml/2006/main" count="7" uniqueCount="7">
  <si>
    <t>年</t>
    <phoneticPr fontId="1" type="noConversion"/>
  </si>
  <si>
    <t>利率</t>
    <phoneticPr fontId="1" type="noConversion"/>
  </si>
  <si>
    <t>简单终值</t>
    <phoneticPr fontId="1" type="noConversion"/>
  </si>
  <si>
    <t>年初账户余额</t>
    <phoneticPr fontId="1" type="noConversion"/>
  </si>
  <si>
    <t>年内获得利息</t>
    <phoneticPr fontId="1" type="noConversion"/>
  </si>
  <si>
    <t>年末账户合计</t>
    <phoneticPr fontId="1" type="noConversion"/>
  </si>
  <si>
    <t>简便方法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</si>
</sst>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5968-9850-4EEA-AF81-DFB187EEBF06}">
  <dimension ref="A1:E20"/>
  <sheetViews>
    <sheetView tabSelected="1" workbookViewId="0">
      <selection activeCell="L13" sqref="L13"/>
    </sheetView>
  </sheetViews>
  <sheetFormatPr defaultRowHeight="13.8" x14ac:dyDescent="0.25"/>
  <cols>
    <col min="2" max="4" width="13.88671875" bestFit="1" customWidth="1"/>
    <col min="5" max="5" width="9.109375" bestFit="1" customWidth="1"/>
  </cols>
  <sheetData>
    <row r="1" spans="1:5" x14ac:dyDescent="0.25">
      <c r="A1" s="4" t="s">
        <v>2</v>
      </c>
      <c r="B1" s="4"/>
      <c r="C1" s="4"/>
      <c r="D1" s="4"/>
      <c r="E1" s="4"/>
    </row>
    <row r="2" spans="1:5" x14ac:dyDescent="0.25">
      <c r="A2" s="1" t="s">
        <v>1</v>
      </c>
      <c r="B2" s="2">
        <v>0.1</v>
      </c>
    </row>
    <row r="3" spans="1:5" x14ac:dyDescent="0.25">
      <c r="B3" s="1" t="str">
        <f ca="1">_xlfn.FORMULATEXT(B6)</f>
        <v>=D5</v>
      </c>
      <c r="C3" s="1" t="str">
        <f ca="1">_xlfn.FORMULATEXT(C5)</f>
        <v>=$B$2*B5</v>
      </c>
    </row>
    <row r="4" spans="1:5" x14ac:dyDescent="0.25">
      <c r="A4" s="1" t="s">
        <v>0</v>
      </c>
      <c r="B4" t="s">
        <v>3</v>
      </c>
      <c r="C4" t="s">
        <v>4</v>
      </c>
      <c r="D4" t="s">
        <v>5</v>
      </c>
    </row>
    <row r="5" spans="1:5" x14ac:dyDescent="0.25">
      <c r="A5" s="1">
        <v>1</v>
      </c>
      <c r="B5" s="3">
        <v>1000</v>
      </c>
      <c r="C5" s="1">
        <f>$B$2*B5</f>
        <v>100</v>
      </c>
      <c r="D5" s="3">
        <f>C5+B5</f>
        <v>1100</v>
      </c>
      <c r="E5" s="1" t="str">
        <f ca="1">_xlfn.FORMULATEXT(D5)</f>
        <v>=C5+B5</v>
      </c>
    </row>
    <row r="6" spans="1:5" x14ac:dyDescent="0.25">
      <c r="A6" s="1">
        <v>2</v>
      </c>
      <c r="B6" s="3">
        <f>D5</f>
        <v>1100</v>
      </c>
      <c r="C6" s="1">
        <f>$B$2*B6</f>
        <v>110</v>
      </c>
      <c r="D6" s="3">
        <f>C6+B6</f>
        <v>1210</v>
      </c>
    </row>
    <row r="7" spans="1:5" x14ac:dyDescent="0.25">
      <c r="A7" s="1">
        <v>3</v>
      </c>
      <c r="B7" s="3">
        <f t="shared" ref="B7:B15" si="0">D6</f>
        <v>1210</v>
      </c>
      <c r="C7" s="1">
        <f t="shared" ref="C7:C14" si="1">$B$2*B7</f>
        <v>121</v>
      </c>
      <c r="D7" s="3">
        <f t="shared" ref="D7:D14" si="2">C7+B7</f>
        <v>1331</v>
      </c>
    </row>
    <row r="8" spans="1:5" x14ac:dyDescent="0.25">
      <c r="A8" s="1">
        <v>4</v>
      </c>
      <c r="B8" s="3">
        <f t="shared" si="0"/>
        <v>1331</v>
      </c>
      <c r="C8" s="1">
        <f t="shared" si="1"/>
        <v>133.1</v>
      </c>
      <c r="D8" s="3">
        <f t="shared" si="2"/>
        <v>1464.1</v>
      </c>
    </row>
    <row r="9" spans="1:5" x14ac:dyDescent="0.25">
      <c r="A9" s="1">
        <v>5</v>
      </c>
      <c r="B9" s="3">
        <f t="shared" si="0"/>
        <v>1464.1</v>
      </c>
      <c r="C9" s="1">
        <f t="shared" si="1"/>
        <v>146.41</v>
      </c>
      <c r="D9" s="3">
        <f t="shared" si="2"/>
        <v>1610.51</v>
      </c>
    </row>
    <row r="10" spans="1:5" x14ac:dyDescent="0.25">
      <c r="A10" s="1">
        <v>6</v>
      </c>
      <c r="B10" s="3">
        <f t="shared" si="0"/>
        <v>1610.51</v>
      </c>
      <c r="C10" s="1">
        <f t="shared" si="1"/>
        <v>161.05100000000002</v>
      </c>
      <c r="D10" s="3">
        <f t="shared" si="2"/>
        <v>1771.5609999999999</v>
      </c>
    </row>
    <row r="11" spans="1:5" x14ac:dyDescent="0.25">
      <c r="A11" s="1">
        <v>7</v>
      </c>
      <c r="B11" s="3">
        <f t="shared" si="0"/>
        <v>1771.5609999999999</v>
      </c>
      <c r="C11" s="1">
        <f t="shared" si="1"/>
        <v>177.15610000000001</v>
      </c>
      <c r="D11" s="3">
        <f t="shared" si="2"/>
        <v>1948.7170999999998</v>
      </c>
    </row>
    <row r="12" spans="1:5" x14ac:dyDescent="0.25">
      <c r="A12" s="1">
        <v>8</v>
      </c>
      <c r="B12" s="3">
        <f t="shared" si="0"/>
        <v>1948.7170999999998</v>
      </c>
      <c r="C12" s="1">
        <f t="shared" si="1"/>
        <v>194.87171000000001</v>
      </c>
      <c r="D12" s="3">
        <f t="shared" si="2"/>
        <v>2143.5888099999997</v>
      </c>
    </row>
    <row r="13" spans="1:5" x14ac:dyDescent="0.25">
      <c r="A13" s="1">
        <v>9</v>
      </c>
      <c r="B13" s="3">
        <f t="shared" si="0"/>
        <v>2143.5888099999997</v>
      </c>
      <c r="C13" s="1">
        <f t="shared" si="1"/>
        <v>214.358881</v>
      </c>
      <c r="D13" s="3">
        <f t="shared" si="2"/>
        <v>2357.9476909999998</v>
      </c>
    </row>
    <row r="14" spans="1:5" x14ac:dyDescent="0.25">
      <c r="A14" s="1">
        <v>10</v>
      </c>
      <c r="B14" s="3">
        <f t="shared" si="0"/>
        <v>2357.9476909999998</v>
      </c>
      <c r="C14" s="1">
        <f t="shared" si="1"/>
        <v>235.7947691</v>
      </c>
      <c r="D14" s="3">
        <f t="shared" si="2"/>
        <v>2593.7424600999998</v>
      </c>
    </row>
    <row r="15" spans="1:5" x14ac:dyDescent="0.25">
      <c r="A15" s="1">
        <v>11</v>
      </c>
      <c r="B15" s="5">
        <f t="shared" si="0"/>
        <v>2593.7424600999998</v>
      </c>
    </row>
    <row r="16" spans="1:5" x14ac:dyDescent="0.25">
      <c r="A16" s="1"/>
    </row>
    <row r="17" spans="1:4" x14ac:dyDescent="0.25">
      <c r="A17" s="1" t="s">
        <v>6</v>
      </c>
      <c r="C17" s="1">
        <f>B5*(1+B2)^10</f>
        <v>2593.7424601000021</v>
      </c>
      <c r="D17" t="str">
        <f ca="1">_xlfn.FORMULATEXT(C17)</f>
        <v>=B5*(1+B2)^10</v>
      </c>
    </row>
    <row r="18" spans="1:4" x14ac:dyDescent="0.25">
      <c r="A18" s="1"/>
    </row>
    <row r="19" spans="1:4" x14ac:dyDescent="0.25">
      <c r="A19" s="1"/>
    </row>
    <row r="20" spans="1:4" x14ac:dyDescent="0.25">
      <c r="A20" s="1"/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2024-10-05T08:50:46Z</dcterms:modified>
</cp:coreProperties>
</file>