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9DBAFCBA-EF2B-4C3B-AF49-35C8FB4EAD97}" xr6:coauthVersionLast="47" xr6:coauthVersionMax="47" xr10:uidLastSave="{00000000-0000-0000-0000-000000000000}"/>
  <bookViews>
    <workbookView xWindow="-38520" yWindow="-120" windowWidth="38640" windowHeight="21120" xr2:uid="{FDA57E0C-BA1B-4CB9-BA7D-04DEFE0B411C}"/>
  </bookViews>
  <sheets>
    <sheet name="Sheet1" sheetId="1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1" l="1"/>
  <c r="A12" i="1"/>
  <c r="B8" i="1"/>
  <c r="D7" i="1"/>
  <c r="D6" i="1"/>
  <c r="E6" i="1" s="1"/>
  <c r="F6" i="1"/>
  <c r="D8" i="1" l="1"/>
  <c r="E8" i="1" s="1"/>
  <c r="B9" i="1" s="1"/>
  <c r="B7" i="1"/>
  <c r="D9" i="1" l="1"/>
  <c r="E9" i="1" s="1"/>
  <c r="B10" i="1" s="1"/>
  <c r="D10" i="1" s="1"/>
  <c r="E10" i="1" s="1"/>
  <c r="E7" i="1"/>
  <c r="B11" i="1" l="1"/>
</calcChain>
</file>

<file path=xl/sharedStrings.xml><?xml version="1.0" encoding="utf-8"?>
<sst xmlns="http://schemas.openxmlformats.org/spreadsheetml/2006/main" count="8" uniqueCount="8">
  <si>
    <t>年</t>
    <phoneticPr fontId="1" type="noConversion"/>
  </si>
  <si>
    <t>年初投资</t>
    <phoneticPr fontId="1" type="noConversion"/>
  </si>
  <si>
    <t>年末现金流</t>
    <phoneticPr fontId="1" type="noConversion"/>
  </si>
  <si>
    <t>收益</t>
    <phoneticPr fontId="1" type="noConversion"/>
  </si>
  <si>
    <t>内部收益率？</t>
    <phoneticPr fontId="1" type="noConversion"/>
  </si>
  <si>
    <t>通过贷款表计算内部收益率</t>
    <phoneticPr fontId="1" type="noConversion"/>
  </si>
  <si>
    <t>本金</t>
    <phoneticPr fontId="1" type="noConversion"/>
  </si>
  <si>
    <t>偿还分割为收益和
本金偿还两个部分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</si>
</sst>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26AAB-0327-4600-8C88-8CB9D2EC007E}">
  <sheetPr codeName="Sheet1"/>
  <dimension ref="A1:F12"/>
  <sheetViews>
    <sheetView tabSelected="1" zoomScale="220" zoomScaleNormal="220" workbookViewId="0">
      <selection activeCell="D14" sqref="D14"/>
    </sheetView>
  </sheetViews>
  <sheetFormatPr defaultRowHeight="13.8" x14ac:dyDescent="0.25"/>
  <cols>
    <col min="1" max="1" width="27" style="1" customWidth="1"/>
    <col min="2" max="2" width="10.5546875" style="1" bestFit="1" customWidth="1"/>
    <col min="3" max="3" width="34.6640625" style="1" bestFit="1" customWidth="1"/>
    <col min="4" max="4" width="22.44140625" bestFit="1" customWidth="1"/>
    <col min="6" max="6" width="10.5546875" bestFit="1" customWidth="1"/>
    <col min="8" max="8" width="11.77734375" bestFit="1" customWidth="1"/>
  </cols>
  <sheetData>
    <row r="1" spans="1:6" x14ac:dyDescent="0.25">
      <c r="A1" s="3" t="s">
        <v>5</v>
      </c>
      <c r="B1" s="3"/>
      <c r="C1" s="3"/>
      <c r="D1" s="3"/>
      <c r="E1" s="3"/>
    </row>
    <row r="2" spans="1:6" x14ac:dyDescent="0.25">
      <c r="A2" s="1" t="s">
        <v>4</v>
      </c>
      <c r="B2" s="2">
        <v>0.15</v>
      </c>
    </row>
    <row r="3" spans="1:6" ht="34.799999999999997" customHeight="1" x14ac:dyDescent="0.25"/>
    <row r="4" spans="1:6" ht="34.799999999999997" customHeight="1" x14ac:dyDescent="0.25">
      <c r="D4" s="4" t="s">
        <v>7</v>
      </c>
      <c r="E4" s="3"/>
    </row>
    <row r="5" spans="1:6" x14ac:dyDescent="0.25">
      <c r="A5" s="1" t="s">
        <v>0</v>
      </c>
      <c r="B5" s="1" t="s">
        <v>1</v>
      </c>
      <c r="C5" s="1" t="s">
        <v>2</v>
      </c>
      <c r="D5" s="1" t="s">
        <v>3</v>
      </c>
      <c r="E5" s="1" t="s">
        <v>6</v>
      </c>
    </row>
    <row r="6" spans="1:6" x14ac:dyDescent="0.25">
      <c r="A6" s="1">
        <v>1</v>
      </c>
      <c r="B6" s="1">
        <v>1000</v>
      </c>
      <c r="C6" s="1">
        <v>300</v>
      </c>
      <c r="D6" s="1">
        <f>$B$2*B6</f>
        <v>150</v>
      </c>
      <c r="E6">
        <f>C6-D6</f>
        <v>150</v>
      </c>
      <c r="F6" t="str">
        <f ca="1">_xlfn.FORMULATEXT(E6)</f>
        <v>=C6-D6</v>
      </c>
    </row>
    <row r="7" spans="1:6" x14ac:dyDescent="0.25">
      <c r="A7" s="1">
        <v>2</v>
      </c>
      <c r="B7" s="1">
        <f>B6-E6</f>
        <v>850</v>
      </c>
      <c r="C7" s="1">
        <v>200</v>
      </c>
      <c r="D7" s="1">
        <f>$B$2*B7</f>
        <v>127.5</v>
      </c>
      <c r="E7">
        <f>C7-D7</f>
        <v>72.5</v>
      </c>
    </row>
    <row r="8" spans="1:6" x14ac:dyDescent="0.25">
      <c r="A8" s="1">
        <v>3</v>
      </c>
      <c r="B8" s="1">
        <f t="shared" ref="B8:B10" si="0">B7-E7</f>
        <v>777.5</v>
      </c>
      <c r="C8" s="1">
        <v>150</v>
      </c>
      <c r="D8" s="1">
        <f t="shared" ref="D8:D10" si="1">$B$2*B8</f>
        <v>116.625</v>
      </c>
      <c r="E8">
        <f t="shared" ref="E8:E10" si="2">C8-D8</f>
        <v>33.375</v>
      </c>
    </row>
    <row r="9" spans="1:6" x14ac:dyDescent="0.25">
      <c r="A9" s="1">
        <v>4</v>
      </c>
      <c r="B9" s="1">
        <f t="shared" si="0"/>
        <v>744.125</v>
      </c>
      <c r="C9" s="1">
        <v>600</v>
      </c>
      <c r="D9" s="1">
        <f t="shared" si="1"/>
        <v>111.61874999999999</v>
      </c>
      <c r="E9">
        <f t="shared" si="2"/>
        <v>488.38125000000002</v>
      </c>
    </row>
    <row r="10" spans="1:6" x14ac:dyDescent="0.25">
      <c r="A10" s="1">
        <v>5</v>
      </c>
      <c r="B10" s="1">
        <f t="shared" si="0"/>
        <v>255.74374999999998</v>
      </c>
      <c r="C10" s="1">
        <v>900</v>
      </c>
      <c r="D10" s="1">
        <f t="shared" si="1"/>
        <v>38.361562499999998</v>
      </c>
      <c r="E10">
        <f t="shared" si="2"/>
        <v>861.63843750000001</v>
      </c>
    </row>
    <row r="11" spans="1:6" x14ac:dyDescent="0.25">
      <c r="A11" s="1">
        <v>6</v>
      </c>
      <c r="B11" s="1">
        <f>B10-E10</f>
        <v>-605.89468750000003</v>
      </c>
    </row>
    <row r="12" spans="1:6" x14ac:dyDescent="0.25">
      <c r="A12" s="1" t="str">
        <f ca="1">_xlfn.FORMULATEXT(B7)</f>
        <v>=B6-E6</v>
      </c>
      <c r="C12" s="1" t="str">
        <f ca="1">_xlfn.FORMULATEXT(D6)</f>
        <v>=$B$2*B6</v>
      </c>
    </row>
  </sheetData>
  <mergeCells count="2">
    <mergeCell ref="A1:E1"/>
    <mergeCell ref="D4:E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2024-10-05T07:27:20Z</dcterms:modified>
</cp:coreProperties>
</file>