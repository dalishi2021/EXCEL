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371B5879-9071-45BA-A031-8AF0038745DB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3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3" l="1"/>
  <c r="E11" i="3"/>
  <c r="F11" i="3" s="1"/>
  <c r="C12" i="3" s="1"/>
  <c r="C11" i="3"/>
  <c r="F10" i="3"/>
  <c r="E10" i="3"/>
  <c r="D10" i="3"/>
  <c r="D11" i="3"/>
  <c r="D12" i="3"/>
  <c r="D13" i="3"/>
  <c r="D14" i="3"/>
  <c r="C10" i="3"/>
  <c r="F9" i="3"/>
  <c r="E9" i="3"/>
  <c r="D9" i="3"/>
  <c r="B5" i="3"/>
  <c r="C7" i="3"/>
  <c r="G8" i="3"/>
  <c r="G9" i="3"/>
  <c r="C5" i="3"/>
  <c r="E12" i="3" l="1"/>
  <c r="F12" i="3" s="1"/>
  <c r="C13" i="3"/>
  <c r="E13" i="3" l="1"/>
  <c r="F13" i="3" s="1"/>
  <c r="C14" i="3" s="1"/>
  <c r="E14" i="3" s="1"/>
  <c r="F14" i="3" s="1"/>
</calcChain>
</file>

<file path=xl/sharedStrings.xml><?xml version="1.0" encoding="utf-8"?>
<sst xmlns="http://schemas.openxmlformats.org/spreadsheetml/2006/main" count="11" uniqueCount="11">
  <si>
    <t>年</t>
    <phoneticPr fontId="1" type="noConversion"/>
  </si>
  <si>
    <t>等额偿还计划</t>
    <phoneticPr fontId="1" type="noConversion"/>
  </si>
  <si>
    <t>贷款本金</t>
    <phoneticPr fontId="1" type="noConversion"/>
  </si>
  <si>
    <t>利率</t>
    <phoneticPr fontId="1" type="noConversion"/>
  </si>
  <si>
    <t>贷款期限</t>
    <phoneticPr fontId="1" type="noConversion"/>
  </si>
  <si>
    <t>年还款额</t>
    <phoneticPr fontId="1" type="noConversion"/>
  </si>
  <si>
    <t>年初本金</t>
    <phoneticPr fontId="1" type="noConversion"/>
  </si>
  <si>
    <t>年末偿还额</t>
    <phoneticPr fontId="1" type="noConversion"/>
  </si>
  <si>
    <t>利息</t>
    <phoneticPr fontId="1" type="noConversion"/>
  </si>
  <si>
    <t>本金返还</t>
    <phoneticPr fontId="1" type="noConversion"/>
  </si>
  <si>
    <t>偿还额的分解：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</si>
</sst>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3" fontId="0" fillId="0" borderId="0" xfId="0" applyNumberFormat="1">
      <alignment vertical="center"/>
    </xf>
    <xf numFmtId="3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B8BA-905A-40B3-B45C-53030823D722}">
  <dimension ref="A1:G15"/>
  <sheetViews>
    <sheetView tabSelected="1" workbookViewId="0">
      <selection activeCell="J11" sqref="J11"/>
    </sheetView>
  </sheetViews>
  <sheetFormatPr defaultRowHeight="13.8" x14ac:dyDescent="0.25"/>
  <cols>
    <col min="2" max="2" width="10.44140625" bestFit="1" customWidth="1"/>
    <col min="3" max="4" width="9.44140625" bestFit="1" customWidth="1"/>
    <col min="6" max="6" width="9.44140625" bestFit="1" customWidth="1"/>
    <col min="7" max="7" width="9.109375" bestFit="1" customWidth="1"/>
  </cols>
  <sheetData>
    <row r="1" spans="1:7" x14ac:dyDescent="0.25">
      <c r="A1" s="4" t="s">
        <v>1</v>
      </c>
      <c r="B1" s="4"/>
      <c r="C1" s="4"/>
      <c r="D1" s="4"/>
      <c r="E1" s="4"/>
      <c r="F1" s="4"/>
      <c r="G1" s="4"/>
    </row>
    <row r="2" spans="1:7" x14ac:dyDescent="0.25">
      <c r="A2" t="s">
        <v>2</v>
      </c>
      <c r="B2" s="5">
        <v>10000</v>
      </c>
    </row>
    <row r="3" spans="1:7" x14ac:dyDescent="0.25">
      <c r="A3" t="s">
        <v>3</v>
      </c>
      <c r="B3" s="2">
        <v>7.0000000000000007E-2</v>
      </c>
    </row>
    <row r="4" spans="1:7" x14ac:dyDescent="0.25">
      <c r="A4" t="s">
        <v>4</v>
      </c>
      <c r="B4">
        <v>6</v>
      </c>
    </row>
    <row r="5" spans="1:7" x14ac:dyDescent="0.25">
      <c r="A5" t="s">
        <v>5</v>
      </c>
      <c r="B5" s="3">
        <f>PMT(B3,B4,-B2)</f>
        <v>2097.9579975832812</v>
      </c>
      <c r="C5" t="str">
        <f ca="1">_xlfn.FORMULATEXT(B5)</f>
        <v>=PMT(B3,B4,-B2)</v>
      </c>
    </row>
    <row r="7" spans="1:7" x14ac:dyDescent="0.25">
      <c r="C7" t="str">
        <f ca="1">_xlfn.FORMULATEXT(C10)</f>
        <v>=C9-F9</v>
      </c>
      <c r="E7" s="4" t="s">
        <v>10</v>
      </c>
      <c r="F7" s="4"/>
    </row>
    <row r="8" spans="1:7" x14ac:dyDescent="0.25">
      <c r="B8" s="1" t="s">
        <v>0</v>
      </c>
      <c r="C8" s="1" t="s">
        <v>6</v>
      </c>
      <c r="D8" s="1" t="s">
        <v>7</v>
      </c>
      <c r="E8" s="1" t="s">
        <v>8</v>
      </c>
      <c r="F8" s="1" t="s">
        <v>9</v>
      </c>
      <c r="G8" t="str">
        <f ca="1">_xlfn.FORMULATEXT(E9)</f>
        <v>=C9*$B$3</v>
      </c>
    </row>
    <row r="9" spans="1:7" x14ac:dyDescent="0.25">
      <c r="B9" s="1">
        <v>1</v>
      </c>
      <c r="C9" s="6">
        <v>10000</v>
      </c>
      <c r="D9" s="7">
        <f>$B$5</f>
        <v>2097.9579975832812</v>
      </c>
      <c r="E9" s="1">
        <f>C9*$B$3</f>
        <v>700.00000000000011</v>
      </c>
      <c r="F9" s="7">
        <f>D9-E9</f>
        <v>1397.9579975832812</v>
      </c>
      <c r="G9" t="str">
        <f ca="1">_xlfn.FORMULATEXT(F9)</f>
        <v>=D9-E9</v>
      </c>
    </row>
    <row r="10" spans="1:7" x14ac:dyDescent="0.25">
      <c r="B10" s="1">
        <v>2</v>
      </c>
      <c r="C10" s="7">
        <f>C9-F9</f>
        <v>8602.0420024167179</v>
      </c>
      <c r="D10" s="7">
        <f t="shared" ref="D10:D14" si="0">$B$5</f>
        <v>2097.9579975832812</v>
      </c>
      <c r="E10" s="1">
        <f>C10*$B$3</f>
        <v>602.14294016917029</v>
      </c>
      <c r="F10" s="7">
        <f>D10-E10</f>
        <v>1495.8150574141109</v>
      </c>
    </row>
    <row r="11" spans="1:7" x14ac:dyDescent="0.25">
      <c r="B11" s="1">
        <v>3</v>
      </c>
      <c r="C11" s="7">
        <f>C10-F10</f>
        <v>7106.226945002607</v>
      </c>
      <c r="D11" s="7">
        <f t="shared" si="0"/>
        <v>2097.9579975832812</v>
      </c>
      <c r="E11" s="1">
        <f t="shared" ref="E11:E14" si="1">C11*$B$3</f>
        <v>497.43588615018251</v>
      </c>
      <c r="F11" s="7">
        <f t="shared" ref="F11:F14" si="2">D11-E11</f>
        <v>1600.5221114330986</v>
      </c>
    </row>
    <row r="12" spans="1:7" x14ac:dyDescent="0.25">
      <c r="B12" s="1">
        <v>4</v>
      </c>
      <c r="C12" s="7">
        <f t="shared" ref="C12:C15" si="3">C11-F11</f>
        <v>5505.7048335695081</v>
      </c>
      <c r="D12" s="7">
        <f t="shared" si="0"/>
        <v>2097.9579975832812</v>
      </c>
      <c r="E12" s="1">
        <f t="shared" si="1"/>
        <v>385.39933834986562</v>
      </c>
      <c r="F12" s="7">
        <f t="shared" si="2"/>
        <v>1712.5586592334157</v>
      </c>
    </row>
    <row r="13" spans="1:7" x14ac:dyDescent="0.25">
      <c r="B13" s="1">
        <v>5</v>
      </c>
      <c r="C13" s="7">
        <f t="shared" si="3"/>
        <v>3793.1461743360924</v>
      </c>
      <c r="D13" s="7">
        <f t="shared" si="0"/>
        <v>2097.9579975832812</v>
      </c>
      <c r="E13" s="1">
        <f t="shared" si="1"/>
        <v>265.52023220352652</v>
      </c>
      <c r="F13" s="7">
        <f t="shared" si="2"/>
        <v>1832.4377653797546</v>
      </c>
    </row>
    <row r="14" spans="1:7" x14ac:dyDescent="0.25">
      <c r="B14" s="1">
        <v>6</v>
      </c>
      <c r="C14" s="7">
        <f t="shared" si="3"/>
        <v>1960.7084089563377</v>
      </c>
      <c r="D14" s="7">
        <f t="shared" si="0"/>
        <v>2097.9579975832812</v>
      </c>
      <c r="E14" s="1">
        <f t="shared" si="1"/>
        <v>137.24958862694365</v>
      </c>
      <c r="F14" s="7">
        <f t="shared" si="2"/>
        <v>1960.7084089563375</v>
      </c>
    </row>
    <row r="15" spans="1:7" x14ac:dyDescent="0.25">
      <c r="B15" s="1">
        <v>7</v>
      </c>
      <c r="C15" s="7">
        <f t="shared" si="3"/>
        <v>0</v>
      </c>
      <c r="D15" s="1"/>
      <c r="E15" s="1"/>
      <c r="F15" s="1"/>
    </row>
  </sheetData>
  <mergeCells count="2">
    <mergeCell ref="A1:G1"/>
    <mergeCell ref="E7:F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2024-10-05T08:44:44Z</dcterms:modified>
</cp:coreProperties>
</file>