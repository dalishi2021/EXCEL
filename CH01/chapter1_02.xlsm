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5CF64463-A0CD-40FA-8CAB-4521A8B55F36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2" i="1"/>
  <c r="C6" i="1"/>
  <c r="C7" i="1"/>
  <c r="C8" i="1"/>
  <c r="C9" i="1"/>
  <c r="C5" i="1"/>
  <c r="D8" i="1"/>
  <c r="D7" i="1"/>
  <c r="D9" i="1"/>
  <c r="D6" i="1"/>
  <c r="D5" i="1"/>
  <c r="C13" i="1"/>
  <c r="C12" i="1"/>
</calcChain>
</file>

<file path=xl/sharedStrings.xml><?xml version="1.0" encoding="utf-8"?>
<sst xmlns="http://schemas.openxmlformats.org/spreadsheetml/2006/main" count="9" uniqueCount="9">
  <si>
    <t>计算现值
此例中现金流是不等额的
或单独折现每笔现金流或应用NPV函数
PV函数对该例不适用</t>
    <phoneticPr fontId="1" type="noConversion"/>
  </si>
  <si>
    <t>折现率</t>
    <phoneticPr fontId="1" type="noConversion"/>
  </si>
  <si>
    <t>年</t>
    <phoneticPr fontId="1" type="noConversion"/>
  </si>
  <si>
    <t>现金流</t>
    <phoneticPr fontId="1" type="noConversion"/>
  </si>
  <si>
    <t>现值</t>
    <phoneticPr fontId="1" type="noConversion"/>
  </si>
  <si>
    <t>每一笔现金流的现值</t>
    <phoneticPr fontId="1" type="noConversion"/>
  </si>
  <si>
    <t>净现值</t>
    <phoneticPr fontId="1" type="noConversion"/>
  </si>
  <si>
    <t>求和C5:C9</t>
    <phoneticPr fontId="1" type="noConversion"/>
  </si>
  <si>
    <t>运用Excel中的NPV函数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</si>
</sst>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D14"/>
  <sheetViews>
    <sheetView tabSelected="1" zoomScale="220" zoomScaleNormal="220" workbookViewId="0">
      <selection activeCell="F8" sqref="F8"/>
    </sheetView>
  </sheetViews>
  <sheetFormatPr defaultRowHeight="13.8" x14ac:dyDescent="0.25"/>
  <cols>
    <col min="1" max="1" width="27" style="1" customWidth="1"/>
    <col min="2" max="2" width="9.5546875" style="1" bestFit="1" customWidth="1"/>
    <col min="3" max="3" width="20.33203125" style="1" bestFit="1" customWidth="1"/>
    <col min="4" max="4" width="22.44140625" bestFit="1" customWidth="1"/>
  </cols>
  <sheetData>
    <row r="1" spans="1:4" ht="55.2" customHeight="1" x14ac:dyDescent="0.25">
      <c r="A1" s="5" t="s">
        <v>0</v>
      </c>
      <c r="B1" s="5"/>
      <c r="C1" s="5"/>
      <c r="D1" s="5"/>
    </row>
    <row r="2" spans="1:4" x14ac:dyDescent="0.25">
      <c r="A2" s="1" t="s">
        <v>1</v>
      </c>
      <c r="B2" s="2">
        <v>0.1</v>
      </c>
    </row>
    <row r="4" spans="1:4" x14ac:dyDescent="0.25">
      <c r="A4" s="1" t="s">
        <v>2</v>
      </c>
      <c r="B4" s="1" t="s">
        <v>3</v>
      </c>
      <c r="C4" s="1" t="s">
        <v>4</v>
      </c>
      <c r="D4" s="1" t="s">
        <v>5</v>
      </c>
    </row>
    <row r="5" spans="1:4" x14ac:dyDescent="0.25">
      <c r="A5" s="1">
        <v>1</v>
      </c>
      <c r="B5" s="1">
        <v>100</v>
      </c>
      <c r="C5" s="1">
        <f>B5/(1+$B$2)^A5</f>
        <v>90.909090909090907</v>
      </c>
      <c r="D5" t="str">
        <f ca="1">_xlfn.FORMULATEXT(C5)</f>
        <v>=B5/(1+$B$2)^A5</v>
      </c>
    </row>
    <row r="6" spans="1:4" x14ac:dyDescent="0.25">
      <c r="A6" s="1">
        <v>2</v>
      </c>
      <c r="B6" s="1">
        <v>200</v>
      </c>
      <c r="C6" s="1">
        <f t="shared" ref="C6:C9" si="0">B6/(1+$B$2)^A6</f>
        <v>165.28925619834709</v>
      </c>
      <c r="D6" t="str">
        <f t="shared" ref="D6:D9" ca="1" si="1">_xlfn.FORMULATEXT(C6)</f>
        <v>=B6/(1+$B$2)^A6</v>
      </c>
    </row>
    <row r="7" spans="1:4" x14ac:dyDescent="0.25">
      <c r="A7" s="1">
        <v>3</v>
      </c>
      <c r="B7" s="1">
        <v>300</v>
      </c>
      <c r="C7" s="1">
        <f t="shared" si="0"/>
        <v>225.39444027047327</v>
      </c>
      <c r="D7" t="str">
        <f t="shared" ca="1" si="1"/>
        <v>=B7/(1+$B$2)^A7</v>
      </c>
    </row>
    <row r="8" spans="1:4" x14ac:dyDescent="0.25">
      <c r="A8" s="1">
        <v>4</v>
      </c>
      <c r="B8" s="1">
        <v>400</v>
      </c>
      <c r="C8" s="1">
        <f t="shared" si="0"/>
        <v>273.20538214602823</v>
      </c>
      <c r="D8" t="str">
        <f t="shared" ca="1" si="1"/>
        <v>=B8/(1+$B$2)^A8</v>
      </c>
    </row>
    <row r="9" spans="1:4" x14ac:dyDescent="0.25">
      <c r="A9" s="1">
        <v>5</v>
      </c>
      <c r="B9" s="1">
        <v>500</v>
      </c>
      <c r="C9" s="1">
        <f t="shared" si="0"/>
        <v>310.46066152957746</v>
      </c>
      <c r="D9" t="str">
        <f t="shared" ca="1" si="1"/>
        <v>=B9/(1+$B$2)^A9</v>
      </c>
    </row>
    <row r="11" spans="1:4" x14ac:dyDescent="0.25">
      <c r="A11" s="4" t="s">
        <v>6</v>
      </c>
    </row>
    <row r="12" spans="1:4" x14ac:dyDescent="0.25">
      <c r="A12" s="1" t="s">
        <v>7</v>
      </c>
      <c r="B12" s="1">
        <f>SUM(C5:C9)</f>
        <v>1065.258831053517</v>
      </c>
      <c r="C12" s="1" t="str">
        <f ca="1">_xlfn.FORMULATEXT(B12)</f>
        <v>=SUM(C5:C9)</v>
      </c>
    </row>
    <row r="13" spans="1:4" x14ac:dyDescent="0.25">
      <c r="A13" s="1" t="s">
        <v>8</v>
      </c>
      <c r="B13" s="3">
        <f>NPV(B2,B5:B9)</f>
        <v>1065.2588310535168</v>
      </c>
      <c r="C13" s="1" t="str">
        <f ca="1">_xlfn.FORMULATEXT(B13)</f>
        <v>=NPV(B2,B5:B9)</v>
      </c>
    </row>
    <row r="14" spans="1:4" x14ac:dyDescent="0.25">
      <c r="B14" s="3"/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2024-10-05T05:16:53Z</dcterms:modified>
</cp:coreProperties>
</file>