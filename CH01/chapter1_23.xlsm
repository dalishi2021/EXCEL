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1\"/>
    </mc:Choice>
  </mc:AlternateContent>
  <xr:revisionPtr revIDLastSave="0" documentId="13_ncr:1_{EB59DEC3-4C5D-42DE-9943-383FEA745134}" xr6:coauthVersionLast="47" xr6:coauthVersionMax="47" xr10:uidLastSave="{00000000-0000-0000-0000-000000000000}"/>
  <bookViews>
    <workbookView xWindow="-108" yWindow="-108" windowWidth="23256" windowHeight="12456" xr2:uid="{FDA57E0C-BA1B-4CB9-BA7D-04DEFE0B411C}"/>
  </bookViews>
  <sheets>
    <sheet name="Sheet1" sheetId="2" r:id="rId1"/>
  </sheets>
  <functionGroups builtInGroupCount="19"/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7" i="2" l="1"/>
  <c r="B28" i="2"/>
  <c r="B29" i="2"/>
  <c r="B30" i="2"/>
  <c r="B31" i="2"/>
  <c r="B32" i="2"/>
  <c r="B33" i="2"/>
  <c r="B26" i="2"/>
  <c r="B25" i="2"/>
  <c r="B7" i="2"/>
  <c r="B6" i="2"/>
  <c r="B5" i="2"/>
  <c r="C26" i="2"/>
  <c r="C25" i="2"/>
  <c r="C6" i="2"/>
  <c r="C5" i="2"/>
  <c r="C7" i="2"/>
</calcChain>
</file>

<file path=xl/sharedStrings.xml><?xml version="1.0" encoding="utf-8"?>
<sst xmlns="http://schemas.openxmlformats.org/spreadsheetml/2006/main" count="9" uniqueCount="9">
  <si>
    <t>多个复利期</t>
    <phoneticPr fontId="1" type="noConversion"/>
  </si>
  <si>
    <t>初始存款</t>
    <phoneticPr fontId="1" type="noConversion"/>
  </si>
  <si>
    <t>利率</t>
    <phoneticPr fontId="1" type="noConversion"/>
  </si>
  <si>
    <t>每年付息次数</t>
    <phoneticPr fontId="1" type="noConversion"/>
  </si>
  <si>
    <t>每期支付的利息</t>
    <phoneticPr fontId="1" type="noConversion"/>
  </si>
  <si>
    <t>一年后账户的余额</t>
    <phoneticPr fontId="1" type="noConversion"/>
  </si>
  <si>
    <t>用Exp计算的连续复利账户余额</t>
    <phoneticPr fontId="1" type="noConversion"/>
  </si>
  <si>
    <t>每年复利期数</t>
    <phoneticPr fontId="1" type="noConversion"/>
  </si>
  <si>
    <t>每年底的本息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</si>
</sst>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7" formatCode="0.000%"/>
  </numFmts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28"/>
      <color theme="1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3" fontId="0" fillId="0" borderId="0" xfId="0" applyNumberFormat="1">
      <alignment vertical="center"/>
    </xf>
    <xf numFmtId="9" fontId="0" fillId="0" borderId="0" xfId="0" applyNumberFormat="1">
      <alignment vertical="center"/>
    </xf>
    <xf numFmtId="177" fontId="0" fillId="0" borderId="0" xfId="1" applyNumberFormat="1" applyFont="1">
      <alignment vertical="center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多个复利计算期数的结果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Sheet1!$A$25:$A$33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10</c:v>
                </c:pt>
                <c:pt idx="3">
                  <c:v>20</c:v>
                </c:pt>
                <c:pt idx="4">
                  <c:v>50</c:v>
                </c:pt>
                <c:pt idx="5">
                  <c:v>100</c:v>
                </c:pt>
                <c:pt idx="6">
                  <c:v>150</c:v>
                </c:pt>
                <c:pt idx="7">
                  <c:v>300</c:v>
                </c:pt>
                <c:pt idx="8">
                  <c:v>800</c:v>
                </c:pt>
              </c:numCache>
            </c:numRef>
          </c:xVal>
          <c:yVal>
            <c:numRef>
              <c:f>Sheet1!$B$25:$B$33</c:f>
              <c:numCache>
                <c:formatCode>General</c:formatCode>
                <c:ptCount val="9"/>
                <c:pt idx="0">
                  <c:v>1050</c:v>
                </c:pt>
                <c:pt idx="1">
                  <c:v>1050.625</c:v>
                </c:pt>
                <c:pt idx="2">
                  <c:v>1051.1401320407892</c:v>
                </c:pt>
                <c:pt idx="3">
                  <c:v>1051.2055032813846</c:v>
                </c:pt>
                <c:pt idx="4">
                  <c:v>1051.244832434744</c:v>
                </c:pt>
                <c:pt idx="5">
                  <c:v>1051.2579599480462</c:v>
                </c:pt>
                <c:pt idx="6">
                  <c:v>1051.2623377663551</c:v>
                </c:pt>
                <c:pt idx="7">
                  <c:v>1051.2667165755583</c:v>
                </c:pt>
                <c:pt idx="8">
                  <c:v>1051.2694538347121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C-4F5F-A58F-F3AE686761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2164288"/>
        <c:axId val="812154928"/>
      </c:scatterChart>
      <c:valAx>
        <c:axId val="812164288"/>
        <c:scaling>
          <c:logBase val="10"/>
          <c:orientation val="minMax"/>
          <c:max val="10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每年利息次数</a:t>
                </a:r>
              </a:p>
            </c:rich>
          </c:tx>
          <c:layout>
            <c:manualLayout>
              <c:xMode val="edge"/>
              <c:yMode val="edge"/>
              <c:x val="0.73142935258092745"/>
              <c:y val="0.6780092592592592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12154928"/>
        <c:crosses val="autoZero"/>
        <c:crossBetween val="midCat"/>
      </c:valAx>
      <c:valAx>
        <c:axId val="81215492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年底增长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1216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746760</xdr:colOff>
      <xdr:row>7</xdr:row>
      <xdr:rowOff>22860</xdr:rowOff>
    </xdr:from>
    <xdr:to>
      <xdr:col>2</xdr:col>
      <xdr:colOff>320040</xdr:colOff>
      <xdr:row>22</xdr:row>
      <xdr:rowOff>137160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9CCC5C17-84F7-2ACA-472B-9F990164CD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684FE8-52FB-44CC-8F5B-357CDD14287E}">
  <dimension ref="A1:C33"/>
  <sheetViews>
    <sheetView tabSelected="1" workbookViewId="0">
      <selection activeCell="F12" sqref="F12"/>
    </sheetView>
  </sheetViews>
  <sheetFormatPr defaultRowHeight="13.8" x14ac:dyDescent="0.25"/>
  <cols>
    <col min="1" max="3" width="36.44140625" customWidth="1"/>
  </cols>
  <sheetData>
    <row r="1" spans="1:3" ht="35.4" x14ac:dyDescent="0.25">
      <c r="A1" s="2" t="s">
        <v>0</v>
      </c>
      <c r="B1" s="2"/>
      <c r="C1" s="2"/>
    </row>
    <row r="2" spans="1:3" x14ac:dyDescent="0.25">
      <c r="A2" t="s">
        <v>1</v>
      </c>
      <c r="B2" s="3">
        <v>1000</v>
      </c>
    </row>
    <row r="3" spans="1:3" x14ac:dyDescent="0.25">
      <c r="A3" t="s">
        <v>2</v>
      </c>
      <c r="B3" s="4">
        <v>0.05</v>
      </c>
    </row>
    <row r="4" spans="1:3" x14ac:dyDescent="0.25">
      <c r="A4" t="s">
        <v>3</v>
      </c>
      <c r="B4">
        <v>2</v>
      </c>
    </row>
    <row r="5" spans="1:3" x14ac:dyDescent="0.25">
      <c r="A5" t="s">
        <v>4</v>
      </c>
      <c r="B5" s="5">
        <f>B3/B4</f>
        <v>2.5000000000000001E-2</v>
      </c>
      <c r="C5" t="str">
        <f t="shared" ref="C5:C7" ca="1" si="0">_xlfn.FORMULATEXT(B5)</f>
        <v>=B3/B4</v>
      </c>
    </row>
    <row r="6" spans="1:3" x14ac:dyDescent="0.25">
      <c r="A6" t="s">
        <v>5</v>
      </c>
      <c r="B6">
        <f>B2*(1+B5)^B4</f>
        <v>1050.625</v>
      </c>
      <c r="C6" t="str">
        <f t="shared" ca="1" si="0"/>
        <v>=B2*(1+B5)^B4</v>
      </c>
    </row>
    <row r="7" spans="1:3" x14ac:dyDescent="0.25">
      <c r="A7" t="s">
        <v>6</v>
      </c>
      <c r="B7">
        <f>B2*EXP(B3)</f>
        <v>1051.2710963760242</v>
      </c>
      <c r="C7" t="str">
        <f t="shared" ca="1" si="0"/>
        <v>=B2*EXP(B3)</v>
      </c>
    </row>
    <row r="24" spans="1:3" x14ac:dyDescent="0.25">
      <c r="A24" s="1" t="s">
        <v>7</v>
      </c>
      <c r="B24" s="1" t="s">
        <v>8</v>
      </c>
    </row>
    <row r="25" spans="1:3" x14ac:dyDescent="0.25">
      <c r="A25" s="1">
        <v>1</v>
      </c>
      <c r="B25" s="1">
        <f>$B$2*(1+$B$3/A25)^A25</f>
        <v>1050</v>
      </c>
      <c r="C25" t="str">
        <f ca="1">_xlfn.FORMULATEXT(B25)</f>
        <v>=$B$2*(1+$B$3/A25)^A25</v>
      </c>
    </row>
    <row r="26" spans="1:3" x14ac:dyDescent="0.25">
      <c r="A26" s="1">
        <v>2</v>
      </c>
      <c r="B26" s="1">
        <f>$B$2*(1+$B$3/A26)^A26</f>
        <v>1050.625</v>
      </c>
      <c r="C26" t="str">
        <f ca="1">_xlfn.FORMULATEXT(B26)</f>
        <v>=$B$2*(1+$B$3/A26)^A26</v>
      </c>
    </row>
    <row r="27" spans="1:3" x14ac:dyDescent="0.25">
      <c r="A27" s="1">
        <v>10</v>
      </c>
      <c r="B27" s="1">
        <f t="shared" ref="B27:B33" si="1">$B$2*(1+$B$3/A27)^A27</f>
        <v>1051.1401320407892</v>
      </c>
    </row>
    <row r="28" spans="1:3" x14ac:dyDescent="0.25">
      <c r="A28" s="1">
        <v>20</v>
      </c>
      <c r="B28" s="1">
        <f t="shared" si="1"/>
        <v>1051.2055032813846</v>
      </c>
    </row>
    <row r="29" spans="1:3" x14ac:dyDescent="0.25">
      <c r="A29" s="1">
        <v>50</v>
      </c>
      <c r="B29" s="1">
        <f t="shared" si="1"/>
        <v>1051.244832434744</v>
      </c>
    </row>
    <row r="30" spans="1:3" x14ac:dyDescent="0.25">
      <c r="A30" s="1">
        <v>100</v>
      </c>
      <c r="B30" s="1">
        <f t="shared" si="1"/>
        <v>1051.2579599480462</v>
      </c>
    </row>
    <row r="31" spans="1:3" x14ac:dyDescent="0.25">
      <c r="A31" s="1">
        <v>150</v>
      </c>
      <c r="B31" s="1">
        <f t="shared" si="1"/>
        <v>1051.2623377663551</v>
      </c>
    </row>
    <row r="32" spans="1:3" x14ac:dyDescent="0.25">
      <c r="A32" s="1">
        <v>300</v>
      </c>
      <c r="B32" s="1">
        <f t="shared" si="1"/>
        <v>1051.2667165755583</v>
      </c>
    </row>
    <row r="33" spans="1:2" x14ac:dyDescent="0.25">
      <c r="A33" s="1">
        <v>800</v>
      </c>
      <c r="B33" s="1">
        <f t="shared" si="1"/>
        <v>1051.2694538347121</v>
      </c>
    </row>
  </sheetData>
  <mergeCells count="1">
    <mergeCell ref="A1:C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2024-10-05T02:51:35Z</dcterms:created>
  <dcterms:modified xsi:type="dcterms:W3CDTF">2024-10-05T12:33:28Z</dcterms:modified>
</cp:coreProperties>
</file>