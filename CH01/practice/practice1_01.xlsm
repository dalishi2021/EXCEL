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793D0EBC-5462-410F-92EA-EAF67B293CCC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25" i="1"/>
  <c r="C22" i="1"/>
  <c r="C8" i="1"/>
  <c r="C9" i="1"/>
  <c r="C10" i="1"/>
  <c r="C11" i="1"/>
  <c r="C12" i="1"/>
  <c r="C13" i="1"/>
  <c r="C14" i="1"/>
  <c r="C15" i="1"/>
  <c r="C16" i="1"/>
  <c r="C7" i="1"/>
  <c r="C19" i="1" s="1"/>
  <c r="D9" i="1"/>
  <c r="D10" i="1"/>
  <c r="D11" i="1"/>
  <c r="D12" i="1"/>
  <c r="D13" i="1"/>
  <c r="D14" i="1"/>
  <c r="D16" i="1"/>
  <c r="D15" i="1"/>
  <c r="D7" i="1"/>
  <c r="D25" i="1"/>
  <c r="D22" i="1"/>
  <c r="D20" i="1"/>
  <c r="D19" i="1"/>
  <c r="D8" i="1"/>
</calcChain>
</file>

<file path=xl/sharedStrings.xml><?xml version="1.0" encoding="utf-8"?>
<sst xmlns="http://schemas.openxmlformats.org/spreadsheetml/2006/main" count="15" uniqueCount="14">
  <si>
    <t>折现率</t>
    <phoneticPr fontId="1" type="noConversion"/>
  </si>
  <si>
    <t>资产价格</t>
    <phoneticPr fontId="1" type="noConversion"/>
  </si>
  <si>
    <t>年</t>
    <phoneticPr fontId="1" type="noConversion"/>
  </si>
  <si>
    <t>现金流</t>
    <phoneticPr fontId="1" type="noConversion"/>
  </si>
  <si>
    <t>现值</t>
    <phoneticPr fontId="1" type="noConversion"/>
  </si>
  <si>
    <t>现值计算</t>
    <phoneticPr fontId="1" type="noConversion"/>
  </si>
  <si>
    <t>净现值</t>
    <phoneticPr fontId="1" type="noConversion"/>
  </si>
  <si>
    <t>求和</t>
    <phoneticPr fontId="1" type="noConversion"/>
  </si>
  <si>
    <t>NPV</t>
    <phoneticPr fontId="1" type="noConversion"/>
  </si>
  <si>
    <t>PV</t>
    <phoneticPr fontId="1" type="noConversion"/>
  </si>
  <si>
    <t xml:space="preserve">IRR </t>
    <phoneticPr fontId="1" type="noConversion"/>
  </si>
  <si>
    <t>IRR</t>
    <phoneticPr fontId="1" type="noConversion"/>
  </si>
  <si>
    <r>
      <t>决策：</t>
    </r>
    <r>
      <rPr>
        <sz val="11"/>
        <color theme="1"/>
        <rFont val="等线"/>
        <family val="2"/>
        <charset val="134"/>
        <scheme val="minor"/>
      </rPr>
      <t>NPV</t>
    </r>
    <r>
      <rPr>
        <sz val="10"/>
        <rFont val="宋体"/>
        <family val="3"/>
        <charset val="134"/>
      </rPr>
      <t>大于</t>
    </r>
    <r>
      <rPr>
        <sz val="11"/>
        <color theme="1"/>
        <rFont val="等线"/>
        <family val="2"/>
        <charset val="134"/>
        <scheme val="minor"/>
      </rPr>
      <t>0</t>
    </r>
    <r>
      <rPr>
        <sz val="10"/>
        <rFont val="宋体"/>
        <family val="3"/>
        <charset val="134"/>
      </rPr>
      <t>，所以应该购买该资产</t>
    </r>
    <phoneticPr fontId="5" type="noConversion"/>
  </si>
  <si>
    <r>
      <t>可以发现</t>
    </r>
    <r>
      <rPr>
        <sz val="11"/>
        <color theme="1"/>
        <rFont val="等线"/>
        <family val="2"/>
        <charset val="134"/>
        <scheme val="minor"/>
      </rPr>
      <t>IRR&gt;</t>
    </r>
    <r>
      <rPr>
        <sz val="10"/>
        <rFont val="宋体"/>
        <family val="3"/>
        <charset val="134"/>
      </rPr>
      <t>折现率，因此我们得到相同的结论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</si>
</sst>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sz val="10"/>
      <name val="宋体"/>
      <family val="3"/>
      <charset val="134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9" fontId="0" fillId="0" borderId="0" xfId="0" applyNumberFormat="1">
      <alignment vertical="center"/>
    </xf>
    <xf numFmtId="8" fontId="0" fillId="0" borderId="0" xfId="0" applyNumberFormat="1">
      <alignment vertical="center"/>
    </xf>
    <xf numFmtId="8" fontId="2" fillId="0" borderId="0" xfId="0" applyNumberFormat="1" applyFont="1">
      <alignment vertical="center"/>
    </xf>
    <xf numFmtId="0" fontId="2" fillId="0" borderId="0" xfId="0" applyFont="1">
      <alignment vertical="center"/>
    </xf>
    <xf numFmtId="1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28"/>
  <sheetViews>
    <sheetView showGridLines="0" tabSelected="1" workbookViewId="0">
      <selection activeCell="A22" sqref="A22"/>
    </sheetView>
  </sheetViews>
  <sheetFormatPr defaultRowHeight="13.8" x14ac:dyDescent="0.25"/>
  <cols>
    <col min="3" max="3" width="9.109375" bestFit="1" customWidth="1"/>
    <col min="4" max="4" width="19.77734375" bestFit="1" customWidth="1"/>
  </cols>
  <sheetData>
    <row r="1" spans="1:4" ht="25.2" x14ac:dyDescent="0.25">
      <c r="A1" s="6" t="s">
        <v>5</v>
      </c>
      <c r="B1" s="6"/>
      <c r="C1" s="6"/>
      <c r="D1" s="6"/>
    </row>
    <row r="2" spans="1:4" x14ac:dyDescent="0.25">
      <c r="A2" t="s">
        <v>0</v>
      </c>
      <c r="B2" s="1">
        <v>0.08</v>
      </c>
    </row>
    <row r="3" spans="1:4" x14ac:dyDescent="0.25">
      <c r="A3" t="s">
        <v>1</v>
      </c>
      <c r="B3" s="4">
        <v>600</v>
      </c>
    </row>
    <row r="5" spans="1:4" x14ac:dyDescent="0.25">
      <c r="A5" t="s">
        <v>2</v>
      </c>
      <c r="B5" t="s">
        <v>3</v>
      </c>
      <c r="C5" t="s">
        <v>4</v>
      </c>
    </row>
    <row r="6" spans="1:4" x14ac:dyDescent="0.25">
      <c r="A6">
        <v>0</v>
      </c>
      <c r="B6">
        <v>-600</v>
      </c>
      <c r="C6">
        <v>-600</v>
      </c>
    </row>
    <row r="7" spans="1:4" x14ac:dyDescent="0.25">
      <c r="A7">
        <v>1</v>
      </c>
      <c r="B7">
        <v>100</v>
      </c>
      <c r="C7">
        <f>B7/(1+$B$2)^A7</f>
        <v>92.592592592592581</v>
      </c>
      <c r="D7" t="str">
        <f ca="1">_xlfn.FORMULATEXT(C7)</f>
        <v>=B7/(1+$B$2)^A7</v>
      </c>
    </row>
    <row r="8" spans="1:4" x14ac:dyDescent="0.25">
      <c r="A8">
        <v>2</v>
      </c>
      <c r="B8">
        <v>100</v>
      </c>
      <c r="C8">
        <f t="shared" ref="C8:C16" si="0">B8/(1+$B$2)^A8</f>
        <v>85.733882030178322</v>
      </c>
      <c r="D8" t="str">
        <f t="shared" ref="D8:D16" ca="1" si="1">_xlfn.FORMULATEXT(C8)</f>
        <v>=B8/(1+$B$2)^A8</v>
      </c>
    </row>
    <row r="9" spans="1:4" x14ac:dyDescent="0.25">
      <c r="A9">
        <v>3</v>
      </c>
      <c r="B9">
        <v>100</v>
      </c>
      <c r="C9">
        <f t="shared" si="0"/>
        <v>79.383224102016953</v>
      </c>
      <c r="D9" t="str">
        <f t="shared" ca="1" si="1"/>
        <v>=B9/(1+$B$2)^A9</v>
      </c>
    </row>
    <row r="10" spans="1:4" x14ac:dyDescent="0.25">
      <c r="A10">
        <v>4</v>
      </c>
      <c r="B10">
        <v>100</v>
      </c>
      <c r="C10">
        <f t="shared" si="0"/>
        <v>73.50298527964533</v>
      </c>
      <c r="D10" t="str">
        <f t="shared" ca="1" si="1"/>
        <v>=B10/(1+$B$2)^A10</v>
      </c>
    </row>
    <row r="11" spans="1:4" x14ac:dyDescent="0.25">
      <c r="A11">
        <v>5</v>
      </c>
      <c r="B11">
        <v>100</v>
      </c>
      <c r="C11">
        <f t="shared" si="0"/>
        <v>68.058319703375304</v>
      </c>
      <c r="D11" t="str">
        <f t="shared" ca="1" si="1"/>
        <v>=B11/(1+$B$2)^A11</v>
      </c>
    </row>
    <row r="12" spans="1:4" x14ac:dyDescent="0.25">
      <c r="A12">
        <v>6</v>
      </c>
      <c r="B12">
        <v>100</v>
      </c>
      <c r="C12">
        <f t="shared" si="0"/>
        <v>63.016962688310457</v>
      </c>
      <c r="D12" t="str">
        <f t="shared" ca="1" si="1"/>
        <v>=B12/(1+$B$2)^A12</v>
      </c>
    </row>
    <row r="13" spans="1:4" x14ac:dyDescent="0.25">
      <c r="A13">
        <v>7</v>
      </c>
      <c r="B13">
        <v>100</v>
      </c>
      <c r="C13">
        <f t="shared" si="0"/>
        <v>58.349039526213382</v>
      </c>
      <c r="D13" t="str">
        <f t="shared" ca="1" si="1"/>
        <v>=B13/(1+$B$2)^A13</v>
      </c>
    </row>
    <row r="14" spans="1:4" x14ac:dyDescent="0.25">
      <c r="A14">
        <v>8</v>
      </c>
      <c r="B14">
        <v>100</v>
      </c>
      <c r="C14">
        <f t="shared" si="0"/>
        <v>54.026888450197575</v>
      </c>
      <c r="D14" t="str">
        <f t="shared" ca="1" si="1"/>
        <v>=B14/(1+$B$2)^A14</v>
      </c>
    </row>
    <row r="15" spans="1:4" x14ac:dyDescent="0.25">
      <c r="A15">
        <v>9</v>
      </c>
      <c r="B15">
        <v>100</v>
      </c>
      <c r="C15">
        <f t="shared" si="0"/>
        <v>50.0248967131459</v>
      </c>
      <c r="D15" t="str">
        <f t="shared" ca="1" si="1"/>
        <v>=B15/(1+$B$2)^A15</v>
      </c>
    </row>
    <row r="16" spans="1:4" x14ac:dyDescent="0.25">
      <c r="A16">
        <v>10</v>
      </c>
      <c r="B16">
        <v>100</v>
      </c>
      <c r="C16">
        <f t="shared" si="0"/>
        <v>46.319348808468426</v>
      </c>
      <c r="D16" t="str">
        <f t="shared" ca="1" si="1"/>
        <v>=B16/(1+$B$2)^A16</v>
      </c>
    </row>
    <row r="18" spans="1:4" x14ac:dyDescent="0.25">
      <c r="A18" t="s">
        <v>6</v>
      </c>
    </row>
    <row r="19" spans="1:4" x14ac:dyDescent="0.25">
      <c r="B19" t="s">
        <v>7</v>
      </c>
      <c r="C19">
        <f>SUM(C6:C16)</f>
        <v>71.008139894144279</v>
      </c>
      <c r="D19" t="str">
        <f t="shared" ref="D19:D22" ca="1" si="2">_xlfn.FORMULATEXT(C19)</f>
        <v>=SUM(C6:C16)</v>
      </c>
    </row>
    <row r="20" spans="1:4" x14ac:dyDescent="0.25">
      <c r="B20" t="s">
        <v>8</v>
      </c>
      <c r="C20" s="3">
        <f>NPV(B2,B7:B16)+B6</f>
        <v>71.008139894144165</v>
      </c>
      <c r="D20" t="str">
        <f t="shared" ca="1" si="2"/>
        <v>=NPV(B2,B7:B16)+B6</v>
      </c>
    </row>
    <row r="21" spans="1:4" x14ac:dyDescent="0.25">
      <c r="A21" s="8" t="s">
        <v>4</v>
      </c>
      <c r="C21" s="3"/>
    </row>
    <row r="22" spans="1:4" x14ac:dyDescent="0.25">
      <c r="B22" t="s">
        <v>9</v>
      </c>
      <c r="C22" s="2">
        <f>PV(B2,10,-B7)</f>
        <v>671.00813989414462</v>
      </c>
      <c r="D22" t="str">
        <f t="shared" ca="1" si="2"/>
        <v>=PV(B2,10,-B7)</v>
      </c>
    </row>
    <row r="25" spans="1:4" x14ac:dyDescent="0.25">
      <c r="A25" t="s">
        <v>10</v>
      </c>
      <c r="B25" t="s">
        <v>11</v>
      </c>
      <c r="C25" s="5">
        <f>IRR(B6:B16,0)</f>
        <v>0.10557981604969724</v>
      </c>
      <c r="D25" t="str">
        <f t="shared" ref="D25" ca="1" si="3">_xlfn.FORMULATEXT(C25)</f>
        <v>=IRR(B6:B16,0)</v>
      </c>
    </row>
    <row r="27" spans="1:4" x14ac:dyDescent="0.25">
      <c r="A27" s="7" t="s">
        <v>12</v>
      </c>
    </row>
    <row r="28" spans="1:4" x14ac:dyDescent="0.25">
      <c r="A28" s="7" t="s">
        <v>13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2024-10-06T09:32:53Z</dcterms:modified>
</cp:coreProperties>
</file>