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practice\"/>
    </mc:Choice>
  </mc:AlternateContent>
  <xr:revisionPtr revIDLastSave="0" documentId="13_ncr:1_{6802F876-4F70-49AB-82F2-409F6CB2A4C5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definedNames>
    <definedName name="solver_adj" localSheetId="0" hidden="1">Sheet1!$B$4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Sheet1!$B$59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0" i="1" l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3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9" i="1"/>
  <c r="D9" i="1" s="1"/>
  <c r="E9" i="1" s="1"/>
  <c r="B10" i="1" s="1"/>
  <c r="D10" i="1" l="1"/>
  <c r="E10" i="1" s="1"/>
  <c r="B11" i="1" s="1"/>
  <c r="D11" i="1" l="1"/>
  <c r="E11" i="1" s="1"/>
  <c r="B12" i="1" s="1"/>
  <c r="D12" i="1" s="1"/>
  <c r="E12" i="1" s="1"/>
  <c r="B13" i="1" s="1"/>
  <c r="D13" i="1" s="1"/>
  <c r="E13" i="1" s="1"/>
  <c r="B14" i="1" s="1"/>
  <c r="D14" i="1" l="1"/>
  <c r="E14" i="1" s="1"/>
  <c r="B15" i="1" s="1"/>
  <c r="D15" i="1" s="1"/>
  <c r="E15" i="1" s="1"/>
  <c r="B16" i="1" s="1"/>
  <c r="D16" i="1" l="1"/>
  <c r="E16" i="1" s="1"/>
  <c r="B17" i="1" s="1"/>
  <c r="D17" i="1" l="1"/>
  <c r="E17" i="1" s="1"/>
  <c r="B18" i="1" s="1"/>
  <c r="D18" i="1" l="1"/>
  <c r="E18" i="1" s="1"/>
  <c r="B19" i="1" s="1"/>
  <c r="D19" i="1" l="1"/>
  <c r="E19" i="1" s="1"/>
  <c r="B20" i="1" s="1"/>
  <c r="D20" i="1" s="1"/>
  <c r="E20" i="1" s="1"/>
  <c r="B21" i="1" s="1"/>
  <c r="D21" i="1" l="1"/>
  <c r="E21" i="1" s="1"/>
  <c r="B22" i="1" s="1"/>
  <c r="D22" i="1" l="1"/>
  <c r="E22" i="1" s="1"/>
  <c r="B23" i="1" s="1"/>
  <c r="D23" i="1" s="1"/>
  <c r="E23" i="1" s="1"/>
  <c r="B24" i="1" s="1"/>
  <c r="D24" i="1" l="1"/>
  <c r="E24" i="1" s="1"/>
  <c r="B25" i="1" s="1"/>
  <c r="D25" i="1" l="1"/>
  <c r="E25" i="1" s="1"/>
  <c r="B26" i="1" s="1"/>
  <c r="D26" i="1" l="1"/>
  <c r="E26" i="1" s="1"/>
  <c r="B27" i="1" s="1"/>
  <c r="D27" i="1" l="1"/>
  <c r="E27" i="1" s="1"/>
  <c r="B28" i="1" s="1"/>
  <c r="D28" i="1" l="1"/>
  <c r="E28" i="1" s="1"/>
  <c r="B29" i="1" s="1"/>
  <c r="D29" i="1" s="1"/>
  <c r="E29" i="1" s="1"/>
  <c r="B30" i="1" s="1"/>
  <c r="D30" i="1" l="1"/>
  <c r="E30" i="1" s="1"/>
  <c r="B31" i="1" s="1"/>
  <c r="D31" i="1" s="1"/>
  <c r="E31" i="1" s="1"/>
  <c r="B32" i="1" s="1"/>
  <c r="D32" i="1" l="1"/>
  <c r="E32" i="1"/>
  <c r="B33" i="1" s="1"/>
  <c r="D33" i="1" l="1"/>
  <c r="E33" i="1" s="1"/>
  <c r="B34" i="1" s="1"/>
  <c r="D34" i="1" l="1"/>
  <c r="E34" i="1" s="1"/>
  <c r="B35" i="1" s="1"/>
  <c r="D35" i="1" l="1"/>
  <c r="E35" i="1" s="1"/>
  <c r="B36" i="1" s="1"/>
  <c r="D36" i="1" s="1"/>
  <c r="E36" i="1" s="1"/>
  <c r="B37" i="1" s="1"/>
  <c r="D37" i="1" l="1"/>
  <c r="E37" i="1" s="1"/>
  <c r="B38" i="1" s="1"/>
  <c r="D38" i="1" l="1"/>
  <c r="E38" i="1" s="1"/>
  <c r="B39" i="1" s="1"/>
  <c r="D39" i="1" l="1"/>
  <c r="E39" i="1" s="1"/>
  <c r="B40" i="1" s="1"/>
  <c r="D40" i="1" s="1"/>
  <c r="E40" i="1" s="1"/>
  <c r="B41" i="1" s="1"/>
  <c r="D41" i="1" s="1"/>
  <c r="E41" i="1" s="1"/>
  <c r="B42" i="1" s="1"/>
  <c r="D42" i="1" l="1"/>
  <c r="E42" i="1"/>
  <c r="B43" i="1" s="1"/>
  <c r="D43" i="1" l="1"/>
  <c r="E43" i="1" s="1"/>
  <c r="B44" i="1" s="1"/>
  <c r="D44" i="1" s="1"/>
  <c r="E44" i="1" s="1"/>
  <c r="B45" i="1" s="1"/>
  <c r="D45" i="1" s="1"/>
  <c r="E45" i="1" s="1"/>
  <c r="B46" i="1" s="1"/>
  <c r="D46" i="1" l="1"/>
  <c r="E46" i="1" s="1"/>
  <c r="B47" i="1" s="1"/>
  <c r="D47" i="1" l="1"/>
  <c r="E47" i="1" s="1"/>
  <c r="B48" i="1" s="1"/>
  <c r="D48" i="1" l="1"/>
  <c r="E48" i="1" s="1"/>
  <c r="B49" i="1" s="1"/>
  <c r="D49" i="1" l="1"/>
  <c r="E49" i="1" s="1"/>
  <c r="B50" i="1" s="1"/>
  <c r="D50" i="1" s="1"/>
  <c r="E50" i="1" s="1"/>
  <c r="B51" i="1" s="1"/>
  <c r="D51" i="1" l="1"/>
  <c r="E51" i="1" s="1"/>
  <c r="B52" i="1" s="1"/>
  <c r="D52" i="1" s="1"/>
  <c r="E52" i="1" s="1"/>
  <c r="B53" i="1" s="1"/>
  <c r="D53" i="1" s="1"/>
  <c r="E53" i="1" s="1"/>
  <c r="B54" i="1" s="1"/>
  <c r="D54" i="1" s="1"/>
  <c r="E54" i="1" s="1"/>
  <c r="B55" i="1" s="1"/>
  <c r="D55" i="1" l="1"/>
  <c r="E55" i="1" s="1"/>
  <c r="B56" i="1" s="1"/>
  <c r="D56" i="1" s="1"/>
  <c r="E56" i="1" s="1"/>
  <c r="B57" i="1" s="1"/>
  <c r="D57" i="1" l="1"/>
  <c r="E57" i="1" s="1"/>
  <c r="B58" i="1" s="1"/>
  <c r="D58" i="1" l="1"/>
  <c r="E58" i="1" s="1"/>
  <c r="B59" i="1" s="1"/>
</calcChain>
</file>

<file path=xl/sharedStrings.xml><?xml version="1.0" encoding="utf-8"?>
<sst xmlns="http://schemas.openxmlformats.org/spreadsheetml/2006/main" count="9" uniqueCount="9">
  <si>
    <t>退休计划</t>
    <phoneticPr fontId="1" type="noConversion"/>
  </si>
  <si>
    <t>利率</t>
    <phoneticPr fontId="1" type="noConversion"/>
  </si>
  <si>
    <t>年</t>
    <phoneticPr fontId="1" type="noConversion"/>
  </si>
  <si>
    <t>每年存款</t>
    <phoneticPr fontId="1" type="noConversion"/>
  </si>
  <si>
    <t>每年提取退休金</t>
    <phoneticPr fontId="1" type="noConversion"/>
  </si>
  <si>
    <t>开始年度账面余额</t>
    <phoneticPr fontId="1" type="noConversion"/>
  </si>
  <si>
    <t>在每年初的存款</t>
    <phoneticPr fontId="1" type="noConversion"/>
  </si>
  <si>
    <t>获得的利息</t>
    <phoneticPr fontId="1" type="noConversion"/>
  </si>
  <si>
    <t>年末总的账面余额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</si>
</sst>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9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0" borderId="0" xfId="0" applyNumberFormat="1">
      <alignment vertical="center"/>
    </xf>
    <xf numFmtId="2" fontId="0" fillId="0" borderId="0" xfId="0" applyNumberFormat="1" applyAlignment="1">
      <alignment horizontal="center" vertical="center"/>
    </xf>
    <xf numFmtId="2" fontId="2" fillId="0" borderId="0" xfId="0" applyNumberFormat="1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350520</xdr:colOff>
      <xdr:row>1</xdr:row>
      <xdr:rowOff>15240</xdr:rowOff>
    </xdr:from>
    <xdr:to>
      <xdr:col>17</xdr:col>
      <xdr:colOff>8593</xdr:colOff>
      <xdr:row>38</xdr:row>
      <xdr:rowOff>46629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4DF6013-8C6A-B60D-57C5-32FD1A49A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75020" y="190500"/>
          <a:ext cx="6973273" cy="65160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E59"/>
  <sheetViews>
    <sheetView tabSelected="1" workbookViewId="0">
      <selection activeCell="D13" sqref="D13"/>
    </sheetView>
  </sheetViews>
  <sheetFormatPr defaultRowHeight="13.8" x14ac:dyDescent="0.25"/>
  <cols>
    <col min="1" max="1" width="16.109375" bestFit="1" customWidth="1"/>
    <col min="2" max="2" width="18.33203125" bestFit="1" customWidth="1"/>
    <col min="3" max="3" width="16.109375" bestFit="1" customWidth="1"/>
    <col min="4" max="4" width="11.6640625" bestFit="1" customWidth="1"/>
    <col min="5" max="5" width="18.33203125" bestFit="1" customWidth="1"/>
  </cols>
  <sheetData>
    <row r="1" spans="1:5" x14ac:dyDescent="0.25">
      <c r="A1" t="s">
        <v>0</v>
      </c>
    </row>
    <row r="3" spans="1:5" x14ac:dyDescent="0.25">
      <c r="A3" t="s">
        <v>1</v>
      </c>
      <c r="B3" s="1">
        <v>0.1</v>
      </c>
    </row>
    <row r="4" spans="1:5" x14ac:dyDescent="0.25">
      <c r="A4" t="s">
        <v>3</v>
      </c>
      <c r="B4" s="7">
        <v>5176</v>
      </c>
    </row>
    <row r="5" spans="1:5" x14ac:dyDescent="0.25">
      <c r="A5" t="s">
        <v>4</v>
      </c>
      <c r="B5" s="2">
        <v>100000</v>
      </c>
    </row>
    <row r="8" spans="1:5" x14ac:dyDescent="0.25">
      <c r="A8" s="3" t="s">
        <v>2</v>
      </c>
      <c r="B8" t="s">
        <v>5</v>
      </c>
      <c r="C8" t="s">
        <v>6</v>
      </c>
      <c r="D8" t="s">
        <v>7</v>
      </c>
      <c r="E8" s="3" t="s">
        <v>8</v>
      </c>
    </row>
    <row r="9" spans="1:5" x14ac:dyDescent="0.25">
      <c r="A9" s="3">
        <v>1</v>
      </c>
      <c r="B9" s="6">
        <v>0</v>
      </c>
      <c r="C9" s="6">
        <f>$B$4</f>
        <v>5176</v>
      </c>
      <c r="D9" s="5">
        <f>$B$3*(B9+C9)</f>
        <v>517.6</v>
      </c>
      <c r="E9" s="6">
        <f>SUM(B9:D9)</f>
        <v>5693.6</v>
      </c>
    </row>
    <row r="10" spans="1:5" x14ac:dyDescent="0.25">
      <c r="A10" s="3">
        <v>2</v>
      </c>
      <c r="B10" s="6">
        <f>E9</f>
        <v>5693.6</v>
      </c>
      <c r="C10" s="6">
        <f t="shared" ref="C10:C38" si="0">$B$4</f>
        <v>5176</v>
      </c>
      <c r="D10" s="5">
        <f t="shared" ref="D10:D39" si="1">$B$3*(B10+C10)</f>
        <v>1086.96</v>
      </c>
      <c r="E10" s="6">
        <f t="shared" ref="E10:E39" si="2">SUM(B10:D10)</f>
        <v>11956.560000000001</v>
      </c>
    </row>
    <row r="11" spans="1:5" x14ac:dyDescent="0.25">
      <c r="A11" s="3">
        <v>3</v>
      </c>
      <c r="B11" s="6">
        <f t="shared" ref="B11:B39" si="3">E10</f>
        <v>11956.560000000001</v>
      </c>
      <c r="C11" s="6">
        <f t="shared" si="0"/>
        <v>5176</v>
      </c>
      <c r="D11" s="5">
        <f t="shared" si="1"/>
        <v>1713.2560000000003</v>
      </c>
      <c r="E11" s="6">
        <f t="shared" si="2"/>
        <v>18845.816000000003</v>
      </c>
    </row>
    <row r="12" spans="1:5" x14ac:dyDescent="0.25">
      <c r="A12" s="3">
        <v>4</v>
      </c>
      <c r="B12" s="6">
        <f t="shared" si="3"/>
        <v>18845.816000000003</v>
      </c>
      <c r="C12" s="6">
        <f t="shared" si="0"/>
        <v>5176</v>
      </c>
      <c r="D12" s="5">
        <f t="shared" si="1"/>
        <v>2402.1816000000003</v>
      </c>
      <c r="E12" s="6">
        <f t="shared" si="2"/>
        <v>26423.997600000002</v>
      </c>
    </row>
    <row r="13" spans="1:5" x14ac:dyDescent="0.25">
      <c r="A13" s="3">
        <v>5</v>
      </c>
      <c r="B13" s="6">
        <f t="shared" si="3"/>
        <v>26423.997600000002</v>
      </c>
      <c r="C13" s="6">
        <f t="shared" si="0"/>
        <v>5176</v>
      </c>
      <c r="D13" s="5">
        <f t="shared" si="1"/>
        <v>3159.9997600000006</v>
      </c>
      <c r="E13" s="6">
        <f t="shared" si="2"/>
        <v>34759.997360000001</v>
      </c>
    </row>
    <row r="14" spans="1:5" x14ac:dyDescent="0.25">
      <c r="A14" s="3">
        <v>6</v>
      </c>
      <c r="B14" s="6">
        <f t="shared" si="3"/>
        <v>34759.997360000001</v>
      </c>
      <c r="C14" s="6">
        <f t="shared" si="0"/>
        <v>5176</v>
      </c>
      <c r="D14" s="5">
        <f t="shared" si="1"/>
        <v>3993.5997360000001</v>
      </c>
      <c r="E14" s="6">
        <f t="shared" si="2"/>
        <v>43929.597095999998</v>
      </c>
    </row>
    <row r="15" spans="1:5" x14ac:dyDescent="0.25">
      <c r="A15" s="3">
        <v>7</v>
      </c>
      <c r="B15" s="6">
        <f t="shared" si="3"/>
        <v>43929.597095999998</v>
      </c>
      <c r="C15" s="6">
        <f t="shared" si="0"/>
        <v>5176</v>
      </c>
      <c r="D15" s="5">
        <f t="shared" si="1"/>
        <v>4910.5597096000001</v>
      </c>
      <c r="E15" s="6">
        <f t="shared" si="2"/>
        <v>54016.156805599996</v>
      </c>
    </row>
    <row r="16" spans="1:5" x14ac:dyDescent="0.25">
      <c r="A16" s="3">
        <v>8</v>
      </c>
      <c r="B16" s="6">
        <f t="shared" si="3"/>
        <v>54016.156805599996</v>
      </c>
      <c r="C16" s="6">
        <f t="shared" si="0"/>
        <v>5176</v>
      </c>
      <c r="D16" s="5">
        <f t="shared" si="1"/>
        <v>5919.2156805599998</v>
      </c>
      <c r="E16" s="6">
        <f t="shared" si="2"/>
        <v>65111.372486159999</v>
      </c>
    </row>
    <row r="17" spans="1:5" x14ac:dyDescent="0.25">
      <c r="A17" s="3">
        <v>9</v>
      </c>
      <c r="B17" s="6">
        <f t="shared" si="3"/>
        <v>65111.372486159999</v>
      </c>
      <c r="C17" s="6">
        <f t="shared" si="0"/>
        <v>5176</v>
      </c>
      <c r="D17" s="5">
        <f t="shared" si="1"/>
        <v>7028.7372486159993</v>
      </c>
      <c r="E17" s="6">
        <f t="shared" si="2"/>
        <v>77316.109734775993</v>
      </c>
    </row>
    <row r="18" spans="1:5" x14ac:dyDescent="0.25">
      <c r="A18" s="3">
        <v>10</v>
      </c>
      <c r="B18" s="6">
        <f t="shared" si="3"/>
        <v>77316.109734775993</v>
      </c>
      <c r="C18" s="6">
        <f t="shared" si="0"/>
        <v>5176</v>
      </c>
      <c r="D18" s="5">
        <f t="shared" si="1"/>
        <v>8249.2109734776004</v>
      </c>
      <c r="E18" s="6">
        <f t="shared" si="2"/>
        <v>90741.320708253596</v>
      </c>
    </row>
    <row r="19" spans="1:5" x14ac:dyDescent="0.25">
      <c r="A19" s="3">
        <v>11</v>
      </c>
      <c r="B19" s="6">
        <f t="shared" si="3"/>
        <v>90741.320708253596</v>
      </c>
      <c r="C19" s="6">
        <f t="shared" si="0"/>
        <v>5176</v>
      </c>
      <c r="D19" s="5">
        <f t="shared" si="1"/>
        <v>9591.7320708253592</v>
      </c>
      <c r="E19" s="6">
        <f t="shared" si="2"/>
        <v>105509.05277907895</v>
      </c>
    </row>
    <row r="20" spans="1:5" x14ac:dyDescent="0.25">
      <c r="A20" s="3">
        <v>12</v>
      </c>
      <c r="B20" s="6">
        <f t="shared" si="3"/>
        <v>105509.05277907895</v>
      </c>
      <c r="C20" s="6">
        <f t="shared" si="0"/>
        <v>5176</v>
      </c>
      <c r="D20" s="5">
        <f t="shared" si="1"/>
        <v>11068.505277907896</v>
      </c>
      <c r="E20" s="6">
        <f t="shared" si="2"/>
        <v>121753.55805698685</v>
      </c>
    </row>
    <row r="21" spans="1:5" x14ac:dyDescent="0.25">
      <c r="A21" s="3">
        <v>13</v>
      </c>
      <c r="B21" s="6">
        <f t="shared" si="3"/>
        <v>121753.55805698685</v>
      </c>
      <c r="C21" s="6">
        <f t="shared" si="0"/>
        <v>5176</v>
      </c>
      <c r="D21" s="5">
        <f t="shared" si="1"/>
        <v>12692.955805698686</v>
      </c>
      <c r="E21" s="6">
        <f t="shared" si="2"/>
        <v>139622.51386268553</v>
      </c>
    </row>
    <row r="22" spans="1:5" x14ac:dyDescent="0.25">
      <c r="A22" s="3">
        <v>14</v>
      </c>
      <c r="B22" s="6">
        <f t="shared" si="3"/>
        <v>139622.51386268553</v>
      </c>
      <c r="C22" s="6">
        <f t="shared" si="0"/>
        <v>5176</v>
      </c>
      <c r="D22" s="5">
        <f t="shared" si="1"/>
        <v>14479.851386268554</v>
      </c>
      <c r="E22" s="6">
        <f t="shared" si="2"/>
        <v>159278.3652489541</v>
      </c>
    </row>
    <row r="23" spans="1:5" x14ac:dyDescent="0.25">
      <c r="A23" s="3">
        <v>15</v>
      </c>
      <c r="B23" s="6">
        <f t="shared" si="3"/>
        <v>159278.3652489541</v>
      </c>
      <c r="C23" s="6">
        <f t="shared" si="0"/>
        <v>5176</v>
      </c>
      <c r="D23" s="5">
        <f t="shared" si="1"/>
        <v>16445.436524895409</v>
      </c>
      <c r="E23" s="6">
        <f t="shared" si="2"/>
        <v>180899.8017738495</v>
      </c>
    </row>
    <row r="24" spans="1:5" x14ac:dyDescent="0.25">
      <c r="A24" s="3">
        <v>16</v>
      </c>
      <c r="B24" s="6">
        <f t="shared" si="3"/>
        <v>180899.8017738495</v>
      </c>
      <c r="C24" s="6">
        <f t="shared" si="0"/>
        <v>5176</v>
      </c>
      <c r="D24" s="5">
        <f t="shared" si="1"/>
        <v>18607.580177384949</v>
      </c>
      <c r="E24" s="6">
        <f t="shared" si="2"/>
        <v>204683.38195123445</v>
      </c>
    </row>
    <row r="25" spans="1:5" x14ac:dyDescent="0.25">
      <c r="A25" s="3">
        <v>17</v>
      </c>
      <c r="B25" s="6">
        <f t="shared" si="3"/>
        <v>204683.38195123445</v>
      </c>
      <c r="C25" s="6">
        <f t="shared" si="0"/>
        <v>5176</v>
      </c>
      <c r="D25" s="5">
        <f t="shared" si="1"/>
        <v>20985.938195123446</v>
      </c>
      <c r="E25" s="6">
        <f t="shared" si="2"/>
        <v>230845.3201463579</v>
      </c>
    </row>
    <row r="26" spans="1:5" x14ac:dyDescent="0.25">
      <c r="A26" s="3">
        <v>18</v>
      </c>
      <c r="B26" s="6">
        <f t="shared" si="3"/>
        <v>230845.3201463579</v>
      </c>
      <c r="C26" s="6">
        <f t="shared" si="0"/>
        <v>5176</v>
      </c>
      <c r="D26" s="5">
        <f t="shared" si="1"/>
        <v>23602.13201463579</v>
      </c>
      <c r="E26" s="6">
        <f t="shared" si="2"/>
        <v>259623.45216099371</v>
      </c>
    </row>
    <row r="27" spans="1:5" x14ac:dyDescent="0.25">
      <c r="A27" s="3">
        <v>19</v>
      </c>
      <c r="B27" s="6">
        <f t="shared" si="3"/>
        <v>259623.45216099371</v>
      </c>
      <c r="C27" s="6">
        <f t="shared" si="0"/>
        <v>5176</v>
      </c>
      <c r="D27" s="5">
        <f t="shared" si="1"/>
        <v>26479.945216099371</v>
      </c>
      <c r="E27" s="6">
        <f t="shared" si="2"/>
        <v>291279.39737709309</v>
      </c>
    </row>
    <row r="28" spans="1:5" x14ac:dyDescent="0.25">
      <c r="A28" s="3">
        <v>20</v>
      </c>
      <c r="B28" s="6">
        <f t="shared" si="3"/>
        <v>291279.39737709309</v>
      </c>
      <c r="C28" s="6">
        <f t="shared" si="0"/>
        <v>5176</v>
      </c>
      <c r="D28" s="5">
        <f t="shared" si="1"/>
        <v>29645.53973770931</v>
      </c>
      <c r="E28" s="6">
        <f t="shared" si="2"/>
        <v>326100.93711480242</v>
      </c>
    </row>
    <row r="29" spans="1:5" x14ac:dyDescent="0.25">
      <c r="A29" s="3">
        <v>21</v>
      </c>
      <c r="B29" s="6">
        <f t="shared" si="3"/>
        <v>326100.93711480242</v>
      </c>
      <c r="C29" s="6">
        <f t="shared" si="0"/>
        <v>5176</v>
      </c>
      <c r="D29" s="5">
        <f t="shared" si="1"/>
        <v>33127.693711480242</v>
      </c>
      <c r="E29" s="6">
        <f t="shared" si="2"/>
        <v>364404.63082628266</v>
      </c>
    </row>
    <row r="30" spans="1:5" x14ac:dyDescent="0.25">
      <c r="A30" s="3">
        <v>22</v>
      </c>
      <c r="B30" s="6">
        <f t="shared" si="3"/>
        <v>364404.63082628266</v>
      </c>
      <c r="C30" s="6">
        <f t="shared" si="0"/>
        <v>5176</v>
      </c>
      <c r="D30" s="5">
        <f t="shared" si="1"/>
        <v>36958.063082628265</v>
      </c>
      <c r="E30" s="6">
        <f t="shared" si="2"/>
        <v>406538.69390891091</v>
      </c>
    </row>
    <row r="31" spans="1:5" x14ac:dyDescent="0.25">
      <c r="A31" s="3">
        <v>23</v>
      </c>
      <c r="B31" s="6">
        <f t="shared" si="3"/>
        <v>406538.69390891091</v>
      </c>
      <c r="C31" s="6">
        <f t="shared" si="0"/>
        <v>5176</v>
      </c>
      <c r="D31" s="5">
        <f t="shared" si="1"/>
        <v>41171.469390891092</v>
      </c>
      <c r="E31" s="6">
        <f t="shared" si="2"/>
        <v>452886.16329980199</v>
      </c>
    </row>
    <row r="32" spans="1:5" x14ac:dyDescent="0.25">
      <c r="A32" s="3">
        <v>24</v>
      </c>
      <c r="B32" s="6">
        <f t="shared" si="3"/>
        <v>452886.16329980199</v>
      </c>
      <c r="C32" s="6">
        <f t="shared" si="0"/>
        <v>5176</v>
      </c>
      <c r="D32" s="5">
        <f t="shared" si="1"/>
        <v>45806.216329980205</v>
      </c>
      <c r="E32" s="6">
        <f t="shared" si="2"/>
        <v>503868.37962978217</v>
      </c>
    </row>
    <row r="33" spans="1:5" x14ac:dyDescent="0.25">
      <c r="A33" s="3">
        <v>25</v>
      </c>
      <c r="B33" s="6">
        <f t="shared" si="3"/>
        <v>503868.37962978217</v>
      </c>
      <c r="C33" s="6">
        <f t="shared" si="0"/>
        <v>5176</v>
      </c>
      <c r="D33" s="5">
        <f t="shared" si="1"/>
        <v>50904.43796297822</v>
      </c>
      <c r="E33" s="6">
        <f t="shared" si="2"/>
        <v>559948.81759276043</v>
      </c>
    </row>
    <row r="34" spans="1:5" x14ac:dyDescent="0.25">
      <c r="A34" s="3">
        <v>26</v>
      </c>
      <c r="B34" s="6">
        <f t="shared" si="3"/>
        <v>559948.81759276043</v>
      </c>
      <c r="C34" s="6">
        <f t="shared" si="0"/>
        <v>5176</v>
      </c>
      <c r="D34" s="5">
        <f t="shared" si="1"/>
        <v>56512.481759276045</v>
      </c>
      <c r="E34" s="6">
        <f t="shared" si="2"/>
        <v>621637.29935203644</v>
      </c>
    </row>
    <row r="35" spans="1:5" x14ac:dyDescent="0.25">
      <c r="A35" s="3">
        <v>27</v>
      </c>
      <c r="B35" s="6">
        <f t="shared" si="3"/>
        <v>621637.29935203644</v>
      </c>
      <c r="C35" s="6">
        <f t="shared" si="0"/>
        <v>5176</v>
      </c>
      <c r="D35" s="5">
        <f t="shared" si="1"/>
        <v>62681.329935203648</v>
      </c>
      <c r="E35" s="6">
        <f t="shared" si="2"/>
        <v>689494.6292872401</v>
      </c>
    </row>
    <row r="36" spans="1:5" x14ac:dyDescent="0.25">
      <c r="A36" s="3">
        <v>28</v>
      </c>
      <c r="B36" s="6">
        <f t="shared" si="3"/>
        <v>689494.6292872401</v>
      </c>
      <c r="C36" s="6">
        <f t="shared" si="0"/>
        <v>5176</v>
      </c>
      <c r="D36" s="5">
        <f t="shared" si="1"/>
        <v>69467.062928724015</v>
      </c>
      <c r="E36" s="6">
        <f t="shared" si="2"/>
        <v>764137.69221596408</v>
      </c>
    </row>
    <row r="37" spans="1:5" x14ac:dyDescent="0.25">
      <c r="A37" s="3">
        <v>29</v>
      </c>
      <c r="B37" s="6">
        <f t="shared" si="3"/>
        <v>764137.69221596408</v>
      </c>
      <c r="C37" s="6">
        <f t="shared" si="0"/>
        <v>5176</v>
      </c>
      <c r="D37" s="5">
        <f t="shared" si="1"/>
        <v>76931.369221596411</v>
      </c>
      <c r="E37" s="6">
        <f t="shared" si="2"/>
        <v>846245.06143756048</v>
      </c>
    </row>
    <row r="38" spans="1:5" x14ac:dyDescent="0.25">
      <c r="A38" s="3">
        <v>30</v>
      </c>
      <c r="B38" s="6">
        <f t="shared" si="3"/>
        <v>846245.06143756048</v>
      </c>
      <c r="C38" s="6">
        <f t="shared" si="0"/>
        <v>5176</v>
      </c>
      <c r="D38" s="5">
        <f t="shared" si="1"/>
        <v>85142.106143756057</v>
      </c>
      <c r="E38" s="6">
        <f t="shared" si="2"/>
        <v>936563.16758131655</v>
      </c>
    </row>
    <row r="39" spans="1:5" x14ac:dyDescent="0.25">
      <c r="A39" s="4">
        <v>31</v>
      </c>
      <c r="B39" s="6">
        <f t="shared" si="3"/>
        <v>936563.16758131655</v>
      </c>
      <c r="C39" s="6">
        <f>-$B$5</f>
        <v>-100000</v>
      </c>
      <c r="D39" s="5">
        <f t="shared" si="1"/>
        <v>83656.316758131667</v>
      </c>
      <c r="E39" s="6">
        <f t="shared" si="2"/>
        <v>920219.48433944816</v>
      </c>
    </row>
    <row r="40" spans="1:5" x14ac:dyDescent="0.25">
      <c r="A40" s="4">
        <v>32</v>
      </c>
      <c r="B40" s="6">
        <f t="shared" ref="B40:B59" si="4">E39</f>
        <v>920219.48433944816</v>
      </c>
      <c r="C40" s="6">
        <f t="shared" ref="C40:C58" si="5">-$B$5</f>
        <v>-100000</v>
      </c>
      <c r="D40" s="5">
        <f t="shared" ref="D40:D58" si="6">$B$3*(B40+C40)</f>
        <v>82021.948433944825</v>
      </c>
      <c r="E40" s="6">
        <f t="shared" ref="E40:E58" si="7">SUM(B40:D40)</f>
        <v>902241.432773393</v>
      </c>
    </row>
    <row r="41" spans="1:5" x14ac:dyDescent="0.25">
      <c r="A41" s="4">
        <v>33</v>
      </c>
      <c r="B41" s="6">
        <f t="shared" si="4"/>
        <v>902241.432773393</v>
      </c>
      <c r="C41" s="6">
        <f t="shared" si="5"/>
        <v>-100000</v>
      </c>
      <c r="D41" s="5">
        <f t="shared" si="6"/>
        <v>80224.143277339303</v>
      </c>
      <c r="E41" s="6">
        <f t="shared" si="7"/>
        <v>882465.57605073228</v>
      </c>
    </row>
    <row r="42" spans="1:5" x14ac:dyDescent="0.25">
      <c r="A42" s="4">
        <v>34</v>
      </c>
      <c r="B42" s="6">
        <f t="shared" si="4"/>
        <v>882465.57605073228</v>
      </c>
      <c r="C42" s="6">
        <f t="shared" si="5"/>
        <v>-100000</v>
      </c>
      <c r="D42" s="5">
        <f t="shared" si="6"/>
        <v>78246.557605073234</v>
      </c>
      <c r="E42" s="6">
        <f t="shared" si="7"/>
        <v>860712.13365580549</v>
      </c>
    </row>
    <row r="43" spans="1:5" x14ac:dyDescent="0.25">
      <c r="A43" s="4">
        <v>35</v>
      </c>
      <c r="B43" s="6">
        <f t="shared" si="4"/>
        <v>860712.13365580549</v>
      </c>
      <c r="C43" s="6">
        <f t="shared" si="5"/>
        <v>-100000</v>
      </c>
      <c r="D43" s="5">
        <f t="shared" si="6"/>
        <v>76071.213365580552</v>
      </c>
      <c r="E43" s="6">
        <f t="shared" si="7"/>
        <v>836783.34702138603</v>
      </c>
    </row>
    <row r="44" spans="1:5" x14ac:dyDescent="0.25">
      <c r="A44" s="4">
        <v>36</v>
      </c>
      <c r="B44" s="6">
        <f t="shared" si="4"/>
        <v>836783.34702138603</v>
      </c>
      <c r="C44" s="6">
        <f t="shared" si="5"/>
        <v>-100000</v>
      </c>
      <c r="D44" s="5">
        <f t="shared" si="6"/>
        <v>73678.3347021386</v>
      </c>
      <c r="E44" s="6">
        <f t="shared" si="7"/>
        <v>810461.68172352458</v>
      </c>
    </row>
    <row r="45" spans="1:5" x14ac:dyDescent="0.25">
      <c r="A45" s="4">
        <v>37</v>
      </c>
      <c r="B45" s="6">
        <f t="shared" si="4"/>
        <v>810461.68172352458</v>
      </c>
      <c r="C45" s="6">
        <f t="shared" si="5"/>
        <v>-100000</v>
      </c>
      <c r="D45" s="5">
        <f t="shared" si="6"/>
        <v>71046.168172352467</v>
      </c>
      <c r="E45" s="6">
        <f t="shared" si="7"/>
        <v>781507.84989587707</v>
      </c>
    </row>
    <row r="46" spans="1:5" x14ac:dyDescent="0.25">
      <c r="A46" s="4">
        <v>38</v>
      </c>
      <c r="B46" s="6">
        <f t="shared" si="4"/>
        <v>781507.84989587707</v>
      </c>
      <c r="C46" s="6">
        <f t="shared" si="5"/>
        <v>-100000</v>
      </c>
      <c r="D46" s="5">
        <f t="shared" si="6"/>
        <v>68150.784989587715</v>
      </c>
      <c r="E46" s="6">
        <f t="shared" si="7"/>
        <v>749658.63488546479</v>
      </c>
    </row>
    <row r="47" spans="1:5" x14ac:dyDescent="0.25">
      <c r="A47" s="4">
        <v>39</v>
      </c>
      <c r="B47" s="6">
        <f t="shared" si="4"/>
        <v>749658.63488546479</v>
      </c>
      <c r="C47" s="6">
        <f t="shared" si="5"/>
        <v>-100000</v>
      </c>
      <c r="D47" s="5">
        <f t="shared" si="6"/>
        <v>64965.863488546485</v>
      </c>
      <c r="E47" s="6">
        <f t="shared" si="7"/>
        <v>714624.49837401125</v>
      </c>
    </row>
    <row r="48" spans="1:5" x14ac:dyDescent="0.25">
      <c r="A48" s="4">
        <v>40</v>
      </c>
      <c r="B48" s="6">
        <f t="shared" si="4"/>
        <v>714624.49837401125</v>
      </c>
      <c r="C48" s="6">
        <f t="shared" si="5"/>
        <v>-100000</v>
      </c>
      <c r="D48" s="5">
        <f t="shared" si="6"/>
        <v>61462.449837401131</v>
      </c>
      <c r="E48" s="6">
        <f t="shared" si="7"/>
        <v>676086.94821141241</v>
      </c>
    </row>
    <row r="49" spans="1:5" x14ac:dyDescent="0.25">
      <c r="A49" s="4">
        <v>41</v>
      </c>
      <c r="B49" s="6">
        <f t="shared" si="4"/>
        <v>676086.94821141241</v>
      </c>
      <c r="C49" s="6">
        <f t="shared" si="5"/>
        <v>-100000</v>
      </c>
      <c r="D49" s="5">
        <f t="shared" si="6"/>
        <v>57608.694821141245</v>
      </c>
      <c r="E49" s="6">
        <f t="shared" si="7"/>
        <v>633695.64303255361</v>
      </c>
    </row>
    <row r="50" spans="1:5" x14ac:dyDescent="0.25">
      <c r="A50" s="4">
        <v>42</v>
      </c>
      <c r="B50" s="6">
        <f t="shared" si="4"/>
        <v>633695.64303255361</v>
      </c>
      <c r="C50" s="6">
        <f t="shared" si="5"/>
        <v>-100000</v>
      </c>
      <c r="D50" s="5">
        <f t="shared" si="6"/>
        <v>53369.564303255363</v>
      </c>
      <c r="E50" s="6">
        <f t="shared" si="7"/>
        <v>587065.20733580901</v>
      </c>
    </row>
    <row r="51" spans="1:5" x14ac:dyDescent="0.25">
      <c r="A51" s="4">
        <v>43</v>
      </c>
      <c r="B51" s="6">
        <f t="shared" si="4"/>
        <v>587065.20733580901</v>
      </c>
      <c r="C51" s="6">
        <f t="shared" si="5"/>
        <v>-100000</v>
      </c>
      <c r="D51" s="5">
        <f t="shared" si="6"/>
        <v>48706.520733580903</v>
      </c>
      <c r="E51" s="6">
        <f t="shared" si="7"/>
        <v>535771.72806938994</v>
      </c>
    </row>
    <row r="52" spans="1:5" x14ac:dyDescent="0.25">
      <c r="A52" s="4">
        <v>44</v>
      </c>
      <c r="B52" s="6">
        <f t="shared" si="4"/>
        <v>535771.72806938994</v>
      </c>
      <c r="C52" s="6">
        <f t="shared" si="5"/>
        <v>-100000</v>
      </c>
      <c r="D52" s="5">
        <f t="shared" si="6"/>
        <v>43577.172806938994</v>
      </c>
      <c r="E52" s="6">
        <f t="shared" si="7"/>
        <v>479348.90087632893</v>
      </c>
    </row>
    <row r="53" spans="1:5" x14ac:dyDescent="0.25">
      <c r="A53" s="4">
        <v>45</v>
      </c>
      <c r="B53" s="6">
        <f t="shared" si="4"/>
        <v>479348.90087632893</v>
      </c>
      <c r="C53" s="6">
        <f t="shared" si="5"/>
        <v>-100000</v>
      </c>
      <c r="D53" s="5">
        <f t="shared" si="6"/>
        <v>37934.890087632892</v>
      </c>
      <c r="E53" s="6">
        <f t="shared" si="7"/>
        <v>417283.7909639618</v>
      </c>
    </row>
    <row r="54" spans="1:5" x14ac:dyDescent="0.25">
      <c r="A54" s="4">
        <v>46</v>
      </c>
      <c r="B54" s="6">
        <f t="shared" si="4"/>
        <v>417283.7909639618</v>
      </c>
      <c r="C54" s="6">
        <f t="shared" si="5"/>
        <v>-100000</v>
      </c>
      <c r="D54" s="5">
        <f t="shared" si="6"/>
        <v>31728.37909639618</v>
      </c>
      <c r="E54" s="6">
        <f t="shared" si="7"/>
        <v>349012.17006035801</v>
      </c>
    </row>
    <row r="55" spans="1:5" x14ac:dyDescent="0.25">
      <c r="A55" s="4">
        <v>47</v>
      </c>
      <c r="B55" s="6">
        <f t="shared" si="4"/>
        <v>349012.17006035801</v>
      </c>
      <c r="C55" s="6">
        <f t="shared" si="5"/>
        <v>-100000</v>
      </c>
      <c r="D55" s="5">
        <f t="shared" si="6"/>
        <v>24901.217006035804</v>
      </c>
      <c r="E55" s="6">
        <f t="shared" si="7"/>
        <v>273913.3870663938</v>
      </c>
    </row>
    <row r="56" spans="1:5" x14ac:dyDescent="0.25">
      <c r="A56" s="4">
        <v>48</v>
      </c>
      <c r="B56" s="6">
        <f t="shared" si="4"/>
        <v>273913.3870663938</v>
      </c>
      <c r="C56" s="6">
        <f t="shared" si="5"/>
        <v>-100000</v>
      </c>
      <c r="D56" s="5">
        <f t="shared" si="6"/>
        <v>17391.338706639381</v>
      </c>
      <c r="E56" s="6">
        <f t="shared" si="7"/>
        <v>191304.72577303319</v>
      </c>
    </row>
    <row r="57" spans="1:5" x14ac:dyDescent="0.25">
      <c r="A57" s="4">
        <v>49</v>
      </c>
      <c r="B57" s="6">
        <f t="shared" si="4"/>
        <v>191304.72577303319</v>
      </c>
      <c r="C57" s="6">
        <f t="shared" si="5"/>
        <v>-100000</v>
      </c>
      <c r="D57" s="5">
        <f t="shared" si="6"/>
        <v>9130.4725773033188</v>
      </c>
      <c r="E57" s="6">
        <f t="shared" si="7"/>
        <v>100435.1983503365</v>
      </c>
    </row>
    <row r="58" spans="1:5" x14ac:dyDescent="0.25">
      <c r="A58" s="4">
        <v>50</v>
      </c>
      <c r="B58" s="6">
        <f t="shared" si="4"/>
        <v>100435.1983503365</v>
      </c>
      <c r="C58" s="6">
        <f t="shared" si="5"/>
        <v>-100000</v>
      </c>
      <c r="D58" s="5">
        <f t="shared" si="6"/>
        <v>43.519835033650452</v>
      </c>
      <c r="E58" s="6">
        <f t="shared" si="7"/>
        <v>478.71818537015497</v>
      </c>
    </row>
    <row r="59" spans="1:5" x14ac:dyDescent="0.25">
      <c r="A59" s="4">
        <v>51</v>
      </c>
      <c r="B59" s="6">
        <f t="shared" si="4"/>
        <v>478.71818537015497</v>
      </c>
      <c r="C59" s="5"/>
      <c r="D59" s="5"/>
      <c r="E59" s="5"/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2024-10-06T09:47:01Z</dcterms:modified>
</cp:coreProperties>
</file>