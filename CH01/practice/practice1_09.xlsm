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A6E781B1-BDD9-46A3-AFE3-802F03AA9F27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1" l="1"/>
  <c r="L7" i="1"/>
  <c r="L6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9" i="1"/>
  <c r="H6" i="1"/>
  <c r="G9" i="1"/>
  <c r="B9" i="1"/>
  <c r="D9" i="1" s="1"/>
  <c r="B10" i="1" s="1"/>
  <c r="C9" i="1"/>
  <c r="D8" i="1"/>
  <c r="E8" i="1"/>
  <c r="E9" i="1"/>
  <c r="D10" i="1" l="1"/>
  <c r="B11" i="1" l="1"/>
  <c r="D11" i="1" s="1"/>
  <c r="B12" i="1" s="1"/>
  <c r="D12" i="1" s="1"/>
  <c r="B13" i="1" l="1"/>
  <c r="D13" i="1" s="1"/>
  <c r="B14" i="1" l="1"/>
  <c r="D14" i="1" s="1"/>
  <c r="B15" i="1" l="1"/>
  <c r="D15" i="1" s="1"/>
  <c r="B16" i="1" l="1"/>
  <c r="D16" i="1" s="1"/>
  <c r="B17" i="1" l="1"/>
  <c r="D17" i="1" s="1"/>
  <c r="B18" i="1" l="1"/>
  <c r="D18" i="1" s="1"/>
  <c r="B19" i="1" l="1"/>
  <c r="D19" i="1" s="1"/>
  <c r="B20" i="1" l="1"/>
  <c r="D20" i="1" s="1"/>
  <c r="B21" i="1" l="1"/>
  <c r="D21" i="1" s="1"/>
  <c r="B22" i="1" l="1"/>
  <c r="D22" i="1" s="1"/>
  <c r="B23" i="1" l="1"/>
  <c r="D23" i="1" s="1"/>
  <c r="B24" i="1" l="1"/>
  <c r="D24" i="1" s="1"/>
  <c r="B25" i="1" l="1"/>
  <c r="D25" i="1" s="1"/>
  <c r="B26" i="1" l="1"/>
  <c r="D26" i="1" s="1"/>
  <c r="B27" i="1" l="1"/>
  <c r="D27" i="1" s="1"/>
  <c r="B28" i="1" l="1"/>
  <c r="D28" i="1" s="1"/>
  <c r="B29" i="1" l="1"/>
  <c r="D29" i="1" s="1"/>
  <c r="B30" i="1" l="1"/>
  <c r="D30" i="1" s="1"/>
  <c r="B31" i="1" l="1"/>
  <c r="D31" i="1" s="1"/>
  <c r="B32" i="1" l="1"/>
  <c r="D32" i="1" s="1"/>
  <c r="B33" i="1" l="1"/>
  <c r="D33" i="1" s="1"/>
  <c r="B34" i="1" l="1"/>
  <c r="D34" i="1" s="1"/>
  <c r="B35" i="1" l="1"/>
  <c r="D35" i="1" s="1"/>
  <c r="B36" i="1" l="1"/>
  <c r="D36" i="1" s="1"/>
  <c r="B37" i="1" l="1"/>
  <c r="D37" i="1" s="1"/>
  <c r="B38" i="1" l="1"/>
  <c r="D38" i="1" s="1"/>
  <c r="B39" i="1" s="1"/>
</calcChain>
</file>

<file path=xl/sharedStrings.xml><?xml version="1.0" encoding="utf-8"?>
<sst xmlns="http://schemas.openxmlformats.org/spreadsheetml/2006/main" count="12" uniqueCount="12">
  <si>
    <t>月</t>
    <phoneticPr fontId="1" type="noConversion"/>
  </si>
  <si>
    <t>现金偿付</t>
    <phoneticPr fontId="1" type="noConversion"/>
  </si>
  <si>
    <t>延期支付计划下的支付额</t>
    <phoneticPr fontId="1" type="noConversion"/>
  </si>
  <si>
    <t>差值</t>
    <phoneticPr fontId="1" type="noConversion"/>
  </si>
  <si>
    <t>折现率</t>
    <phoneticPr fontId="1" type="noConversion"/>
  </si>
  <si>
    <t>月支付额</t>
    <phoneticPr fontId="1" type="noConversion"/>
  </si>
  <si>
    <t>实际利率</t>
    <phoneticPr fontId="1" type="noConversion"/>
  </si>
  <si>
    <t>IRR</t>
    <phoneticPr fontId="1" type="noConversion"/>
  </si>
  <si>
    <t>PV</t>
    <phoneticPr fontId="1" type="noConversion"/>
  </si>
  <si>
    <t>PV现值</t>
    <phoneticPr fontId="1" type="noConversion"/>
  </si>
  <si>
    <t>SUM求和</t>
    <phoneticPr fontId="1" type="noConversion"/>
  </si>
  <si>
    <t>NPV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</si>
</sst>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1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3" fillId="0" borderId="0" xfId="1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8" fontId="0" fillId="0" borderId="0" xfId="0" applyNumberForma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2:L39"/>
  <sheetViews>
    <sheetView tabSelected="1" topLeftCell="A3" workbookViewId="0">
      <selection activeCell="H7" sqref="H7"/>
    </sheetView>
  </sheetViews>
  <sheetFormatPr defaultRowHeight="13.8" x14ac:dyDescent="0.25"/>
  <cols>
    <col min="2" max="2" width="13.109375" bestFit="1" customWidth="1"/>
    <col min="3" max="3" width="24.88671875" bestFit="1" customWidth="1"/>
    <col min="12" max="12" width="10.44140625" bestFit="1" customWidth="1"/>
  </cols>
  <sheetData>
    <row r="2" spans="1:12" x14ac:dyDescent="0.25">
      <c r="A2" t="s">
        <v>4</v>
      </c>
      <c r="B2" s="1">
        <v>1.2500000000000001E-2</v>
      </c>
    </row>
    <row r="3" spans="1:12" x14ac:dyDescent="0.25">
      <c r="A3" t="s">
        <v>5</v>
      </c>
      <c r="B3">
        <v>1050</v>
      </c>
    </row>
    <row r="4" spans="1:12" x14ac:dyDescent="0.25">
      <c r="A4" t="s">
        <v>6</v>
      </c>
      <c r="B4" s="3">
        <v>1.5609766355360141E-2</v>
      </c>
    </row>
    <row r="6" spans="1:12" x14ac:dyDescent="0.25">
      <c r="G6" s="5" t="s">
        <v>7</v>
      </c>
      <c r="H6" s="6">
        <f>IRR(G8:G38)</f>
        <v>1.56097663553596E-2</v>
      </c>
      <c r="J6" s="2" t="s">
        <v>9</v>
      </c>
      <c r="K6" t="s">
        <v>10</v>
      </c>
      <c r="L6">
        <f>SUM(J9:J38)</f>
        <v>26133.351542323653</v>
      </c>
    </row>
    <row r="7" spans="1:12" x14ac:dyDescent="0.25">
      <c r="A7" s="2" t="s">
        <v>0</v>
      </c>
      <c r="B7" s="2" t="s">
        <v>1</v>
      </c>
      <c r="C7" s="2" t="s">
        <v>2</v>
      </c>
      <c r="D7" s="2" t="s">
        <v>3</v>
      </c>
      <c r="K7" t="s">
        <v>8</v>
      </c>
      <c r="L7" s="7">
        <f>PV(B2,30,-1050)</f>
        <v>26133.351542323628</v>
      </c>
    </row>
    <row r="8" spans="1:12" x14ac:dyDescent="0.25">
      <c r="A8" s="2">
        <v>0</v>
      </c>
      <c r="B8" s="2">
        <v>30000</v>
      </c>
      <c r="C8" s="2">
        <v>5000</v>
      </c>
      <c r="D8" s="2">
        <f>B8-C8</f>
        <v>25000</v>
      </c>
      <c r="E8" t="str">
        <f ca="1">_xlfn.FORMULATEXT(D8)</f>
        <v>=B8-C8</v>
      </c>
      <c r="G8" s="2">
        <v>-25000</v>
      </c>
      <c r="K8" t="s">
        <v>11</v>
      </c>
      <c r="L8" s="7">
        <f>NPV(B2,G9:G38)</f>
        <v>26133.35154232366</v>
      </c>
    </row>
    <row r="9" spans="1:12" x14ac:dyDescent="0.25">
      <c r="A9" s="2">
        <v>1</v>
      </c>
      <c r="B9" s="2">
        <f>(1+$B$4)*D8</f>
        <v>25390.244158884001</v>
      </c>
      <c r="C9" s="2">
        <f>$B$3</f>
        <v>1050</v>
      </c>
      <c r="D9" s="2">
        <f>B9-C9</f>
        <v>24340.244158884001</v>
      </c>
      <c r="E9" t="str">
        <f ca="1">_xlfn.FORMULATEXT(D9)</f>
        <v>=B9-C9</v>
      </c>
      <c r="G9" s="2">
        <f>$B$3</f>
        <v>1050</v>
      </c>
      <c r="J9">
        <f>C9/(1+$B$2)^A9</f>
        <v>1037.0370370370372</v>
      </c>
    </row>
    <row r="10" spans="1:12" x14ac:dyDescent="0.25">
      <c r="A10" s="2">
        <v>2</v>
      </c>
      <c r="B10" s="2">
        <f>(1+$B$4)*D9</f>
        <v>24720.189683236596</v>
      </c>
      <c r="C10" s="2">
        <v>1050</v>
      </c>
      <c r="D10" s="2">
        <f t="shared" ref="D10" si="0">B10-C10</f>
        <v>23670.189683236596</v>
      </c>
      <c r="G10" s="2">
        <v>1050</v>
      </c>
      <c r="J10">
        <f t="shared" ref="J10:J38" si="1">C10/(1+$B$2)^A10</f>
        <v>1024.2341106538638</v>
      </c>
    </row>
    <row r="11" spans="1:12" x14ac:dyDescent="0.25">
      <c r="A11" s="2">
        <v>3</v>
      </c>
      <c r="B11" s="2">
        <f t="shared" ref="B11:B39" si="2">(1+$B$4)*D10</f>
        <v>24039.675813778973</v>
      </c>
      <c r="C11" s="2">
        <v>1050</v>
      </c>
      <c r="D11" s="2">
        <f t="shared" ref="D11" si="3">B11-C11</f>
        <v>22989.675813778973</v>
      </c>
      <c r="G11" s="2">
        <v>1050</v>
      </c>
      <c r="J11">
        <f t="shared" si="1"/>
        <v>1011.589245090236</v>
      </c>
    </row>
    <row r="12" spans="1:12" x14ac:dyDescent="0.25">
      <c r="A12" s="2">
        <v>4</v>
      </c>
      <c r="B12" s="2">
        <f t="shared" si="2"/>
        <v>23348.539281817535</v>
      </c>
      <c r="C12" s="2">
        <v>1050</v>
      </c>
      <c r="D12" s="2">
        <f t="shared" ref="D12:D38" si="4">B12-C12</f>
        <v>22298.539281817535</v>
      </c>
      <c r="G12" s="2">
        <v>1050</v>
      </c>
      <c r="J12">
        <f t="shared" si="1"/>
        <v>999.10048897801073</v>
      </c>
    </row>
    <row r="13" spans="1:12" x14ac:dyDescent="0.25">
      <c r="A13" s="2">
        <v>5</v>
      </c>
      <c r="B13" s="2">
        <f t="shared" si="2"/>
        <v>22646.614270072525</v>
      </c>
      <c r="C13" s="2">
        <v>1050</v>
      </c>
      <c r="D13" s="2">
        <f t="shared" si="4"/>
        <v>21596.614270072525</v>
      </c>
      <c r="G13" s="2">
        <v>1050</v>
      </c>
      <c r="J13">
        <f t="shared" si="1"/>
        <v>986.76591504001067</v>
      </c>
    </row>
    <row r="14" spans="1:12" x14ac:dyDescent="0.25">
      <c r="A14" s="2">
        <v>6</v>
      </c>
      <c r="B14" s="2">
        <f t="shared" si="2"/>
        <v>21933.732372895192</v>
      </c>
      <c r="C14" s="2">
        <v>1050</v>
      </c>
      <c r="D14" s="2">
        <f t="shared" si="4"/>
        <v>20883.732372895192</v>
      </c>
      <c r="G14" s="2">
        <v>1050</v>
      </c>
      <c r="J14">
        <f t="shared" si="1"/>
        <v>974.58361979260314</v>
      </c>
    </row>
    <row r="15" spans="1:12" x14ac:dyDescent="0.25">
      <c r="A15" s="2">
        <v>7</v>
      </c>
      <c r="B15" s="2">
        <f t="shared" si="2"/>
        <v>21209.722555863955</v>
      </c>
      <c r="C15" s="2">
        <v>1050</v>
      </c>
      <c r="D15" s="2">
        <f t="shared" si="4"/>
        <v>20159.722555863955</v>
      </c>
      <c r="G15" s="2">
        <v>1050</v>
      </c>
      <c r="J15">
        <f t="shared" si="1"/>
        <v>962.55172325195383</v>
      </c>
    </row>
    <row r="16" spans="1:12" x14ac:dyDescent="0.25">
      <c r="A16" s="2">
        <v>8</v>
      </c>
      <c r="B16" s="2">
        <f t="shared" si="2"/>
        <v>20474.411114749873</v>
      </c>
      <c r="C16" s="2">
        <v>1050</v>
      </c>
      <c r="D16" s="2">
        <f t="shared" si="4"/>
        <v>19424.411114749873</v>
      </c>
      <c r="G16" s="2">
        <v>1050</v>
      </c>
      <c r="J16">
        <f t="shared" si="1"/>
        <v>950.66836864390484</v>
      </c>
    </row>
    <row r="17" spans="1:10" x14ac:dyDescent="0.25">
      <c r="A17" s="2">
        <v>9</v>
      </c>
      <c r="B17" s="2">
        <f t="shared" si="2"/>
        <v>19727.621633841576</v>
      </c>
      <c r="C17" s="2">
        <v>1050</v>
      </c>
      <c r="D17" s="2">
        <f t="shared" si="4"/>
        <v>18677.621633841576</v>
      </c>
      <c r="G17" s="2">
        <v>1050</v>
      </c>
      <c r="J17">
        <f t="shared" si="1"/>
        <v>938.93172211743695</v>
      </c>
    </row>
    <row r="18" spans="1:10" x14ac:dyDescent="0.25">
      <c r="A18" s="2">
        <v>10</v>
      </c>
      <c r="B18" s="2">
        <f t="shared" si="2"/>
        <v>18969.174943619662</v>
      </c>
      <c r="C18" s="2">
        <v>1050</v>
      </c>
      <c r="D18" s="2">
        <f t="shared" si="4"/>
        <v>17919.174943619662</v>
      </c>
      <c r="G18" s="2">
        <v>1050</v>
      </c>
      <c r="J18">
        <f t="shared" si="1"/>
        <v>927.33997246166598</v>
      </c>
    </row>
    <row r="19" spans="1:10" x14ac:dyDescent="0.25">
      <c r="A19" s="2">
        <v>11</v>
      </c>
      <c r="B19" s="2">
        <f t="shared" si="2"/>
        <v>18198.889077770385</v>
      </c>
      <c r="C19" s="2">
        <v>1050</v>
      </c>
      <c r="D19" s="2">
        <f t="shared" si="4"/>
        <v>17148.889077770385</v>
      </c>
      <c r="G19" s="2">
        <v>1050</v>
      </c>
      <c r="J19">
        <f t="shared" si="1"/>
        <v>915.89133082633703</v>
      </c>
    </row>
    <row r="20" spans="1:10" x14ac:dyDescent="0.25">
      <c r="A20" s="2">
        <v>12</v>
      </c>
      <c r="B20" s="2">
        <f t="shared" si="2"/>
        <v>17416.579229528368</v>
      </c>
      <c r="C20" s="2">
        <v>1050</v>
      </c>
      <c r="D20" s="2">
        <f t="shared" si="4"/>
        <v>16366.579229528368</v>
      </c>
      <c r="G20" s="2">
        <v>1050</v>
      </c>
      <c r="J20">
        <f t="shared" si="1"/>
        <v>904.58403044576482</v>
      </c>
    </row>
    <row r="21" spans="1:10" x14ac:dyDescent="0.25">
      <c r="A21" s="2">
        <v>13</v>
      </c>
      <c r="B21" s="2">
        <f t="shared" si="2"/>
        <v>16622.057707337794</v>
      </c>
      <c r="C21" s="2">
        <v>1050</v>
      </c>
      <c r="D21" s="2">
        <f t="shared" si="4"/>
        <v>15572.057707337794</v>
      </c>
      <c r="G21" s="2">
        <v>1050</v>
      </c>
      <c r="J21">
        <f t="shared" si="1"/>
        <v>893.41632636618772</v>
      </c>
    </row>
    <row r="22" spans="1:10" x14ac:dyDescent="0.25">
      <c r="A22" s="2">
        <v>14</v>
      </c>
      <c r="B22" s="2">
        <f t="shared" si="2"/>
        <v>15815.13388982152</v>
      </c>
      <c r="C22" s="2">
        <v>1050</v>
      </c>
      <c r="D22" s="2">
        <f t="shared" si="4"/>
        <v>14765.13388982152</v>
      </c>
      <c r="G22" s="2">
        <v>1050</v>
      </c>
      <c r="J22">
        <f t="shared" si="1"/>
        <v>882.3864951764815</v>
      </c>
    </row>
    <row r="23" spans="1:10" x14ac:dyDescent="0.25">
      <c r="A23" s="2">
        <v>15</v>
      </c>
      <c r="B23" s="2">
        <f t="shared" si="2"/>
        <v>14995.614180047241</v>
      </c>
      <c r="C23" s="2">
        <v>1050</v>
      </c>
      <c r="D23" s="2">
        <f t="shared" si="4"/>
        <v>13945.614180047241</v>
      </c>
      <c r="G23" s="2">
        <v>1050</v>
      </c>
      <c r="J23">
        <f t="shared" si="1"/>
        <v>871.49283474220408</v>
      </c>
    </row>
    <row r="24" spans="1:10" x14ac:dyDescent="0.25">
      <c r="A24" s="2">
        <v>16</v>
      </c>
      <c r="B24" s="2">
        <f t="shared" si="2"/>
        <v>14163.301959079774</v>
      </c>
      <c r="C24" s="2">
        <v>1050</v>
      </c>
      <c r="D24" s="2">
        <f t="shared" si="4"/>
        <v>13113.301959079774</v>
      </c>
      <c r="G24" s="2">
        <v>1050</v>
      </c>
      <c r="J24">
        <f t="shared" si="1"/>
        <v>860.73366394291747</v>
      </c>
    </row>
    <row r="25" spans="1:10" x14ac:dyDescent="0.25">
      <c r="A25" s="2">
        <v>17</v>
      </c>
      <c r="B25" s="2">
        <f t="shared" si="2"/>
        <v>13317.997538808295</v>
      </c>
      <c r="C25" s="2">
        <v>1050</v>
      </c>
      <c r="D25" s="2">
        <f t="shared" si="4"/>
        <v>12267.997538808295</v>
      </c>
      <c r="G25" s="2">
        <v>1050</v>
      </c>
      <c r="J25">
        <f t="shared" si="1"/>
        <v>850.10732241275809</v>
      </c>
    </row>
    <row r="26" spans="1:10" x14ac:dyDescent="0.25">
      <c r="A26" s="2">
        <v>18</v>
      </c>
      <c r="B26" s="2">
        <f t="shared" si="2"/>
        <v>12459.498114037224</v>
      </c>
      <c r="C26" s="2">
        <v>1050</v>
      </c>
      <c r="D26" s="2">
        <f t="shared" si="4"/>
        <v>11409.498114037224</v>
      </c>
      <c r="G26" s="2">
        <v>1050</v>
      </c>
      <c r="J26">
        <f t="shared" si="1"/>
        <v>839.61217028420538</v>
      </c>
    </row>
    <row r="27" spans="1:10" x14ac:dyDescent="0.25">
      <c r="A27" s="2">
        <v>19</v>
      </c>
      <c r="B27" s="2">
        <f t="shared" si="2"/>
        <v>11587.597713829266</v>
      </c>
      <c r="C27" s="2">
        <v>1050</v>
      </c>
      <c r="D27" s="2">
        <f t="shared" si="4"/>
        <v>10537.597713829266</v>
      </c>
      <c r="G27" s="2">
        <v>1050</v>
      </c>
      <c r="J27">
        <f t="shared" si="1"/>
        <v>829.24658793501783</v>
      </c>
    </row>
    <row r="28" spans="1:10" x14ac:dyDescent="0.25">
      <c r="A28" s="2">
        <v>20</v>
      </c>
      <c r="B28" s="2">
        <f t="shared" si="2"/>
        <v>10702.087152088916</v>
      </c>
      <c r="C28" s="2">
        <v>1050</v>
      </c>
      <c r="D28" s="2">
        <f t="shared" si="4"/>
        <v>9652.0871520889159</v>
      </c>
      <c r="G28" s="2">
        <v>1050</v>
      </c>
      <c r="J28">
        <f t="shared" si="1"/>
        <v>819.00897573828922</v>
      </c>
    </row>
    <row r="29" spans="1:10" x14ac:dyDescent="0.25">
      <c r="A29" s="2">
        <v>21</v>
      </c>
      <c r="B29" s="2">
        <f t="shared" si="2"/>
        <v>9802.7539773745957</v>
      </c>
      <c r="C29" s="2">
        <v>1050</v>
      </c>
      <c r="D29" s="2">
        <f t="shared" si="4"/>
        <v>8752.7539773745957</v>
      </c>
      <c r="G29" s="2">
        <v>1050</v>
      </c>
      <c r="J29">
        <f t="shared" si="1"/>
        <v>808.89775381559434</v>
      </c>
    </row>
    <row r="30" spans="1:10" x14ac:dyDescent="0.25">
      <c r="A30" s="2">
        <v>22</v>
      </c>
      <c r="B30" s="2">
        <f t="shared" si="2"/>
        <v>8889.3824219273611</v>
      </c>
      <c r="C30" s="2">
        <v>1050</v>
      </c>
      <c r="D30" s="2">
        <f t="shared" si="4"/>
        <v>7839.3824219273611</v>
      </c>
      <c r="G30" s="2">
        <v>1050</v>
      </c>
      <c r="J30">
        <f t="shared" si="1"/>
        <v>798.91136179317959</v>
      </c>
    </row>
    <row r="31" spans="1:10" x14ac:dyDescent="0.25">
      <c r="A31" s="2">
        <v>23</v>
      </c>
      <c r="B31" s="2">
        <f t="shared" si="2"/>
        <v>7961.7533499039637</v>
      </c>
      <c r="C31" s="2">
        <v>1050</v>
      </c>
      <c r="D31" s="2">
        <f t="shared" si="4"/>
        <v>6911.7533499039637</v>
      </c>
      <c r="G31" s="2">
        <v>1050</v>
      </c>
      <c r="J31">
        <f t="shared" si="1"/>
        <v>789.04825856116508</v>
      </c>
    </row>
    <row r="32" spans="1:10" x14ac:dyDescent="0.25">
      <c r="A32" s="2">
        <v>24</v>
      </c>
      <c r="B32" s="2">
        <f t="shared" si="2"/>
        <v>7019.6442048018416</v>
      </c>
      <c r="C32" s="2">
        <v>1050</v>
      </c>
      <c r="D32" s="2">
        <f t="shared" si="4"/>
        <v>5969.6442048018416</v>
      </c>
      <c r="G32" s="2">
        <v>1050</v>
      </c>
      <c r="J32">
        <f t="shared" si="1"/>
        <v>779.30692203571857</v>
      </c>
    </row>
    <row r="33" spans="1:10" x14ac:dyDescent="0.25">
      <c r="A33" s="2">
        <v>25</v>
      </c>
      <c r="B33" s="2">
        <f t="shared" si="2"/>
        <v>6062.8289560634275</v>
      </c>
      <c r="C33" s="2">
        <v>1050</v>
      </c>
      <c r="D33" s="2">
        <f t="shared" si="4"/>
        <v>5012.8289560634275</v>
      </c>
      <c r="G33" s="2">
        <v>1050</v>
      </c>
      <c r="J33">
        <f t="shared" si="1"/>
        <v>769.68584892416652</v>
      </c>
    </row>
    <row r="34" spans="1:10" x14ac:dyDescent="0.25">
      <c r="A34" s="2">
        <v>26</v>
      </c>
      <c r="B34" s="2">
        <f t="shared" si="2"/>
        <v>5091.0780448469613</v>
      </c>
      <c r="C34" s="2">
        <v>1050</v>
      </c>
      <c r="D34" s="2">
        <f t="shared" si="4"/>
        <v>4041.0780448469613</v>
      </c>
      <c r="G34" s="2">
        <v>1050</v>
      </c>
      <c r="J34">
        <f t="shared" si="1"/>
        <v>760.18355449300373</v>
      </c>
    </row>
    <row r="35" spans="1:10" x14ac:dyDescent="0.25">
      <c r="A35" s="2">
        <v>27</v>
      </c>
      <c r="B35" s="2">
        <f t="shared" si="2"/>
        <v>4104.158328950798</v>
      </c>
      <c r="C35" s="2">
        <v>1050</v>
      </c>
      <c r="D35" s="2">
        <f t="shared" si="4"/>
        <v>3054.158328950798</v>
      </c>
      <c r="G35" s="2">
        <v>1050</v>
      </c>
      <c r="J35">
        <f t="shared" si="1"/>
        <v>750.79857233876942</v>
      </c>
    </row>
    <row r="36" spans="1:10" x14ac:dyDescent="0.25">
      <c r="A36" s="2">
        <v>28</v>
      </c>
      <c r="B36" s="2">
        <f t="shared" si="2"/>
        <v>3101.8330268779969</v>
      </c>
      <c r="C36" s="2">
        <v>1050</v>
      </c>
      <c r="D36" s="2">
        <f t="shared" si="4"/>
        <v>2051.8330268779969</v>
      </c>
      <c r="G36" s="2">
        <v>1050</v>
      </c>
      <c r="J36">
        <f t="shared" si="1"/>
        <v>741.52945416174748</v>
      </c>
    </row>
    <row r="37" spans="1:10" x14ac:dyDescent="0.25">
      <c r="A37" s="2">
        <v>29</v>
      </c>
      <c r="B37" s="2">
        <f t="shared" si="2"/>
        <v>2083.8616610277736</v>
      </c>
      <c r="C37" s="2">
        <v>1050</v>
      </c>
      <c r="D37" s="2">
        <f t="shared" si="4"/>
        <v>1033.8616610277736</v>
      </c>
      <c r="G37" s="2">
        <v>1050</v>
      </c>
      <c r="J37">
        <f t="shared" si="1"/>
        <v>732.37476954246677</v>
      </c>
    </row>
    <row r="38" spans="1:10" x14ac:dyDescent="0.25">
      <c r="A38" s="2">
        <v>30</v>
      </c>
      <c r="B38" s="2">
        <f t="shared" si="2"/>
        <v>1050.0000000001817</v>
      </c>
      <c r="C38" s="2">
        <v>1050</v>
      </c>
      <c r="D38" s="2">
        <f t="shared" si="4"/>
        <v>1.8167156667914242E-10</v>
      </c>
      <c r="G38" s="2">
        <v>1050</v>
      </c>
      <c r="J38">
        <f t="shared" si="1"/>
        <v>723.33310572095468</v>
      </c>
    </row>
    <row r="39" spans="1:10" x14ac:dyDescent="0.25">
      <c r="A39" s="2">
        <v>31</v>
      </c>
      <c r="B39" s="4">
        <f t="shared" si="2"/>
        <v>1.8450741738841604E-10</v>
      </c>
      <c r="C39" s="2"/>
      <c r="D39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2024-10-06T09:44:00Z</dcterms:modified>
</cp:coreProperties>
</file>