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3BDD6E7B-9128-4955-A98A-BD438BA885E5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G5" i="1"/>
  <c r="G4" i="1"/>
  <c r="H4" i="1"/>
  <c r="E5" i="1" s="1"/>
  <c r="C12" i="1"/>
  <c r="I4" i="1"/>
  <c r="H5" i="1" l="1"/>
  <c r="E6" i="1" s="1"/>
  <c r="G6" i="1" s="1"/>
  <c r="H6" i="1" l="1"/>
  <c r="E7" i="1" s="1"/>
  <c r="G7" i="1" s="1"/>
  <c r="H7" i="1" l="1"/>
  <c r="E8" i="1" s="1"/>
  <c r="G8" i="1" s="1"/>
  <c r="H8" i="1" l="1"/>
  <c r="E9" i="1" s="1"/>
</calcChain>
</file>

<file path=xl/sharedStrings.xml><?xml version="1.0" encoding="utf-8"?>
<sst xmlns="http://schemas.openxmlformats.org/spreadsheetml/2006/main" count="11" uniqueCount="10">
  <si>
    <t>IRR?</t>
    <phoneticPr fontId="1" type="noConversion"/>
  </si>
  <si>
    <t>贷款表</t>
    <phoneticPr fontId="1" type="noConversion"/>
  </si>
  <si>
    <t>偿付额分配：</t>
    <phoneticPr fontId="1" type="noConversion"/>
  </si>
  <si>
    <t>年</t>
    <phoneticPr fontId="1" type="noConversion"/>
  </si>
  <si>
    <t>现金流</t>
    <phoneticPr fontId="1" type="noConversion"/>
  </si>
  <si>
    <t>期初本金</t>
    <phoneticPr fontId="1" type="noConversion"/>
  </si>
  <si>
    <t>年末偿付</t>
    <phoneticPr fontId="1" type="noConversion"/>
  </si>
  <si>
    <t>利息</t>
    <phoneticPr fontId="1" type="noConversion"/>
  </si>
  <si>
    <t>本金</t>
    <phoneticPr fontId="1" type="noConversion"/>
  </si>
  <si>
    <t>IRR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</si>
</sst>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10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251460</xdr:colOff>
      <xdr:row>2</xdr:row>
      <xdr:rowOff>38100</xdr:rowOff>
    </xdr:from>
    <xdr:to>
      <xdr:col>15</xdr:col>
      <xdr:colOff>261497</xdr:colOff>
      <xdr:row>17</xdr:row>
      <xdr:rowOff>86099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E48C3F3-4D05-E2ED-C690-42D881E5D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7860" y="388620"/>
          <a:ext cx="3667637" cy="26768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12"/>
  <sheetViews>
    <sheetView tabSelected="1" workbookViewId="0">
      <selection activeCell="T7" sqref="T7"/>
    </sheetView>
  </sheetViews>
  <sheetFormatPr defaultRowHeight="13.8" x14ac:dyDescent="0.25"/>
  <sheetData>
    <row r="1" spans="1:9" x14ac:dyDescent="0.25">
      <c r="A1" t="s">
        <v>0</v>
      </c>
      <c r="B1" s="1">
        <v>0.03</v>
      </c>
    </row>
    <row r="2" spans="1:9" x14ac:dyDescent="0.25">
      <c r="D2" t="s">
        <v>1</v>
      </c>
      <c r="G2" s="4" t="s">
        <v>2</v>
      </c>
      <c r="H2" s="4"/>
    </row>
    <row r="3" spans="1:9" x14ac:dyDescent="0.25">
      <c r="A3" t="s">
        <v>3</v>
      </c>
      <c r="B3" t="s">
        <v>4</v>
      </c>
      <c r="D3" t="s">
        <v>3</v>
      </c>
      <c r="E3" t="s">
        <v>5</v>
      </c>
      <c r="F3" t="s">
        <v>6</v>
      </c>
      <c r="G3" t="s">
        <v>7</v>
      </c>
      <c r="H3" t="s">
        <v>8</v>
      </c>
    </row>
    <row r="4" spans="1:9" x14ac:dyDescent="0.25">
      <c r="A4">
        <v>0</v>
      </c>
      <c r="B4">
        <v>-800</v>
      </c>
      <c r="D4">
        <v>1</v>
      </c>
      <c r="E4">
        <v>800</v>
      </c>
      <c r="F4">
        <v>300</v>
      </c>
      <c r="G4">
        <f>$B$1*E4</f>
        <v>24</v>
      </c>
      <c r="H4">
        <f>F4-G4</f>
        <v>276</v>
      </c>
      <c r="I4" t="str">
        <f ca="1">_xlfn.FORMULATEXT(H4)</f>
        <v>=F4-G4</v>
      </c>
    </row>
    <row r="5" spans="1:9" x14ac:dyDescent="0.25">
      <c r="A5">
        <v>1</v>
      </c>
      <c r="B5">
        <v>300</v>
      </c>
      <c r="D5">
        <v>2</v>
      </c>
      <c r="E5">
        <f>E4-H4</f>
        <v>524</v>
      </c>
      <c r="F5">
        <v>200</v>
      </c>
      <c r="G5">
        <f t="shared" ref="G5:G8" si="0">$B$1*E5</f>
        <v>15.719999999999999</v>
      </c>
      <c r="H5">
        <f>F5-G5</f>
        <v>184.28</v>
      </c>
    </row>
    <row r="6" spans="1:9" x14ac:dyDescent="0.25">
      <c r="A6">
        <v>2</v>
      </c>
      <c r="B6">
        <v>200</v>
      </c>
      <c r="D6">
        <v>3</v>
      </c>
      <c r="E6">
        <f t="shared" ref="E6:E9" si="1">E5-H5</f>
        <v>339.72</v>
      </c>
      <c r="F6">
        <v>150</v>
      </c>
      <c r="G6">
        <f t="shared" si="0"/>
        <v>10.191600000000001</v>
      </c>
      <c r="H6">
        <f t="shared" ref="H6:H8" si="2">F6-G6</f>
        <v>139.80840000000001</v>
      </c>
    </row>
    <row r="7" spans="1:9" x14ac:dyDescent="0.25">
      <c r="A7">
        <v>3</v>
      </c>
      <c r="B7">
        <v>150</v>
      </c>
      <c r="D7">
        <v>4</v>
      </c>
      <c r="E7">
        <f t="shared" si="1"/>
        <v>199.91160000000002</v>
      </c>
      <c r="F7">
        <v>122</v>
      </c>
      <c r="G7">
        <f t="shared" si="0"/>
        <v>5.9973480000000006</v>
      </c>
      <c r="H7">
        <f t="shared" si="2"/>
        <v>116.002652</v>
      </c>
    </row>
    <row r="8" spans="1:9" x14ac:dyDescent="0.25">
      <c r="A8">
        <v>4</v>
      </c>
      <c r="B8">
        <v>122</v>
      </c>
      <c r="D8">
        <v>5</v>
      </c>
      <c r="E8">
        <f t="shared" si="1"/>
        <v>83.908948000000024</v>
      </c>
      <c r="F8">
        <v>133</v>
      </c>
      <c r="G8">
        <f t="shared" si="0"/>
        <v>2.5172684400000005</v>
      </c>
      <c r="H8">
        <f t="shared" si="2"/>
        <v>130.48273155999999</v>
      </c>
    </row>
    <row r="9" spans="1:9" x14ac:dyDescent="0.25">
      <c r="A9">
        <v>5</v>
      </c>
      <c r="B9">
        <v>133</v>
      </c>
      <c r="D9">
        <v>6</v>
      </c>
      <c r="E9" s="2">
        <f t="shared" si="1"/>
        <v>-46.573783559999967</v>
      </c>
    </row>
    <row r="12" spans="1:9" x14ac:dyDescent="0.25">
      <c r="A12" t="s">
        <v>9</v>
      </c>
      <c r="B12" s="3">
        <f>IRR(B4:B9)</f>
        <v>5.0683794701226192E-2</v>
      </c>
      <c r="C12" t="str">
        <f ca="1">_xlfn.FORMULATEXT(B12)</f>
        <v>=IRR(B4:B9)</v>
      </c>
    </row>
  </sheetData>
  <mergeCells count="1">
    <mergeCell ref="G2:H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2024-10-06T05:33:53Z</dcterms:modified>
</cp:coreProperties>
</file>