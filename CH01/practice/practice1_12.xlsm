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1\practice\"/>
    </mc:Choice>
  </mc:AlternateContent>
  <xr:revisionPtr revIDLastSave="0" documentId="13_ncr:1_{5757A804-B7FF-42EF-83AF-5656D73BBD86}" xr6:coauthVersionLast="47" xr6:coauthVersionMax="47" xr10:uidLastSave="{00000000-0000-0000-0000-000000000000}"/>
  <bookViews>
    <workbookView xWindow="28680" yWindow="-120" windowWidth="16440" windowHeight="28320" xr2:uid="{EA6F33A8-FE0E-48B1-8C74-8B2321C6BA8B}"/>
  </bookViews>
  <sheets>
    <sheet name="Sheet1" sheetId="1" r:id="rId1"/>
  </sheets>
  <definedNames>
    <definedName name="solver_adj" localSheetId="0" hidden="1">Sheet1!$B$4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Sheet1!$B$5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85000</definedName>
    <definedName name="solver_ver" localSheetId="0" hidden="1">3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1" l="1"/>
  <c r="B7" i="1"/>
  <c r="B5" i="1"/>
  <c r="C8" i="1"/>
  <c r="C5" i="1"/>
  <c r="C7" i="1"/>
</calcChain>
</file>

<file path=xl/sharedStrings.xml><?xml version="1.0" encoding="utf-8"?>
<sst xmlns="http://schemas.openxmlformats.org/spreadsheetml/2006/main" count="7" uniqueCount="7">
  <si>
    <t>每月偿付额</t>
    <phoneticPr fontId="1" type="noConversion"/>
  </si>
  <si>
    <t>月数</t>
    <phoneticPr fontId="1" type="noConversion"/>
  </si>
  <si>
    <t>累计值</t>
    <phoneticPr fontId="1" type="noConversion"/>
  </si>
  <si>
    <t>实际月收益率</t>
    <phoneticPr fontId="1" type="noConversion"/>
  </si>
  <si>
    <t>实际年收益率</t>
    <phoneticPr fontId="1" type="noConversion"/>
  </si>
  <si>
    <t>银行</t>
    <phoneticPr fontId="1" type="noConversion"/>
  </si>
  <si>
    <t>常规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</si>
</sst>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¥&quot;#,##0.00;[Red]&quot;¥&quot;\-#,##0.00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b/>
      <sz val="11"/>
      <color rgb="FFFF0000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9" fontId="0" fillId="0" borderId="0" xfId="0" applyNumberFormat="1">
      <alignment vertical="center"/>
    </xf>
    <xf numFmtId="10" fontId="0" fillId="0" borderId="0" xfId="1" applyNumberFormat="1" applyFont="1">
      <alignment vertical="center"/>
    </xf>
    <xf numFmtId="8" fontId="3" fillId="0" borderId="0" xfId="0" applyNumberFormat="1" applyFont="1">
      <alignment vertical="center"/>
    </xf>
    <xf numFmtId="10" fontId="4" fillId="0" borderId="0" xfId="1" applyNumberFormat="1" applyFont="1">
      <alignment vertic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213360</xdr:colOff>
      <xdr:row>40</xdr:row>
      <xdr:rowOff>137160</xdr:rowOff>
    </xdr:from>
    <xdr:to>
      <xdr:col>17</xdr:col>
      <xdr:colOff>528835</xdr:colOff>
      <xdr:row>71</xdr:row>
      <xdr:rowOff>48371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CDA3D301-B252-4352-AEEE-FD5A0C73B6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99660" y="7147560"/>
          <a:ext cx="8240275" cy="5344271"/>
        </a:xfrm>
        <a:prstGeom prst="rect">
          <a:avLst/>
        </a:prstGeom>
      </xdr:spPr>
    </xdr:pic>
    <xdr:clientData/>
  </xdr:twoCellAnchor>
  <xdr:twoCellAnchor editAs="oneCell">
    <xdr:from>
      <xdr:col>4</xdr:col>
      <xdr:colOff>121920</xdr:colOff>
      <xdr:row>0</xdr:row>
      <xdr:rowOff>0</xdr:rowOff>
    </xdr:from>
    <xdr:to>
      <xdr:col>18</xdr:col>
      <xdr:colOff>8795</xdr:colOff>
      <xdr:row>38</xdr:row>
      <xdr:rowOff>151446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46F18E56-D5B0-2610-C085-5E3F5F4032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08220" y="0"/>
          <a:ext cx="8421275" cy="681132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D8"/>
  <sheetViews>
    <sheetView tabSelected="1" workbookViewId="0">
      <selection activeCell="C14" sqref="C14"/>
    </sheetView>
  </sheetViews>
  <sheetFormatPr defaultRowHeight="13.8" x14ac:dyDescent="0.25"/>
  <cols>
    <col min="1" max="1" width="29.44140625" customWidth="1"/>
    <col min="2" max="2" width="13.109375" bestFit="1" customWidth="1"/>
    <col min="3" max="3" width="16.88671875" bestFit="1" customWidth="1"/>
  </cols>
  <sheetData>
    <row r="1" spans="1:4" x14ac:dyDescent="0.25">
      <c r="A1" s="1" t="s">
        <v>0</v>
      </c>
      <c r="B1">
        <v>250</v>
      </c>
    </row>
    <row r="2" spans="1:4" x14ac:dyDescent="0.25">
      <c r="A2" s="1" t="s">
        <v>1</v>
      </c>
      <c r="B2">
        <v>120</v>
      </c>
    </row>
    <row r="4" spans="1:4" x14ac:dyDescent="0.25">
      <c r="A4" s="1" t="s">
        <v>3</v>
      </c>
      <c r="B4" s="2">
        <v>1.5144604463669858E-2</v>
      </c>
    </row>
    <row r="5" spans="1:4" x14ac:dyDescent="0.25">
      <c r="A5" s="1" t="s">
        <v>2</v>
      </c>
      <c r="B5" s="4">
        <f>FV(B4,B2,-B1,,1)</f>
        <v>84998.292273834071</v>
      </c>
      <c r="C5" t="str">
        <f ca="1">_xlfn.FORMULATEXT(B5)</f>
        <v>=FV(B4,B2,-B1,,1)</v>
      </c>
    </row>
    <row r="7" spans="1:4" x14ac:dyDescent="0.25">
      <c r="A7" s="1" t="s">
        <v>4</v>
      </c>
      <c r="B7" s="5">
        <f>(1+B4)^12-1</f>
        <v>0.19766381396477684</v>
      </c>
      <c r="C7" t="str">
        <f ca="1">_xlfn.FORMULATEXT(B7)</f>
        <v>=(1+B4)^12-1</v>
      </c>
      <c r="D7" t="s">
        <v>6</v>
      </c>
    </row>
    <row r="8" spans="1:4" x14ac:dyDescent="0.25">
      <c r="B8" s="3">
        <f>12*B4</f>
        <v>0.1817352535640383</v>
      </c>
      <c r="C8" t="str">
        <f ca="1">_xlfn.FORMULATEXT(B8)</f>
        <v>=12*B4</v>
      </c>
      <c r="D8" t="s">
        <v>5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2024-10-06T09:46:13Z</dcterms:modified>
</cp:coreProperties>
</file>