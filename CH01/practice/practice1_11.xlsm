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AE289F7F-75BF-49F6-9C5F-3B1A31C31A70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C10" i="1"/>
  <c r="C11" i="1" s="1"/>
  <c r="D11" i="1" s="1"/>
  <c r="C12" i="1" s="1"/>
  <c r="D12" i="1" s="1"/>
  <c r="C13" i="1" s="1"/>
  <c r="D13" i="1" s="1"/>
  <c r="B6" i="1"/>
  <c r="E11" i="1"/>
  <c r="C16" i="1"/>
  <c r="C6" i="1"/>
  <c r="E10" i="1"/>
  <c r="C14" i="1" l="1"/>
  <c r="D14" i="1" s="1"/>
</calcChain>
</file>

<file path=xl/sharedStrings.xml><?xml version="1.0" encoding="utf-8"?>
<sst xmlns="http://schemas.openxmlformats.org/spreadsheetml/2006/main" count="9" uniqueCount="9">
  <si>
    <t>储蓄计划</t>
    <phoneticPr fontId="1" type="noConversion"/>
  </si>
  <si>
    <t>年偿付额</t>
    <phoneticPr fontId="1" type="noConversion"/>
  </si>
  <si>
    <t>利息率</t>
    <phoneticPr fontId="1" type="noConversion"/>
  </si>
  <si>
    <t>年数</t>
    <phoneticPr fontId="1" type="noConversion"/>
  </si>
  <si>
    <t>总值</t>
    <phoneticPr fontId="1" type="noConversion"/>
  </si>
  <si>
    <t>年</t>
    <phoneticPr fontId="1" type="noConversion"/>
  </si>
  <si>
    <t>每年利息</t>
    <phoneticPr fontId="1" type="noConversion"/>
  </si>
  <si>
    <t>年初偿还额</t>
    <phoneticPr fontId="1" type="noConversion"/>
  </si>
  <si>
    <t>年末累计值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</si>
</sst>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8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16"/>
  <sheetViews>
    <sheetView tabSelected="1" workbookViewId="0">
      <selection activeCell="F17" sqref="F17"/>
    </sheetView>
  </sheetViews>
  <sheetFormatPr defaultRowHeight="13.8" x14ac:dyDescent="0.25"/>
  <cols>
    <col min="2" max="2" width="15.44140625" bestFit="1" customWidth="1"/>
    <col min="3" max="3" width="16.88671875" style="1" bestFit="1" customWidth="1"/>
    <col min="4" max="4" width="11.6640625" bestFit="1" customWidth="1"/>
  </cols>
  <sheetData>
    <row r="1" spans="1:5" ht="22.8" x14ac:dyDescent="0.25">
      <c r="A1" s="4" t="s">
        <v>0</v>
      </c>
      <c r="B1" s="4"/>
      <c r="C1" s="4"/>
      <c r="D1" s="4"/>
      <c r="E1" s="4"/>
    </row>
    <row r="3" spans="1:5" x14ac:dyDescent="0.25">
      <c r="A3" t="s">
        <v>1</v>
      </c>
      <c r="B3" s="1">
        <v>15000</v>
      </c>
    </row>
    <row r="4" spans="1:5" x14ac:dyDescent="0.25">
      <c r="A4" s="1" t="s">
        <v>2</v>
      </c>
      <c r="B4" s="2">
        <v>0.1</v>
      </c>
    </row>
    <row r="5" spans="1:5" x14ac:dyDescent="0.25">
      <c r="A5" t="s">
        <v>3</v>
      </c>
      <c r="B5" s="1">
        <v>5</v>
      </c>
    </row>
    <row r="6" spans="1:5" x14ac:dyDescent="0.25">
      <c r="A6" t="s">
        <v>4</v>
      </c>
      <c r="B6" s="3">
        <f>FV(B4,B5,-B3,,1)</f>
        <v>100734.15000000011</v>
      </c>
      <c r="C6" s="1" t="str">
        <f ca="1">_xlfn.FORMULATEXT(B6)</f>
        <v>=FV(B4,B5,-B3,,1)</v>
      </c>
    </row>
    <row r="8" spans="1:5" x14ac:dyDescent="0.25">
      <c r="A8" s="1" t="s">
        <v>5</v>
      </c>
      <c r="B8" s="1" t="s">
        <v>7</v>
      </c>
      <c r="C8" s="1" t="s">
        <v>6</v>
      </c>
      <c r="D8" s="1" t="s">
        <v>8</v>
      </c>
    </row>
    <row r="9" spans="1:5" x14ac:dyDescent="0.25">
      <c r="A9" s="1">
        <v>0</v>
      </c>
      <c r="D9" s="1">
        <v>0</v>
      </c>
    </row>
    <row r="10" spans="1:5" x14ac:dyDescent="0.25">
      <c r="A10" s="1">
        <v>1</v>
      </c>
      <c r="B10" s="1">
        <v>15000</v>
      </c>
      <c r="C10" s="1">
        <f>$B$4*(D9+B10)</f>
        <v>1500</v>
      </c>
      <c r="D10">
        <f>SUM(B10:C10)+D9</f>
        <v>16500</v>
      </c>
      <c r="E10" t="str">
        <f ca="1">_xlfn.FORMULATEXT(D10)</f>
        <v>=SUM(B10:C10)+D9</v>
      </c>
    </row>
    <row r="11" spans="1:5" x14ac:dyDescent="0.25">
      <c r="A11" s="1">
        <v>2</v>
      </c>
      <c r="B11" s="1">
        <v>15000</v>
      </c>
      <c r="C11" s="1">
        <f>$B$4*(D10+B11)</f>
        <v>3150</v>
      </c>
      <c r="D11">
        <f>SUM(B11:C11)+D10</f>
        <v>34650</v>
      </c>
      <c r="E11" t="str">
        <f ca="1">_xlfn.FORMULATEXT(D11)</f>
        <v>=SUM(B11:C11)+D10</v>
      </c>
    </row>
    <row r="12" spans="1:5" x14ac:dyDescent="0.25">
      <c r="A12" s="1">
        <v>3</v>
      </c>
      <c r="B12" s="1">
        <v>15000</v>
      </c>
      <c r="C12" s="1">
        <f>$B$4*(D11+B12)</f>
        <v>4965</v>
      </c>
      <c r="D12">
        <f>SUM(B12:C12)+D11</f>
        <v>54615</v>
      </c>
    </row>
    <row r="13" spans="1:5" x14ac:dyDescent="0.25">
      <c r="A13" s="1">
        <v>4</v>
      </c>
      <c r="B13" s="1">
        <v>15000</v>
      </c>
      <c r="C13" s="1">
        <f>$B$4*(D12+B13)</f>
        <v>6961.5</v>
      </c>
      <c r="D13">
        <f>SUM(B13:C13)+D12</f>
        <v>76576.5</v>
      </c>
    </row>
    <row r="14" spans="1:5" x14ac:dyDescent="0.25">
      <c r="A14" s="1">
        <v>5</v>
      </c>
      <c r="B14" s="1">
        <v>15000</v>
      </c>
      <c r="C14" s="1">
        <f>$B$4*(D13+B14)</f>
        <v>9157.65</v>
      </c>
      <c r="D14">
        <f>SUM(B14:C14)+D13</f>
        <v>100734.15</v>
      </c>
    </row>
    <row r="15" spans="1:5" x14ac:dyDescent="0.25">
      <c r="A15" s="1">
        <v>6</v>
      </c>
      <c r="B15" s="1"/>
    </row>
    <row r="16" spans="1:5" x14ac:dyDescent="0.25">
      <c r="B16" s="1"/>
      <c r="C16" s="1" t="str">
        <f ca="1">_xlfn.FORMULATEXT(C14)</f>
        <v>=$B$4*(D13+B14)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2024-10-06T09:45:44Z</dcterms:modified>
</cp:coreProperties>
</file>