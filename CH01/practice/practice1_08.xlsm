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48EDDBC9-B6FB-4711-B454-94C113A53808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1" l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14" i="1"/>
  <c r="J13" i="1"/>
  <c r="J12" i="1"/>
  <c r="D60" i="1"/>
  <c r="D14" i="1"/>
  <c r="E14" i="1"/>
  <c r="F14" i="1"/>
  <c r="G14" i="1" s="1"/>
  <c r="D15" i="1" s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13" i="1"/>
  <c r="F13" i="1"/>
  <c r="G13" i="1"/>
  <c r="D13" i="1"/>
  <c r="G12" i="1"/>
  <c r="F12" i="1"/>
  <c r="E12" i="1"/>
  <c r="B6" i="1"/>
  <c r="K12" i="1"/>
  <c r="F9" i="1"/>
  <c r="C6" i="1"/>
  <c r="D10" i="1"/>
  <c r="H12" i="1"/>
  <c r="F15" i="1" l="1"/>
  <c r="G15" i="1" s="1"/>
  <c r="D16" i="1" s="1"/>
  <c r="F16" i="1" l="1"/>
  <c r="G16" i="1" s="1"/>
  <c r="D17" i="1" s="1"/>
  <c r="F17" i="1" l="1"/>
  <c r="G17" i="1" s="1"/>
  <c r="D18" i="1" s="1"/>
  <c r="F18" i="1" l="1"/>
  <c r="G18" i="1" s="1"/>
  <c r="D19" i="1" s="1"/>
  <c r="F19" i="1" l="1"/>
  <c r="G19" i="1" s="1"/>
  <c r="D20" i="1"/>
  <c r="F20" i="1" l="1"/>
  <c r="G20" i="1" s="1"/>
  <c r="D21" i="1" s="1"/>
  <c r="F21" i="1" l="1"/>
  <c r="G21" i="1" s="1"/>
  <c r="D22" i="1" s="1"/>
  <c r="F22" i="1" l="1"/>
  <c r="G22" i="1" s="1"/>
  <c r="D23" i="1" s="1"/>
  <c r="F23" i="1" l="1"/>
  <c r="G23" i="1" s="1"/>
  <c r="D24" i="1"/>
  <c r="F24" i="1" l="1"/>
  <c r="G24" i="1" s="1"/>
  <c r="D25" i="1" s="1"/>
  <c r="F25" i="1" l="1"/>
  <c r="G25" i="1" s="1"/>
  <c r="D26" i="1" s="1"/>
  <c r="F26" i="1" l="1"/>
  <c r="G26" i="1" s="1"/>
  <c r="D27" i="1"/>
  <c r="F27" i="1" l="1"/>
  <c r="G27" i="1" s="1"/>
  <c r="D28" i="1"/>
  <c r="F28" i="1" l="1"/>
  <c r="G28" i="1" s="1"/>
  <c r="D29" i="1"/>
  <c r="F29" i="1" l="1"/>
  <c r="G29" i="1" s="1"/>
  <c r="D30" i="1" s="1"/>
  <c r="F30" i="1" l="1"/>
  <c r="G30" i="1" s="1"/>
  <c r="D31" i="1" s="1"/>
  <c r="F31" i="1" l="1"/>
  <c r="G31" i="1" s="1"/>
  <c r="D32" i="1"/>
  <c r="F32" i="1" l="1"/>
  <c r="G32" i="1" s="1"/>
  <c r="D33" i="1" s="1"/>
  <c r="F33" i="1" l="1"/>
  <c r="G33" i="1" s="1"/>
  <c r="D34" i="1" s="1"/>
  <c r="F34" i="1" l="1"/>
  <c r="G34" i="1" s="1"/>
  <c r="D35" i="1"/>
  <c r="F35" i="1" l="1"/>
  <c r="G35" i="1" s="1"/>
  <c r="D36" i="1" s="1"/>
  <c r="F36" i="1" l="1"/>
  <c r="G36" i="1" s="1"/>
  <c r="D37" i="1" s="1"/>
  <c r="F37" i="1" l="1"/>
  <c r="G37" i="1" s="1"/>
  <c r="D38" i="1" s="1"/>
  <c r="D39" i="1" l="1"/>
  <c r="F38" i="1"/>
  <c r="G38" i="1" s="1"/>
  <c r="F39" i="1" l="1"/>
  <c r="G39" i="1" s="1"/>
  <c r="D40" i="1"/>
  <c r="F40" i="1" l="1"/>
  <c r="G40" i="1" s="1"/>
  <c r="D41" i="1" s="1"/>
  <c r="D42" i="1" l="1"/>
  <c r="F41" i="1"/>
  <c r="G41" i="1" s="1"/>
  <c r="F42" i="1" l="1"/>
  <c r="G42" i="1" s="1"/>
  <c r="D43" i="1" s="1"/>
  <c r="F43" i="1" l="1"/>
  <c r="G43" i="1" s="1"/>
  <c r="D44" i="1" s="1"/>
  <c r="F44" i="1" l="1"/>
  <c r="G44" i="1" s="1"/>
  <c r="D45" i="1" s="1"/>
  <c r="F45" i="1" l="1"/>
  <c r="G45" i="1" s="1"/>
  <c r="D46" i="1" s="1"/>
  <c r="F46" i="1" l="1"/>
  <c r="G46" i="1" s="1"/>
  <c r="D47" i="1" s="1"/>
  <c r="F47" i="1" l="1"/>
  <c r="G47" i="1" s="1"/>
  <c r="D48" i="1" s="1"/>
  <c r="F48" i="1" l="1"/>
  <c r="G48" i="1" s="1"/>
  <c r="D49" i="1" s="1"/>
  <c r="F49" i="1" l="1"/>
  <c r="G49" i="1" s="1"/>
  <c r="D50" i="1" s="1"/>
  <c r="F50" i="1" l="1"/>
  <c r="G50" i="1" s="1"/>
  <c r="D51" i="1"/>
  <c r="F51" i="1" l="1"/>
  <c r="G51" i="1" s="1"/>
  <c r="D52" i="1"/>
  <c r="F52" i="1" l="1"/>
  <c r="G52" i="1" s="1"/>
  <c r="D53" i="1" s="1"/>
  <c r="F53" i="1" l="1"/>
  <c r="G53" i="1" s="1"/>
  <c r="D54" i="1" s="1"/>
  <c r="F54" i="1" l="1"/>
  <c r="G54" i="1" s="1"/>
  <c r="D55" i="1" s="1"/>
  <c r="F55" i="1" l="1"/>
  <c r="G55" i="1" s="1"/>
  <c r="D56" i="1" s="1"/>
  <c r="F56" i="1" l="1"/>
  <c r="G56" i="1" s="1"/>
  <c r="D57" i="1" s="1"/>
  <c r="F57" i="1" l="1"/>
  <c r="G57" i="1" s="1"/>
  <c r="D58" i="1" s="1"/>
  <c r="F58" i="1" l="1"/>
  <c r="G58" i="1" s="1"/>
  <c r="D59" i="1" s="1"/>
  <c r="F59" i="1" s="1"/>
  <c r="G59" i="1" s="1"/>
</calcChain>
</file>

<file path=xl/sharedStrings.xml><?xml version="1.0" encoding="utf-8"?>
<sst xmlns="http://schemas.openxmlformats.org/spreadsheetml/2006/main" count="13" uniqueCount="13">
  <si>
    <t>贷款本金</t>
    <phoneticPr fontId="1" type="noConversion"/>
  </si>
  <si>
    <t>利率</t>
    <phoneticPr fontId="1" type="noConversion"/>
  </si>
  <si>
    <t>贷款期限</t>
    <phoneticPr fontId="1" type="noConversion"/>
  </si>
  <si>
    <t>月还款额</t>
    <phoneticPr fontId="1" type="noConversion"/>
  </si>
  <si>
    <t>还款类型</t>
    <phoneticPr fontId="1" type="noConversion"/>
  </si>
  <si>
    <t>等额</t>
    <phoneticPr fontId="1" type="noConversion"/>
  </si>
  <si>
    <t>月</t>
    <phoneticPr fontId="1" type="noConversion"/>
  </si>
  <si>
    <t>月初本金</t>
    <phoneticPr fontId="1" type="noConversion"/>
  </si>
  <si>
    <t>月末偿还额</t>
    <phoneticPr fontId="1" type="noConversion"/>
  </si>
  <si>
    <t>利息</t>
    <phoneticPr fontId="1" type="noConversion"/>
  </si>
  <si>
    <t>本金偿还</t>
    <phoneticPr fontId="1" type="noConversion"/>
  </si>
  <si>
    <t>偿还额的分解</t>
    <phoneticPr fontId="1" type="noConversion"/>
  </si>
  <si>
    <t>现值PV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</si>
</sst>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0" fontId="0" fillId="0" borderId="0" xfId="0" applyNumberFormat="1">
      <alignment vertical="center"/>
    </xf>
    <xf numFmtId="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2:K60"/>
  <sheetViews>
    <sheetView tabSelected="1" workbookViewId="0">
      <selection activeCell="K12" sqref="K12"/>
    </sheetView>
  </sheetViews>
  <sheetFormatPr defaultRowHeight="13.8" x14ac:dyDescent="0.25"/>
  <cols>
    <col min="4" max="4" width="10.44140625" bestFit="1" customWidth="1"/>
    <col min="5" max="5" width="11.6640625" bestFit="1" customWidth="1"/>
    <col min="10" max="10" width="10.44140625" bestFit="1" customWidth="1"/>
  </cols>
  <sheetData>
    <row r="2" spans="1:11" x14ac:dyDescent="0.25">
      <c r="A2" t="s">
        <v>0</v>
      </c>
      <c r="B2">
        <v>15000</v>
      </c>
    </row>
    <row r="3" spans="1:11" x14ac:dyDescent="0.25">
      <c r="A3" t="s">
        <v>1</v>
      </c>
      <c r="B3" s="1">
        <v>1.2500000000000001E-2</v>
      </c>
    </row>
    <row r="4" spans="1:11" x14ac:dyDescent="0.25">
      <c r="A4" t="s">
        <v>2</v>
      </c>
      <c r="B4">
        <v>48</v>
      </c>
    </row>
    <row r="5" spans="1:11" x14ac:dyDescent="0.25">
      <c r="A5" t="s">
        <v>4</v>
      </c>
      <c r="B5" t="s">
        <v>5</v>
      </c>
    </row>
    <row r="6" spans="1:11" x14ac:dyDescent="0.25">
      <c r="A6" t="s">
        <v>3</v>
      </c>
      <c r="B6" s="2">
        <f>PMT(B3,B4,-B2)</f>
        <v>417.4612239971438</v>
      </c>
      <c r="C6" t="str">
        <f ca="1">_xlfn.FORMULATEXT(B6)</f>
        <v>=PMT(B3,B4,-B2)</v>
      </c>
    </row>
    <row r="9" spans="1:11" x14ac:dyDescent="0.25">
      <c r="F9" t="str">
        <f ca="1">_xlfn.FORMULATEXT(F12)</f>
        <v>=$B$3*D12</v>
      </c>
    </row>
    <row r="10" spans="1:11" x14ac:dyDescent="0.25">
      <c r="D10" t="str">
        <f ca="1">_xlfn.FORMULATEXT(D13)</f>
        <v>=D12-G12</v>
      </c>
      <c r="F10" s="5" t="s">
        <v>11</v>
      </c>
      <c r="G10" s="5"/>
    </row>
    <row r="11" spans="1:11" x14ac:dyDescent="0.25">
      <c r="C11" s="3" t="s">
        <v>6</v>
      </c>
      <c r="D11" t="s">
        <v>7</v>
      </c>
      <c r="E11" t="s">
        <v>8</v>
      </c>
      <c r="F11" s="3" t="s">
        <v>9</v>
      </c>
      <c r="G11" s="3" t="s">
        <v>10</v>
      </c>
      <c r="J11" s="3" t="s">
        <v>12</v>
      </c>
    </row>
    <row r="12" spans="1:11" x14ac:dyDescent="0.25">
      <c r="C12" s="3">
        <v>1</v>
      </c>
      <c r="D12" s="3">
        <v>15000</v>
      </c>
      <c r="E12" s="4">
        <f>$B$6</f>
        <v>417.4612239971438</v>
      </c>
      <c r="F12" s="3">
        <f>$B$3*D12</f>
        <v>187.5</v>
      </c>
      <c r="G12" s="2">
        <f>E12-F12</f>
        <v>229.9612239971438</v>
      </c>
      <c r="H12" t="str">
        <f ca="1">_xlfn.FORMULATEXT(G12)</f>
        <v>=E12-F12</v>
      </c>
      <c r="J12" s="2">
        <f>PV($B$3,$B$4-C12+1,-E12)</f>
        <v>14999.999999999993</v>
      </c>
      <c r="K12" t="str">
        <f ca="1">_xlfn.FORMULATEXT(J12)</f>
        <v>=PV($B$3,$B$4-C12+1,-E12)</v>
      </c>
    </row>
    <row r="13" spans="1:11" x14ac:dyDescent="0.25">
      <c r="C13" s="3">
        <v>2</v>
      </c>
      <c r="D13" s="2">
        <f>D12-G12</f>
        <v>14770.038776002857</v>
      </c>
      <c r="E13" s="4">
        <f>$B$6</f>
        <v>417.4612239971438</v>
      </c>
      <c r="F13" s="3">
        <f>$B$3*D13</f>
        <v>184.62548470003571</v>
      </c>
      <c r="G13" s="2">
        <f>E13-F13</f>
        <v>232.83573929710809</v>
      </c>
      <c r="J13" s="2">
        <f>PV($B$3,$B$4-C13+1,-E13)</f>
        <v>14770.038776002844</v>
      </c>
    </row>
    <row r="14" spans="1:11" x14ac:dyDescent="0.25">
      <c r="C14" s="3">
        <v>3</v>
      </c>
      <c r="D14" s="2">
        <f t="shared" ref="D14:D60" si="0">D13-G13</f>
        <v>14537.203036705749</v>
      </c>
      <c r="E14" s="4">
        <f t="shared" ref="E14:E59" si="1">$B$6</f>
        <v>417.4612239971438</v>
      </c>
      <c r="F14" s="3">
        <f t="shared" ref="F14:F59" si="2">$B$3*D14</f>
        <v>181.71503795882188</v>
      </c>
      <c r="G14" s="2">
        <f t="shared" ref="G14:G59" si="3">E14-F14</f>
        <v>235.74618603832192</v>
      </c>
      <c r="J14" s="2">
        <f>PV($B$3,$B$4-C14+1,-E14)</f>
        <v>14537.203036705741</v>
      </c>
    </row>
    <row r="15" spans="1:11" x14ac:dyDescent="0.25">
      <c r="C15" s="3">
        <v>4</v>
      </c>
      <c r="D15" s="2">
        <f t="shared" si="0"/>
        <v>14301.456850667426</v>
      </c>
      <c r="E15" s="4">
        <f t="shared" si="1"/>
        <v>417.4612239971438</v>
      </c>
      <c r="F15" s="3">
        <f t="shared" si="2"/>
        <v>178.76821063334285</v>
      </c>
      <c r="G15" s="2">
        <f t="shared" si="3"/>
        <v>238.69301336380096</v>
      </c>
      <c r="J15" s="2">
        <f t="shared" ref="J15:J59" si="4">PV($B$3,$B$4-C15+1,-E15)</f>
        <v>14301.456850667415</v>
      </c>
    </row>
    <row r="16" spans="1:11" x14ac:dyDescent="0.25">
      <c r="C16" s="3">
        <v>5</v>
      </c>
      <c r="D16" s="2">
        <f t="shared" si="0"/>
        <v>14062.763837303624</v>
      </c>
      <c r="E16" s="4">
        <f t="shared" si="1"/>
        <v>417.4612239971438</v>
      </c>
      <c r="F16" s="3">
        <f t="shared" si="2"/>
        <v>175.78454796629532</v>
      </c>
      <c r="G16" s="2">
        <f t="shared" si="3"/>
        <v>241.67667603084848</v>
      </c>
      <c r="J16" s="2">
        <f t="shared" si="4"/>
        <v>14062.763837303617</v>
      </c>
    </row>
    <row r="17" spans="3:10" x14ac:dyDescent="0.25">
      <c r="C17" s="3">
        <v>6</v>
      </c>
      <c r="D17" s="2">
        <f t="shared" si="0"/>
        <v>13821.087161272775</v>
      </c>
      <c r="E17" s="4">
        <f t="shared" si="1"/>
        <v>417.4612239971438</v>
      </c>
      <c r="F17" s="3">
        <f t="shared" si="2"/>
        <v>172.7635895159097</v>
      </c>
      <c r="G17" s="2">
        <f t="shared" si="3"/>
        <v>244.6976344812341</v>
      </c>
      <c r="J17" s="2">
        <f t="shared" si="4"/>
        <v>13821.087161272766</v>
      </c>
    </row>
    <row r="18" spans="3:10" x14ac:dyDescent="0.25">
      <c r="C18" s="3">
        <v>7</v>
      </c>
      <c r="D18" s="2">
        <f t="shared" si="0"/>
        <v>13576.389526791541</v>
      </c>
      <c r="E18" s="4">
        <f t="shared" si="1"/>
        <v>417.4612239971438</v>
      </c>
      <c r="F18" s="3">
        <f t="shared" si="2"/>
        <v>169.70486908489428</v>
      </c>
      <c r="G18" s="2">
        <f t="shared" si="3"/>
        <v>247.75635491224952</v>
      </c>
      <c r="J18" s="2">
        <f t="shared" si="4"/>
        <v>13576.389526791536</v>
      </c>
    </row>
    <row r="19" spans="3:10" x14ac:dyDescent="0.25">
      <c r="C19" s="3">
        <v>8</v>
      </c>
      <c r="D19" s="2">
        <f t="shared" si="0"/>
        <v>13328.633171879292</v>
      </c>
      <c r="E19" s="4">
        <f t="shared" si="1"/>
        <v>417.4612239971438</v>
      </c>
      <c r="F19" s="3">
        <f t="shared" si="2"/>
        <v>166.60791464849115</v>
      </c>
      <c r="G19" s="2">
        <f t="shared" si="3"/>
        <v>250.85330934865266</v>
      </c>
      <c r="J19" s="2">
        <f t="shared" si="4"/>
        <v>13328.633171879286</v>
      </c>
    </row>
    <row r="20" spans="3:10" x14ac:dyDescent="0.25">
      <c r="C20" s="3">
        <v>9</v>
      </c>
      <c r="D20" s="2">
        <f t="shared" si="0"/>
        <v>13077.779862530639</v>
      </c>
      <c r="E20" s="4">
        <f t="shared" si="1"/>
        <v>417.4612239971438</v>
      </c>
      <c r="F20" s="3">
        <f t="shared" si="2"/>
        <v>163.472248281633</v>
      </c>
      <c r="G20" s="2">
        <f t="shared" si="3"/>
        <v>253.9889757155108</v>
      </c>
      <c r="J20" s="2">
        <f t="shared" si="4"/>
        <v>13077.779862530631</v>
      </c>
    </row>
    <row r="21" spans="3:10" x14ac:dyDescent="0.25">
      <c r="C21" s="3">
        <v>10</v>
      </c>
      <c r="D21" s="2">
        <f t="shared" si="0"/>
        <v>12823.790886815128</v>
      </c>
      <c r="E21" s="4">
        <f t="shared" si="1"/>
        <v>417.4612239971438</v>
      </c>
      <c r="F21" s="3">
        <f t="shared" si="2"/>
        <v>160.29738608518912</v>
      </c>
      <c r="G21" s="2">
        <f t="shared" si="3"/>
        <v>257.16383791195472</v>
      </c>
      <c r="J21" s="2">
        <f t="shared" si="4"/>
        <v>12823.790886815121</v>
      </c>
    </row>
    <row r="22" spans="3:10" x14ac:dyDescent="0.25">
      <c r="C22" s="3">
        <v>11</v>
      </c>
      <c r="D22" s="2">
        <f t="shared" si="0"/>
        <v>12566.627048903174</v>
      </c>
      <c r="E22" s="4">
        <f t="shared" si="1"/>
        <v>417.4612239971438</v>
      </c>
      <c r="F22" s="3">
        <f t="shared" si="2"/>
        <v>157.08283811128967</v>
      </c>
      <c r="G22" s="2">
        <f t="shared" si="3"/>
        <v>260.37838588585413</v>
      </c>
      <c r="J22" s="2">
        <f t="shared" si="4"/>
        <v>12566.627048903169</v>
      </c>
    </row>
    <row r="23" spans="3:10" x14ac:dyDescent="0.25">
      <c r="C23" s="3">
        <v>12</v>
      </c>
      <c r="D23" s="2">
        <f t="shared" si="0"/>
        <v>12306.248663017321</v>
      </c>
      <c r="E23" s="4">
        <f t="shared" si="1"/>
        <v>417.4612239971438</v>
      </c>
      <c r="F23" s="3">
        <f t="shared" si="2"/>
        <v>153.82810828771653</v>
      </c>
      <c r="G23" s="2">
        <f t="shared" si="3"/>
        <v>263.63311570942727</v>
      </c>
      <c r="J23" s="2">
        <f t="shared" si="4"/>
        <v>12306.248663017313</v>
      </c>
    </row>
    <row r="24" spans="3:10" x14ac:dyDescent="0.25">
      <c r="C24" s="3">
        <v>13</v>
      </c>
      <c r="D24" s="2">
        <f t="shared" si="0"/>
        <v>12042.615547307894</v>
      </c>
      <c r="E24" s="4">
        <f t="shared" si="1"/>
        <v>417.4612239971438</v>
      </c>
      <c r="F24" s="3">
        <f t="shared" si="2"/>
        <v>150.53269434134867</v>
      </c>
      <c r="G24" s="2">
        <f t="shared" si="3"/>
        <v>266.92852965579516</v>
      </c>
      <c r="J24" s="2">
        <f t="shared" si="4"/>
        <v>12042.615547307887</v>
      </c>
    </row>
    <row r="25" spans="3:10" x14ac:dyDescent="0.25">
      <c r="C25" s="3">
        <v>14</v>
      </c>
      <c r="D25" s="2">
        <f t="shared" si="0"/>
        <v>11775.687017652099</v>
      </c>
      <c r="E25" s="4">
        <f t="shared" si="1"/>
        <v>417.4612239971438</v>
      </c>
      <c r="F25" s="3">
        <f t="shared" si="2"/>
        <v>147.19608772065124</v>
      </c>
      <c r="G25" s="2">
        <f t="shared" si="3"/>
        <v>270.26513627649257</v>
      </c>
      <c r="J25" s="2">
        <f t="shared" si="4"/>
        <v>11775.68701765209</v>
      </c>
    </row>
    <row r="26" spans="3:10" x14ac:dyDescent="0.25">
      <c r="C26" s="3">
        <v>15</v>
      </c>
      <c r="D26" s="2">
        <f t="shared" si="0"/>
        <v>11505.421881375607</v>
      </c>
      <c r="E26" s="4">
        <f t="shared" si="1"/>
        <v>417.4612239971438</v>
      </c>
      <c r="F26" s="3">
        <f t="shared" si="2"/>
        <v>143.81777351719509</v>
      </c>
      <c r="G26" s="2">
        <f t="shared" si="3"/>
        <v>273.64345047994868</v>
      </c>
      <c r="J26" s="2">
        <f t="shared" si="4"/>
        <v>11505.4218813756</v>
      </c>
    </row>
    <row r="27" spans="3:10" x14ac:dyDescent="0.25">
      <c r="C27" s="3">
        <v>16</v>
      </c>
      <c r="D27" s="2">
        <f t="shared" si="0"/>
        <v>11231.778430895658</v>
      </c>
      <c r="E27" s="4">
        <f t="shared" si="1"/>
        <v>417.4612239971438</v>
      </c>
      <c r="F27" s="3">
        <f t="shared" si="2"/>
        <v>140.39723038619573</v>
      </c>
      <c r="G27" s="2">
        <f t="shared" si="3"/>
        <v>277.06399361094805</v>
      </c>
      <c r="J27" s="2">
        <f t="shared" si="4"/>
        <v>11231.778430895652</v>
      </c>
    </row>
    <row r="28" spans="3:10" x14ac:dyDescent="0.25">
      <c r="C28" s="3">
        <v>17</v>
      </c>
      <c r="D28" s="2">
        <f t="shared" si="0"/>
        <v>10954.714437284711</v>
      </c>
      <c r="E28" s="4">
        <f t="shared" si="1"/>
        <v>417.4612239971438</v>
      </c>
      <c r="F28" s="3">
        <f t="shared" si="2"/>
        <v>136.93393046605888</v>
      </c>
      <c r="G28" s="2">
        <f t="shared" si="3"/>
        <v>280.52729353108492</v>
      </c>
      <c r="J28" s="2">
        <f t="shared" si="4"/>
        <v>10954.714437284703</v>
      </c>
    </row>
    <row r="29" spans="3:10" x14ac:dyDescent="0.25">
      <c r="C29" s="3">
        <v>18</v>
      </c>
      <c r="D29" s="2">
        <f t="shared" si="0"/>
        <v>10674.187143753627</v>
      </c>
      <c r="E29" s="4">
        <f t="shared" si="1"/>
        <v>417.4612239971438</v>
      </c>
      <c r="F29" s="3">
        <f t="shared" si="2"/>
        <v>133.42733929692034</v>
      </c>
      <c r="G29" s="2">
        <f t="shared" si="3"/>
        <v>284.03388470022344</v>
      </c>
      <c r="J29" s="2">
        <f t="shared" si="4"/>
        <v>10674.187143753616</v>
      </c>
    </row>
    <row r="30" spans="3:10" x14ac:dyDescent="0.25">
      <c r="C30" s="3">
        <v>19</v>
      </c>
      <c r="D30" s="2">
        <f t="shared" si="0"/>
        <v>10390.153259053403</v>
      </c>
      <c r="E30" s="4">
        <f t="shared" si="1"/>
        <v>417.4612239971438</v>
      </c>
      <c r="F30" s="3">
        <f t="shared" si="2"/>
        <v>129.87691573816753</v>
      </c>
      <c r="G30" s="2">
        <f t="shared" si="3"/>
        <v>287.58430825897631</v>
      </c>
      <c r="J30" s="2">
        <f t="shared" si="4"/>
        <v>10390.153259053399</v>
      </c>
    </row>
    <row r="31" spans="3:10" x14ac:dyDescent="0.25">
      <c r="C31" s="3">
        <v>20</v>
      </c>
      <c r="D31" s="2">
        <f t="shared" si="0"/>
        <v>10102.568950794426</v>
      </c>
      <c r="E31" s="4">
        <f t="shared" si="1"/>
        <v>417.4612239971438</v>
      </c>
      <c r="F31" s="3">
        <f t="shared" si="2"/>
        <v>126.28211188493033</v>
      </c>
      <c r="G31" s="2">
        <f t="shared" si="3"/>
        <v>291.17911211221349</v>
      </c>
      <c r="J31" s="2">
        <f t="shared" si="4"/>
        <v>10102.568950794413</v>
      </c>
    </row>
    <row r="32" spans="3:10" x14ac:dyDescent="0.25">
      <c r="C32" s="3">
        <v>21</v>
      </c>
      <c r="D32" s="2">
        <f t="shared" si="0"/>
        <v>9811.3898386822129</v>
      </c>
      <c r="E32" s="4">
        <f t="shared" si="1"/>
        <v>417.4612239971438</v>
      </c>
      <c r="F32" s="3">
        <f t="shared" si="2"/>
        <v>122.64237298352766</v>
      </c>
      <c r="G32" s="2">
        <f t="shared" si="3"/>
        <v>294.81885101361615</v>
      </c>
      <c r="J32" s="2">
        <f t="shared" si="4"/>
        <v>9811.3898386822057</v>
      </c>
    </row>
    <row r="33" spans="3:10" x14ac:dyDescent="0.25">
      <c r="C33" s="3">
        <v>22</v>
      </c>
      <c r="D33" s="2">
        <f t="shared" si="0"/>
        <v>9516.570987668596</v>
      </c>
      <c r="E33" s="4">
        <f t="shared" si="1"/>
        <v>417.4612239971438</v>
      </c>
      <c r="F33" s="3">
        <f t="shared" si="2"/>
        <v>118.95713734585746</v>
      </c>
      <c r="G33" s="2">
        <f t="shared" si="3"/>
        <v>298.50408665128634</v>
      </c>
      <c r="J33" s="2">
        <f t="shared" si="4"/>
        <v>9516.5709876685869</v>
      </c>
    </row>
    <row r="34" spans="3:10" x14ac:dyDescent="0.25">
      <c r="C34" s="3">
        <v>23</v>
      </c>
      <c r="D34" s="2">
        <f t="shared" si="0"/>
        <v>9218.0669010173096</v>
      </c>
      <c r="E34" s="4">
        <f t="shared" si="1"/>
        <v>417.4612239971438</v>
      </c>
      <c r="F34" s="3">
        <f t="shared" si="2"/>
        <v>115.22583626271637</v>
      </c>
      <c r="G34" s="2">
        <f t="shared" si="3"/>
        <v>302.23538773442743</v>
      </c>
      <c r="J34" s="2">
        <f t="shared" si="4"/>
        <v>9218.0669010173078</v>
      </c>
    </row>
    <row r="35" spans="3:10" x14ac:dyDescent="0.25">
      <c r="C35" s="3">
        <v>24</v>
      </c>
      <c r="D35" s="2">
        <f t="shared" si="0"/>
        <v>8915.831513282883</v>
      </c>
      <c r="E35" s="4">
        <f t="shared" si="1"/>
        <v>417.4612239971438</v>
      </c>
      <c r="F35" s="3">
        <f t="shared" si="2"/>
        <v>111.44789391603604</v>
      </c>
      <c r="G35" s="2">
        <f t="shared" si="3"/>
        <v>306.01333008110777</v>
      </c>
      <c r="J35" s="2">
        <f t="shared" si="4"/>
        <v>8915.8315132828739</v>
      </c>
    </row>
    <row r="36" spans="3:10" x14ac:dyDescent="0.25">
      <c r="C36" s="3">
        <v>25</v>
      </c>
      <c r="D36" s="2">
        <f t="shared" si="0"/>
        <v>8609.8181832017744</v>
      </c>
      <c r="E36" s="4">
        <f t="shared" si="1"/>
        <v>417.4612239971438</v>
      </c>
      <c r="F36" s="3">
        <f t="shared" si="2"/>
        <v>107.62272729002218</v>
      </c>
      <c r="G36" s="2">
        <f t="shared" si="3"/>
        <v>309.83849670712164</v>
      </c>
      <c r="J36" s="2">
        <f t="shared" si="4"/>
        <v>8609.818183201769</v>
      </c>
    </row>
    <row r="37" spans="3:10" x14ac:dyDescent="0.25">
      <c r="C37" s="3">
        <v>26</v>
      </c>
      <c r="D37" s="2">
        <f t="shared" si="0"/>
        <v>8299.9796864946529</v>
      </c>
      <c r="E37" s="4">
        <f t="shared" si="1"/>
        <v>417.4612239971438</v>
      </c>
      <c r="F37" s="3">
        <f t="shared" si="2"/>
        <v>103.74974608118316</v>
      </c>
      <c r="G37" s="2">
        <f t="shared" si="3"/>
        <v>313.71147791596064</v>
      </c>
      <c r="J37" s="2">
        <f t="shared" si="4"/>
        <v>8299.9796864946438</v>
      </c>
    </row>
    <row r="38" spans="3:10" x14ac:dyDescent="0.25">
      <c r="C38" s="3">
        <v>27</v>
      </c>
      <c r="D38" s="2">
        <f t="shared" si="0"/>
        <v>7986.2682085786919</v>
      </c>
      <c r="E38" s="4">
        <f t="shared" si="1"/>
        <v>417.4612239971438</v>
      </c>
      <c r="F38" s="3">
        <f t="shared" si="2"/>
        <v>99.828352607233654</v>
      </c>
      <c r="G38" s="2">
        <f t="shared" si="3"/>
        <v>317.63287138991018</v>
      </c>
      <c r="J38" s="2">
        <f t="shared" si="4"/>
        <v>7986.2682085786864</v>
      </c>
    </row>
    <row r="39" spans="3:10" x14ac:dyDescent="0.25">
      <c r="C39" s="3">
        <v>28</v>
      </c>
      <c r="D39" s="2">
        <f t="shared" si="0"/>
        <v>7668.6353371887817</v>
      </c>
      <c r="E39" s="4">
        <f t="shared" si="1"/>
        <v>417.4612239971438</v>
      </c>
      <c r="F39" s="3">
        <f t="shared" si="2"/>
        <v>95.857941714859777</v>
      </c>
      <c r="G39" s="2">
        <f t="shared" si="3"/>
        <v>321.603282282284</v>
      </c>
      <c r="J39" s="2">
        <f t="shared" si="4"/>
        <v>7668.6353371887753</v>
      </c>
    </row>
    <row r="40" spans="3:10" x14ac:dyDescent="0.25">
      <c r="C40" s="3">
        <v>29</v>
      </c>
      <c r="D40" s="2">
        <f t="shared" si="0"/>
        <v>7347.0320549064982</v>
      </c>
      <c r="E40" s="4">
        <f t="shared" si="1"/>
        <v>417.4612239971438</v>
      </c>
      <c r="F40" s="3">
        <f t="shared" si="2"/>
        <v>91.837900686331238</v>
      </c>
      <c r="G40" s="2">
        <f t="shared" si="3"/>
        <v>325.62332331081257</v>
      </c>
      <c r="J40" s="2">
        <f t="shared" si="4"/>
        <v>7347.0320549064936</v>
      </c>
    </row>
    <row r="41" spans="3:10" x14ac:dyDescent="0.25">
      <c r="C41" s="3">
        <v>30</v>
      </c>
      <c r="D41" s="2">
        <f t="shared" si="0"/>
        <v>7021.4087315956858</v>
      </c>
      <c r="E41" s="4">
        <f t="shared" si="1"/>
        <v>417.4612239971438</v>
      </c>
      <c r="F41" s="3">
        <f t="shared" si="2"/>
        <v>87.767609144946078</v>
      </c>
      <c r="G41" s="2">
        <f t="shared" si="3"/>
        <v>329.6936148521977</v>
      </c>
      <c r="J41" s="2">
        <f t="shared" si="4"/>
        <v>7021.4087315956822</v>
      </c>
    </row>
    <row r="42" spans="3:10" x14ac:dyDescent="0.25">
      <c r="C42" s="3">
        <v>31</v>
      </c>
      <c r="D42" s="2">
        <f t="shared" si="0"/>
        <v>6691.7151167434877</v>
      </c>
      <c r="E42" s="4">
        <f t="shared" si="1"/>
        <v>417.4612239971438</v>
      </c>
      <c r="F42" s="3">
        <f t="shared" si="2"/>
        <v>83.646438959293604</v>
      </c>
      <c r="G42" s="2">
        <f t="shared" si="3"/>
        <v>333.81478503785019</v>
      </c>
      <c r="J42" s="2">
        <f t="shared" si="4"/>
        <v>6691.7151167434877</v>
      </c>
    </row>
    <row r="43" spans="3:10" x14ac:dyDescent="0.25">
      <c r="C43" s="3">
        <v>32</v>
      </c>
      <c r="D43" s="2">
        <f t="shared" si="0"/>
        <v>6357.9003317056377</v>
      </c>
      <c r="E43" s="4">
        <f t="shared" si="1"/>
        <v>417.4612239971438</v>
      </c>
      <c r="F43" s="3">
        <f t="shared" si="2"/>
        <v>79.473754146320474</v>
      </c>
      <c r="G43" s="2">
        <f t="shared" si="3"/>
        <v>337.98746985082335</v>
      </c>
      <c r="J43" s="2">
        <f t="shared" si="4"/>
        <v>6357.9003317056349</v>
      </c>
    </row>
    <row r="44" spans="3:10" x14ac:dyDescent="0.25">
      <c r="C44" s="3">
        <v>33</v>
      </c>
      <c r="D44" s="2">
        <f t="shared" si="0"/>
        <v>6019.9128618548148</v>
      </c>
      <c r="E44" s="4">
        <f t="shared" si="1"/>
        <v>417.4612239971438</v>
      </c>
      <c r="F44" s="3">
        <f t="shared" si="2"/>
        <v>75.248910773185187</v>
      </c>
      <c r="G44" s="2">
        <f t="shared" si="3"/>
        <v>342.21231322395863</v>
      </c>
      <c r="J44" s="2">
        <f t="shared" si="4"/>
        <v>6019.9128618548129</v>
      </c>
    </row>
    <row r="45" spans="3:10" x14ac:dyDescent="0.25">
      <c r="C45" s="3">
        <v>34</v>
      </c>
      <c r="D45" s="2">
        <f t="shared" si="0"/>
        <v>5677.7005486308562</v>
      </c>
      <c r="E45" s="4">
        <f t="shared" si="1"/>
        <v>417.4612239971438</v>
      </c>
      <c r="F45" s="3">
        <f t="shared" si="2"/>
        <v>70.971256857885706</v>
      </c>
      <c r="G45" s="2">
        <f t="shared" si="3"/>
        <v>346.48996713925811</v>
      </c>
      <c r="J45" s="2">
        <f t="shared" si="4"/>
        <v>5677.700548630849</v>
      </c>
    </row>
    <row r="46" spans="3:10" x14ac:dyDescent="0.25">
      <c r="C46" s="3">
        <v>35</v>
      </c>
      <c r="D46" s="2">
        <f t="shared" si="0"/>
        <v>5331.2105814915985</v>
      </c>
      <c r="E46" s="4">
        <f t="shared" si="1"/>
        <v>417.4612239971438</v>
      </c>
      <c r="F46" s="3">
        <f t="shared" si="2"/>
        <v>66.64013226864499</v>
      </c>
      <c r="G46" s="2">
        <f t="shared" si="3"/>
        <v>350.8210917284988</v>
      </c>
      <c r="J46" s="2">
        <f t="shared" si="4"/>
        <v>5331.2105814915958</v>
      </c>
    </row>
    <row r="47" spans="3:10" x14ac:dyDescent="0.25">
      <c r="C47" s="3">
        <v>36</v>
      </c>
      <c r="D47" s="2">
        <f t="shared" si="0"/>
        <v>4980.3894897630998</v>
      </c>
      <c r="E47" s="4">
        <f t="shared" si="1"/>
        <v>417.4612239971438</v>
      </c>
      <c r="F47" s="3">
        <f t="shared" si="2"/>
        <v>62.254868622038749</v>
      </c>
      <c r="G47" s="2">
        <f t="shared" si="3"/>
        <v>355.20635537510503</v>
      </c>
      <c r="J47" s="2">
        <f t="shared" si="4"/>
        <v>4980.3894897630926</v>
      </c>
    </row>
    <row r="48" spans="3:10" x14ac:dyDescent="0.25">
      <c r="C48" s="3">
        <v>37</v>
      </c>
      <c r="D48" s="2">
        <f t="shared" si="0"/>
        <v>4625.1831343879949</v>
      </c>
      <c r="E48" s="4">
        <f t="shared" si="1"/>
        <v>417.4612239971438</v>
      </c>
      <c r="F48" s="3">
        <f t="shared" si="2"/>
        <v>57.814789179849939</v>
      </c>
      <c r="G48" s="2">
        <f t="shared" si="3"/>
        <v>359.64643481729388</v>
      </c>
      <c r="J48" s="2">
        <f t="shared" si="4"/>
        <v>4625.1831343879931</v>
      </c>
    </row>
    <row r="49" spans="3:10" x14ac:dyDescent="0.25">
      <c r="C49" s="3">
        <v>38</v>
      </c>
      <c r="D49" s="2">
        <f t="shared" si="0"/>
        <v>4265.5366995707009</v>
      </c>
      <c r="E49" s="4">
        <f t="shared" si="1"/>
        <v>417.4612239971438</v>
      </c>
      <c r="F49" s="3">
        <f t="shared" si="2"/>
        <v>53.319208744633762</v>
      </c>
      <c r="G49" s="2">
        <f t="shared" si="3"/>
        <v>364.14201525251002</v>
      </c>
      <c r="J49" s="2">
        <f t="shared" si="4"/>
        <v>4265.5366995706936</v>
      </c>
    </row>
    <row r="50" spans="3:10" x14ac:dyDescent="0.25">
      <c r="C50" s="3">
        <v>39</v>
      </c>
      <c r="D50" s="2">
        <f t="shared" si="0"/>
        <v>3901.3946843181907</v>
      </c>
      <c r="E50" s="4">
        <f t="shared" si="1"/>
        <v>417.4612239971438</v>
      </c>
      <c r="F50" s="3">
        <f t="shared" si="2"/>
        <v>48.767433553977384</v>
      </c>
      <c r="G50" s="2">
        <f t="shared" si="3"/>
        <v>368.69379044316645</v>
      </c>
      <c r="J50" s="2">
        <f t="shared" si="4"/>
        <v>3901.3946843181916</v>
      </c>
    </row>
    <row r="51" spans="3:10" x14ac:dyDescent="0.25">
      <c r="C51" s="3">
        <v>40</v>
      </c>
      <c r="D51" s="2">
        <f t="shared" si="0"/>
        <v>3532.7008938750241</v>
      </c>
      <c r="E51" s="4">
        <f t="shared" si="1"/>
        <v>417.4612239971438</v>
      </c>
      <c r="F51" s="3">
        <f t="shared" si="2"/>
        <v>44.158761173437803</v>
      </c>
      <c r="G51" s="2">
        <f t="shared" si="3"/>
        <v>373.30246282370598</v>
      </c>
      <c r="J51" s="2">
        <f t="shared" si="4"/>
        <v>3532.7008938750218</v>
      </c>
    </row>
    <row r="52" spans="3:10" x14ac:dyDescent="0.25">
      <c r="C52" s="3">
        <v>41</v>
      </c>
      <c r="D52" s="2">
        <f t="shared" si="0"/>
        <v>3159.3984310513183</v>
      </c>
      <c r="E52" s="4">
        <f t="shared" si="1"/>
        <v>417.4612239971438</v>
      </c>
      <c r="F52" s="3">
        <f t="shared" si="2"/>
        <v>39.49248038814148</v>
      </c>
      <c r="G52" s="2">
        <f t="shared" si="3"/>
        <v>377.96874360900233</v>
      </c>
      <c r="J52" s="2">
        <f t="shared" si="4"/>
        <v>3159.3984310513179</v>
      </c>
    </row>
    <row r="53" spans="3:10" x14ac:dyDescent="0.25">
      <c r="C53" s="3">
        <v>42</v>
      </c>
      <c r="D53" s="2">
        <f t="shared" si="0"/>
        <v>2781.4296874423162</v>
      </c>
      <c r="E53" s="4">
        <f t="shared" si="1"/>
        <v>417.4612239971438</v>
      </c>
      <c r="F53" s="3">
        <f t="shared" si="2"/>
        <v>34.767871093028951</v>
      </c>
      <c r="G53" s="2">
        <f t="shared" si="3"/>
        <v>382.69335290411487</v>
      </c>
      <c r="J53" s="2">
        <f t="shared" si="4"/>
        <v>2781.4296874423103</v>
      </c>
    </row>
    <row r="54" spans="3:10" x14ac:dyDescent="0.25">
      <c r="C54" s="3">
        <v>43</v>
      </c>
      <c r="D54" s="2">
        <f t="shared" si="0"/>
        <v>2398.7363345382014</v>
      </c>
      <c r="E54" s="4">
        <f t="shared" si="1"/>
        <v>417.4612239971438</v>
      </c>
      <c r="F54" s="3">
        <f t="shared" si="2"/>
        <v>29.98420418172752</v>
      </c>
      <c r="G54" s="2">
        <f t="shared" si="3"/>
        <v>387.47701981541627</v>
      </c>
      <c r="J54" s="2">
        <f t="shared" si="4"/>
        <v>2398.7363345381996</v>
      </c>
    </row>
    <row r="55" spans="3:10" x14ac:dyDescent="0.25">
      <c r="C55" s="3">
        <v>44</v>
      </c>
      <c r="D55" s="2">
        <f t="shared" si="0"/>
        <v>2011.2593147227851</v>
      </c>
      <c r="E55" s="4">
        <f t="shared" si="1"/>
        <v>417.4612239971438</v>
      </c>
      <c r="F55" s="3">
        <f t="shared" si="2"/>
        <v>25.140741434034815</v>
      </c>
      <c r="G55" s="2">
        <f t="shared" si="3"/>
        <v>392.32048256310901</v>
      </c>
      <c r="J55" s="2">
        <f t="shared" si="4"/>
        <v>2011.2593147227815</v>
      </c>
    </row>
    <row r="56" spans="3:10" x14ac:dyDescent="0.25">
      <c r="C56" s="3">
        <v>45</v>
      </c>
      <c r="D56" s="2">
        <f t="shared" si="0"/>
        <v>1618.9388321596762</v>
      </c>
      <c r="E56" s="4">
        <f t="shared" si="1"/>
        <v>417.4612239971438</v>
      </c>
      <c r="F56" s="3">
        <f t="shared" si="2"/>
        <v>20.236735401995954</v>
      </c>
      <c r="G56" s="2">
        <f t="shared" si="3"/>
        <v>397.22448859514788</v>
      </c>
      <c r="J56" s="2">
        <f t="shared" si="4"/>
        <v>1618.9388321596768</v>
      </c>
    </row>
    <row r="57" spans="3:10" x14ac:dyDescent="0.25">
      <c r="C57" s="3">
        <v>46</v>
      </c>
      <c r="D57" s="2">
        <f t="shared" si="0"/>
        <v>1221.7143435645282</v>
      </c>
      <c r="E57" s="4">
        <f t="shared" si="1"/>
        <v>417.4612239971438</v>
      </c>
      <c r="F57" s="3">
        <f t="shared" si="2"/>
        <v>15.271429294556604</v>
      </c>
      <c r="G57" s="2">
        <f t="shared" si="3"/>
        <v>402.18979470258722</v>
      </c>
      <c r="J57" s="2">
        <f t="shared" si="4"/>
        <v>1221.7143435645257</v>
      </c>
    </row>
    <row r="58" spans="3:10" x14ac:dyDescent="0.25">
      <c r="C58" s="3">
        <v>47</v>
      </c>
      <c r="D58" s="2">
        <f t="shared" si="0"/>
        <v>819.52454886194096</v>
      </c>
      <c r="E58" s="4">
        <f t="shared" si="1"/>
        <v>417.4612239971438</v>
      </c>
      <c r="F58" s="3">
        <f t="shared" si="2"/>
        <v>10.244056860774263</v>
      </c>
      <c r="G58" s="2">
        <f t="shared" si="3"/>
        <v>407.21716713636954</v>
      </c>
      <c r="J58" s="2">
        <f t="shared" si="4"/>
        <v>819.52454886194334</v>
      </c>
    </row>
    <row r="59" spans="3:10" x14ac:dyDescent="0.25">
      <c r="C59" s="3">
        <v>48</v>
      </c>
      <c r="D59" s="2">
        <f t="shared" si="0"/>
        <v>412.30738172557142</v>
      </c>
      <c r="E59" s="4">
        <f t="shared" si="1"/>
        <v>417.4612239971438</v>
      </c>
      <c r="F59" s="3">
        <f t="shared" si="2"/>
        <v>5.1538422715696433</v>
      </c>
      <c r="G59" s="2">
        <f t="shared" si="3"/>
        <v>412.30738172557415</v>
      </c>
      <c r="J59" s="2">
        <f t="shared" si="4"/>
        <v>412.30738172557267</v>
      </c>
    </row>
    <row r="60" spans="3:10" x14ac:dyDescent="0.25">
      <c r="C60" s="3">
        <v>49</v>
      </c>
      <c r="D60" s="2">
        <f t="shared" si="0"/>
        <v>-2.7284841053187847E-12</v>
      </c>
    </row>
  </sheetData>
  <mergeCells count="1">
    <mergeCell ref="F10:G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2024-10-06T09:41:07Z</dcterms:modified>
</cp:coreProperties>
</file>