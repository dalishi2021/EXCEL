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practice\"/>
    </mc:Choice>
  </mc:AlternateContent>
  <xr:revisionPtr revIDLastSave="0" documentId="13_ncr:1_{6CD53D82-B27C-44D8-B1AA-18E5C57C8A40}" xr6:coauthVersionLast="47" xr6:coauthVersionMax="47" xr10:uidLastSave="{00000000-0000-0000-0000-000000000000}"/>
  <bookViews>
    <workbookView xWindow="28680" yWindow="-120" windowWidth="16440" windowHeight="28320" activeTab="1" xr2:uid="{EA6F33A8-FE0E-48B1-8C74-8B2321C6BA8B}"/>
  </bookViews>
  <sheets>
    <sheet name="Sheet1" sheetId="1" r:id="rId1"/>
    <sheet name="Exercise 14, simple answer" sheetId="2" r:id="rId2"/>
    <sheet name="Exercise 14, more complicated" sheetId="3" r:id="rId3"/>
  </sheet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8" i="3" l="1"/>
  <c r="D12" i="3"/>
  <c r="C10" i="3"/>
  <c r="C9" i="3"/>
  <c r="B9" i="3"/>
  <c r="C24" i="2"/>
  <c r="C23" i="2"/>
  <c r="E23" i="2" s="1"/>
  <c r="B24" i="2" s="1"/>
  <c r="D24" i="2" s="1"/>
  <c r="E24" i="2" s="1"/>
  <c r="B23" i="2"/>
  <c r="B14" i="2"/>
  <c r="C14" i="2" s="1"/>
  <c r="C9" i="2"/>
  <c r="F8" i="2"/>
  <c r="D8" i="2"/>
  <c r="C8" i="2"/>
  <c r="E8" i="2" s="1"/>
  <c r="B9" i="2" s="1"/>
  <c r="D9" i="2" s="1"/>
  <c r="B8" i="2"/>
  <c r="E5" i="2"/>
  <c r="E18" i="1"/>
  <c r="B18" i="1"/>
  <c r="B10" i="1"/>
  <c r="B17" i="1"/>
  <c r="C9" i="1"/>
  <c r="C8" i="1"/>
  <c r="B8" i="1"/>
  <c r="B21" i="1"/>
  <c r="C12" i="1"/>
  <c r="F18" i="1"/>
  <c r="F8" i="1"/>
  <c r="D10" i="2" l="1"/>
  <c r="E9" i="2"/>
  <c r="D14" i="2"/>
  <c r="B15" i="2" s="1"/>
  <c r="D9" i="3"/>
  <c r="E9" i="3" s="1"/>
  <c r="D8" i="1"/>
  <c r="C17" i="1"/>
  <c r="D17" i="1" s="1"/>
  <c r="D18" i="3" l="1"/>
  <c r="E18" i="3" s="1"/>
  <c r="B19" i="3" s="1"/>
  <c r="B10" i="3"/>
  <c r="D10" i="3" s="1"/>
  <c r="E10" i="3" s="1"/>
  <c r="D19" i="3" s="1"/>
  <c r="C15" i="2"/>
  <c r="C16" i="2" s="1"/>
  <c r="C18" i="1"/>
  <c r="D18" i="1" s="1"/>
  <c r="E8" i="1"/>
  <c r="B9" i="1" s="1"/>
  <c r="D9" i="1" s="1"/>
  <c r="E9" i="1" s="1"/>
  <c r="C19" i="1"/>
  <c r="D15" i="2" l="1"/>
  <c r="C19" i="3"/>
  <c r="E19" i="3" s="1"/>
  <c r="D11" i="1"/>
</calcChain>
</file>

<file path=xl/sharedStrings.xml><?xml version="1.0" encoding="utf-8"?>
<sst xmlns="http://schemas.openxmlformats.org/spreadsheetml/2006/main" count="65" uniqueCount="46">
  <si>
    <t>练习14，财务分析计算</t>
    <phoneticPr fontId="1" type="noConversion"/>
  </si>
  <si>
    <t>利息收入</t>
    <phoneticPr fontId="1" type="noConversion"/>
  </si>
  <si>
    <t>利息支出</t>
    <phoneticPr fontId="1" type="noConversion"/>
  </si>
  <si>
    <t>首期款项</t>
    <phoneticPr fontId="1" type="noConversion"/>
  </si>
  <si>
    <t>6%的贷款</t>
    <phoneticPr fontId="1" type="noConversion"/>
  </si>
  <si>
    <t>年</t>
    <phoneticPr fontId="1" type="noConversion"/>
  </si>
  <si>
    <t>年初本金</t>
    <phoneticPr fontId="1" type="noConversion"/>
  </si>
  <si>
    <t>年末支付</t>
    <phoneticPr fontId="1" type="noConversion"/>
  </si>
  <si>
    <t>本金偿还</t>
    <phoneticPr fontId="1" type="noConversion"/>
  </si>
  <si>
    <t>总利息支出</t>
    <phoneticPr fontId="1" type="noConversion"/>
  </si>
  <si>
    <t>储蓄账户年初余额</t>
    <phoneticPr fontId="1" type="noConversion"/>
  </si>
  <si>
    <t>年末利息收入</t>
    <phoneticPr fontId="1" type="noConversion"/>
  </si>
  <si>
    <t>年末账户余额</t>
    <phoneticPr fontId="1" type="noConversion"/>
  </si>
  <si>
    <t>5%储蓄账户</t>
    <phoneticPr fontId="1" type="noConversion"/>
  </si>
  <si>
    <t>EXERCISE 14, financial analyst's calculations</t>
  </si>
  <si>
    <t>Interest earned</t>
  </si>
  <si>
    <t>Interest paid</t>
  </si>
  <si>
    <t>Initial deposit</t>
  </si>
  <si>
    <t>THE 6% LOAN</t>
  </si>
  <si>
    <t>Year</t>
  </si>
  <si>
    <t>Principal at beginning of year</t>
  </si>
  <si>
    <t>Payment at end of year</t>
  </si>
  <si>
    <t>Repayment of principal</t>
  </si>
  <si>
    <t>Total interest paid</t>
  </si>
  <si>
    <t>Savings Account</t>
  </si>
  <si>
    <t>In savings account at beginning of year</t>
  </si>
  <si>
    <t>End-year interest earned</t>
  </si>
  <si>
    <t>In account at end of year</t>
  </si>
  <si>
    <t>Suppose you took the money out of your savings account and then repaid the account with the payments</t>
  </si>
  <si>
    <t>the bank wants on the loan.  This would generate the following table:</t>
  </si>
  <si>
    <t>Money in savings acct. at beg. year</t>
  </si>
  <si>
    <t>Interest payment at end of year</t>
  </si>
  <si>
    <t>Total annual payment</t>
  </si>
  <si>
    <t>Thus you would have more money in your savings account than if you took the loan from the bank</t>
  </si>
  <si>
    <t>and kept the account.  It's better to take the money from your savings account!</t>
  </si>
  <si>
    <t>EXERCISE 14</t>
  </si>
  <si>
    <t>Of which</t>
  </si>
  <si>
    <t>Interest</t>
  </si>
  <si>
    <t>USE THE 5% ACCOUNT TO MAINTAIN THE SAME</t>
  </si>
  <si>
    <t xml:space="preserve">    I've set the repayments</t>
  </si>
  <si>
    <t>BEGINNING OF YEAR PRINCIPAL BALANCES AS THE LOAN</t>
  </si>
  <si>
    <t xml:space="preserve">     equal in each of the 2 years,</t>
  </si>
  <si>
    <t xml:space="preserve">     so that your firm has exactly</t>
  </si>
  <si>
    <t>In savings account at beg. year</t>
  </si>
  <si>
    <t>Pay off principal at end of year</t>
  </si>
  <si>
    <t xml:space="preserve">     the same amounts available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</si>
</sst>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¥&quot;#,##0.00;[Red]&quot;¥&quot;\-#,##0.00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18"/>
      <color theme="1"/>
      <name val="等线"/>
      <family val="3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indexed="4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4" fillId="0" borderId="0"/>
  </cellStyleXfs>
  <cellXfs count="30">
    <xf numFmtId="0" fontId="0" fillId="0" borderId="0" xfId="0">
      <alignment vertical="center"/>
    </xf>
    <xf numFmtId="9" fontId="0" fillId="0" borderId="0" xfId="0" applyNumberFormat="1">
      <alignment vertical="center"/>
    </xf>
    <xf numFmtId="3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8" fontId="0" fillId="0" borderId="0" xfId="0" applyNumberFormat="1">
      <alignment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3" fontId="2" fillId="0" borderId="0" xfId="0" applyNumberFormat="1" applyFont="1">
      <alignment vertical="center"/>
    </xf>
    <xf numFmtId="0" fontId="0" fillId="2" borderId="0" xfId="0" applyFill="1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1" applyFont="1" applyAlignment="1">
      <alignment horizontal="center"/>
    </xf>
    <xf numFmtId="0" fontId="4" fillId="0" borderId="0" xfId="1"/>
    <xf numFmtId="9" fontId="4" fillId="0" borderId="0" xfId="1" applyNumberFormat="1"/>
    <xf numFmtId="3" fontId="4" fillId="0" borderId="0" xfId="1" applyNumberFormat="1"/>
    <xf numFmtId="0" fontId="4" fillId="3" borderId="0" xfId="1" applyFill="1" applyAlignment="1">
      <alignment horizontal="center"/>
    </xf>
    <xf numFmtId="0" fontId="6" fillId="0" borderId="0" xfId="1" applyFont="1" applyAlignment="1">
      <alignment horizontal="center"/>
    </xf>
    <xf numFmtId="0" fontId="7" fillId="0" borderId="0" xfId="1" applyFont="1" applyAlignment="1">
      <alignment horizontal="center"/>
    </xf>
    <xf numFmtId="0" fontId="7" fillId="0" borderId="0" xfId="1" applyFont="1" applyAlignment="1">
      <alignment horizontal="center" vertical="center" wrapText="1"/>
    </xf>
    <xf numFmtId="0" fontId="4" fillId="0" borderId="0" xfId="1" applyAlignment="1">
      <alignment horizontal="center" vertical="center" wrapText="1"/>
    </xf>
    <xf numFmtId="4" fontId="4" fillId="0" borderId="0" xfId="1" applyNumberFormat="1"/>
    <xf numFmtId="0" fontId="7" fillId="0" borderId="0" xfId="1" applyFont="1"/>
    <xf numFmtId="0" fontId="7" fillId="0" borderId="0" xfId="1" applyFont="1" applyAlignment="1">
      <alignment horizontal="left"/>
    </xf>
    <xf numFmtId="4" fontId="7" fillId="0" borderId="0" xfId="1" applyNumberFormat="1" applyFont="1"/>
    <xf numFmtId="2" fontId="4" fillId="0" borderId="0" xfId="1" applyNumberFormat="1" applyAlignment="1">
      <alignment horizontal="right"/>
    </xf>
    <xf numFmtId="0" fontId="7" fillId="3" borderId="0" xfId="1" applyFont="1" applyFill="1" applyAlignment="1">
      <alignment horizontal="center"/>
    </xf>
    <xf numFmtId="0" fontId="6" fillId="0" borderId="0" xfId="1" applyFont="1" applyAlignment="1">
      <alignment horizontal="center"/>
    </xf>
    <xf numFmtId="0" fontId="7" fillId="0" borderId="0" xfId="1" applyFont="1" applyAlignment="1">
      <alignment horizontal="center" vertical="center" wrapText="1"/>
    </xf>
  </cellXfs>
  <cellStyles count="2">
    <cellStyle name="常规" xfId="0" builtinId="0"/>
    <cellStyle name="常规 2" xfId="1" xr:uid="{C7528D3E-0DFF-4F40-9746-2B032EDA291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632460</xdr:colOff>
      <xdr:row>4</xdr:row>
      <xdr:rowOff>198120</xdr:rowOff>
    </xdr:from>
    <xdr:to>
      <xdr:col>4</xdr:col>
      <xdr:colOff>274320</xdr:colOff>
      <xdr:row>7</xdr:row>
      <xdr:rowOff>30480</xdr:rowOff>
    </xdr:to>
    <xdr:sp macro="" textlink="">
      <xdr:nvSpPr>
        <xdr:cNvPr id="2" name="Line 6">
          <a:extLst>
            <a:ext uri="{FF2B5EF4-FFF2-40B4-BE49-F238E27FC236}">
              <a16:creationId xmlns:a16="http://schemas.microsoft.com/office/drawing/2014/main" id="{F95CA5E1-EA92-47EF-9E91-99E0392CCC84}"/>
            </a:ext>
          </a:extLst>
        </xdr:cNvPr>
        <xdr:cNvSpPr>
          <a:spLocks noChangeShapeType="1"/>
        </xdr:cNvSpPr>
      </xdr:nvSpPr>
      <xdr:spPr bwMode="auto">
        <a:xfrm flipH="1">
          <a:off x="3552825" y="904875"/>
          <a:ext cx="1466850" cy="733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45720</xdr:colOff>
      <xdr:row>8</xdr:row>
      <xdr:rowOff>198120</xdr:rowOff>
    </xdr:from>
    <xdr:to>
      <xdr:col>5</xdr:col>
      <xdr:colOff>228600</xdr:colOff>
      <xdr:row>18</xdr:row>
      <xdr:rowOff>30480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6372FE77-14FD-4C5D-8002-6899934BC3A1}"/>
            </a:ext>
          </a:extLst>
        </xdr:cNvPr>
        <xdr:cNvSpPr>
          <a:spLocks/>
        </xdr:cNvSpPr>
      </xdr:nvSpPr>
      <xdr:spPr bwMode="auto">
        <a:xfrm>
          <a:off x="5153025" y="1952625"/>
          <a:ext cx="180975" cy="1990725"/>
        </a:xfrm>
        <a:prstGeom prst="rightBrace">
          <a:avLst>
            <a:gd name="adj1" fmla="val 89583"/>
            <a:gd name="adj2" fmla="val 50000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2</xdr:col>
      <xdr:colOff>518160</xdr:colOff>
      <xdr:row>9</xdr:row>
      <xdr:rowOff>182880</xdr:rowOff>
    </xdr:from>
    <xdr:to>
      <xdr:col>2</xdr:col>
      <xdr:colOff>723900</xdr:colOff>
      <xdr:row>11</xdr:row>
      <xdr:rowOff>60960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D8435E61-33A5-459D-B11B-36A198AF9639}"/>
            </a:ext>
          </a:extLst>
        </xdr:cNvPr>
        <xdr:cNvSpPr>
          <a:spLocks noChangeShapeType="1"/>
        </xdr:cNvSpPr>
      </xdr:nvSpPr>
      <xdr:spPr bwMode="auto">
        <a:xfrm flipH="1" flipV="1">
          <a:off x="3257550" y="2124075"/>
          <a:ext cx="95250" cy="2286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H21"/>
  <sheetViews>
    <sheetView workbookViewId="0">
      <selection activeCell="I15" sqref="I15"/>
    </sheetView>
  </sheetViews>
  <sheetFormatPr defaultRowHeight="13.8" x14ac:dyDescent="0.25"/>
  <cols>
    <col min="2" max="2" width="18.33203125" bestFit="1" customWidth="1"/>
    <col min="3" max="3" width="19.88671875" bestFit="1" customWidth="1"/>
    <col min="4" max="4" width="17.21875" customWidth="1"/>
    <col min="5" max="5" width="14.21875" customWidth="1"/>
    <col min="8" max="8" width="11.5546875" bestFit="1" customWidth="1"/>
  </cols>
  <sheetData>
    <row r="1" spans="1:8" ht="22.8" x14ac:dyDescent="0.25">
      <c r="A1" s="12" t="s">
        <v>0</v>
      </c>
      <c r="B1" s="12"/>
      <c r="C1" s="12"/>
      <c r="D1" s="12"/>
      <c r="E1" s="12"/>
    </row>
    <row r="2" spans="1:8" x14ac:dyDescent="0.25">
      <c r="A2" t="s">
        <v>1</v>
      </c>
      <c r="B2" s="1">
        <v>0.05</v>
      </c>
    </row>
    <row r="3" spans="1:8" x14ac:dyDescent="0.25">
      <c r="A3" t="s">
        <v>2</v>
      </c>
      <c r="B3" s="1">
        <v>0.06</v>
      </c>
    </row>
    <row r="4" spans="1:8" x14ac:dyDescent="0.25">
      <c r="A4" t="s">
        <v>3</v>
      </c>
      <c r="B4" s="2">
        <v>25000</v>
      </c>
    </row>
    <row r="6" spans="1:8" x14ac:dyDescent="0.25">
      <c r="A6" s="11" t="s">
        <v>4</v>
      </c>
      <c r="B6" s="11"/>
      <c r="C6" s="11"/>
      <c r="D6" s="11"/>
      <c r="E6" s="11"/>
      <c r="F6" s="11"/>
      <c r="H6" s="4"/>
    </row>
    <row r="7" spans="1:8" x14ac:dyDescent="0.25">
      <c r="A7" s="3" t="s">
        <v>5</v>
      </c>
      <c r="B7" s="3" t="s">
        <v>6</v>
      </c>
      <c r="C7" s="3" t="s">
        <v>7</v>
      </c>
      <c r="D7" s="3" t="s">
        <v>2</v>
      </c>
      <c r="E7" s="3" t="s">
        <v>8</v>
      </c>
      <c r="H7" s="4"/>
    </row>
    <row r="8" spans="1:8" x14ac:dyDescent="0.25">
      <c r="A8" s="3">
        <v>1</v>
      </c>
      <c r="B8" s="2">
        <f>$B$4</f>
        <v>25000</v>
      </c>
      <c r="C8" s="4">
        <f>PMT($B$3,2,-$B$4)</f>
        <v>13635.922330097088</v>
      </c>
      <c r="D8">
        <f>$B$3*B8</f>
        <v>1500</v>
      </c>
      <c r="E8" s="4">
        <f>C8-D8</f>
        <v>12135.922330097088</v>
      </c>
      <c r="F8" t="str">
        <f ca="1">_xlfn.FORMULATEXT(E8)</f>
        <v>=C8-D8</v>
      </c>
      <c r="H8" s="4"/>
    </row>
    <row r="9" spans="1:8" x14ac:dyDescent="0.25">
      <c r="A9" s="3">
        <v>2</v>
      </c>
      <c r="B9" s="4">
        <f>B8-E8</f>
        <v>12864.077669902912</v>
      </c>
      <c r="C9" s="4">
        <f>PMT($B$3,2,-$B$4)</f>
        <v>13635.922330097088</v>
      </c>
      <c r="D9">
        <f>$B$3*B9</f>
        <v>771.84466019417471</v>
      </c>
      <c r="E9" s="4">
        <f>C9-D9</f>
        <v>12864.077669902914</v>
      </c>
      <c r="H9" s="1"/>
    </row>
    <row r="10" spans="1:8" x14ac:dyDescent="0.25">
      <c r="A10" s="3">
        <v>3</v>
      </c>
      <c r="B10" s="4">
        <f>B9-E9</f>
        <v>0</v>
      </c>
      <c r="C10" s="4"/>
      <c r="E10" s="4"/>
    </row>
    <row r="11" spans="1:8" x14ac:dyDescent="0.25">
      <c r="B11" s="6" t="s">
        <v>9</v>
      </c>
      <c r="D11" s="10">
        <f>SUM(D8:D9)</f>
        <v>2271.8446601941746</v>
      </c>
    </row>
    <row r="12" spans="1:8" x14ac:dyDescent="0.25">
      <c r="C12" s="5" t="str">
        <f ca="1">_xlfn.FORMULATEXT(C9)</f>
        <v>=PMT($B$3,2,-$B$4)</v>
      </c>
    </row>
    <row r="15" spans="1:8" x14ac:dyDescent="0.25">
      <c r="A15" s="11" t="s">
        <v>13</v>
      </c>
      <c r="B15" s="11"/>
      <c r="C15" s="11"/>
      <c r="D15" s="11"/>
      <c r="E15" s="11"/>
      <c r="F15" s="11"/>
    </row>
    <row r="16" spans="1:8" x14ac:dyDescent="0.25">
      <c r="A16" s="3" t="s">
        <v>5</v>
      </c>
      <c r="B16" s="3" t="s">
        <v>10</v>
      </c>
      <c r="C16" s="3" t="s">
        <v>11</v>
      </c>
      <c r="D16" s="3" t="s">
        <v>12</v>
      </c>
    </row>
    <row r="17" spans="1:6" x14ac:dyDescent="0.25">
      <c r="A17" s="3">
        <v>1</v>
      </c>
      <c r="B17" s="2">
        <f>$B$4</f>
        <v>25000</v>
      </c>
      <c r="C17" s="3">
        <f>$B$2*B17</f>
        <v>1250</v>
      </c>
      <c r="D17" s="2">
        <f>SUM(B17:C17)</f>
        <v>26250</v>
      </c>
    </row>
    <row r="18" spans="1:6" x14ac:dyDescent="0.25">
      <c r="A18" s="3">
        <v>2</v>
      </c>
      <c r="B18" s="8">
        <f>D17-C8</f>
        <v>12614.077669902912</v>
      </c>
      <c r="C18" s="3">
        <f>$B$2*B18</f>
        <v>630.70388349514565</v>
      </c>
      <c r="D18" s="2">
        <f>SUM(B18:C18)</f>
        <v>13244.781553398057</v>
      </c>
      <c r="E18" s="4">
        <f>D18-C9</f>
        <v>-391.14077669903054</v>
      </c>
      <c r="F18" t="str">
        <f ca="1">_xlfn.FORMULATEXT(E18)</f>
        <v>=D18-C9</v>
      </c>
    </row>
    <row r="19" spans="1:6" x14ac:dyDescent="0.25">
      <c r="B19" s="6" t="s">
        <v>1</v>
      </c>
      <c r="C19" s="9">
        <f>SUM(C17:C18)</f>
        <v>1880.7038834951456</v>
      </c>
    </row>
    <row r="21" spans="1:6" x14ac:dyDescent="0.25">
      <c r="B21" s="7" t="str">
        <f ca="1">_xlfn.FORMULATEXT(B18)</f>
        <v>=D17-C8</v>
      </c>
    </row>
  </sheetData>
  <mergeCells count="3">
    <mergeCell ref="A6:F6"/>
    <mergeCell ref="A15:F15"/>
    <mergeCell ref="A1:E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A4B56-59A7-4B2B-B189-7E22FD95EB88}">
  <sheetPr codeName="Sheet13"/>
  <dimension ref="A1:F27"/>
  <sheetViews>
    <sheetView tabSelected="1" zoomScale="130" zoomScaleNormal="130" workbookViewId="0">
      <selection activeCell="B44" sqref="B44"/>
    </sheetView>
  </sheetViews>
  <sheetFormatPr defaultRowHeight="13.2" x14ac:dyDescent="0.25"/>
  <cols>
    <col min="1" max="1" width="27" style="14" customWidth="1"/>
    <col min="2" max="2" width="15.6640625" style="14" customWidth="1"/>
    <col min="3" max="3" width="13" style="14" customWidth="1"/>
    <col min="4" max="4" width="13.44140625" style="14" customWidth="1"/>
    <col min="5" max="5" width="12.109375" style="14" customWidth="1"/>
    <col min="6" max="6" width="15.6640625" style="14" customWidth="1"/>
    <col min="7" max="7" width="13.6640625" style="14" customWidth="1"/>
    <col min="8" max="8" width="10.6640625" style="14" customWidth="1"/>
    <col min="9" max="10" width="10.6640625" style="14" bestFit="1" customWidth="1"/>
    <col min="11" max="11" width="12.109375" style="14" customWidth="1"/>
    <col min="12" max="12" width="10.88671875" style="14" customWidth="1"/>
    <col min="13" max="256" width="8.88671875" style="14"/>
    <col min="257" max="257" width="27" style="14" customWidth="1"/>
    <col min="258" max="258" width="15.6640625" style="14" customWidth="1"/>
    <col min="259" max="259" width="13" style="14" customWidth="1"/>
    <col min="260" max="260" width="13.44140625" style="14" customWidth="1"/>
    <col min="261" max="261" width="12.109375" style="14" customWidth="1"/>
    <col min="262" max="262" width="15.6640625" style="14" customWidth="1"/>
    <col min="263" max="263" width="13.6640625" style="14" customWidth="1"/>
    <col min="264" max="264" width="10.6640625" style="14" customWidth="1"/>
    <col min="265" max="266" width="10.6640625" style="14" bestFit="1" customWidth="1"/>
    <col min="267" max="267" width="12.109375" style="14" customWidth="1"/>
    <col min="268" max="268" width="10.88671875" style="14" customWidth="1"/>
    <col min="269" max="512" width="8.88671875" style="14"/>
    <col min="513" max="513" width="27" style="14" customWidth="1"/>
    <col min="514" max="514" width="15.6640625" style="14" customWidth="1"/>
    <col min="515" max="515" width="13" style="14" customWidth="1"/>
    <col min="516" max="516" width="13.44140625" style="14" customWidth="1"/>
    <col min="517" max="517" width="12.109375" style="14" customWidth="1"/>
    <col min="518" max="518" width="15.6640625" style="14" customWidth="1"/>
    <col min="519" max="519" width="13.6640625" style="14" customWidth="1"/>
    <col min="520" max="520" width="10.6640625" style="14" customWidth="1"/>
    <col min="521" max="522" width="10.6640625" style="14" bestFit="1" customWidth="1"/>
    <col min="523" max="523" width="12.109375" style="14" customWidth="1"/>
    <col min="524" max="524" width="10.88671875" style="14" customWidth="1"/>
    <col min="525" max="768" width="8.88671875" style="14"/>
    <col min="769" max="769" width="27" style="14" customWidth="1"/>
    <col min="770" max="770" width="15.6640625" style="14" customWidth="1"/>
    <col min="771" max="771" width="13" style="14" customWidth="1"/>
    <col min="772" max="772" width="13.44140625" style="14" customWidth="1"/>
    <col min="773" max="773" width="12.109375" style="14" customWidth="1"/>
    <col min="774" max="774" width="15.6640625" style="14" customWidth="1"/>
    <col min="775" max="775" width="13.6640625" style="14" customWidth="1"/>
    <col min="776" max="776" width="10.6640625" style="14" customWidth="1"/>
    <col min="777" max="778" width="10.6640625" style="14" bestFit="1" customWidth="1"/>
    <col min="779" max="779" width="12.109375" style="14" customWidth="1"/>
    <col min="780" max="780" width="10.88671875" style="14" customWidth="1"/>
    <col min="781" max="1024" width="8.88671875" style="14"/>
    <col min="1025" max="1025" width="27" style="14" customWidth="1"/>
    <col min="1026" max="1026" width="15.6640625" style="14" customWidth="1"/>
    <col min="1027" max="1027" width="13" style="14" customWidth="1"/>
    <col min="1028" max="1028" width="13.44140625" style="14" customWidth="1"/>
    <col min="1029" max="1029" width="12.109375" style="14" customWidth="1"/>
    <col min="1030" max="1030" width="15.6640625" style="14" customWidth="1"/>
    <col min="1031" max="1031" width="13.6640625" style="14" customWidth="1"/>
    <col min="1032" max="1032" width="10.6640625" style="14" customWidth="1"/>
    <col min="1033" max="1034" width="10.6640625" style="14" bestFit="1" customWidth="1"/>
    <col min="1035" max="1035" width="12.109375" style="14" customWidth="1"/>
    <col min="1036" max="1036" width="10.88671875" style="14" customWidth="1"/>
    <col min="1037" max="1280" width="8.88671875" style="14"/>
    <col min="1281" max="1281" width="27" style="14" customWidth="1"/>
    <col min="1282" max="1282" width="15.6640625" style="14" customWidth="1"/>
    <col min="1283" max="1283" width="13" style="14" customWidth="1"/>
    <col min="1284" max="1284" width="13.44140625" style="14" customWidth="1"/>
    <col min="1285" max="1285" width="12.109375" style="14" customWidth="1"/>
    <col min="1286" max="1286" width="15.6640625" style="14" customWidth="1"/>
    <col min="1287" max="1287" width="13.6640625" style="14" customWidth="1"/>
    <col min="1288" max="1288" width="10.6640625" style="14" customWidth="1"/>
    <col min="1289" max="1290" width="10.6640625" style="14" bestFit="1" customWidth="1"/>
    <col min="1291" max="1291" width="12.109375" style="14" customWidth="1"/>
    <col min="1292" max="1292" width="10.88671875" style="14" customWidth="1"/>
    <col min="1293" max="1536" width="8.88671875" style="14"/>
    <col min="1537" max="1537" width="27" style="14" customWidth="1"/>
    <col min="1538" max="1538" width="15.6640625" style="14" customWidth="1"/>
    <col min="1539" max="1539" width="13" style="14" customWidth="1"/>
    <col min="1540" max="1540" width="13.44140625" style="14" customWidth="1"/>
    <col min="1541" max="1541" width="12.109375" style="14" customWidth="1"/>
    <col min="1542" max="1542" width="15.6640625" style="14" customWidth="1"/>
    <col min="1543" max="1543" width="13.6640625" style="14" customWidth="1"/>
    <col min="1544" max="1544" width="10.6640625" style="14" customWidth="1"/>
    <col min="1545" max="1546" width="10.6640625" style="14" bestFit="1" customWidth="1"/>
    <col min="1547" max="1547" width="12.109375" style="14" customWidth="1"/>
    <col min="1548" max="1548" width="10.88671875" style="14" customWidth="1"/>
    <col min="1549" max="1792" width="8.88671875" style="14"/>
    <col min="1793" max="1793" width="27" style="14" customWidth="1"/>
    <col min="1794" max="1794" width="15.6640625" style="14" customWidth="1"/>
    <col min="1795" max="1795" width="13" style="14" customWidth="1"/>
    <col min="1796" max="1796" width="13.44140625" style="14" customWidth="1"/>
    <col min="1797" max="1797" width="12.109375" style="14" customWidth="1"/>
    <col min="1798" max="1798" width="15.6640625" style="14" customWidth="1"/>
    <col min="1799" max="1799" width="13.6640625" style="14" customWidth="1"/>
    <col min="1800" max="1800" width="10.6640625" style="14" customWidth="1"/>
    <col min="1801" max="1802" width="10.6640625" style="14" bestFit="1" customWidth="1"/>
    <col min="1803" max="1803" width="12.109375" style="14" customWidth="1"/>
    <col min="1804" max="1804" width="10.88671875" style="14" customWidth="1"/>
    <col min="1805" max="2048" width="8.88671875" style="14"/>
    <col min="2049" max="2049" width="27" style="14" customWidth="1"/>
    <col min="2050" max="2050" width="15.6640625" style="14" customWidth="1"/>
    <col min="2051" max="2051" width="13" style="14" customWidth="1"/>
    <col min="2052" max="2052" width="13.44140625" style="14" customWidth="1"/>
    <col min="2053" max="2053" width="12.109375" style="14" customWidth="1"/>
    <col min="2054" max="2054" width="15.6640625" style="14" customWidth="1"/>
    <col min="2055" max="2055" width="13.6640625" style="14" customWidth="1"/>
    <col min="2056" max="2056" width="10.6640625" style="14" customWidth="1"/>
    <col min="2057" max="2058" width="10.6640625" style="14" bestFit="1" customWidth="1"/>
    <col min="2059" max="2059" width="12.109375" style="14" customWidth="1"/>
    <col min="2060" max="2060" width="10.88671875" style="14" customWidth="1"/>
    <col min="2061" max="2304" width="8.88671875" style="14"/>
    <col min="2305" max="2305" width="27" style="14" customWidth="1"/>
    <col min="2306" max="2306" width="15.6640625" style="14" customWidth="1"/>
    <col min="2307" max="2307" width="13" style="14" customWidth="1"/>
    <col min="2308" max="2308" width="13.44140625" style="14" customWidth="1"/>
    <col min="2309" max="2309" width="12.109375" style="14" customWidth="1"/>
    <col min="2310" max="2310" width="15.6640625" style="14" customWidth="1"/>
    <col min="2311" max="2311" width="13.6640625" style="14" customWidth="1"/>
    <col min="2312" max="2312" width="10.6640625" style="14" customWidth="1"/>
    <col min="2313" max="2314" width="10.6640625" style="14" bestFit="1" customWidth="1"/>
    <col min="2315" max="2315" width="12.109375" style="14" customWidth="1"/>
    <col min="2316" max="2316" width="10.88671875" style="14" customWidth="1"/>
    <col min="2317" max="2560" width="8.88671875" style="14"/>
    <col min="2561" max="2561" width="27" style="14" customWidth="1"/>
    <col min="2562" max="2562" width="15.6640625" style="14" customWidth="1"/>
    <col min="2563" max="2563" width="13" style="14" customWidth="1"/>
    <col min="2564" max="2564" width="13.44140625" style="14" customWidth="1"/>
    <col min="2565" max="2565" width="12.109375" style="14" customWidth="1"/>
    <col min="2566" max="2566" width="15.6640625" style="14" customWidth="1"/>
    <col min="2567" max="2567" width="13.6640625" style="14" customWidth="1"/>
    <col min="2568" max="2568" width="10.6640625" style="14" customWidth="1"/>
    <col min="2569" max="2570" width="10.6640625" style="14" bestFit="1" customWidth="1"/>
    <col min="2571" max="2571" width="12.109375" style="14" customWidth="1"/>
    <col min="2572" max="2572" width="10.88671875" style="14" customWidth="1"/>
    <col min="2573" max="2816" width="8.88671875" style="14"/>
    <col min="2817" max="2817" width="27" style="14" customWidth="1"/>
    <col min="2818" max="2818" width="15.6640625" style="14" customWidth="1"/>
    <col min="2819" max="2819" width="13" style="14" customWidth="1"/>
    <col min="2820" max="2820" width="13.44140625" style="14" customWidth="1"/>
    <col min="2821" max="2821" width="12.109375" style="14" customWidth="1"/>
    <col min="2822" max="2822" width="15.6640625" style="14" customWidth="1"/>
    <col min="2823" max="2823" width="13.6640625" style="14" customWidth="1"/>
    <col min="2824" max="2824" width="10.6640625" style="14" customWidth="1"/>
    <col min="2825" max="2826" width="10.6640625" style="14" bestFit="1" customWidth="1"/>
    <col min="2827" max="2827" width="12.109375" style="14" customWidth="1"/>
    <col min="2828" max="2828" width="10.88671875" style="14" customWidth="1"/>
    <col min="2829" max="3072" width="8.88671875" style="14"/>
    <col min="3073" max="3073" width="27" style="14" customWidth="1"/>
    <col min="3074" max="3074" width="15.6640625" style="14" customWidth="1"/>
    <col min="3075" max="3075" width="13" style="14" customWidth="1"/>
    <col min="3076" max="3076" width="13.44140625" style="14" customWidth="1"/>
    <col min="3077" max="3077" width="12.109375" style="14" customWidth="1"/>
    <col min="3078" max="3078" width="15.6640625" style="14" customWidth="1"/>
    <col min="3079" max="3079" width="13.6640625" style="14" customWidth="1"/>
    <col min="3080" max="3080" width="10.6640625" style="14" customWidth="1"/>
    <col min="3081" max="3082" width="10.6640625" style="14" bestFit="1" customWidth="1"/>
    <col min="3083" max="3083" width="12.109375" style="14" customWidth="1"/>
    <col min="3084" max="3084" width="10.88671875" style="14" customWidth="1"/>
    <col min="3085" max="3328" width="8.88671875" style="14"/>
    <col min="3329" max="3329" width="27" style="14" customWidth="1"/>
    <col min="3330" max="3330" width="15.6640625" style="14" customWidth="1"/>
    <col min="3331" max="3331" width="13" style="14" customWidth="1"/>
    <col min="3332" max="3332" width="13.44140625" style="14" customWidth="1"/>
    <col min="3333" max="3333" width="12.109375" style="14" customWidth="1"/>
    <col min="3334" max="3334" width="15.6640625" style="14" customWidth="1"/>
    <col min="3335" max="3335" width="13.6640625" style="14" customWidth="1"/>
    <col min="3336" max="3336" width="10.6640625" style="14" customWidth="1"/>
    <col min="3337" max="3338" width="10.6640625" style="14" bestFit="1" customWidth="1"/>
    <col min="3339" max="3339" width="12.109375" style="14" customWidth="1"/>
    <col min="3340" max="3340" width="10.88671875" style="14" customWidth="1"/>
    <col min="3341" max="3584" width="8.88671875" style="14"/>
    <col min="3585" max="3585" width="27" style="14" customWidth="1"/>
    <col min="3586" max="3586" width="15.6640625" style="14" customWidth="1"/>
    <col min="3587" max="3587" width="13" style="14" customWidth="1"/>
    <col min="3588" max="3588" width="13.44140625" style="14" customWidth="1"/>
    <col min="3589" max="3589" width="12.109375" style="14" customWidth="1"/>
    <col min="3590" max="3590" width="15.6640625" style="14" customWidth="1"/>
    <col min="3591" max="3591" width="13.6640625" style="14" customWidth="1"/>
    <col min="3592" max="3592" width="10.6640625" style="14" customWidth="1"/>
    <col min="3593" max="3594" width="10.6640625" style="14" bestFit="1" customWidth="1"/>
    <col min="3595" max="3595" width="12.109375" style="14" customWidth="1"/>
    <col min="3596" max="3596" width="10.88671875" style="14" customWidth="1"/>
    <col min="3597" max="3840" width="8.88671875" style="14"/>
    <col min="3841" max="3841" width="27" style="14" customWidth="1"/>
    <col min="3842" max="3842" width="15.6640625" style="14" customWidth="1"/>
    <col min="3843" max="3843" width="13" style="14" customWidth="1"/>
    <col min="3844" max="3844" width="13.44140625" style="14" customWidth="1"/>
    <col min="3845" max="3845" width="12.109375" style="14" customWidth="1"/>
    <col min="3846" max="3846" width="15.6640625" style="14" customWidth="1"/>
    <col min="3847" max="3847" width="13.6640625" style="14" customWidth="1"/>
    <col min="3848" max="3848" width="10.6640625" style="14" customWidth="1"/>
    <col min="3849" max="3850" width="10.6640625" style="14" bestFit="1" customWidth="1"/>
    <col min="3851" max="3851" width="12.109375" style="14" customWidth="1"/>
    <col min="3852" max="3852" width="10.88671875" style="14" customWidth="1"/>
    <col min="3853" max="4096" width="8.88671875" style="14"/>
    <col min="4097" max="4097" width="27" style="14" customWidth="1"/>
    <col min="4098" max="4098" width="15.6640625" style="14" customWidth="1"/>
    <col min="4099" max="4099" width="13" style="14" customWidth="1"/>
    <col min="4100" max="4100" width="13.44140625" style="14" customWidth="1"/>
    <col min="4101" max="4101" width="12.109375" style="14" customWidth="1"/>
    <col min="4102" max="4102" width="15.6640625" style="14" customWidth="1"/>
    <col min="4103" max="4103" width="13.6640625" style="14" customWidth="1"/>
    <col min="4104" max="4104" width="10.6640625" style="14" customWidth="1"/>
    <col min="4105" max="4106" width="10.6640625" style="14" bestFit="1" customWidth="1"/>
    <col min="4107" max="4107" width="12.109375" style="14" customWidth="1"/>
    <col min="4108" max="4108" width="10.88671875" style="14" customWidth="1"/>
    <col min="4109" max="4352" width="8.88671875" style="14"/>
    <col min="4353" max="4353" width="27" style="14" customWidth="1"/>
    <col min="4354" max="4354" width="15.6640625" style="14" customWidth="1"/>
    <col min="4355" max="4355" width="13" style="14" customWidth="1"/>
    <col min="4356" max="4356" width="13.44140625" style="14" customWidth="1"/>
    <col min="4357" max="4357" width="12.109375" style="14" customWidth="1"/>
    <col min="4358" max="4358" width="15.6640625" style="14" customWidth="1"/>
    <col min="4359" max="4359" width="13.6640625" style="14" customWidth="1"/>
    <col min="4360" max="4360" width="10.6640625" style="14" customWidth="1"/>
    <col min="4361" max="4362" width="10.6640625" style="14" bestFit="1" customWidth="1"/>
    <col min="4363" max="4363" width="12.109375" style="14" customWidth="1"/>
    <col min="4364" max="4364" width="10.88671875" style="14" customWidth="1"/>
    <col min="4365" max="4608" width="8.88671875" style="14"/>
    <col min="4609" max="4609" width="27" style="14" customWidth="1"/>
    <col min="4610" max="4610" width="15.6640625" style="14" customWidth="1"/>
    <col min="4611" max="4611" width="13" style="14" customWidth="1"/>
    <col min="4612" max="4612" width="13.44140625" style="14" customWidth="1"/>
    <col min="4613" max="4613" width="12.109375" style="14" customWidth="1"/>
    <col min="4614" max="4614" width="15.6640625" style="14" customWidth="1"/>
    <col min="4615" max="4615" width="13.6640625" style="14" customWidth="1"/>
    <col min="4616" max="4616" width="10.6640625" style="14" customWidth="1"/>
    <col min="4617" max="4618" width="10.6640625" style="14" bestFit="1" customWidth="1"/>
    <col min="4619" max="4619" width="12.109375" style="14" customWidth="1"/>
    <col min="4620" max="4620" width="10.88671875" style="14" customWidth="1"/>
    <col min="4621" max="4864" width="8.88671875" style="14"/>
    <col min="4865" max="4865" width="27" style="14" customWidth="1"/>
    <col min="4866" max="4866" width="15.6640625" style="14" customWidth="1"/>
    <col min="4867" max="4867" width="13" style="14" customWidth="1"/>
    <col min="4868" max="4868" width="13.44140625" style="14" customWidth="1"/>
    <col min="4869" max="4869" width="12.109375" style="14" customWidth="1"/>
    <col min="4870" max="4870" width="15.6640625" style="14" customWidth="1"/>
    <col min="4871" max="4871" width="13.6640625" style="14" customWidth="1"/>
    <col min="4872" max="4872" width="10.6640625" style="14" customWidth="1"/>
    <col min="4873" max="4874" width="10.6640625" style="14" bestFit="1" customWidth="1"/>
    <col min="4875" max="4875" width="12.109375" style="14" customWidth="1"/>
    <col min="4876" max="4876" width="10.88671875" style="14" customWidth="1"/>
    <col min="4877" max="5120" width="8.88671875" style="14"/>
    <col min="5121" max="5121" width="27" style="14" customWidth="1"/>
    <col min="5122" max="5122" width="15.6640625" style="14" customWidth="1"/>
    <col min="5123" max="5123" width="13" style="14" customWidth="1"/>
    <col min="5124" max="5124" width="13.44140625" style="14" customWidth="1"/>
    <col min="5125" max="5125" width="12.109375" style="14" customWidth="1"/>
    <col min="5126" max="5126" width="15.6640625" style="14" customWidth="1"/>
    <col min="5127" max="5127" width="13.6640625" style="14" customWidth="1"/>
    <col min="5128" max="5128" width="10.6640625" style="14" customWidth="1"/>
    <col min="5129" max="5130" width="10.6640625" style="14" bestFit="1" customWidth="1"/>
    <col min="5131" max="5131" width="12.109375" style="14" customWidth="1"/>
    <col min="5132" max="5132" width="10.88671875" style="14" customWidth="1"/>
    <col min="5133" max="5376" width="8.88671875" style="14"/>
    <col min="5377" max="5377" width="27" style="14" customWidth="1"/>
    <col min="5378" max="5378" width="15.6640625" style="14" customWidth="1"/>
    <col min="5379" max="5379" width="13" style="14" customWidth="1"/>
    <col min="5380" max="5380" width="13.44140625" style="14" customWidth="1"/>
    <col min="5381" max="5381" width="12.109375" style="14" customWidth="1"/>
    <col min="5382" max="5382" width="15.6640625" style="14" customWidth="1"/>
    <col min="5383" max="5383" width="13.6640625" style="14" customWidth="1"/>
    <col min="5384" max="5384" width="10.6640625" style="14" customWidth="1"/>
    <col min="5385" max="5386" width="10.6640625" style="14" bestFit="1" customWidth="1"/>
    <col min="5387" max="5387" width="12.109375" style="14" customWidth="1"/>
    <col min="5388" max="5388" width="10.88671875" style="14" customWidth="1"/>
    <col min="5389" max="5632" width="8.88671875" style="14"/>
    <col min="5633" max="5633" width="27" style="14" customWidth="1"/>
    <col min="5634" max="5634" width="15.6640625" style="14" customWidth="1"/>
    <col min="5635" max="5635" width="13" style="14" customWidth="1"/>
    <col min="5636" max="5636" width="13.44140625" style="14" customWidth="1"/>
    <col min="5637" max="5637" width="12.109375" style="14" customWidth="1"/>
    <col min="5638" max="5638" width="15.6640625" style="14" customWidth="1"/>
    <col min="5639" max="5639" width="13.6640625" style="14" customWidth="1"/>
    <col min="5640" max="5640" width="10.6640625" style="14" customWidth="1"/>
    <col min="5641" max="5642" width="10.6640625" style="14" bestFit="1" customWidth="1"/>
    <col min="5643" max="5643" width="12.109375" style="14" customWidth="1"/>
    <col min="5644" max="5644" width="10.88671875" style="14" customWidth="1"/>
    <col min="5645" max="5888" width="8.88671875" style="14"/>
    <col min="5889" max="5889" width="27" style="14" customWidth="1"/>
    <col min="5890" max="5890" width="15.6640625" style="14" customWidth="1"/>
    <col min="5891" max="5891" width="13" style="14" customWidth="1"/>
    <col min="5892" max="5892" width="13.44140625" style="14" customWidth="1"/>
    <col min="5893" max="5893" width="12.109375" style="14" customWidth="1"/>
    <col min="5894" max="5894" width="15.6640625" style="14" customWidth="1"/>
    <col min="5895" max="5895" width="13.6640625" style="14" customWidth="1"/>
    <col min="5896" max="5896" width="10.6640625" style="14" customWidth="1"/>
    <col min="5897" max="5898" width="10.6640625" style="14" bestFit="1" customWidth="1"/>
    <col min="5899" max="5899" width="12.109375" style="14" customWidth="1"/>
    <col min="5900" max="5900" width="10.88671875" style="14" customWidth="1"/>
    <col min="5901" max="6144" width="8.88671875" style="14"/>
    <col min="6145" max="6145" width="27" style="14" customWidth="1"/>
    <col min="6146" max="6146" width="15.6640625" style="14" customWidth="1"/>
    <col min="6147" max="6147" width="13" style="14" customWidth="1"/>
    <col min="6148" max="6148" width="13.44140625" style="14" customWidth="1"/>
    <col min="6149" max="6149" width="12.109375" style="14" customWidth="1"/>
    <col min="6150" max="6150" width="15.6640625" style="14" customWidth="1"/>
    <col min="6151" max="6151" width="13.6640625" style="14" customWidth="1"/>
    <col min="6152" max="6152" width="10.6640625" style="14" customWidth="1"/>
    <col min="6153" max="6154" width="10.6640625" style="14" bestFit="1" customWidth="1"/>
    <col min="6155" max="6155" width="12.109375" style="14" customWidth="1"/>
    <col min="6156" max="6156" width="10.88671875" style="14" customWidth="1"/>
    <col min="6157" max="6400" width="8.88671875" style="14"/>
    <col min="6401" max="6401" width="27" style="14" customWidth="1"/>
    <col min="6402" max="6402" width="15.6640625" style="14" customWidth="1"/>
    <col min="6403" max="6403" width="13" style="14" customWidth="1"/>
    <col min="6404" max="6404" width="13.44140625" style="14" customWidth="1"/>
    <col min="6405" max="6405" width="12.109375" style="14" customWidth="1"/>
    <col min="6406" max="6406" width="15.6640625" style="14" customWidth="1"/>
    <col min="6407" max="6407" width="13.6640625" style="14" customWidth="1"/>
    <col min="6408" max="6408" width="10.6640625" style="14" customWidth="1"/>
    <col min="6409" max="6410" width="10.6640625" style="14" bestFit="1" customWidth="1"/>
    <col min="6411" max="6411" width="12.109375" style="14" customWidth="1"/>
    <col min="6412" max="6412" width="10.88671875" style="14" customWidth="1"/>
    <col min="6413" max="6656" width="8.88671875" style="14"/>
    <col min="6657" max="6657" width="27" style="14" customWidth="1"/>
    <col min="6658" max="6658" width="15.6640625" style="14" customWidth="1"/>
    <col min="6659" max="6659" width="13" style="14" customWidth="1"/>
    <col min="6660" max="6660" width="13.44140625" style="14" customWidth="1"/>
    <col min="6661" max="6661" width="12.109375" style="14" customWidth="1"/>
    <col min="6662" max="6662" width="15.6640625" style="14" customWidth="1"/>
    <col min="6663" max="6663" width="13.6640625" style="14" customWidth="1"/>
    <col min="6664" max="6664" width="10.6640625" style="14" customWidth="1"/>
    <col min="6665" max="6666" width="10.6640625" style="14" bestFit="1" customWidth="1"/>
    <col min="6667" max="6667" width="12.109375" style="14" customWidth="1"/>
    <col min="6668" max="6668" width="10.88671875" style="14" customWidth="1"/>
    <col min="6669" max="6912" width="8.88671875" style="14"/>
    <col min="6913" max="6913" width="27" style="14" customWidth="1"/>
    <col min="6914" max="6914" width="15.6640625" style="14" customWidth="1"/>
    <col min="6915" max="6915" width="13" style="14" customWidth="1"/>
    <col min="6916" max="6916" width="13.44140625" style="14" customWidth="1"/>
    <col min="6917" max="6917" width="12.109375" style="14" customWidth="1"/>
    <col min="6918" max="6918" width="15.6640625" style="14" customWidth="1"/>
    <col min="6919" max="6919" width="13.6640625" style="14" customWidth="1"/>
    <col min="6920" max="6920" width="10.6640625" style="14" customWidth="1"/>
    <col min="6921" max="6922" width="10.6640625" style="14" bestFit="1" customWidth="1"/>
    <col min="6923" max="6923" width="12.109375" style="14" customWidth="1"/>
    <col min="6924" max="6924" width="10.88671875" style="14" customWidth="1"/>
    <col min="6925" max="7168" width="8.88671875" style="14"/>
    <col min="7169" max="7169" width="27" style="14" customWidth="1"/>
    <col min="7170" max="7170" width="15.6640625" style="14" customWidth="1"/>
    <col min="7171" max="7171" width="13" style="14" customWidth="1"/>
    <col min="7172" max="7172" width="13.44140625" style="14" customWidth="1"/>
    <col min="7173" max="7173" width="12.109375" style="14" customWidth="1"/>
    <col min="7174" max="7174" width="15.6640625" style="14" customWidth="1"/>
    <col min="7175" max="7175" width="13.6640625" style="14" customWidth="1"/>
    <col min="7176" max="7176" width="10.6640625" style="14" customWidth="1"/>
    <col min="7177" max="7178" width="10.6640625" style="14" bestFit="1" customWidth="1"/>
    <col min="7179" max="7179" width="12.109375" style="14" customWidth="1"/>
    <col min="7180" max="7180" width="10.88671875" style="14" customWidth="1"/>
    <col min="7181" max="7424" width="8.88671875" style="14"/>
    <col min="7425" max="7425" width="27" style="14" customWidth="1"/>
    <col min="7426" max="7426" width="15.6640625" style="14" customWidth="1"/>
    <col min="7427" max="7427" width="13" style="14" customWidth="1"/>
    <col min="7428" max="7428" width="13.44140625" style="14" customWidth="1"/>
    <col min="7429" max="7429" width="12.109375" style="14" customWidth="1"/>
    <col min="7430" max="7430" width="15.6640625" style="14" customWidth="1"/>
    <col min="7431" max="7431" width="13.6640625" style="14" customWidth="1"/>
    <col min="7432" max="7432" width="10.6640625" style="14" customWidth="1"/>
    <col min="7433" max="7434" width="10.6640625" style="14" bestFit="1" customWidth="1"/>
    <col min="7435" max="7435" width="12.109375" style="14" customWidth="1"/>
    <col min="7436" max="7436" width="10.88671875" style="14" customWidth="1"/>
    <col min="7437" max="7680" width="8.88671875" style="14"/>
    <col min="7681" max="7681" width="27" style="14" customWidth="1"/>
    <col min="7682" max="7682" width="15.6640625" style="14" customWidth="1"/>
    <col min="7683" max="7683" width="13" style="14" customWidth="1"/>
    <col min="7684" max="7684" width="13.44140625" style="14" customWidth="1"/>
    <col min="7685" max="7685" width="12.109375" style="14" customWidth="1"/>
    <col min="7686" max="7686" width="15.6640625" style="14" customWidth="1"/>
    <col min="7687" max="7687" width="13.6640625" style="14" customWidth="1"/>
    <col min="7688" max="7688" width="10.6640625" style="14" customWidth="1"/>
    <col min="7689" max="7690" width="10.6640625" style="14" bestFit="1" customWidth="1"/>
    <col min="7691" max="7691" width="12.109375" style="14" customWidth="1"/>
    <col min="7692" max="7692" width="10.88671875" style="14" customWidth="1"/>
    <col min="7693" max="7936" width="8.88671875" style="14"/>
    <col min="7937" max="7937" width="27" style="14" customWidth="1"/>
    <col min="7938" max="7938" width="15.6640625" style="14" customWidth="1"/>
    <col min="7939" max="7939" width="13" style="14" customWidth="1"/>
    <col min="7940" max="7940" width="13.44140625" style="14" customWidth="1"/>
    <col min="7941" max="7941" width="12.109375" style="14" customWidth="1"/>
    <col min="7942" max="7942" width="15.6640625" style="14" customWidth="1"/>
    <col min="7943" max="7943" width="13.6640625" style="14" customWidth="1"/>
    <col min="7944" max="7944" width="10.6640625" style="14" customWidth="1"/>
    <col min="7945" max="7946" width="10.6640625" style="14" bestFit="1" customWidth="1"/>
    <col min="7947" max="7947" width="12.109375" style="14" customWidth="1"/>
    <col min="7948" max="7948" width="10.88671875" style="14" customWidth="1"/>
    <col min="7949" max="8192" width="8.88671875" style="14"/>
    <col min="8193" max="8193" width="27" style="14" customWidth="1"/>
    <col min="8194" max="8194" width="15.6640625" style="14" customWidth="1"/>
    <col min="8195" max="8195" width="13" style="14" customWidth="1"/>
    <col min="8196" max="8196" width="13.44140625" style="14" customWidth="1"/>
    <col min="8197" max="8197" width="12.109375" style="14" customWidth="1"/>
    <col min="8198" max="8198" width="15.6640625" style="14" customWidth="1"/>
    <col min="8199" max="8199" width="13.6640625" style="14" customWidth="1"/>
    <col min="8200" max="8200" width="10.6640625" style="14" customWidth="1"/>
    <col min="8201" max="8202" width="10.6640625" style="14" bestFit="1" customWidth="1"/>
    <col min="8203" max="8203" width="12.109375" style="14" customWidth="1"/>
    <col min="8204" max="8204" width="10.88671875" style="14" customWidth="1"/>
    <col min="8205" max="8448" width="8.88671875" style="14"/>
    <col min="8449" max="8449" width="27" style="14" customWidth="1"/>
    <col min="8450" max="8450" width="15.6640625" style="14" customWidth="1"/>
    <col min="8451" max="8451" width="13" style="14" customWidth="1"/>
    <col min="8452" max="8452" width="13.44140625" style="14" customWidth="1"/>
    <col min="8453" max="8453" width="12.109375" style="14" customWidth="1"/>
    <col min="8454" max="8454" width="15.6640625" style="14" customWidth="1"/>
    <col min="8455" max="8455" width="13.6640625" style="14" customWidth="1"/>
    <col min="8456" max="8456" width="10.6640625" style="14" customWidth="1"/>
    <col min="8457" max="8458" width="10.6640625" style="14" bestFit="1" customWidth="1"/>
    <col min="8459" max="8459" width="12.109375" style="14" customWidth="1"/>
    <col min="8460" max="8460" width="10.88671875" style="14" customWidth="1"/>
    <col min="8461" max="8704" width="8.88671875" style="14"/>
    <col min="8705" max="8705" width="27" style="14" customWidth="1"/>
    <col min="8706" max="8706" width="15.6640625" style="14" customWidth="1"/>
    <col min="8707" max="8707" width="13" style="14" customWidth="1"/>
    <col min="8708" max="8708" width="13.44140625" style="14" customWidth="1"/>
    <col min="8709" max="8709" width="12.109375" style="14" customWidth="1"/>
    <col min="8710" max="8710" width="15.6640625" style="14" customWidth="1"/>
    <col min="8711" max="8711" width="13.6640625" style="14" customWidth="1"/>
    <col min="8712" max="8712" width="10.6640625" style="14" customWidth="1"/>
    <col min="8713" max="8714" width="10.6640625" style="14" bestFit="1" customWidth="1"/>
    <col min="8715" max="8715" width="12.109375" style="14" customWidth="1"/>
    <col min="8716" max="8716" width="10.88671875" style="14" customWidth="1"/>
    <col min="8717" max="8960" width="8.88671875" style="14"/>
    <col min="8961" max="8961" width="27" style="14" customWidth="1"/>
    <col min="8962" max="8962" width="15.6640625" style="14" customWidth="1"/>
    <col min="8963" max="8963" width="13" style="14" customWidth="1"/>
    <col min="8964" max="8964" width="13.44140625" style="14" customWidth="1"/>
    <col min="8965" max="8965" width="12.109375" style="14" customWidth="1"/>
    <col min="8966" max="8966" width="15.6640625" style="14" customWidth="1"/>
    <col min="8967" max="8967" width="13.6640625" style="14" customWidth="1"/>
    <col min="8968" max="8968" width="10.6640625" style="14" customWidth="1"/>
    <col min="8969" max="8970" width="10.6640625" style="14" bestFit="1" customWidth="1"/>
    <col min="8971" max="8971" width="12.109375" style="14" customWidth="1"/>
    <col min="8972" max="8972" width="10.88671875" style="14" customWidth="1"/>
    <col min="8973" max="9216" width="8.88671875" style="14"/>
    <col min="9217" max="9217" width="27" style="14" customWidth="1"/>
    <col min="9218" max="9218" width="15.6640625" style="14" customWidth="1"/>
    <col min="9219" max="9219" width="13" style="14" customWidth="1"/>
    <col min="9220" max="9220" width="13.44140625" style="14" customWidth="1"/>
    <col min="9221" max="9221" width="12.109375" style="14" customWidth="1"/>
    <col min="9222" max="9222" width="15.6640625" style="14" customWidth="1"/>
    <col min="9223" max="9223" width="13.6640625" style="14" customWidth="1"/>
    <col min="9224" max="9224" width="10.6640625" style="14" customWidth="1"/>
    <col min="9225" max="9226" width="10.6640625" style="14" bestFit="1" customWidth="1"/>
    <col min="9227" max="9227" width="12.109375" style="14" customWidth="1"/>
    <col min="9228" max="9228" width="10.88671875" style="14" customWidth="1"/>
    <col min="9229" max="9472" width="8.88671875" style="14"/>
    <col min="9473" max="9473" width="27" style="14" customWidth="1"/>
    <col min="9474" max="9474" width="15.6640625" style="14" customWidth="1"/>
    <col min="9475" max="9475" width="13" style="14" customWidth="1"/>
    <col min="9476" max="9476" width="13.44140625" style="14" customWidth="1"/>
    <col min="9477" max="9477" width="12.109375" style="14" customWidth="1"/>
    <col min="9478" max="9478" width="15.6640625" style="14" customWidth="1"/>
    <col min="9479" max="9479" width="13.6640625" style="14" customWidth="1"/>
    <col min="9480" max="9480" width="10.6640625" style="14" customWidth="1"/>
    <col min="9481" max="9482" width="10.6640625" style="14" bestFit="1" customWidth="1"/>
    <col min="9483" max="9483" width="12.109375" style="14" customWidth="1"/>
    <col min="9484" max="9484" width="10.88671875" style="14" customWidth="1"/>
    <col min="9485" max="9728" width="8.88671875" style="14"/>
    <col min="9729" max="9729" width="27" style="14" customWidth="1"/>
    <col min="9730" max="9730" width="15.6640625" style="14" customWidth="1"/>
    <col min="9731" max="9731" width="13" style="14" customWidth="1"/>
    <col min="9732" max="9732" width="13.44140625" style="14" customWidth="1"/>
    <col min="9733" max="9733" width="12.109375" style="14" customWidth="1"/>
    <col min="9734" max="9734" width="15.6640625" style="14" customWidth="1"/>
    <col min="9735" max="9735" width="13.6640625" style="14" customWidth="1"/>
    <col min="9736" max="9736" width="10.6640625" style="14" customWidth="1"/>
    <col min="9737" max="9738" width="10.6640625" style="14" bestFit="1" customWidth="1"/>
    <col min="9739" max="9739" width="12.109375" style="14" customWidth="1"/>
    <col min="9740" max="9740" width="10.88671875" style="14" customWidth="1"/>
    <col min="9741" max="9984" width="8.88671875" style="14"/>
    <col min="9985" max="9985" width="27" style="14" customWidth="1"/>
    <col min="9986" max="9986" width="15.6640625" style="14" customWidth="1"/>
    <col min="9987" max="9987" width="13" style="14" customWidth="1"/>
    <col min="9988" max="9988" width="13.44140625" style="14" customWidth="1"/>
    <col min="9989" max="9989" width="12.109375" style="14" customWidth="1"/>
    <col min="9990" max="9990" width="15.6640625" style="14" customWidth="1"/>
    <col min="9991" max="9991" width="13.6640625" style="14" customWidth="1"/>
    <col min="9992" max="9992" width="10.6640625" style="14" customWidth="1"/>
    <col min="9993" max="9994" width="10.6640625" style="14" bestFit="1" customWidth="1"/>
    <col min="9995" max="9995" width="12.109375" style="14" customWidth="1"/>
    <col min="9996" max="9996" width="10.88671875" style="14" customWidth="1"/>
    <col min="9997" max="10240" width="8.88671875" style="14"/>
    <col min="10241" max="10241" width="27" style="14" customWidth="1"/>
    <col min="10242" max="10242" width="15.6640625" style="14" customWidth="1"/>
    <col min="10243" max="10243" width="13" style="14" customWidth="1"/>
    <col min="10244" max="10244" width="13.44140625" style="14" customWidth="1"/>
    <col min="10245" max="10245" width="12.109375" style="14" customWidth="1"/>
    <col min="10246" max="10246" width="15.6640625" style="14" customWidth="1"/>
    <col min="10247" max="10247" width="13.6640625" style="14" customWidth="1"/>
    <col min="10248" max="10248" width="10.6640625" style="14" customWidth="1"/>
    <col min="10249" max="10250" width="10.6640625" style="14" bestFit="1" customWidth="1"/>
    <col min="10251" max="10251" width="12.109375" style="14" customWidth="1"/>
    <col min="10252" max="10252" width="10.88671875" style="14" customWidth="1"/>
    <col min="10253" max="10496" width="8.88671875" style="14"/>
    <col min="10497" max="10497" width="27" style="14" customWidth="1"/>
    <col min="10498" max="10498" width="15.6640625" style="14" customWidth="1"/>
    <col min="10499" max="10499" width="13" style="14" customWidth="1"/>
    <col min="10500" max="10500" width="13.44140625" style="14" customWidth="1"/>
    <col min="10501" max="10501" width="12.109375" style="14" customWidth="1"/>
    <col min="10502" max="10502" width="15.6640625" style="14" customWidth="1"/>
    <col min="10503" max="10503" width="13.6640625" style="14" customWidth="1"/>
    <col min="10504" max="10504" width="10.6640625" style="14" customWidth="1"/>
    <col min="10505" max="10506" width="10.6640625" style="14" bestFit="1" customWidth="1"/>
    <col min="10507" max="10507" width="12.109375" style="14" customWidth="1"/>
    <col min="10508" max="10508" width="10.88671875" style="14" customWidth="1"/>
    <col min="10509" max="10752" width="8.88671875" style="14"/>
    <col min="10753" max="10753" width="27" style="14" customWidth="1"/>
    <col min="10754" max="10754" width="15.6640625" style="14" customWidth="1"/>
    <col min="10755" max="10755" width="13" style="14" customWidth="1"/>
    <col min="10756" max="10756" width="13.44140625" style="14" customWidth="1"/>
    <col min="10757" max="10757" width="12.109375" style="14" customWidth="1"/>
    <col min="10758" max="10758" width="15.6640625" style="14" customWidth="1"/>
    <col min="10759" max="10759" width="13.6640625" style="14" customWidth="1"/>
    <col min="10760" max="10760" width="10.6640625" style="14" customWidth="1"/>
    <col min="10761" max="10762" width="10.6640625" style="14" bestFit="1" customWidth="1"/>
    <col min="10763" max="10763" width="12.109375" style="14" customWidth="1"/>
    <col min="10764" max="10764" width="10.88671875" style="14" customWidth="1"/>
    <col min="10765" max="11008" width="8.88671875" style="14"/>
    <col min="11009" max="11009" width="27" style="14" customWidth="1"/>
    <col min="11010" max="11010" width="15.6640625" style="14" customWidth="1"/>
    <col min="11011" max="11011" width="13" style="14" customWidth="1"/>
    <col min="11012" max="11012" width="13.44140625" style="14" customWidth="1"/>
    <col min="11013" max="11013" width="12.109375" style="14" customWidth="1"/>
    <col min="11014" max="11014" width="15.6640625" style="14" customWidth="1"/>
    <col min="11015" max="11015" width="13.6640625" style="14" customWidth="1"/>
    <col min="11016" max="11016" width="10.6640625" style="14" customWidth="1"/>
    <col min="11017" max="11018" width="10.6640625" style="14" bestFit="1" customWidth="1"/>
    <col min="11019" max="11019" width="12.109375" style="14" customWidth="1"/>
    <col min="11020" max="11020" width="10.88671875" style="14" customWidth="1"/>
    <col min="11021" max="11264" width="8.88671875" style="14"/>
    <col min="11265" max="11265" width="27" style="14" customWidth="1"/>
    <col min="11266" max="11266" width="15.6640625" style="14" customWidth="1"/>
    <col min="11267" max="11267" width="13" style="14" customWidth="1"/>
    <col min="11268" max="11268" width="13.44140625" style="14" customWidth="1"/>
    <col min="11269" max="11269" width="12.109375" style="14" customWidth="1"/>
    <col min="11270" max="11270" width="15.6640625" style="14" customWidth="1"/>
    <col min="11271" max="11271" width="13.6640625" style="14" customWidth="1"/>
    <col min="11272" max="11272" width="10.6640625" style="14" customWidth="1"/>
    <col min="11273" max="11274" width="10.6640625" style="14" bestFit="1" customWidth="1"/>
    <col min="11275" max="11275" width="12.109375" style="14" customWidth="1"/>
    <col min="11276" max="11276" width="10.88671875" style="14" customWidth="1"/>
    <col min="11277" max="11520" width="8.88671875" style="14"/>
    <col min="11521" max="11521" width="27" style="14" customWidth="1"/>
    <col min="11522" max="11522" width="15.6640625" style="14" customWidth="1"/>
    <col min="11523" max="11523" width="13" style="14" customWidth="1"/>
    <col min="11524" max="11524" width="13.44140625" style="14" customWidth="1"/>
    <col min="11525" max="11525" width="12.109375" style="14" customWidth="1"/>
    <col min="11526" max="11526" width="15.6640625" style="14" customWidth="1"/>
    <col min="11527" max="11527" width="13.6640625" style="14" customWidth="1"/>
    <col min="11528" max="11528" width="10.6640625" style="14" customWidth="1"/>
    <col min="11529" max="11530" width="10.6640625" style="14" bestFit="1" customWidth="1"/>
    <col min="11531" max="11531" width="12.109375" style="14" customWidth="1"/>
    <col min="11532" max="11532" width="10.88671875" style="14" customWidth="1"/>
    <col min="11533" max="11776" width="8.88671875" style="14"/>
    <col min="11777" max="11777" width="27" style="14" customWidth="1"/>
    <col min="11778" max="11778" width="15.6640625" style="14" customWidth="1"/>
    <col min="11779" max="11779" width="13" style="14" customWidth="1"/>
    <col min="11780" max="11780" width="13.44140625" style="14" customWidth="1"/>
    <col min="11781" max="11781" width="12.109375" style="14" customWidth="1"/>
    <col min="11782" max="11782" width="15.6640625" style="14" customWidth="1"/>
    <col min="11783" max="11783" width="13.6640625" style="14" customWidth="1"/>
    <col min="11784" max="11784" width="10.6640625" style="14" customWidth="1"/>
    <col min="11785" max="11786" width="10.6640625" style="14" bestFit="1" customWidth="1"/>
    <col min="11787" max="11787" width="12.109375" style="14" customWidth="1"/>
    <col min="11788" max="11788" width="10.88671875" style="14" customWidth="1"/>
    <col min="11789" max="12032" width="8.88671875" style="14"/>
    <col min="12033" max="12033" width="27" style="14" customWidth="1"/>
    <col min="12034" max="12034" width="15.6640625" style="14" customWidth="1"/>
    <col min="12035" max="12035" width="13" style="14" customWidth="1"/>
    <col min="12036" max="12036" width="13.44140625" style="14" customWidth="1"/>
    <col min="12037" max="12037" width="12.109375" style="14" customWidth="1"/>
    <col min="12038" max="12038" width="15.6640625" style="14" customWidth="1"/>
    <col min="12039" max="12039" width="13.6640625" style="14" customWidth="1"/>
    <col min="12040" max="12040" width="10.6640625" style="14" customWidth="1"/>
    <col min="12041" max="12042" width="10.6640625" style="14" bestFit="1" customWidth="1"/>
    <col min="12043" max="12043" width="12.109375" style="14" customWidth="1"/>
    <col min="12044" max="12044" width="10.88671875" style="14" customWidth="1"/>
    <col min="12045" max="12288" width="8.88671875" style="14"/>
    <col min="12289" max="12289" width="27" style="14" customWidth="1"/>
    <col min="12290" max="12290" width="15.6640625" style="14" customWidth="1"/>
    <col min="12291" max="12291" width="13" style="14" customWidth="1"/>
    <col min="12292" max="12292" width="13.44140625" style="14" customWidth="1"/>
    <col min="12293" max="12293" width="12.109375" style="14" customWidth="1"/>
    <col min="12294" max="12294" width="15.6640625" style="14" customWidth="1"/>
    <col min="12295" max="12295" width="13.6640625" style="14" customWidth="1"/>
    <col min="12296" max="12296" width="10.6640625" style="14" customWidth="1"/>
    <col min="12297" max="12298" width="10.6640625" style="14" bestFit="1" customWidth="1"/>
    <col min="12299" max="12299" width="12.109375" style="14" customWidth="1"/>
    <col min="12300" max="12300" width="10.88671875" style="14" customWidth="1"/>
    <col min="12301" max="12544" width="8.88671875" style="14"/>
    <col min="12545" max="12545" width="27" style="14" customWidth="1"/>
    <col min="12546" max="12546" width="15.6640625" style="14" customWidth="1"/>
    <col min="12547" max="12547" width="13" style="14" customWidth="1"/>
    <col min="12548" max="12548" width="13.44140625" style="14" customWidth="1"/>
    <col min="12549" max="12549" width="12.109375" style="14" customWidth="1"/>
    <col min="12550" max="12550" width="15.6640625" style="14" customWidth="1"/>
    <col min="12551" max="12551" width="13.6640625" style="14" customWidth="1"/>
    <col min="12552" max="12552" width="10.6640625" style="14" customWidth="1"/>
    <col min="12553" max="12554" width="10.6640625" style="14" bestFit="1" customWidth="1"/>
    <col min="12555" max="12555" width="12.109375" style="14" customWidth="1"/>
    <col min="12556" max="12556" width="10.88671875" style="14" customWidth="1"/>
    <col min="12557" max="12800" width="8.88671875" style="14"/>
    <col min="12801" max="12801" width="27" style="14" customWidth="1"/>
    <col min="12802" max="12802" width="15.6640625" style="14" customWidth="1"/>
    <col min="12803" max="12803" width="13" style="14" customWidth="1"/>
    <col min="12804" max="12804" width="13.44140625" style="14" customWidth="1"/>
    <col min="12805" max="12805" width="12.109375" style="14" customWidth="1"/>
    <col min="12806" max="12806" width="15.6640625" style="14" customWidth="1"/>
    <col min="12807" max="12807" width="13.6640625" style="14" customWidth="1"/>
    <col min="12808" max="12808" width="10.6640625" style="14" customWidth="1"/>
    <col min="12809" max="12810" width="10.6640625" style="14" bestFit="1" customWidth="1"/>
    <col min="12811" max="12811" width="12.109375" style="14" customWidth="1"/>
    <col min="12812" max="12812" width="10.88671875" style="14" customWidth="1"/>
    <col min="12813" max="13056" width="8.88671875" style="14"/>
    <col min="13057" max="13057" width="27" style="14" customWidth="1"/>
    <col min="13058" max="13058" width="15.6640625" style="14" customWidth="1"/>
    <col min="13059" max="13059" width="13" style="14" customWidth="1"/>
    <col min="13060" max="13060" width="13.44140625" style="14" customWidth="1"/>
    <col min="13061" max="13061" width="12.109375" style="14" customWidth="1"/>
    <col min="13062" max="13062" width="15.6640625" style="14" customWidth="1"/>
    <col min="13063" max="13063" width="13.6640625" style="14" customWidth="1"/>
    <col min="13064" max="13064" width="10.6640625" style="14" customWidth="1"/>
    <col min="13065" max="13066" width="10.6640625" style="14" bestFit="1" customWidth="1"/>
    <col min="13067" max="13067" width="12.109375" style="14" customWidth="1"/>
    <col min="13068" max="13068" width="10.88671875" style="14" customWidth="1"/>
    <col min="13069" max="13312" width="8.88671875" style="14"/>
    <col min="13313" max="13313" width="27" style="14" customWidth="1"/>
    <col min="13314" max="13314" width="15.6640625" style="14" customWidth="1"/>
    <col min="13315" max="13315" width="13" style="14" customWidth="1"/>
    <col min="13316" max="13316" width="13.44140625" style="14" customWidth="1"/>
    <col min="13317" max="13317" width="12.109375" style="14" customWidth="1"/>
    <col min="13318" max="13318" width="15.6640625" style="14" customWidth="1"/>
    <col min="13319" max="13319" width="13.6640625" style="14" customWidth="1"/>
    <col min="13320" max="13320" width="10.6640625" style="14" customWidth="1"/>
    <col min="13321" max="13322" width="10.6640625" style="14" bestFit="1" customWidth="1"/>
    <col min="13323" max="13323" width="12.109375" style="14" customWidth="1"/>
    <col min="13324" max="13324" width="10.88671875" style="14" customWidth="1"/>
    <col min="13325" max="13568" width="8.88671875" style="14"/>
    <col min="13569" max="13569" width="27" style="14" customWidth="1"/>
    <col min="13570" max="13570" width="15.6640625" style="14" customWidth="1"/>
    <col min="13571" max="13571" width="13" style="14" customWidth="1"/>
    <col min="13572" max="13572" width="13.44140625" style="14" customWidth="1"/>
    <col min="13573" max="13573" width="12.109375" style="14" customWidth="1"/>
    <col min="13574" max="13574" width="15.6640625" style="14" customWidth="1"/>
    <col min="13575" max="13575" width="13.6640625" style="14" customWidth="1"/>
    <col min="13576" max="13576" width="10.6640625" style="14" customWidth="1"/>
    <col min="13577" max="13578" width="10.6640625" style="14" bestFit="1" customWidth="1"/>
    <col min="13579" max="13579" width="12.109375" style="14" customWidth="1"/>
    <col min="13580" max="13580" width="10.88671875" style="14" customWidth="1"/>
    <col min="13581" max="13824" width="8.88671875" style="14"/>
    <col min="13825" max="13825" width="27" style="14" customWidth="1"/>
    <col min="13826" max="13826" width="15.6640625" style="14" customWidth="1"/>
    <col min="13827" max="13827" width="13" style="14" customWidth="1"/>
    <col min="13828" max="13828" width="13.44140625" style="14" customWidth="1"/>
    <col min="13829" max="13829" width="12.109375" style="14" customWidth="1"/>
    <col min="13830" max="13830" width="15.6640625" style="14" customWidth="1"/>
    <col min="13831" max="13831" width="13.6640625" style="14" customWidth="1"/>
    <col min="13832" max="13832" width="10.6640625" style="14" customWidth="1"/>
    <col min="13833" max="13834" width="10.6640625" style="14" bestFit="1" customWidth="1"/>
    <col min="13835" max="13835" width="12.109375" style="14" customWidth="1"/>
    <col min="13836" max="13836" width="10.88671875" style="14" customWidth="1"/>
    <col min="13837" max="14080" width="8.88671875" style="14"/>
    <col min="14081" max="14081" width="27" style="14" customWidth="1"/>
    <col min="14082" max="14082" width="15.6640625" style="14" customWidth="1"/>
    <col min="14083" max="14083" width="13" style="14" customWidth="1"/>
    <col min="14084" max="14084" width="13.44140625" style="14" customWidth="1"/>
    <col min="14085" max="14085" width="12.109375" style="14" customWidth="1"/>
    <col min="14086" max="14086" width="15.6640625" style="14" customWidth="1"/>
    <col min="14087" max="14087" width="13.6640625" style="14" customWidth="1"/>
    <col min="14088" max="14088" width="10.6640625" style="14" customWidth="1"/>
    <col min="14089" max="14090" width="10.6640625" style="14" bestFit="1" customWidth="1"/>
    <col min="14091" max="14091" width="12.109375" style="14" customWidth="1"/>
    <col min="14092" max="14092" width="10.88671875" style="14" customWidth="1"/>
    <col min="14093" max="14336" width="8.88671875" style="14"/>
    <col min="14337" max="14337" width="27" style="14" customWidth="1"/>
    <col min="14338" max="14338" width="15.6640625" style="14" customWidth="1"/>
    <col min="14339" max="14339" width="13" style="14" customWidth="1"/>
    <col min="14340" max="14340" width="13.44140625" style="14" customWidth="1"/>
    <col min="14341" max="14341" width="12.109375" style="14" customWidth="1"/>
    <col min="14342" max="14342" width="15.6640625" style="14" customWidth="1"/>
    <col min="14343" max="14343" width="13.6640625" style="14" customWidth="1"/>
    <col min="14344" max="14344" width="10.6640625" style="14" customWidth="1"/>
    <col min="14345" max="14346" width="10.6640625" style="14" bestFit="1" customWidth="1"/>
    <col min="14347" max="14347" width="12.109375" style="14" customWidth="1"/>
    <col min="14348" max="14348" width="10.88671875" style="14" customWidth="1"/>
    <col min="14349" max="14592" width="8.88671875" style="14"/>
    <col min="14593" max="14593" width="27" style="14" customWidth="1"/>
    <col min="14594" max="14594" width="15.6640625" style="14" customWidth="1"/>
    <col min="14595" max="14595" width="13" style="14" customWidth="1"/>
    <col min="14596" max="14596" width="13.44140625" style="14" customWidth="1"/>
    <col min="14597" max="14597" width="12.109375" style="14" customWidth="1"/>
    <col min="14598" max="14598" width="15.6640625" style="14" customWidth="1"/>
    <col min="14599" max="14599" width="13.6640625" style="14" customWidth="1"/>
    <col min="14600" max="14600" width="10.6640625" style="14" customWidth="1"/>
    <col min="14601" max="14602" width="10.6640625" style="14" bestFit="1" customWidth="1"/>
    <col min="14603" max="14603" width="12.109375" style="14" customWidth="1"/>
    <col min="14604" max="14604" width="10.88671875" style="14" customWidth="1"/>
    <col min="14605" max="14848" width="8.88671875" style="14"/>
    <col min="14849" max="14849" width="27" style="14" customWidth="1"/>
    <col min="14850" max="14850" width="15.6640625" style="14" customWidth="1"/>
    <col min="14851" max="14851" width="13" style="14" customWidth="1"/>
    <col min="14852" max="14852" width="13.44140625" style="14" customWidth="1"/>
    <col min="14853" max="14853" width="12.109375" style="14" customWidth="1"/>
    <col min="14854" max="14854" width="15.6640625" style="14" customWidth="1"/>
    <col min="14855" max="14855" width="13.6640625" style="14" customWidth="1"/>
    <col min="14856" max="14856" width="10.6640625" style="14" customWidth="1"/>
    <col min="14857" max="14858" width="10.6640625" style="14" bestFit="1" customWidth="1"/>
    <col min="14859" max="14859" width="12.109375" style="14" customWidth="1"/>
    <col min="14860" max="14860" width="10.88671875" style="14" customWidth="1"/>
    <col min="14861" max="15104" width="8.88671875" style="14"/>
    <col min="15105" max="15105" width="27" style="14" customWidth="1"/>
    <col min="15106" max="15106" width="15.6640625" style="14" customWidth="1"/>
    <col min="15107" max="15107" width="13" style="14" customWidth="1"/>
    <col min="15108" max="15108" width="13.44140625" style="14" customWidth="1"/>
    <col min="15109" max="15109" width="12.109375" style="14" customWidth="1"/>
    <col min="15110" max="15110" width="15.6640625" style="14" customWidth="1"/>
    <col min="15111" max="15111" width="13.6640625" style="14" customWidth="1"/>
    <col min="15112" max="15112" width="10.6640625" style="14" customWidth="1"/>
    <col min="15113" max="15114" width="10.6640625" style="14" bestFit="1" customWidth="1"/>
    <col min="15115" max="15115" width="12.109375" style="14" customWidth="1"/>
    <col min="15116" max="15116" width="10.88671875" style="14" customWidth="1"/>
    <col min="15117" max="15360" width="8.88671875" style="14"/>
    <col min="15361" max="15361" width="27" style="14" customWidth="1"/>
    <col min="15362" max="15362" width="15.6640625" style="14" customWidth="1"/>
    <col min="15363" max="15363" width="13" style="14" customWidth="1"/>
    <col min="15364" max="15364" width="13.44140625" style="14" customWidth="1"/>
    <col min="15365" max="15365" width="12.109375" style="14" customWidth="1"/>
    <col min="15366" max="15366" width="15.6640625" style="14" customWidth="1"/>
    <col min="15367" max="15367" width="13.6640625" style="14" customWidth="1"/>
    <col min="15368" max="15368" width="10.6640625" style="14" customWidth="1"/>
    <col min="15369" max="15370" width="10.6640625" style="14" bestFit="1" customWidth="1"/>
    <col min="15371" max="15371" width="12.109375" style="14" customWidth="1"/>
    <col min="15372" max="15372" width="10.88671875" style="14" customWidth="1"/>
    <col min="15373" max="15616" width="8.88671875" style="14"/>
    <col min="15617" max="15617" width="27" style="14" customWidth="1"/>
    <col min="15618" max="15618" width="15.6640625" style="14" customWidth="1"/>
    <col min="15619" max="15619" width="13" style="14" customWidth="1"/>
    <col min="15620" max="15620" width="13.44140625" style="14" customWidth="1"/>
    <col min="15621" max="15621" width="12.109375" style="14" customWidth="1"/>
    <col min="15622" max="15622" width="15.6640625" style="14" customWidth="1"/>
    <col min="15623" max="15623" width="13.6640625" style="14" customWidth="1"/>
    <col min="15624" max="15624" width="10.6640625" style="14" customWidth="1"/>
    <col min="15625" max="15626" width="10.6640625" style="14" bestFit="1" customWidth="1"/>
    <col min="15627" max="15627" width="12.109375" style="14" customWidth="1"/>
    <col min="15628" max="15628" width="10.88671875" style="14" customWidth="1"/>
    <col min="15629" max="15872" width="8.88671875" style="14"/>
    <col min="15873" max="15873" width="27" style="14" customWidth="1"/>
    <col min="15874" max="15874" width="15.6640625" style="14" customWidth="1"/>
    <col min="15875" max="15875" width="13" style="14" customWidth="1"/>
    <col min="15876" max="15876" width="13.44140625" style="14" customWidth="1"/>
    <col min="15877" max="15877" width="12.109375" style="14" customWidth="1"/>
    <col min="15878" max="15878" width="15.6640625" style="14" customWidth="1"/>
    <col min="15879" max="15879" width="13.6640625" style="14" customWidth="1"/>
    <col min="15880" max="15880" width="10.6640625" style="14" customWidth="1"/>
    <col min="15881" max="15882" width="10.6640625" style="14" bestFit="1" customWidth="1"/>
    <col min="15883" max="15883" width="12.109375" style="14" customWidth="1"/>
    <col min="15884" max="15884" width="10.88671875" style="14" customWidth="1"/>
    <col min="15885" max="16128" width="8.88671875" style="14"/>
    <col min="16129" max="16129" width="27" style="14" customWidth="1"/>
    <col min="16130" max="16130" width="15.6640625" style="14" customWidth="1"/>
    <col min="16131" max="16131" width="13" style="14" customWidth="1"/>
    <col min="16132" max="16132" width="13.44140625" style="14" customWidth="1"/>
    <col min="16133" max="16133" width="12.109375" style="14" customWidth="1"/>
    <col min="16134" max="16134" width="15.6640625" style="14" customWidth="1"/>
    <col min="16135" max="16135" width="13.6640625" style="14" customWidth="1"/>
    <col min="16136" max="16136" width="10.6640625" style="14" customWidth="1"/>
    <col min="16137" max="16138" width="10.6640625" style="14" bestFit="1" customWidth="1"/>
    <col min="16139" max="16139" width="12.109375" style="14" customWidth="1"/>
    <col min="16140" max="16140" width="10.88671875" style="14" customWidth="1"/>
    <col min="16141" max="16384" width="8.88671875" style="14"/>
  </cols>
  <sheetData>
    <row r="1" spans="1:6" ht="17.399999999999999" x14ac:dyDescent="0.3">
      <c r="A1" s="13" t="s">
        <v>14</v>
      </c>
      <c r="B1" s="13"/>
      <c r="C1" s="13"/>
      <c r="D1" s="13"/>
      <c r="E1" s="13"/>
      <c r="F1" s="13"/>
    </row>
    <row r="2" spans="1:6" x14ac:dyDescent="0.25">
      <c r="A2" s="14" t="s">
        <v>15</v>
      </c>
      <c r="B2" s="15">
        <v>0.05</v>
      </c>
    </row>
    <row r="3" spans="1:6" x14ac:dyDescent="0.25">
      <c r="A3" s="14" t="s">
        <v>16</v>
      </c>
      <c r="B3" s="15">
        <v>0.06</v>
      </c>
    </row>
    <row r="4" spans="1:6" x14ac:dyDescent="0.25">
      <c r="A4" s="14" t="s">
        <v>17</v>
      </c>
      <c r="B4" s="16">
        <v>25000</v>
      </c>
    </row>
    <row r="5" spans="1:6" x14ac:dyDescent="0.25">
      <c r="E5" s="17" t="e">
        <f ca="1">ggetformula(C8)</f>
        <v>#NAME?</v>
      </c>
      <c r="F5" s="17"/>
    </row>
    <row r="6" spans="1:6" ht="15.6" x14ac:dyDescent="0.3">
      <c r="A6" s="18" t="s">
        <v>18</v>
      </c>
      <c r="B6" s="18"/>
      <c r="C6" s="18"/>
      <c r="D6" s="18"/>
      <c r="E6" s="18"/>
      <c r="F6" s="19"/>
    </row>
    <row r="7" spans="1:6" s="21" customFormat="1" ht="39.6" x14ac:dyDescent="0.25">
      <c r="A7" s="20" t="s">
        <v>19</v>
      </c>
      <c r="B7" s="20" t="s">
        <v>20</v>
      </c>
      <c r="C7" s="20" t="s">
        <v>21</v>
      </c>
      <c r="D7" s="20" t="s">
        <v>16</v>
      </c>
      <c r="E7" s="20" t="s">
        <v>22</v>
      </c>
      <c r="F7" s="20"/>
    </row>
    <row r="8" spans="1:6" x14ac:dyDescent="0.25">
      <c r="A8" s="14">
        <v>1</v>
      </c>
      <c r="B8" s="22">
        <f>B4</f>
        <v>25000</v>
      </c>
      <c r="C8" s="22">
        <f>PMT($B$3,2,-$B$4)</f>
        <v>13635.922330097088</v>
      </c>
      <c r="D8" s="22">
        <f>B8*$B$3</f>
        <v>1500</v>
      </c>
      <c r="E8" s="22">
        <f>C8-D8</f>
        <v>12135.922330097088</v>
      </c>
      <c r="F8" s="14" t="e">
        <f ca="1">getformula(E8)</f>
        <v>#NAME?</v>
      </c>
    </row>
    <row r="9" spans="1:6" x14ac:dyDescent="0.25">
      <c r="A9" s="14">
        <v>2</v>
      </c>
      <c r="B9" s="22">
        <f>B8-E8</f>
        <v>12864.077669902912</v>
      </c>
      <c r="C9" s="22">
        <f>PMT($B$3,2,-$B$4)</f>
        <v>13635.922330097088</v>
      </c>
      <c r="D9" s="22">
        <f>B9*$B$3</f>
        <v>771.84466019417471</v>
      </c>
      <c r="E9" s="22">
        <f>C9-D9</f>
        <v>12864.077669902914</v>
      </c>
    </row>
    <row r="10" spans="1:6" x14ac:dyDescent="0.25">
      <c r="B10" s="23" t="s">
        <v>23</v>
      </c>
      <c r="D10" s="22">
        <f>SUM(D8:D9)</f>
        <v>2271.8446601941746</v>
      </c>
    </row>
    <row r="12" spans="1:6" ht="15.6" x14ac:dyDescent="0.3">
      <c r="A12" s="18" t="s">
        <v>24</v>
      </c>
      <c r="B12" s="18"/>
      <c r="C12" s="18"/>
      <c r="D12" s="18"/>
      <c r="E12" s="18"/>
      <c r="F12" s="24"/>
    </row>
    <row r="13" spans="1:6" s="21" customFormat="1" ht="52.8" x14ac:dyDescent="0.25">
      <c r="A13" s="20" t="s">
        <v>19</v>
      </c>
      <c r="B13" s="20" t="s">
        <v>25</v>
      </c>
      <c r="C13" s="20" t="s">
        <v>26</v>
      </c>
      <c r="D13" s="20" t="s">
        <v>27</v>
      </c>
      <c r="F13" s="20"/>
    </row>
    <row r="14" spans="1:6" x14ac:dyDescent="0.25">
      <c r="A14" s="14">
        <v>1</v>
      </c>
      <c r="B14" s="22">
        <f>B4</f>
        <v>25000</v>
      </c>
      <c r="C14" s="22">
        <f>B14*$B$2</f>
        <v>1250</v>
      </c>
      <c r="D14" s="22">
        <f>B14+C14</f>
        <v>26250</v>
      </c>
    </row>
    <row r="15" spans="1:6" x14ac:dyDescent="0.25">
      <c r="A15" s="14">
        <v>2</v>
      </c>
      <c r="B15" s="22">
        <f>D14</f>
        <v>26250</v>
      </c>
      <c r="C15" s="22">
        <f>B15*$B$2</f>
        <v>1312.5</v>
      </c>
      <c r="D15" s="22">
        <f>B15+C15</f>
        <v>27562.5</v>
      </c>
    </row>
    <row r="16" spans="1:6" x14ac:dyDescent="0.25">
      <c r="B16" s="25" t="s">
        <v>15</v>
      </c>
      <c r="C16" s="22">
        <f>SUM(C14:C15)</f>
        <v>2562.5</v>
      </c>
      <c r="D16" s="22"/>
      <c r="E16" s="22"/>
    </row>
    <row r="19" spans="1:5" x14ac:dyDescent="0.25">
      <c r="A19" s="14" t="s">
        <v>28</v>
      </c>
    </row>
    <row r="20" spans="1:5" x14ac:dyDescent="0.25">
      <c r="A20" s="14" t="s">
        <v>29</v>
      </c>
    </row>
    <row r="22" spans="1:5" s="21" customFormat="1" ht="39.6" x14ac:dyDescent="0.25">
      <c r="A22" s="20" t="s">
        <v>19</v>
      </c>
      <c r="B22" s="20" t="s">
        <v>30</v>
      </c>
      <c r="C22" s="20" t="s">
        <v>21</v>
      </c>
      <c r="D22" s="20" t="s">
        <v>31</v>
      </c>
      <c r="E22" s="20" t="s">
        <v>32</v>
      </c>
    </row>
    <row r="23" spans="1:5" x14ac:dyDescent="0.25">
      <c r="A23" s="14">
        <v>1</v>
      </c>
      <c r="B23" s="22">
        <f>C20</f>
        <v>0</v>
      </c>
      <c r="C23" s="22">
        <f>PMT($B$3,2,-$B$4)</f>
        <v>13635.922330097088</v>
      </c>
      <c r="D23" s="14">
        <v>0</v>
      </c>
      <c r="E23" s="22">
        <f>D23+C23+B23</f>
        <v>13635.922330097088</v>
      </c>
    </row>
    <row r="24" spans="1:5" x14ac:dyDescent="0.25">
      <c r="A24" s="14">
        <v>2</v>
      </c>
      <c r="B24" s="22">
        <f>E23</f>
        <v>13635.922330097088</v>
      </c>
      <c r="C24" s="22">
        <f>PMT($B$3,2,-$B$4)</f>
        <v>13635.922330097088</v>
      </c>
      <c r="D24" s="26">
        <f>5%*B24</f>
        <v>681.79611650485447</v>
      </c>
      <c r="E24" s="22">
        <f>D24+C24+B24</f>
        <v>27953.640776699031</v>
      </c>
    </row>
    <row r="25" spans="1:5" x14ac:dyDescent="0.25">
      <c r="B25" s="23"/>
    </row>
    <row r="26" spans="1:5" x14ac:dyDescent="0.25">
      <c r="A26" s="14" t="s">
        <v>33</v>
      </c>
    </row>
    <row r="27" spans="1:5" x14ac:dyDescent="0.25">
      <c r="A27" s="14" t="s">
        <v>34</v>
      </c>
    </row>
  </sheetData>
  <mergeCells count="4">
    <mergeCell ref="A1:F1"/>
    <mergeCell ref="E5:F5"/>
    <mergeCell ref="A6:E6"/>
    <mergeCell ref="A12:E12"/>
  </mergeCells>
  <phoneticPr fontId="1" type="noConversion"/>
  <printOptions headings="1" gridLines="1"/>
  <pageMargins left="0.75" right="0.75" top="1" bottom="1" header="0.5" footer="0.5"/>
  <pageSetup orientation="portrait" horizontalDpi="4294967292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FFC25-3A98-4129-BF9A-816B28F85114}">
  <sheetPr codeName="Sheet14"/>
  <dimension ref="A1:G20"/>
  <sheetViews>
    <sheetView zoomScale="175" zoomScaleNormal="175" workbookViewId="0">
      <selection activeCell="E19" sqref="E19"/>
    </sheetView>
  </sheetViews>
  <sheetFormatPr defaultRowHeight="13.2" x14ac:dyDescent="0.25"/>
  <cols>
    <col min="1" max="1" width="27" style="14" customWidth="1"/>
    <col min="2" max="2" width="13" style="14" customWidth="1"/>
    <col min="3" max="3" width="8.88671875" style="14"/>
    <col min="4" max="4" width="13.44140625" style="14" customWidth="1"/>
    <col min="5" max="5" width="12.109375" style="14" customWidth="1"/>
    <col min="6" max="6" width="15.6640625" style="14" customWidth="1"/>
    <col min="7" max="7" width="13.6640625" style="14" customWidth="1"/>
    <col min="8" max="8" width="12.33203125" style="14" customWidth="1"/>
    <col min="9" max="10" width="10.6640625" style="14" bestFit="1" customWidth="1"/>
    <col min="11" max="11" width="12.109375" style="14" customWidth="1"/>
    <col min="12" max="12" width="10.88671875" style="14" customWidth="1"/>
    <col min="13" max="256" width="8.88671875" style="14"/>
    <col min="257" max="257" width="27" style="14" customWidth="1"/>
    <col min="258" max="258" width="13" style="14" customWidth="1"/>
    <col min="259" max="259" width="8.88671875" style="14"/>
    <col min="260" max="260" width="13.44140625" style="14" customWidth="1"/>
    <col min="261" max="261" width="12.109375" style="14" customWidth="1"/>
    <col min="262" max="262" width="15.6640625" style="14" customWidth="1"/>
    <col min="263" max="263" width="13.6640625" style="14" customWidth="1"/>
    <col min="264" max="264" width="12.33203125" style="14" customWidth="1"/>
    <col min="265" max="266" width="10.6640625" style="14" bestFit="1" customWidth="1"/>
    <col min="267" max="267" width="12.109375" style="14" customWidth="1"/>
    <col min="268" max="268" width="10.88671875" style="14" customWidth="1"/>
    <col min="269" max="512" width="8.88671875" style="14"/>
    <col min="513" max="513" width="27" style="14" customWidth="1"/>
    <col min="514" max="514" width="13" style="14" customWidth="1"/>
    <col min="515" max="515" width="8.88671875" style="14"/>
    <col min="516" max="516" width="13.44140625" style="14" customWidth="1"/>
    <col min="517" max="517" width="12.109375" style="14" customWidth="1"/>
    <col min="518" max="518" width="15.6640625" style="14" customWidth="1"/>
    <col min="519" max="519" width="13.6640625" style="14" customWidth="1"/>
    <col min="520" max="520" width="12.33203125" style="14" customWidth="1"/>
    <col min="521" max="522" width="10.6640625" style="14" bestFit="1" customWidth="1"/>
    <col min="523" max="523" width="12.109375" style="14" customWidth="1"/>
    <col min="524" max="524" width="10.88671875" style="14" customWidth="1"/>
    <col min="525" max="768" width="8.88671875" style="14"/>
    <col min="769" max="769" width="27" style="14" customWidth="1"/>
    <col min="770" max="770" width="13" style="14" customWidth="1"/>
    <col min="771" max="771" width="8.88671875" style="14"/>
    <col min="772" max="772" width="13.44140625" style="14" customWidth="1"/>
    <col min="773" max="773" width="12.109375" style="14" customWidth="1"/>
    <col min="774" max="774" width="15.6640625" style="14" customWidth="1"/>
    <col min="775" max="775" width="13.6640625" style="14" customWidth="1"/>
    <col min="776" max="776" width="12.33203125" style="14" customWidth="1"/>
    <col min="777" max="778" width="10.6640625" style="14" bestFit="1" customWidth="1"/>
    <col min="779" max="779" width="12.109375" style="14" customWidth="1"/>
    <col min="780" max="780" width="10.88671875" style="14" customWidth="1"/>
    <col min="781" max="1024" width="8.88671875" style="14"/>
    <col min="1025" max="1025" width="27" style="14" customWidth="1"/>
    <col min="1026" max="1026" width="13" style="14" customWidth="1"/>
    <col min="1027" max="1027" width="8.88671875" style="14"/>
    <col min="1028" max="1028" width="13.44140625" style="14" customWidth="1"/>
    <col min="1029" max="1029" width="12.109375" style="14" customWidth="1"/>
    <col min="1030" max="1030" width="15.6640625" style="14" customWidth="1"/>
    <col min="1031" max="1031" width="13.6640625" style="14" customWidth="1"/>
    <col min="1032" max="1032" width="12.33203125" style="14" customWidth="1"/>
    <col min="1033" max="1034" width="10.6640625" style="14" bestFit="1" customWidth="1"/>
    <col min="1035" max="1035" width="12.109375" style="14" customWidth="1"/>
    <col min="1036" max="1036" width="10.88671875" style="14" customWidth="1"/>
    <col min="1037" max="1280" width="8.88671875" style="14"/>
    <col min="1281" max="1281" width="27" style="14" customWidth="1"/>
    <col min="1282" max="1282" width="13" style="14" customWidth="1"/>
    <col min="1283" max="1283" width="8.88671875" style="14"/>
    <col min="1284" max="1284" width="13.44140625" style="14" customWidth="1"/>
    <col min="1285" max="1285" width="12.109375" style="14" customWidth="1"/>
    <col min="1286" max="1286" width="15.6640625" style="14" customWidth="1"/>
    <col min="1287" max="1287" width="13.6640625" style="14" customWidth="1"/>
    <col min="1288" max="1288" width="12.33203125" style="14" customWidth="1"/>
    <col min="1289" max="1290" width="10.6640625" style="14" bestFit="1" customWidth="1"/>
    <col min="1291" max="1291" width="12.109375" style="14" customWidth="1"/>
    <col min="1292" max="1292" width="10.88671875" style="14" customWidth="1"/>
    <col min="1293" max="1536" width="8.88671875" style="14"/>
    <col min="1537" max="1537" width="27" style="14" customWidth="1"/>
    <col min="1538" max="1538" width="13" style="14" customWidth="1"/>
    <col min="1539" max="1539" width="8.88671875" style="14"/>
    <col min="1540" max="1540" width="13.44140625" style="14" customWidth="1"/>
    <col min="1541" max="1541" width="12.109375" style="14" customWidth="1"/>
    <col min="1542" max="1542" width="15.6640625" style="14" customWidth="1"/>
    <col min="1543" max="1543" width="13.6640625" style="14" customWidth="1"/>
    <col min="1544" max="1544" width="12.33203125" style="14" customWidth="1"/>
    <col min="1545" max="1546" width="10.6640625" style="14" bestFit="1" customWidth="1"/>
    <col min="1547" max="1547" width="12.109375" style="14" customWidth="1"/>
    <col min="1548" max="1548" width="10.88671875" style="14" customWidth="1"/>
    <col min="1549" max="1792" width="8.88671875" style="14"/>
    <col min="1793" max="1793" width="27" style="14" customWidth="1"/>
    <col min="1794" max="1794" width="13" style="14" customWidth="1"/>
    <col min="1795" max="1795" width="8.88671875" style="14"/>
    <col min="1796" max="1796" width="13.44140625" style="14" customWidth="1"/>
    <col min="1797" max="1797" width="12.109375" style="14" customWidth="1"/>
    <col min="1798" max="1798" width="15.6640625" style="14" customWidth="1"/>
    <col min="1799" max="1799" width="13.6640625" style="14" customWidth="1"/>
    <col min="1800" max="1800" width="12.33203125" style="14" customWidth="1"/>
    <col min="1801" max="1802" width="10.6640625" style="14" bestFit="1" customWidth="1"/>
    <col min="1803" max="1803" width="12.109375" style="14" customWidth="1"/>
    <col min="1804" max="1804" width="10.88671875" style="14" customWidth="1"/>
    <col min="1805" max="2048" width="8.88671875" style="14"/>
    <col min="2049" max="2049" width="27" style="14" customWidth="1"/>
    <col min="2050" max="2050" width="13" style="14" customWidth="1"/>
    <col min="2051" max="2051" width="8.88671875" style="14"/>
    <col min="2052" max="2052" width="13.44140625" style="14" customWidth="1"/>
    <col min="2053" max="2053" width="12.109375" style="14" customWidth="1"/>
    <col min="2054" max="2054" width="15.6640625" style="14" customWidth="1"/>
    <col min="2055" max="2055" width="13.6640625" style="14" customWidth="1"/>
    <col min="2056" max="2056" width="12.33203125" style="14" customWidth="1"/>
    <col min="2057" max="2058" width="10.6640625" style="14" bestFit="1" customWidth="1"/>
    <col min="2059" max="2059" width="12.109375" style="14" customWidth="1"/>
    <col min="2060" max="2060" width="10.88671875" style="14" customWidth="1"/>
    <col min="2061" max="2304" width="8.88671875" style="14"/>
    <col min="2305" max="2305" width="27" style="14" customWidth="1"/>
    <col min="2306" max="2306" width="13" style="14" customWidth="1"/>
    <col min="2307" max="2307" width="8.88671875" style="14"/>
    <col min="2308" max="2308" width="13.44140625" style="14" customWidth="1"/>
    <col min="2309" max="2309" width="12.109375" style="14" customWidth="1"/>
    <col min="2310" max="2310" width="15.6640625" style="14" customWidth="1"/>
    <col min="2311" max="2311" width="13.6640625" style="14" customWidth="1"/>
    <col min="2312" max="2312" width="12.33203125" style="14" customWidth="1"/>
    <col min="2313" max="2314" width="10.6640625" style="14" bestFit="1" customWidth="1"/>
    <col min="2315" max="2315" width="12.109375" style="14" customWidth="1"/>
    <col min="2316" max="2316" width="10.88671875" style="14" customWidth="1"/>
    <col min="2317" max="2560" width="8.88671875" style="14"/>
    <col min="2561" max="2561" width="27" style="14" customWidth="1"/>
    <col min="2562" max="2562" width="13" style="14" customWidth="1"/>
    <col min="2563" max="2563" width="8.88671875" style="14"/>
    <col min="2564" max="2564" width="13.44140625" style="14" customWidth="1"/>
    <col min="2565" max="2565" width="12.109375" style="14" customWidth="1"/>
    <col min="2566" max="2566" width="15.6640625" style="14" customWidth="1"/>
    <col min="2567" max="2567" width="13.6640625" style="14" customWidth="1"/>
    <col min="2568" max="2568" width="12.33203125" style="14" customWidth="1"/>
    <col min="2569" max="2570" width="10.6640625" style="14" bestFit="1" customWidth="1"/>
    <col min="2571" max="2571" width="12.109375" style="14" customWidth="1"/>
    <col min="2572" max="2572" width="10.88671875" style="14" customWidth="1"/>
    <col min="2573" max="2816" width="8.88671875" style="14"/>
    <col min="2817" max="2817" width="27" style="14" customWidth="1"/>
    <col min="2818" max="2818" width="13" style="14" customWidth="1"/>
    <col min="2819" max="2819" width="8.88671875" style="14"/>
    <col min="2820" max="2820" width="13.44140625" style="14" customWidth="1"/>
    <col min="2821" max="2821" width="12.109375" style="14" customWidth="1"/>
    <col min="2822" max="2822" width="15.6640625" style="14" customWidth="1"/>
    <col min="2823" max="2823" width="13.6640625" style="14" customWidth="1"/>
    <col min="2824" max="2824" width="12.33203125" style="14" customWidth="1"/>
    <col min="2825" max="2826" width="10.6640625" style="14" bestFit="1" customWidth="1"/>
    <col min="2827" max="2827" width="12.109375" style="14" customWidth="1"/>
    <col min="2828" max="2828" width="10.88671875" style="14" customWidth="1"/>
    <col min="2829" max="3072" width="8.88671875" style="14"/>
    <col min="3073" max="3073" width="27" style="14" customWidth="1"/>
    <col min="3074" max="3074" width="13" style="14" customWidth="1"/>
    <col min="3075" max="3075" width="8.88671875" style="14"/>
    <col min="3076" max="3076" width="13.44140625" style="14" customWidth="1"/>
    <col min="3077" max="3077" width="12.109375" style="14" customWidth="1"/>
    <col min="3078" max="3078" width="15.6640625" style="14" customWidth="1"/>
    <col min="3079" max="3079" width="13.6640625" style="14" customWidth="1"/>
    <col min="3080" max="3080" width="12.33203125" style="14" customWidth="1"/>
    <col min="3081" max="3082" width="10.6640625" style="14" bestFit="1" customWidth="1"/>
    <col min="3083" max="3083" width="12.109375" style="14" customWidth="1"/>
    <col min="3084" max="3084" width="10.88671875" style="14" customWidth="1"/>
    <col min="3085" max="3328" width="8.88671875" style="14"/>
    <col min="3329" max="3329" width="27" style="14" customWidth="1"/>
    <col min="3330" max="3330" width="13" style="14" customWidth="1"/>
    <col min="3331" max="3331" width="8.88671875" style="14"/>
    <col min="3332" max="3332" width="13.44140625" style="14" customWidth="1"/>
    <col min="3333" max="3333" width="12.109375" style="14" customWidth="1"/>
    <col min="3334" max="3334" width="15.6640625" style="14" customWidth="1"/>
    <col min="3335" max="3335" width="13.6640625" style="14" customWidth="1"/>
    <col min="3336" max="3336" width="12.33203125" style="14" customWidth="1"/>
    <col min="3337" max="3338" width="10.6640625" style="14" bestFit="1" customWidth="1"/>
    <col min="3339" max="3339" width="12.109375" style="14" customWidth="1"/>
    <col min="3340" max="3340" width="10.88671875" style="14" customWidth="1"/>
    <col min="3341" max="3584" width="8.88671875" style="14"/>
    <col min="3585" max="3585" width="27" style="14" customWidth="1"/>
    <col min="3586" max="3586" width="13" style="14" customWidth="1"/>
    <col min="3587" max="3587" width="8.88671875" style="14"/>
    <col min="3588" max="3588" width="13.44140625" style="14" customWidth="1"/>
    <col min="3589" max="3589" width="12.109375" style="14" customWidth="1"/>
    <col min="3590" max="3590" width="15.6640625" style="14" customWidth="1"/>
    <col min="3591" max="3591" width="13.6640625" style="14" customWidth="1"/>
    <col min="3592" max="3592" width="12.33203125" style="14" customWidth="1"/>
    <col min="3593" max="3594" width="10.6640625" style="14" bestFit="1" customWidth="1"/>
    <col min="3595" max="3595" width="12.109375" style="14" customWidth="1"/>
    <col min="3596" max="3596" width="10.88671875" style="14" customWidth="1"/>
    <col min="3597" max="3840" width="8.88671875" style="14"/>
    <col min="3841" max="3841" width="27" style="14" customWidth="1"/>
    <col min="3842" max="3842" width="13" style="14" customWidth="1"/>
    <col min="3843" max="3843" width="8.88671875" style="14"/>
    <col min="3844" max="3844" width="13.44140625" style="14" customWidth="1"/>
    <col min="3845" max="3845" width="12.109375" style="14" customWidth="1"/>
    <col min="3846" max="3846" width="15.6640625" style="14" customWidth="1"/>
    <col min="3847" max="3847" width="13.6640625" style="14" customWidth="1"/>
    <col min="3848" max="3848" width="12.33203125" style="14" customWidth="1"/>
    <col min="3849" max="3850" width="10.6640625" style="14" bestFit="1" customWidth="1"/>
    <col min="3851" max="3851" width="12.109375" style="14" customWidth="1"/>
    <col min="3852" max="3852" width="10.88671875" style="14" customWidth="1"/>
    <col min="3853" max="4096" width="8.88671875" style="14"/>
    <col min="4097" max="4097" width="27" style="14" customWidth="1"/>
    <col min="4098" max="4098" width="13" style="14" customWidth="1"/>
    <col min="4099" max="4099" width="8.88671875" style="14"/>
    <col min="4100" max="4100" width="13.44140625" style="14" customWidth="1"/>
    <col min="4101" max="4101" width="12.109375" style="14" customWidth="1"/>
    <col min="4102" max="4102" width="15.6640625" style="14" customWidth="1"/>
    <col min="4103" max="4103" width="13.6640625" style="14" customWidth="1"/>
    <col min="4104" max="4104" width="12.33203125" style="14" customWidth="1"/>
    <col min="4105" max="4106" width="10.6640625" style="14" bestFit="1" customWidth="1"/>
    <col min="4107" max="4107" width="12.109375" style="14" customWidth="1"/>
    <col min="4108" max="4108" width="10.88671875" style="14" customWidth="1"/>
    <col min="4109" max="4352" width="8.88671875" style="14"/>
    <col min="4353" max="4353" width="27" style="14" customWidth="1"/>
    <col min="4354" max="4354" width="13" style="14" customWidth="1"/>
    <col min="4355" max="4355" width="8.88671875" style="14"/>
    <col min="4356" max="4356" width="13.44140625" style="14" customWidth="1"/>
    <col min="4357" max="4357" width="12.109375" style="14" customWidth="1"/>
    <col min="4358" max="4358" width="15.6640625" style="14" customWidth="1"/>
    <col min="4359" max="4359" width="13.6640625" style="14" customWidth="1"/>
    <col min="4360" max="4360" width="12.33203125" style="14" customWidth="1"/>
    <col min="4361" max="4362" width="10.6640625" style="14" bestFit="1" customWidth="1"/>
    <col min="4363" max="4363" width="12.109375" style="14" customWidth="1"/>
    <col min="4364" max="4364" width="10.88671875" style="14" customWidth="1"/>
    <col min="4365" max="4608" width="8.88671875" style="14"/>
    <col min="4609" max="4609" width="27" style="14" customWidth="1"/>
    <col min="4610" max="4610" width="13" style="14" customWidth="1"/>
    <col min="4611" max="4611" width="8.88671875" style="14"/>
    <col min="4612" max="4612" width="13.44140625" style="14" customWidth="1"/>
    <col min="4613" max="4613" width="12.109375" style="14" customWidth="1"/>
    <col min="4614" max="4614" width="15.6640625" style="14" customWidth="1"/>
    <col min="4615" max="4615" width="13.6640625" style="14" customWidth="1"/>
    <col min="4616" max="4616" width="12.33203125" style="14" customWidth="1"/>
    <col min="4617" max="4618" width="10.6640625" style="14" bestFit="1" customWidth="1"/>
    <col min="4619" max="4619" width="12.109375" style="14" customWidth="1"/>
    <col min="4620" max="4620" width="10.88671875" style="14" customWidth="1"/>
    <col min="4621" max="4864" width="8.88671875" style="14"/>
    <col min="4865" max="4865" width="27" style="14" customWidth="1"/>
    <col min="4866" max="4866" width="13" style="14" customWidth="1"/>
    <col min="4867" max="4867" width="8.88671875" style="14"/>
    <col min="4868" max="4868" width="13.44140625" style="14" customWidth="1"/>
    <col min="4869" max="4869" width="12.109375" style="14" customWidth="1"/>
    <col min="4870" max="4870" width="15.6640625" style="14" customWidth="1"/>
    <col min="4871" max="4871" width="13.6640625" style="14" customWidth="1"/>
    <col min="4872" max="4872" width="12.33203125" style="14" customWidth="1"/>
    <col min="4873" max="4874" width="10.6640625" style="14" bestFit="1" customWidth="1"/>
    <col min="4875" max="4875" width="12.109375" style="14" customWidth="1"/>
    <col min="4876" max="4876" width="10.88671875" style="14" customWidth="1"/>
    <col min="4877" max="5120" width="8.88671875" style="14"/>
    <col min="5121" max="5121" width="27" style="14" customWidth="1"/>
    <col min="5122" max="5122" width="13" style="14" customWidth="1"/>
    <col min="5123" max="5123" width="8.88671875" style="14"/>
    <col min="5124" max="5124" width="13.44140625" style="14" customWidth="1"/>
    <col min="5125" max="5125" width="12.109375" style="14" customWidth="1"/>
    <col min="5126" max="5126" width="15.6640625" style="14" customWidth="1"/>
    <col min="5127" max="5127" width="13.6640625" style="14" customWidth="1"/>
    <col min="5128" max="5128" width="12.33203125" style="14" customWidth="1"/>
    <col min="5129" max="5130" width="10.6640625" style="14" bestFit="1" customWidth="1"/>
    <col min="5131" max="5131" width="12.109375" style="14" customWidth="1"/>
    <col min="5132" max="5132" width="10.88671875" style="14" customWidth="1"/>
    <col min="5133" max="5376" width="8.88671875" style="14"/>
    <col min="5377" max="5377" width="27" style="14" customWidth="1"/>
    <col min="5378" max="5378" width="13" style="14" customWidth="1"/>
    <col min="5379" max="5379" width="8.88671875" style="14"/>
    <col min="5380" max="5380" width="13.44140625" style="14" customWidth="1"/>
    <col min="5381" max="5381" width="12.109375" style="14" customWidth="1"/>
    <col min="5382" max="5382" width="15.6640625" style="14" customWidth="1"/>
    <col min="5383" max="5383" width="13.6640625" style="14" customWidth="1"/>
    <col min="5384" max="5384" width="12.33203125" style="14" customWidth="1"/>
    <col min="5385" max="5386" width="10.6640625" style="14" bestFit="1" customWidth="1"/>
    <col min="5387" max="5387" width="12.109375" style="14" customWidth="1"/>
    <col min="5388" max="5388" width="10.88671875" style="14" customWidth="1"/>
    <col min="5389" max="5632" width="8.88671875" style="14"/>
    <col min="5633" max="5633" width="27" style="14" customWidth="1"/>
    <col min="5634" max="5634" width="13" style="14" customWidth="1"/>
    <col min="5635" max="5635" width="8.88671875" style="14"/>
    <col min="5636" max="5636" width="13.44140625" style="14" customWidth="1"/>
    <col min="5637" max="5637" width="12.109375" style="14" customWidth="1"/>
    <col min="5638" max="5638" width="15.6640625" style="14" customWidth="1"/>
    <col min="5639" max="5639" width="13.6640625" style="14" customWidth="1"/>
    <col min="5640" max="5640" width="12.33203125" style="14" customWidth="1"/>
    <col min="5641" max="5642" width="10.6640625" style="14" bestFit="1" customWidth="1"/>
    <col min="5643" max="5643" width="12.109375" style="14" customWidth="1"/>
    <col min="5644" max="5644" width="10.88671875" style="14" customWidth="1"/>
    <col min="5645" max="5888" width="8.88671875" style="14"/>
    <col min="5889" max="5889" width="27" style="14" customWidth="1"/>
    <col min="5890" max="5890" width="13" style="14" customWidth="1"/>
    <col min="5891" max="5891" width="8.88671875" style="14"/>
    <col min="5892" max="5892" width="13.44140625" style="14" customWidth="1"/>
    <col min="5893" max="5893" width="12.109375" style="14" customWidth="1"/>
    <col min="5894" max="5894" width="15.6640625" style="14" customWidth="1"/>
    <col min="5895" max="5895" width="13.6640625" style="14" customWidth="1"/>
    <col min="5896" max="5896" width="12.33203125" style="14" customWidth="1"/>
    <col min="5897" max="5898" width="10.6640625" style="14" bestFit="1" customWidth="1"/>
    <col min="5899" max="5899" width="12.109375" style="14" customWidth="1"/>
    <col min="5900" max="5900" width="10.88671875" style="14" customWidth="1"/>
    <col min="5901" max="6144" width="8.88671875" style="14"/>
    <col min="6145" max="6145" width="27" style="14" customWidth="1"/>
    <col min="6146" max="6146" width="13" style="14" customWidth="1"/>
    <col min="6147" max="6147" width="8.88671875" style="14"/>
    <col min="6148" max="6148" width="13.44140625" style="14" customWidth="1"/>
    <col min="6149" max="6149" width="12.109375" style="14" customWidth="1"/>
    <col min="6150" max="6150" width="15.6640625" style="14" customWidth="1"/>
    <col min="6151" max="6151" width="13.6640625" style="14" customWidth="1"/>
    <col min="6152" max="6152" width="12.33203125" style="14" customWidth="1"/>
    <col min="6153" max="6154" width="10.6640625" style="14" bestFit="1" customWidth="1"/>
    <col min="6155" max="6155" width="12.109375" style="14" customWidth="1"/>
    <col min="6156" max="6156" width="10.88671875" style="14" customWidth="1"/>
    <col min="6157" max="6400" width="8.88671875" style="14"/>
    <col min="6401" max="6401" width="27" style="14" customWidth="1"/>
    <col min="6402" max="6402" width="13" style="14" customWidth="1"/>
    <col min="6403" max="6403" width="8.88671875" style="14"/>
    <col min="6404" max="6404" width="13.44140625" style="14" customWidth="1"/>
    <col min="6405" max="6405" width="12.109375" style="14" customWidth="1"/>
    <col min="6406" max="6406" width="15.6640625" style="14" customWidth="1"/>
    <col min="6407" max="6407" width="13.6640625" style="14" customWidth="1"/>
    <col min="6408" max="6408" width="12.33203125" style="14" customWidth="1"/>
    <col min="6409" max="6410" width="10.6640625" style="14" bestFit="1" customWidth="1"/>
    <col min="6411" max="6411" width="12.109375" style="14" customWidth="1"/>
    <col min="6412" max="6412" width="10.88671875" style="14" customWidth="1"/>
    <col min="6413" max="6656" width="8.88671875" style="14"/>
    <col min="6657" max="6657" width="27" style="14" customWidth="1"/>
    <col min="6658" max="6658" width="13" style="14" customWidth="1"/>
    <col min="6659" max="6659" width="8.88671875" style="14"/>
    <col min="6660" max="6660" width="13.44140625" style="14" customWidth="1"/>
    <col min="6661" max="6661" width="12.109375" style="14" customWidth="1"/>
    <col min="6662" max="6662" width="15.6640625" style="14" customWidth="1"/>
    <col min="6663" max="6663" width="13.6640625" style="14" customWidth="1"/>
    <col min="6664" max="6664" width="12.33203125" style="14" customWidth="1"/>
    <col min="6665" max="6666" width="10.6640625" style="14" bestFit="1" customWidth="1"/>
    <col min="6667" max="6667" width="12.109375" style="14" customWidth="1"/>
    <col min="6668" max="6668" width="10.88671875" style="14" customWidth="1"/>
    <col min="6669" max="6912" width="8.88671875" style="14"/>
    <col min="6913" max="6913" width="27" style="14" customWidth="1"/>
    <col min="6914" max="6914" width="13" style="14" customWidth="1"/>
    <col min="6915" max="6915" width="8.88671875" style="14"/>
    <col min="6916" max="6916" width="13.44140625" style="14" customWidth="1"/>
    <col min="6917" max="6917" width="12.109375" style="14" customWidth="1"/>
    <col min="6918" max="6918" width="15.6640625" style="14" customWidth="1"/>
    <col min="6919" max="6919" width="13.6640625" style="14" customWidth="1"/>
    <col min="6920" max="6920" width="12.33203125" style="14" customWidth="1"/>
    <col min="6921" max="6922" width="10.6640625" style="14" bestFit="1" customWidth="1"/>
    <col min="6923" max="6923" width="12.109375" style="14" customWidth="1"/>
    <col min="6924" max="6924" width="10.88671875" style="14" customWidth="1"/>
    <col min="6925" max="7168" width="8.88671875" style="14"/>
    <col min="7169" max="7169" width="27" style="14" customWidth="1"/>
    <col min="7170" max="7170" width="13" style="14" customWidth="1"/>
    <col min="7171" max="7171" width="8.88671875" style="14"/>
    <col min="7172" max="7172" width="13.44140625" style="14" customWidth="1"/>
    <col min="7173" max="7173" width="12.109375" style="14" customWidth="1"/>
    <col min="7174" max="7174" width="15.6640625" style="14" customWidth="1"/>
    <col min="7175" max="7175" width="13.6640625" style="14" customWidth="1"/>
    <col min="7176" max="7176" width="12.33203125" style="14" customWidth="1"/>
    <col min="7177" max="7178" width="10.6640625" style="14" bestFit="1" customWidth="1"/>
    <col min="7179" max="7179" width="12.109375" style="14" customWidth="1"/>
    <col min="7180" max="7180" width="10.88671875" style="14" customWidth="1"/>
    <col min="7181" max="7424" width="8.88671875" style="14"/>
    <col min="7425" max="7425" width="27" style="14" customWidth="1"/>
    <col min="7426" max="7426" width="13" style="14" customWidth="1"/>
    <col min="7427" max="7427" width="8.88671875" style="14"/>
    <col min="7428" max="7428" width="13.44140625" style="14" customWidth="1"/>
    <col min="7429" max="7429" width="12.109375" style="14" customWidth="1"/>
    <col min="7430" max="7430" width="15.6640625" style="14" customWidth="1"/>
    <col min="7431" max="7431" width="13.6640625" style="14" customWidth="1"/>
    <col min="7432" max="7432" width="12.33203125" style="14" customWidth="1"/>
    <col min="7433" max="7434" width="10.6640625" style="14" bestFit="1" customWidth="1"/>
    <col min="7435" max="7435" width="12.109375" style="14" customWidth="1"/>
    <col min="7436" max="7436" width="10.88671875" style="14" customWidth="1"/>
    <col min="7437" max="7680" width="8.88671875" style="14"/>
    <col min="7681" max="7681" width="27" style="14" customWidth="1"/>
    <col min="7682" max="7682" width="13" style="14" customWidth="1"/>
    <col min="7683" max="7683" width="8.88671875" style="14"/>
    <col min="7684" max="7684" width="13.44140625" style="14" customWidth="1"/>
    <col min="7685" max="7685" width="12.109375" style="14" customWidth="1"/>
    <col min="7686" max="7686" width="15.6640625" style="14" customWidth="1"/>
    <col min="7687" max="7687" width="13.6640625" style="14" customWidth="1"/>
    <col min="7688" max="7688" width="12.33203125" style="14" customWidth="1"/>
    <col min="7689" max="7690" width="10.6640625" style="14" bestFit="1" customWidth="1"/>
    <col min="7691" max="7691" width="12.109375" style="14" customWidth="1"/>
    <col min="7692" max="7692" width="10.88671875" style="14" customWidth="1"/>
    <col min="7693" max="7936" width="8.88671875" style="14"/>
    <col min="7937" max="7937" width="27" style="14" customWidth="1"/>
    <col min="7938" max="7938" width="13" style="14" customWidth="1"/>
    <col min="7939" max="7939" width="8.88671875" style="14"/>
    <col min="7940" max="7940" width="13.44140625" style="14" customWidth="1"/>
    <col min="7941" max="7941" width="12.109375" style="14" customWidth="1"/>
    <col min="7942" max="7942" width="15.6640625" style="14" customWidth="1"/>
    <col min="7943" max="7943" width="13.6640625" style="14" customWidth="1"/>
    <col min="7944" max="7944" width="12.33203125" style="14" customWidth="1"/>
    <col min="7945" max="7946" width="10.6640625" style="14" bestFit="1" customWidth="1"/>
    <col min="7947" max="7947" width="12.109375" style="14" customWidth="1"/>
    <col min="7948" max="7948" width="10.88671875" style="14" customWidth="1"/>
    <col min="7949" max="8192" width="8.88671875" style="14"/>
    <col min="8193" max="8193" width="27" style="14" customWidth="1"/>
    <col min="8194" max="8194" width="13" style="14" customWidth="1"/>
    <col min="8195" max="8195" width="8.88671875" style="14"/>
    <col min="8196" max="8196" width="13.44140625" style="14" customWidth="1"/>
    <col min="8197" max="8197" width="12.109375" style="14" customWidth="1"/>
    <col min="8198" max="8198" width="15.6640625" style="14" customWidth="1"/>
    <col min="8199" max="8199" width="13.6640625" style="14" customWidth="1"/>
    <col min="8200" max="8200" width="12.33203125" style="14" customWidth="1"/>
    <col min="8201" max="8202" width="10.6640625" style="14" bestFit="1" customWidth="1"/>
    <col min="8203" max="8203" width="12.109375" style="14" customWidth="1"/>
    <col min="8204" max="8204" width="10.88671875" style="14" customWidth="1"/>
    <col min="8205" max="8448" width="8.88671875" style="14"/>
    <col min="8449" max="8449" width="27" style="14" customWidth="1"/>
    <col min="8450" max="8450" width="13" style="14" customWidth="1"/>
    <col min="8451" max="8451" width="8.88671875" style="14"/>
    <col min="8452" max="8452" width="13.44140625" style="14" customWidth="1"/>
    <col min="8453" max="8453" width="12.109375" style="14" customWidth="1"/>
    <col min="8454" max="8454" width="15.6640625" style="14" customWidth="1"/>
    <col min="8455" max="8455" width="13.6640625" style="14" customWidth="1"/>
    <col min="8456" max="8456" width="12.33203125" style="14" customWidth="1"/>
    <col min="8457" max="8458" width="10.6640625" style="14" bestFit="1" customWidth="1"/>
    <col min="8459" max="8459" width="12.109375" style="14" customWidth="1"/>
    <col min="8460" max="8460" width="10.88671875" style="14" customWidth="1"/>
    <col min="8461" max="8704" width="8.88671875" style="14"/>
    <col min="8705" max="8705" width="27" style="14" customWidth="1"/>
    <col min="8706" max="8706" width="13" style="14" customWidth="1"/>
    <col min="8707" max="8707" width="8.88671875" style="14"/>
    <col min="8708" max="8708" width="13.44140625" style="14" customWidth="1"/>
    <col min="8709" max="8709" width="12.109375" style="14" customWidth="1"/>
    <col min="8710" max="8710" width="15.6640625" style="14" customWidth="1"/>
    <col min="8711" max="8711" width="13.6640625" style="14" customWidth="1"/>
    <col min="8712" max="8712" width="12.33203125" style="14" customWidth="1"/>
    <col min="8713" max="8714" width="10.6640625" style="14" bestFit="1" customWidth="1"/>
    <col min="8715" max="8715" width="12.109375" style="14" customWidth="1"/>
    <col min="8716" max="8716" width="10.88671875" style="14" customWidth="1"/>
    <col min="8717" max="8960" width="8.88671875" style="14"/>
    <col min="8961" max="8961" width="27" style="14" customWidth="1"/>
    <col min="8962" max="8962" width="13" style="14" customWidth="1"/>
    <col min="8963" max="8963" width="8.88671875" style="14"/>
    <col min="8964" max="8964" width="13.44140625" style="14" customWidth="1"/>
    <col min="8965" max="8965" width="12.109375" style="14" customWidth="1"/>
    <col min="8966" max="8966" width="15.6640625" style="14" customWidth="1"/>
    <col min="8967" max="8967" width="13.6640625" style="14" customWidth="1"/>
    <col min="8968" max="8968" width="12.33203125" style="14" customWidth="1"/>
    <col min="8969" max="8970" width="10.6640625" style="14" bestFit="1" customWidth="1"/>
    <col min="8971" max="8971" width="12.109375" style="14" customWidth="1"/>
    <col min="8972" max="8972" width="10.88671875" style="14" customWidth="1"/>
    <col min="8973" max="9216" width="8.88671875" style="14"/>
    <col min="9217" max="9217" width="27" style="14" customWidth="1"/>
    <col min="9218" max="9218" width="13" style="14" customWidth="1"/>
    <col min="9219" max="9219" width="8.88671875" style="14"/>
    <col min="9220" max="9220" width="13.44140625" style="14" customWidth="1"/>
    <col min="9221" max="9221" width="12.109375" style="14" customWidth="1"/>
    <col min="9222" max="9222" width="15.6640625" style="14" customWidth="1"/>
    <col min="9223" max="9223" width="13.6640625" style="14" customWidth="1"/>
    <col min="9224" max="9224" width="12.33203125" style="14" customWidth="1"/>
    <col min="9225" max="9226" width="10.6640625" style="14" bestFit="1" customWidth="1"/>
    <col min="9227" max="9227" width="12.109375" style="14" customWidth="1"/>
    <col min="9228" max="9228" width="10.88671875" style="14" customWidth="1"/>
    <col min="9229" max="9472" width="8.88671875" style="14"/>
    <col min="9473" max="9473" width="27" style="14" customWidth="1"/>
    <col min="9474" max="9474" width="13" style="14" customWidth="1"/>
    <col min="9475" max="9475" width="8.88671875" style="14"/>
    <col min="9476" max="9476" width="13.44140625" style="14" customWidth="1"/>
    <col min="9477" max="9477" width="12.109375" style="14" customWidth="1"/>
    <col min="9478" max="9478" width="15.6640625" style="14" customWidth="1"/>
    <col min="9479" max="9479" width="13.6640625" style="14" customWidth="1"/>
    <col min="9480" max="9480" width="12.33203125" style="14" customWidth="1"/>
    <col min="9481" max="9482" width="10.6640625" style="14" bestFit="1" customWidth="1"/>
    <col min="9483" max="9483" width="12.109375" style="14" customWidth="1"/>
    <col min="9484" max="9484" width="10.88671875" style="14" customWidth="1"/>
    <col min="9485" max="9728" width="8.88671875" style="14"/>
    <col min="9729" max="9729" width="27" style="14" customWidth="1"/>
    <col min="9730" max="9730" width="13" style="14" customWidth="1"/>
    <col min="9731" max="9731" width="8.88671875" style="14"/>
    <col min="9732" max="9732" width="13.44140625" style="14" customWidth="1"/>
    <col min="9733" max="9733" width="12.109375" style="14" customWidth="1"/>
    <col min="9734" max="9734" width="15.6640625" style="14" customWidth="1"/>
    <col min="9735" max="9735" width="13.6640625" style="14" customWidth="1"/>
    <col min="9736" max="9736" width="12.33203125" style="14" customWidth="1"/>
    <col min="9737" max="9738" width="10.6640625" style="14" bestFit="1" customWidth="1"/>
    <col min="9739" max="9739" width="12.109375" style="14" customWidth="1"/>
    <col min="9740" max="9740" width="10.88671875" style="14" customWidth="1"/>
    <col min="9741" max="9984" width="8.88671875" style="14"/>
    <col min="9985" max="9985" width="27" style="14" customWidth="1"/>
    <col min="9986" max="9986" width="13" style="14" customWidth="1"/>
    <col min="9987" max="9987" width="8.88671875" style="14"/>
    <col min="9988" max="9988" width="13.44140625" style="14" customWidth="1"/>
    <col min="9989" max="9989" width="12.109375" style="14" customWidth="1"/>
    <col min="9990" max="9990" width="15.6640625" style="14" customWidth="1"/>
    <col min="9991" max="9991" width="13.6640625" style="14" customWidth="1"/>
    <col min="9992" max="9992" width="12.33203125" style="14" customWidth="1"/>
    <col min="9993" max="9994" width="10.6640625" style="14" bestFit="1" customWidth="1"/>
    <col min="9995" max="9995" width="12.109375" style="14" customWidth="1"/>
    <col min="9996" max="9996" width="10.88671875" style="14" customWidth="1"/>
    <col min="9997" max="10240" width="8.88671875" style="14"/>
    <col min="10241" max="10241" width="27" style="14" customWidth="1"/>
    <col min="10242" max="10242" width="13" style="14" customWidth="1"/>
    <col min="10243" max="10243" width="8.88671875" style="14"/>
    <col min="10244" max="10244" width="13.44140625" style="14" customWidth="1"/>
    <col min="10245" max="10245" width="12.109375" style="14" customWidth="1"/>
    <col min="10246" max="10246" width="15.6640625" style="14" customWidth="1"/>
    <col min="10247" max="10247" width="13.6640625" style="14" customWidth="1"/>
    <col min="10248" max="10248" width="12.33203125" style="14" customWidth="1"/>
    <col min="10249" max="10250" width="10.6640625" style="14" bestFit="1" customWidth="1"/>
    <col min="10251" max="10251" width="12.109375" style="14" customWidth="1"/>
    <col min="10252" max="10252" width="10.88671875" style="14" customWidth="1"/>
    <col min="10253" max="10496" width="8.88671875" style="14"/>
    <col min="10497" max="10497" width="27" style="14" customWidth="1"/>
    <col min="10498" max="10498" width="13" style="14" customWidth="1"/>
    <col min="10499" max="10499" width="8.88671875" style="14"/>
    <col min="10500" max="10500" width="13.44140625" style="14" customWidth="1"/>
    <col min="10501" max="10501" width="12.109375" style="14" customWidth="1"/>
    <col min="10502" max="10502" width="15.6640625" style="14" customWidth="1"/>
    <col min="10503" max="10503" width="13.6640625" style="14" customWidth="1"/>
    <col min="10504" max="10504" width="12.33203125" style="14" customWidth="1"/>
    <col min="10505" max="10506" width="10.6640625" style="14" bestFit="1" customWidth="1"/>
    <col min="10507" max="10507" width="12.109375" style="14" customWidth="1"/>
    <col min="10508" max="10508" width="10.88671875" style="14" customWidth="1"/>
    <col min="10509" max="10752" width="8.88671875" style="14"/>
    <col min="10753" max="10753" width="27" style="14" customWidth="1"/>
    <col min="10754" max="10754" width="13" style="14" customWidth="1"/>
    <col min="10755" max="10755" width="8.88671875" style="14"/>
    <col min="10756" max="10756" width="13.44140625" style="14" customWidth="1"/>
    <col min="10757" max="10757" width="12.109375" style="14" customWidth="1"/>
    <col min="10758" max="10758" width="15.6640625" style="14" customWidth="1"/>
    <col min="10759" max="10759" width="13.6640625" style="14" customWidth="1"/>
    <col min="10760" max="10760" width="12.33203125" style="14" customWidth="1"/>
    <col min="10761" max="10762" width="10.6640625" style="14" bestFit="1" customWidth="1"/>
    <col min="10763" max="10763" width="12.109375" style="14" customWidth="1"/>
    <col min="10764" max="10764" width="10.88671875" style="14" customWidth="1"/>
    <col min="10765" max="11008" width="8.88671875" style="14"/>
    <col min="11009" max="11009" width="27" style="14" customWidth="1"/>
    <col min="11010" max="11010" width="13" style="14" customWidth="1"/>
    <col min="11011" max="11011" width="8.88671875" style="14"/>
    <col min="11012" max="11012" width="13.44140625" style="14" customWidth="1"/>
    <col min="11013" max="11013" width="12.109375" style="14" customWidth="1"/>
    <col min="11014" max="11014" width="15.6640625" style="14" customWidth="1"/>
    <col min="11015" max="11015" width="13.6640625" style="14" customWidth="1"/>
    <col min="11016" max="11016" width="12.33203125" style="14" customWidth="1"/>
    <col min="11017" max="11018" width="10.6640625" style="14" bestFit="1" customWidth="1"/>
    <col min="11019" max="11019" width="12.109375" style="14" customWidth="1"/>
    <col min="11020" max="11020" width="10.88671875" style="14" customWidth="1"/>
    <col min="11021" max="11264" width="8.88671875" style="14"/>
    <col min="11265" max="11265" width="27" style="14" customWidth="1"/>
    <col min="11266" max="11266" width="13" style="14" customWidth="1"/>
    <col min="11267" max="11267" width="8.88671875" style="14"/>
    <col min="11268" max="11268" width="13.44140625" style="14" customWidth="1"/>
    <col min="11269" max="11269" width="12.109375" style="14" customWidth="1"/>
    <col min="11270" max="11270" width="15.6640625" style="14" customWidth="1"/>
    <col min="11271" max="11271" width="13.6640625" style="14" customWidth="1"/>
    <col min="11272" max="11272" width="12.33203125" style="14" customWidth="1"/>
    <col min="11273" max="11274" width="10.6640625" style="14" bestFit="1" customWidth="1"/>
    <col min="11275" max="11275" width="12.109375" style="14" customWidth="1"/>
    <col min="11276" max="11276" width="10.88671875" style="14" customWidth="1"/>
    <col min="11277" max="11520" width="8.88671875" style="14"/>
    <col min="11521" max="11521" width="27" style="14" customWidth="1"/>
    <col min="11522" max="11522" width="13" style="14" customWidth="1"/>
    <col min="11523" max="11523" width="8.88671875" style="14"/>
    <col min="11524" max="11524" width="13.44140625" style="14" customWidth="1"/>
    <col min="11525" max="11525" width="12.109375" style="14" customWidth="1"/>
    <col min="11526" max="11526" width="15.6640625" style="14" customWidth="1"/>
    <col min="11527" max="11527" width="13.6640625" style="14" customWidth="1"/>
    <col min="11528" max="11528" width="12.33203125" style="14" customWidth="1"/>
    <col min="11529" max="11530" width="10.6640625" style="14" bestFit="1" customWidth="1"/>
    <col min="11531" max="11531" width="12.109375" style="14" customWidth="1"/>
    <col min="11532" max="11532" width="10.88671875" style="14" customWidth="1"/>
    <col min="11533" max="11776" width="8.88671875" style="14"/>
    <col min="11777" max="11777" width="27" style="14" customWidth="1"/>
    <col min="11778" max="11778" width="13" style="14" customWidth="1"/>
    <col min="11779" max="11779" width="8.88671875" style="14"/>
    <col min="11780" max="11780" width="13.44140625" style="14" customWidth="1"/>
    <col min="11781" max="11781" width="12.109375" style="14" customWidth="1"/>
    <col min="11782" max="11782" width="15.6640625" style="14" customWidth="1"/>
    <col min="11783" max="11783" width="13.6640625" style="14" customWidth="1"/>
    <col min="11784" max="11784" width="12.33203125" style="14" customWidth="1"/>
    <col min="11785" max="11786" width="10.6640625" style="14" bestFit="1" customWidth="1"/>
    <col min="11787" max="11787" width="12.109375" style="14" customWidth="1"/>
    <col min="11788" max="11788" width="10.88671875" style="14" customWidth="1"/>
    <col min="11789" max="12032" width="8.88671875" style="14"/>
    <col min="12033" max="12033" width="27" style="14" customWidth="1"/>
    <col min="12034" max="12034" width="13" style="14" customWidth="1"/>
    <col min="12035" max="12035" width="8.88671875" style="14"/>
    <col min="12036" max="12036" width="13.44140625" style="14" customWidth="1"/>
    <col min="12037" max="12037" width="12.109375" style="14" customWidth="1"/>
    <col min="12038" max="12038" width="15.6640625" style="14" customWidth="1"/>
    <col min="12039" max="12039" width="13.6640625" style="14" customWidth="1"/>
    <col min="12040" max="12040" width="12.33203125" style="14" customWidth="1"/>
    <col min="12041" max="12042" width="10.6640625" style="14" bestFit="1" customWidth="1"/>
    <col min="12043" max="12043" width="12.109375" style="14" customWidth="1"/>
    <col min="12044" max="12044" width="10.88671875" style="14" customWidth="1"/>
    <col min="12045" max="12288" width="8.88671875" style="14"/>
    <col min="12289" max="12289" width="27" style="14" customWidth="1"/>
    <col min="12290" max="12290" width="13" style="14" customWidth="1"/>
    <col min="12291" max="12291" width="8.88671875" style="14"/>
    <col min="12292" max="12292" width="13.44140625" style="14" customWidth="1"/>
    <col min="12293" max="12293" width="12.109375" style="14" customWidth="1"/>
    <col min="12294" max="12294" width="15.6640625" style="14" customWidth="1"/>
    <col min="12295" max="12295" width="13.6640625" style="14" customWidth="1"/>
    <col min="12296" max="12296" width="12.33203125" style="14" customWidth="1"/>
    <col min="12297" max="12298" width="10.6640625" style="14" bestFit="1" customWidth="1"/>
    <col min="12299" max="12299" width="12.109375" style="14" customWidth="1"/>
    <col min="12300" max="12300" width="10.88671875" style="14" customWidth="1"/>
    <col min="12301" max="12544" width="8.88671875" style="14"/>
    <col min="12545" max="12545" width="27" style="14" customWidth="1"/>
    <col min="12546" max="12546" width="13" style="14" customWidth="1"/>
    <col min="12547" max="12547" width="8.88671875" style="14"/>
    <col min="12548" max="12548" width="13.44140625" style="14" customWidth="1"/>
    <col min="12549" max="12549" width="12.109375" style="14" customWidth="1"/>
    <col min="12550" max="12550" width="15.6640625" style="14" customWidth="1"/>
    <col min="12551" max="12551" width="13.6640625" style="14" customWidth="1"/>
    <col min="12552" max="12552" width="12.33203125" style="14" customWidth="1"/>
    <col min="12553" max="12554" width="10.6640625" style="14" bestFit="1" customWidth="1"/>
    <col min="12555" max="12555" width="12.109375" style="14" customWidth="1"/>
    <col min="12556" max="12556" width="10.88671875" style="14" customWidth="1"/>
    <col min="12557" max="12800" width="8.88671875" style="14"/>
    <col min="12801" max="12801" width="27" style="14" customWidth="1"/>
    <col min="12802" max="12802" width="13" style="14" customWidth="1"/>
    <col min="12803" max="12803" width="8.88671875" style="14"/>
    <col min="12804" max="12804" width="13.44140625" style="14" customWidth="1"/>
    <col min="12805" max="12805" width="12.109375" style="14" customWidth="1"/>
    <col min="12806" max="12806" width="15.6640625" style="14" customWidth="1"/>
    <col min="12807" max="12807" width="13.6640625" style="14" customWidth="1"/>
    <col min="12808" max="12808" width="12.33203125" style="14" customWidth="1"/>
    <col min="12809" max="12810" width="10.6640625" style="14" bestFit="1" customWidth="1"/>
    <col min="12811" max="12811" width="12.109375" style="14" customWidth="1"/>
    <col min="12812" max="12812" width="10.88671875" style="14" customWidth="1"/>
    <col min="12813" max="13056" width="8.88671875" style="14"/>
    <col min="13057" max="13057" width="27" style="14" customWidth="1"/>
    <col min="13058" max="13058" width="13" style="14" customWidth="1"/>
    <col min="13059" max="13059" width="8.88671875" style="14"/>
    <col min="13060" max="13060" width="13.44140625" style="14" customWidth="1"/>
    <col min="13061" max="13061" width="12.109375" style="14" customWidth="1"/>
    <col min="13062" max="13062" width="15.6640625" style="14" customWidth="1"/>
    <col min="13063" max="13063" width="13.6640625" style="14" customWidth="1"/>
    <col min="13064" max="13064" width="12.33203125" style="14" customWidth="1"/>
    <col min="13065" max="13066" width="10.6640625" style="14" bestFit="1" customWidth="1"/>
    <col min="13067" max="13067" width="12.109375" style="14" customWidth="1"/>
    <col min="13068" max="13068" width="10.88671875" style="14" customWidth="1"/>
    <col min="13069" max="13312" width="8.88671875" style="14"/>
    <col min="13313" max="13313" width="27" style="14" customWidth="1"/>
    <col min="13314" max="13314" width="13" style="14" customWidth="1"/>
    <col min="13315" max="13315" width="8.88671875" style="14"/>
    <col min="13316" max="13316" width="13.44140625" style="14" customWidth="1"/>
    <col min="13317" max="13317" width="12.109375" style="14" customWidth="1"/>
    <col min="13318" max="13318" width="15.6640625" style="14" customWidth="1"/>
    <col min="13319" max="13319" width="13.6640625" style="14" customWidth="1"/>
    <col min="13320" max="13320" width="12.33203125" style="14" customWidth="1"/>
    <col min="13321" max="13322" width="10.6640625" style="14" bestFit="1" customWidth="1"/>
    <col min="13323" max="13323" width="12.109375" style="14" customWidth="1"/>
    <col min="13324" max="13324" width="10.88671875" style="14" customWidth="1"/>
    <col min="13325" max="13568" width="8.88671875" style="14"/>
    <col min="13569" max="13569" width="27" style="14" customWidth="1"/>
    <col min="13570" max="13570" width="13" style="14" customWidth="1"/>
    <col min="13571" max="13571" width="8.88671875" style="14"/>
    <col min="13572" max="13572" width="13.44140625" style="14" customWidth="1"/>
    <col min="13573" max="13573" width="12.109375" style="14" customWidth="1"/>
    <col min="13574" max="13574" width="15.6640625" style="14" customWidth="1"/>
    <col min="13575" max="13575" width="13.6640625" style="14" customWidth="1"/>
    <col min="13576" max="13576" width="12.33203125" style="14" customWidth="1"/>
    <col min="13577" max="13578" width="10.6640625" style="14" bestFit="1" customWidth="1"/>
    <col min="13579" max="13579" width="12.109375" style="14" customWidth="1"/>
    <col min="13580" max="13580" width="10.88671875" style="14" customWidth="1"/>
    <col min="13581" max="13824" width="8.88671875" style="14"/>
    <col min="13825" max="13825" width="27" style="14" customWidth="1"/>
    <col min="13826" max="13826" width="13" style="14" customWidth="1"/>
    <col min="13827" max="13827" width="8.88671875" style="14"/>
    <col min="13828" max="13828" width="13.44140625" style="14" customWidth="1"/>
    <col min="13829" max="13829" width="12.109375" style="14" customWidth="1"/>
    <col min="13830" max="13830" width="15.6640625" style="14" customWidth="1"/>
    <col min="13831" max="13831" width="13.6640625" style="14" customWidth="1"/>
    <col min="13832" max="13832" width="12.33203125" style="14" customWidth="1"/>
    <col min="13833" max="13834" width="10.6640625" style="14" bestFit="1" customWidth="1"/>
    <col min="13835" max="13835" width="12.109375" style="14" customWidth="1"/>
    <col min="13836" max="13836" width="10.88671875" style="14" customWidth="1"/>
    <col min="13837" max="14080" width="8.88671875" style="14"/>
    <col min="14081" max="14081" width="27" style="14" customWidth="1"/>
    <col min="14082" max="14082" width="13" style="14" customWidth="1"/>
    <col min="14083" max="14083" width="8.88671875" style="14"/>
    <col min="14084" max="14084" width="13.44140625" style="14" customWidth="1"/>
    <col min="14085" max="14085" width="12.109375" style="14" customWidth="1"/>
    <col min="14086" max="14086" width="15.6640625" style="14" customWidth="1"/>
    <col min="14087" max="14087" width="13.6640625" style="14" customWidth="1"/>
    <col min="14088" max="14088" width="12.33203125" style="14" customWidth="1"/>
    <col min="14089" max="14090" width="10.6640625" style="14" bestFit="1" customWidth="1"/>
    <col min="14091" max="14091" width="12.109375" style="14" customWidth="1"/>
    <col min="14092" max="14092" width="10.88671875" style="14" customWidth="1"/>
    <col min="14093" max="14336" width="8.88671875" style="14"/>
    <col min="14337" max="14337" width="27" style="14" customWidth="1"/>
    <col min="14338" max="14338" width="13" style="14" customWidth="1"/>
    <col min="14339" max="14339" width="8.88671875" style="14"/>
    <col min="14340" max="14340" width="13.44140625" style="14" customWidth="1"/>
    <col min="14341" max="14341" width="12.109375" style="14" customWidth="1"/>
    <col min="14342" max="14342" width="15.6640625" style="14" customWidth="1"/>
    <col min="14343" max="14343" width="13.6640625" style="14" customWidth="1"/>
    <col min="14344" max="14344" width="12.33203125" style="14" customWidth="1"/>
    <col min="14345" max="14346" width="10.6640625" style="14" bestFit="1" customWidth="1"/>
    <col min="14347" max="14347" width="12.109375" style="14" customWidth="1"/>
    <col min="14348" max="14348" width="10.88671875" style="14" customWidth="1"/>
    <col min="14349" max="14592" width="8.88671875" style="14"/>
    <col min="14593" max="14593" width="27" style="14" customWidth="1"/>
    <col min="14594" max="14594" width="13" style="14" customWidth="1"/>
    <col min="14595" max="14595" width="8.88671875" style="14"/>
    <col min="14596" max="14596" width="13.44140625" style="14" customWidth="1"/>
    <col min="14597" max="14597" width="12.109375" style="14" customWidth="1"/>
    <col min="14598" max="14598" width="15.6640625" style="14" customWidth="1"/>
    <col min="14599" max="14599" width="13.6640625" style="14" customWidth="1"/>
    <col min="14600" max="14600" width="12.33203125" style="14" customWidth="1"/>
    <col min="14601" max="14602" width="10.6640625" style="14" bestFit="1" customWidth="1"/>
    <col min="14603" max="14603" width="12.109375" style="14" customWidth="1"/>
    <col min="14604" max="14604" width="10.88671875" style="14" customWidth="1"/>
    <col min="14605" max="14848" width="8.88671875" style="14"/>
    <col min="14849" max="14849" width="27" style="14" customWidth="1"/>
    <col min="14850" max="14850" width="13" style="14" customWidth="1"/>
    <col min="14851" max="14851" width="8.88671875" style="14"/>
    <col min="14852" max="14852" width="13.44140625" style="14" customWidth="1"/>
    <col min="14853" max="14853" width="12.109375" style="14" customWidth="1"/>
    <col min="14854" max="14854" width="15.6640625" style="14" customWidth="1"/>
    <col min="14855" max="14855" width="13.6640625" style="14" customWidth="1"/>
    <col min="14856" max="14856" width="12.33203125" style="14" customWidth="1"/>
    <col min="14857" max="14858" width="10.6640625" style="14" bestFit="1" customWidth="1"/>
    <col min="14859" max="14859" width="12.109375" style="14" customWidth="1"/>
    <col min="14860" max="14860" width="10.88671875" style="14" customWidth="1"/>
    <col min="14861" max="15104" width="8.88671875" style="14"/>
    <col min="15105" max="15105" width="27" style="14" customWidth="1"/>
    <col min="15106" max="15106" width="13" style="14" customWidth="1"/>
    <col min="15107" max="15107" width="8.88671875" style="14"/>
    <col min="15108" max="15108" width="13.44140625" style="14" customWidth="1"/>
    <col min="15109" max="15109" width="12.109375" style="14" customWidth="1"/>
    <col min="15110" max="15110" width="15.6640625" style="14" customWidth="1"/>
    <col min="15111" max="15111" width="13.6640625" style="14" customWidth="1"/>
    <col min="15112" max="15112" width="12.33203125" style="14" customWidth="1"/>
    <col min="15113" max="15114" width="10.6640625" style="14" bestFit="1" customWidth="1"/>
    <col min="15115" max="15115" width="12.109375" style="14" customWidth="1"/>
    <col min="15116" max="15116" width="10.88671875" style="14" customWidth="1"/>
    <col min="15117" max="15360" width="8.88671875" style="14"/>
    <col min="15361" max="15361" width="27" style="14" customWidth="1"/>
    <col min="15362" max="15362" width="13" style="14" customWidth="1"/>
    <col min="15363" max="15363" width="8.88671875" style="14"/>
    <col min="15364" max="15364" width="13.44140625" style="14" customWidth="1"/>
    <col min="15365" max="15365" width="12.109375" style="14" customWidth="1"/>
    <col min="15366" max="15366" width="15.6640625" style="14" customWidth="1"/>
    <col min="15367" max="15367" width="13.6640625" style="14" customWidth="1"/>
    <col min="15368" max="15368" width="12.33203125" style="14" customWidth="1"/>
    <col min="15369" max="15370" width="10.6640625" style="14" bestFit="1" customWidth="1"/>
    <col min="15371" max="15371" width="12.109375" style="14" customWidth="1"/>
    <col min="15372" max="15372" width="10.88671875" style="14" customWidth="1"/>
    <col min="15373" max="15616" width="8.88671875" style="14"/>
    <col min="15617" max="15617" width="27" style="14" customWidth="1"/>
    <col min="15618" max="15618" width="13" style="14" customWidth="1"/>
    <col min="15619" max="15619" width="8.88671875" style="14"/>
    <col min="15620" max="15620" width="13.44140625" style="14" customWidth="1"/>
    <col min="15621" max="15621" width="12.109375" style="14" customWidth="1"/>
    <col min="15622" max="15622" width="15.6640625" style="14" customWidth="1"/>
    <col min="15623" max="15623" width="13.6640625" style="14" customWidth="1"/>
    <col min="15624" max="15624" width="12.33203125" style="14" customWidth="1"/>
    <col min="15625" max="15626" width="10.6640625" style="14" bestFit="1" customWidth="1"/>
    <col min="15627" max="15627" width="12.109375" style="14" customWidth="1"/>
    <col min="15628" max="15628" width="10.88671875" style="14" customWidth="1"/>
    <col min="15629" max="15872" width="8.88671875" style="14"/>
    <col min="15873" max="15873" width="27" style="14" customWidth="1"/>
    <col min="15874" max="15874" width="13" style="14" customWidth="1"/>
    <col min="15875" max="15875" width="8.88671875" style="14"/>
    <col min="15876" max="15876" width="13.44140625" style="14" customWidth="1"/>
    <col min="15877" max="15877" width="12.109375" style="14" customWidth="1"/>
    <col min="15878" max="15878" width="15.6640625" style="14" customWidth="1"/>
    <col min="15879" max="15879" width="13.6640625" style="14" customWidth="1"/>
    <col min="15880" max="15880" width="12.33203125" style="14" customWidth="1"/>
    <col min="15881" max="15882" width="10.6640625" style="14" bestFit="1" customWidth="1"/>
    <col min="15883" max="15883" width="12.109375" style="14" customWidth="1"/>
    <col min="15884" max="15884" width="10.88671875" style="14" customWidth="1"/>
    <col min="15885" max="16128" width="8.88671875" style="14"/>
    <col min="16129" max="16129" width="27" style="14" customWidth="1"/>
    <col min="16130" max="16130" width="13" style="14" customWidth="1"/>
    <col min="16131" max="16131" width="8.88671875" style="14"/>
    <col min="16132" max="16132" width="13.44140625" style="14" customWidth="1"/>
    <col min="16133" max="16133" width="12.109375" style="14" customWidth="1"/>
    <col min="16134" max="16134" width="15.6640625" style="14" customWidth="1"/>
    <col min="16135" max="16135" width="13.6640625" style="14" customWidth="1"/>
    <col min="16136" max="16136" width="12.33203125" style="14" customWidth="1"/>
    <col min="16137" max="16138" width="10.6640625" style="14" bestFit="1" customWidth="1"/>
    <col min="16139" max="16139" width="12.109375" style="14" customWidth="1"/>
    <col min="16140" max="16140" width="10.88671875" style="14" customWidth="1"/>
    <col min="16141" max="16384" width="8.88671875" style="14"/>
  </cols>
  <sheetData>
    <row r="1" spans="1:6" ht="17.399999999999999" x14ac:dyDescent="0.3">
      <c r="A1" s="13" t="s">
        <v>35</v>
      </c>
      <c r="B1" s="13"/>
      <c r="C1" s="13"/>
      <c r="D1" s="13"/>
      <c r="E1" s="13"/>
      <c r="F1" s="13"/>
    </row>
    <row r="2" spans="1:6" x14ac:dyDescent="0.25">
      <c r="A2" s="14" t="s">
        <v>15</v>
      </c>
      <c r="B2" s="15">
        <v>0.05</v>
      </c>
    </row>
    <row r="3" spans="1:6" x14ac:dyDescent="0.25">
      <c r="A3" s="14" t="s">
        <v>16</v>
      </c>
      <c r="B3" s="15">
        <v>0.06</v>
      </c>
    </row>
    <row r="4" spans="1:6" x14ac:dyDescent="0.25">
      <c r="A4" s="14" t="s">
        <v>17</v>
      </c>
      <c r="B4" s="16">
        <v>25000</v>
      </c>
    </row>
    <row r="6" spans="1:6" ht="15.6" x14ac:dyDescent="0.3">
      <c r="A6" s="18" t="s">
        <v>18</v>
      </c>
      <c r="B6" s="18"/>
      <c r="C6" s="18"/>
      <c r="D6" s="18"/>
      <c r="E6" s="18"/>
      <c r="F6" s="19"/>
    </row>
    <row r="7" spans="1:6" x14ac:dyDescent="0.25">
      <c r="D7" s="27" t="s">
        <v>36</v>
      </c>
      <c r="E7" s="27"/>
      <c r="F7" s="19"/>
    </row>
    <row r="8" spans="1:6" ht="39.6" x14ac:dyDescent="0.25">
      <c r="A8" s="20" t="s">
        <v>19</v>
      </c>
      <c r="B8" s="20" t="s">
        <v>20</v>
      </c>
      <c r="C8" s="20" t="s">
        <v>21</v>
      </c>
      <c r="D8" s="20" t="s">
        <v>37</v>
      </c>
      <c r="E8" s="20" t="s">
        <v>22</v>
      </c>
      <c r="F8" s="22"/>
    </row>
    <row r="9" spans="1:6" x14ac:dyDescent="0.25">
      <c r="A9" s="14">
        <v>1</v>
      </c>
      <c r="B9" s="22">
        <f>B4</f>
        <v>25000</v>
      </c>
      <c r="C9" s="22">
        <f>PMT($B$3,2,-$B$4)</f>
        <v>13635.922330097088</v>
      </c>
      <c r="D9" s="22">
        <f>B9*$B$3</f>
        <v>1500</v>
      </c>
      <c r="E9" s="22">
        <f>C9-D9</f>
        <v>12135.922330097088</v>
      </c>
    </row>
    <row r="10" spans="1:6" x14ac:dyDescent="0.25">
      <c r="A10" s="14">
        <v>2</v>
      </c>
      <c r="B10" s="22">
        <f>B9-E9</f>
        <v>12864.077669902912</v>
      </c>
      <c r="C10" s="22">
        <f>PMT($B$3,2,-$B$4)</f>
        <v>13635.922330097088</v>
      </c>
      <c r="D10" s="22">
        <f>B10*$B$3</f>
        <v>771.84466019417471</v>
      </c>
      <c r="E10" s="22">
        <f>C10-D10</f>
        <v>12864.077669902914</v>
      </c>
    </row>
    <row r="12" spans="1:6" x14ac:dyDescent="0.25">
      <c r="D12" s="17" t="e">
        <f ca="1">ggetformula(C10)</f>
        <v>#NAME?</v>
      </c>
      <c r="E12" s="17"/>
    </row>
    <row r="14" spans="1:6" ht="15.6" x14ac:dyDescent="0.3">
      <c r="A14" s="18" t="s">
        <v>38</v>
      </c>
      <c r="B14" s="18"/>
      <c r="C14" s="18"/>
      <c r="D14" s="18"/>
      <c r="E14" s="18"/>
      <c r="F14" s="24" t="s">
        <v>39</v>
      </c>
    </row>
    <row r="15" spans="1:6" ht="15.6" x14ac:dyDescent="0.3">
      <c r="A15" s="18" t="s">
        <v>40</v>
      </c>
      <c r="B15" s="18"/>
      <c r="C15" s="18"/>
      <c r="D15" s="18"/>
      <c r="E15" s="18"/>
      <c r="F15" s="24" t="s">
        <v>41</v>
      </c>
    </row>
    <row r="16" spans="1:6" ht="15.6" x14ac:dyDescent="0.3">
      <c r="A16" s="28"/>
      <c r="B16" s="28"/>
      <c r="C16" s="28"/>
      <c r="D16" s="28"/>
      <c r="E16" s="28"/>
      <c r="F16" s="24" t="s">
        <v>42</v>
      </c>
    </row>
    <row r="17" spans="1:7" s="21" customFormat="1" ht="39.6" x14ac:dyDescent="0.25">
      <c r="A17" s="20" t="s">
        <v>19</v>
      </c>
      <c r="B17" s="20" t="s">
        <v>43</v>
      </c>
      <c r="C17" s="20" t="s">
        <v>26</v>
      </c>
      <c r="D17" s="20" t="s">
        <v>44</v>
      </c>
      <c r="E17" s="20" t="s">
        <v>27</v>
      </c>
      <c r="F17" s="29" t="s">
        <v>45</v>
      </c>
      <c r="G17" s="29"/>
    </row>
    <row r="18" spans="1:7" x14ac:dyDescent="0.25">
      <c r="A18" s="14">
        <v>1</v>
      </c>
      <c r="B18" s="22">
        <v>0</v>
      </c>
      <c r="C18" s="22">
        <f>B18*$B$2</f>
        <v>0</v>
      </c>
      <c r="D18" s="22">
        <f>E9</f>
        <v>12135.922330097088</v>
      </c>
      <c r="E18" s="22">
        <f>SUM(B18:D18)</f>
        <v>12135.922330097088</v>
      </c>
    </row>
    <row r="19" spans="1:7" x14ac:dyDescent="0.25">
      <c r="A19" s="14">
        <v>2</v>
      </c>
      <c r="B19" s="22">
        <f>E18</f>
        <v>12135.922330097088</v>
      </c>
      <c r="C19" s="22">
        <f>B19*$B$2</f>
        <v>606.79611650485447</v>
      </c>
      <c r="D19" s="22">
        <f>E10</f>
        <v>12864.077669902914</v>
      </c>
      <c r="E19" s="22">
        <f>SUM(B19:D19)</f>
        <v>25606.796116504855</v>
      </c>
    </row>
    <row r="20" spans="1:7" x14ac:dyDescent="0.25">
      <c r="B20" s="22"/>
      <c r="C20" s="22"/>
      <c r="D20" s="22"/>
      <c r="E20" s="22"/>
    </row>
  </sheetData>
  <mergeCells count="7">
    <mergeCell ref="F17:G17"/>
    <mergeCell ref="A1:F1"/>
    <mergeCell ref="A6:E6"/>
    <mergeCell ref="D7:E7"/>
    <mergeCell ref="D12:E12"/>
    <mergeCell ref="A14:E14"/>
    <mergeCell ref="A15:E15"/>
  </mergeCells>
  <phoneticPr fontId="1" type="noConversion"/>
  <pageMargins left="0.75" right="0.75" top="1" bottom="1" header="0.5" footer="0.5"/>
  <pageSetup orientation="portrait" horizontalDpi="4294967292" verticalDpi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Exercise 14, simple answer</vt:lpstr>
      <vt:lpstr>Exercise 14, more complicated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2024-10-06T12:41:45Z</dcterms:modified>
</cp:coreProperties>
</file>