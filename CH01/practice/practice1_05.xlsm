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1\practice\"/>
    </mc:Choice>
  </mc:AlternateContent>
  <xr:revisionPtr revIDLastSave="0" documentId="13_ncr:1_{E63E0924-8B27-4EC9-9F22-9E53A1595569}" xr6:coauthVersionLast="47" xr6:coauthVersionMax="47" xr10:uidLastSave="{00000000-0000-0000-0000-000000000000}"/>
  <bookViews>
    <workbookView xWindow="-108" yWindow="-108" windowWidth="23256" windowHeight="12456" xr2:uid="{EA6F33A8-FE0E-48B1-8C74-8B2321C6BA8B}"/>
  </bookViews>
  <sheets>
    <sheet name="Sheet1" sheetId="1" r:id="rId1"/>
  </sheet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4" i="1" l="1"/>
  <c r="G26" i="1"/>
  <c r="H26" i="1" s="1"/>
  <c r="E27" i="1" s="1"/>
  <c r="G27" i="1" s="1"/>
  <c r="G16" i="1"/>
  <c r="G15" i="1"/>
  <c r="H15" i="1"/>
  <c r="E16" i="1" s="1"/>
  <c r="E9" i="1"/>
  <c r="G6" i="1"/>
  <c r="H6" i="1"/>
  <c r="E7" i="1" s="1"/>
  <c r="E6" i="1"/>
  <c r="H5" i="1"/>
  <c r="G5" i="1"/>
  <c r="H4" i="1"/>
  <c r="E5" i="1" s="1"/>
  <c r="G4" i="1"/>
  <c r="C34" i="1"/>
  <c r="I26" i="1"/>
  <c r="I15" i="1"/>
  <c r="I4" i="1"/>
  <c r="H27" i="1" l="1"/>
  <c r="E28" i="1" s="1"/>
  <c r="G28" i="1" s="1"/>
  <c r="H16" i="1"/>
  <c r="E17" i="1" s="1"/>
  <c r="G17" i="1" s="1"/>
  <c r="G7" i="1"/>
  <c r="H7" i="1" s="1"/>
  <c r="E8" i="1" s="1"/>
  <c r="G8" i="1" s="1"/>
  <c r="H8" i="1" s="1"/>
  <c r="H28" i="1" l="1"/>
  <c r="E29" i="1" s="1"/>
  <c r="G29" i="1" s="1"/>
  <c r="H17" i="1"/>
  <c r="E18" i="1" s="1"/>
  <c r="G18" i="1" s="1"/>
  <c r="H29" i="1" l="1"/>
  <c r="E30" i="1" s="1"/>
  <c r="G30" i="1" s="1"/>
  <c r="H18" i="1"/>
  <c r="E19" i="1" s="1"/>
  <c r="G19" i="1" s="1"/>
  <c r="H30" i="1" l="1"/>
  <c r="E31" i="1" s="1"/>
  <c r="H19" i="1"/>
  <c r="E20" i="1" s="1"/>
</calcChain>
</file>

<file path=xl/sharedStrings.xml><?xml version="1.0" encoding="utf-8"?>
<sst xmlns="http://schemas.openxmlformats.org/spreadsheetml/2006/main" count="31" uniqueCount="10">
  <si>
    <t>IRR?</t>
    <phoneticPr fontId="1" type="noConversion"/>
  </si>
  <si>
    <t>年</t>
    <phoneticPr fontId="1" type="noConversion"/>
  </si>
  <si>
    <t>现金流</t>
    <phoneticPr fontId="1" type="noConversion"/>
  </si>
  <si>
    <t>贷款表</t>
    <phoneticPr fontId="1" type="noConversion"/>
  </si>
  <si>
    <t>期初本金</t>
    <phoneticPr fontId="1" type="noConversion"/>
  </si>
  <si>
    <t>年末偿付</t>
    <phoneticPr fontId="1" type="noConversion"/>
  </si>
  <si>
    <t>利息</t>
    <phoneticPr fontId="1" type="noConversion"/>
  </si>
  <si>
    <t>本金</t>
    <phoneticPr fontId="1" type="noConversion"/>
  </si>
  <si>
    <t>偿付额分配：</t>
    <phoneticPr fontId="1" type="noConversion"/>
  </si>
  <si>
    <t>IRR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</si>
</sst>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>
      <alignment vertical="center"/>
    </xf>
    <xf numFmtId="9" fontId="2" fillId="0" borderId="0" xfId="0" applyNumberFormat="1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426720</xdr:colOff>
      <xdr:row>14</xdr:row>
      <xdr:rowOff>91440</xdr:rowOff>
    </xdr:from>
    <xdr:to>
      <xdr:col>15</xdr:col>
      <xdr:colOff>455809</xdr:colOff>
      <xdr:row>30</xdr:row>
      <xdr:rowOff>107074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1E7CEEF2-AE38-9CDB-FD89-88957F6D32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13120" y="2545080"/>
          <a:ext cx="3686689" cy="281979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I34"/>
  <sheetViews>
    <sheetView tabSelected="1" topLeftCell="A9" workbookViewId="0">
      <selection activeCell="R17" sqref="R17"/>
    </sheetView>
  </sheetViews>
  <sheetFormatPr defaultRowHeight="13.8" x14ac:dyDescent="0.25"/>
  <sheetData>
    <row r="1" spans="1:9" x14ac:dyDescent="0.25">
      <c r="A1" t="s">
        <v>0</v>
      </c>
      <c r="B1" s="1">
        <v>0.1</v>
      </c>
    </row>
    <row r="2" spans="1:9" x14ac:dyDescent="0.25">
      <c r="D2" t="s">
        <v>3</v>
      </c>
      <c r="G2" s="2" t="s">
        <v>8</v>
      </c>
      <c r="H2" s="2"/>
    </row>
    <row r="3" spans="1:9" x14ac:dyDescent="0.25">
      <c r="A3" t="s">
        <v>1</v>
      </c>
      <c r="B3" t="s">
        <v>2</v>
      </c>
      <c r="D3" t="s">
        <v>1</v>
      </c>
      <c r="E3" t="s">
        <v>4</v>
      </c>
      <c r="F3" t="s">
        <v>5</v>
      </c>
      <c r="G3" t="s">
        <v>6</v>
      </c>
      <c r="H3" t="s">
        <v>7</v>
      </c>
    </row>
    <row r="4" spans="1:9" x14ac:dyDescent="0.25">
      <c r="A4">
        <v>0</v>
      </c>
      <c r="B4">
        <v>-800</v>
      </c>
      <c r="D4">
        <v>1</v>
      </c>
      <c r="E4">
        <v>800</v>
      </c>
      <c r="F4">
        <v>300</v>
      </c>
      <c r="G4">
        <f>$B$1*E4</f>
        <v>80</v>
      </c>
      <c r="H4">
        <f>F4-G4</f>
        <v>220</v>
      </c>
      <c r="I4" t="str">
        <f ca="1">_xlfn.FORMULATEXT(H4)</f>
        <v>=F4-G4</v>
      </c>
    </row>
    <row r="5" spans="1:9" x14ac:dyDescent="0.25">
      <c r="A5">
        <v>1</v>
      </c>
      <c r="B5">
        <v>300</v>
      </c>
      <c r="D5">
        <v>2</v>
      </c>
      <c r="E5">
        <f>E4-H4</f>
        <v>580</v>
      </c>
      <c r="F5">
        <v>200</v>
      </c>
      <c r="G5">
        <f>$B$1*E5</f>
        <v>58</v>
      </c>
      <c r="H5">
        <f>F5-G5</f>
        <v>142</v>
      </c>
    </row>
    <row r="6" spans="1:9" x14ac:dyDescent="0.25">
      <c r="A6">
        <v>2</v>
      </c>
      <c r="B6">
        <v>200</v>
      </c>
      <c r="D6">
        <v>3</v>
      </c>
      <c r="E6">
        <f t="shared" ref="E6:E9" si="0">E5-H5</f>
        <v>438</v>
      </c>
      <c r="F6">
        <v>150</v>
      </c>
      <c r="G6">
        <f t="shared" ref="G6:G8" si="1">$B$1*E6</f>
        <v>43.800000000000004</v>
      </c>
      <c r="H6">
        <f t="shared" ref="H6:H8" si="2">F6-G6</f>
        <v>106.19999999999999</v>
      </c>
    </row>
    <row r="7" spans="1:9" x14ac:dyDescent="0.25">
      <c r="A7">
        <v>3</v>
      </c>
      <c r="B7">
        <v>150</v>
      </c>
      <c r="D7">
        <v>4</v>
      </c>
      <c r="E7">
        <f t="shared" si="0"/>
        <v>331.8</v>
      </c>
      <c r="F7">
        <v>122</v>
      </c>
      <c r="G7">
        <f t="shared" si="1"/>
        <v>33.18</v>
      </c>
      <c r="H7">
        <f t="shared" si="2"/>
        <v>88.82</v>
      </c>
    </row>
    <row r="8" spans="1:9" x14ac:dyDescent="0.25">
      <c r="A8">
        <v>4</v>
      </c>
      <c r="B8">
        <v>122</v>
      </c>
      <c r="D8">
        <v>5</v>
      </c>
      <c r="E8">
        <f t="shared" si="0"/>
        <v>242.98000000000002</v>
      </c>
      <c r="F8">
        <v>133</v>
      </c>
      <c r="G8">
        <f t="shared" si="1"/>
        <v>24.298000000000002</v>
      </c>
      <c r="H8">
        <f t="shared" si="2"/>
        <v>108.702</v>
      </c>
    </row>
    <row r="9" spans="1:9" x14ac:dyDescent="0.25">
      <c r="A9">
        <v>5</v>
      </c>
      <c r="B9">
        <v>133</v>
      </c>
      <c r="D9">
        <v>6</v>
      </c>
      <c r="E9" s="3">
        <f t="shared" si="0"/>
        <v>134.27800000000002</v>
      </c>
    </row>
    <row r="12" spans="1:9" x14ac:dyDescent="0.25">
      <c r="A12" t="s">
        <v>0</v>
      </c>
      <c r="B12" s="1">
        <v>0.03</v>
      </c>
    </row>
    <row r="13" spans="1:9" x14ac:dyDescent="0.25">
      <c r="D13" t="s">
        <v>3</v>
      </c>
      <c r="G13" s="2" t="s">
        <v>8</v>
      </c>
      <c r="H13" s="2"/>
    </row>
    <row r="14" spans="1:9" x14ac:dyDescent="0.25">
      <c r="A14" t="s">
        <v>1</v>
      </c>
      <c r="B14" t="s">
        <v>2</v>
      </c>
      <c r="D14" t="s">
        <v>1</v>
      </c>
      <c r="E14" t="s">
        <v>4</v>
      </c>
      <c r="F14" t="s">
        <v>5</v>
      </c>
      <c r="G14" t="s">
        <v>6</v>
      </c>
      <c r="H14" t="s">
        <v>7</v>
      </c>
    </row>
    <row r="15" spans="1:9" x14ac:dyDescent="0.25">
      <c r="A15">
        <v>0</v>
      </c>
      <c r="B15">
        <v>-800</v>
      </c>
      <c r="D15">
        <v>1</v>
      </c>
      <c r="E15">
        <v>800</v>
      </c>
      <c r="F15">
        <v>300</v>
      </c>
      <c r="G15">
        <f>$B$12*E15</f>
        <v>24</v>
      </c>
      <c r="H15">
        <f>F15-G15</f>
        <v>276</v>
      </c>
      <c r="I15" t="str">
        <f ca="1">_xlfn.FORMULATEXT(H15)</f>
        <v>=F15-G15</v>
      </c>
    </row>
    <row r="16" spans="1:9" x14ac:dyDescent="0.25">
      <c r="A16">
        <v>1</v>
      </c>
      <c r="B16">
        <v>300</v>
      </c>
      <c r="D16">
        <v>2</v>
      </c>
      <c r="E16">
        <f>E15-H15</f>
        <v>524</v>
      </c>
      <c r="F16">
        <v>200</v>
      </c>
      <c r="G16">
        <f t="shared" ref="G16:G19" si="3">$B$12*E16</f>
        <v>15.719999999999999</v>
      </c>
      <c r="H16">
        <f>F16-G16</f>
        <v>184.28</v>
      </c>
    </row>
    <row r="17" spans="1:9" x14ac:dyDescent="0.25">
      <c r="A17">
        <v>2</v>
      </c>
      <c r="B17">
        <v>200</v>
      </c>
      <c r="D17">
        <v>3</v>
      </c>
      <c r="E17">
        <f t="shared" ref="E17:E20" si="4">E16-H16</f>
        <v>339.72</v>
      </c>
      <c r="F17">
        <v>150</v>
      </c>
      <c r="G17">
        <f t="shared" si="3"/>
        <v>10.191600000000001</v>
      </c>
      <c r="H17">
        <f t="shared" ref="H17:H19" si="5">F17-G17</f>
        <v>139.80840000000001</v>
      </c>
    </row>
    <row r="18" spans="1:9" x14ac:dyDescent="0.25">
      <c r="A18">
        <v>3</v>
      </c>
      <c r="B18">
        <v>150</v>
      </c>
      <c r="D18">
        <v>4</v>
      </c>
      <c r="E18">
        <f t="shared" si="4"/>
        <v>199.91160000000002</v>
      </c>
      <c r="F18">
        <v>122</v>
      </c>
      <c r="G18">
        <f t="shared" si="3"/>
        <v>5.9973480000000006</v>
      </c>
      <c r="H18">
        <f t="shared" si="5"/>
        <v>116.002652</v>
      </c>
    </row>
    <row r="19" spans="1:9" x14ac:dyDescent="0.25">
      <c r="A19">
        <v>4</v>
      </c>
      <c r="B19">
        <v>122</v>
      </c>
      <c r="D19">
        <v>5</v>
      </c>
      <c r="E19">
        <f t="shared" si="4"/>
        <v>83.908948000000024</v>
      </c>
      <c r="F19">
        <v>133</v>
      </c>
      <c r="G19">
        <f t="shared" si="3"/>
        <v>2.5172684400000005</v>
      </c>
      <c r="H19">
        <f t="shared" si="5"/>
        <v>130.48273155999999</v>
      </c>
    </row>
    <row r="20" spans="1:9" x14ac:dyDescent="0.25">
      <c r="A20">
        <v>5</v>
      </c>
      <c r="B20">
        <v>133</v>
      </c>
      <c r="D20">
        <v>6</v>
      </c>
      <c r="E20" s="3">
        <f t="shared" si="4"/>
        <v>-46.573783559999967</v>
      </c>
    </row>
    <row r="23" spans="1:9" x14ac:dyDescent="0.25">
      <c r="A23" t="s">
        <v>0</v>
      </c>
      <c r="B23" s="4">
        <v>5.0683794702586049E-2</v>
      </c>
    </row>
    <row r="24" spans="1:9" x14ac:dyDescent="0.25">
      <c r="D24" t="s">
        <v>3</v>
      </c>
      <c r="G24" s="2" t="s">
        <v>8</v>
      </c>
      <c r="H24" s="2"/>
    </row>
    <row r="25" spans="1:9" x14ac:dyDescent="0.25">
      <c r="A25" t="s">
        <v>1</v>
      </c>
      <c r="B25" t="s">
        <v>2</v>
      </c>
      <c r="D25" t="s">
        <v>1</v>
      </c>
      <c r="E25" t="s">
        <v>4</v>
      </c>
      <c r="F25" t="s">
        <v>5</v>
      </c>
      <c r="G25" t="s">
        <v>6</v>
      </c>
      <c r="H25" t="s">
        <v>7</v>
      </c>
    </row>
    <row r="26" spans="1:9" x14ac:dyDescent="0.25">
      <c r="A26">
        <v>0</v>
      </c>
      <c r="B26">
        <v>-800</v>
      </c>
      <c r="D26">
        <v>1</v>
      </c>
      <c r="E26">
        <v>800</v>
      </c>
      <c r="F26">
        <v>300</v>
      </c>
      <c r="G26">
        <f>$B$23*E26</f>
        <v>40.547035762068838</v>
      </c>
      <c r="H26">
        <f>F26-G26</f>
        <v>259.45296423793116</v>
      </c>
      <c r="I26" t="str">
        <f ca="1">_xlfn.FORMULATEXT(H26)</f>
        <v>=F26-G26</v>
      </c>
    </row>
    <row r="27" spans="1:9" x14ac:dyDescent="0.25">
      <c r="A27">
        <v>1</v>
      </c>
      <c r="B27">
        <v>300</v>
      </c>
      <c r="D27">
        <v>2</v>
      </c>
      <c r="E27">
        <f>E26-H26</f>
        <v>540.54703576206884</v>
      </c>
      <c r="F27">
        <v>200</v>
      </c>
      <c r="G27">
        <f t="shared" ref="G27:G30" si="6">$B$23*E27</f>
        <v>27.396974987656137</v>
      </c>
      <c r="H27">
        <f>F27-G27</f>
        <v>172.60302501234386</v>
      </c>
    </row>
    <row r="28" spans="1:9" x14ac:dyDescent="0.25">
      <c r="A28">
        <v>2</v>
      </c>
      <c r="B28">
        <v>200</v>
      </c>
      <c r="D28">
        <v>3</v>
      </c>
      <c r="E28">
        <f t="shared" ref="E28:E31" si="7">E27-H27</f>
        <v>367.94401074972495</v>
      </c>
      <c r="F28">
        <v>150</v>
      </c>
      <c r="G28">
        <f t="shared" si="6"/>
        <v>18.648798702885173</v>
      </c>
      <c r="H28">
        <f t="shared" ref="H28:H30" si="8">F28-G28</f>
        <v>131.35120129711481</v>
      </c>
    </row>
    <row r="29" spans="1:9" x14ac:dyDescent="0.25">
      <c r="A29">
        <v>3</v>
      </c>
      <c r="B29">
        <v>150</v>
      </c>
      <c r="D29">
        <v>4</v>
      </c>
      <c r="E29">
        <f t="shared" si="7"/>
        <v>236.59280945261014</v>
      </c>
      <c r="F29">
        <v>122</v>
      </c>
      <c r="G29">
        <f t="shared" si="6"/>
        <v>11.991421382404152</v>
      </c>
      <c r="H29">
        <f t="shared" si="8"/>
        <v>110.00857861759584</v>
      </c>
    </row>
    <row r="30" spans="1:9" x14ac:dyDescent="0.25">
      <c r="A30">
        <v>4</v>
      </c>
      <c r="B30">
        <v>122</v>
      </c>
      <c r="D30">
        <v>5</v>
      </c>
      <c r="E30">
        <f t="shared" si="7"/>
        <v>126.5842308350143</v>
      </c>
      <c r="F30">
        <v>133</v>
      </c>
      <c r="G30">
        <f t="shared" si="6"/>
        <v>6.4157691682266274</v>
      </c>
      <c r="H30">
        <f t="shared" si="8"/>
        <v>126.58423083177337</v>
      </c>
    </row>
    <row r="31" spans="1:9" x14ac:dyDescent="0.25">
      <c r="A31">
        <v>5</v>
      </c>
      <c r="B31">
        <v>133</v>
      </c>
      <c r="D31">
        <v>6</v>
      </c>
      <c r="E31" s="3">
        <f t="shared" si="7"/>
        <v>3.240927526348969E-9</v>
      </c>
    </row>
    <row r="34" spans="1:3" x14ac:dyDescent="0.25">
      <c r="A34" t="s">
        <v>9</v>
      </c>
      <c r="B34" s="4">
        <f>IRR(B26:B31)</f>
        <v>5.0683794701226192E-2</v>
      </c>
      <c r="C34" t="str">
        <f ca="1">_xlfn.FORMULATEXT(B34)</f>
        <v>=IRR(B26:B31)</v>
      </c>
    </row>
  </sheetData>
  <mergeCells count="3">
    <mergeCell ref="G2:H2"/>
    <mergeCell ref="G13:H13"/>
    <mergeCell ref="G24:H24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2024-10-06T05:29:13Z</dcterms:modified>
</cp:coreProperties>
</file>