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/>
  <workbookPr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01\practice\"/>
    </mc:Choice>
  </mc:AlternateContent>
  <xr:revisionPtr revIDLastSave="0" documentId="13_ncr:1_{ED4E985F-0A89-490F-8AA5-2CD736B9CF01}" xr6:coauthVersionLast="47" xr6:coauthVersionMax="47" xr10:uidLastSave="{00000000-0000-0000-0000-000000000000}"/>
  <bookViews>
    <workbookView xWindow="28680" yWindow="-120" windowWidth="16440" windowHeight="28320" xr2:uid="{EA6F33A8-FE0E-48B1-8C74-8B2321C6BA8B}"/>
  </bookViews>
  <sheets>
    <sheet name="Sheet1" sheetId="1" r:id="rId1"/>
  </sheet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10" i="1" l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9" i="1"/>
  <c r="G8" i="1"/>
  <c r="B4" i="1"/>
  <c r="F28" i="1"/>
  <c r="F29" i="1" s="1"/>
  <c r="F30" i="1" s="1"/>
  <c r="F31" i="1" s="1"/>
  <c r="F24" i="1"/>
  <c r="F25" i="1" s="1"/>
  <c r="F26" i="1" s="1"/>
  <c r="F27" i="1" s="1"/>
  <c r="F11" i="1"/>
  <c r="F12" i="1"/>
  <c r="F13" i="1"/>
  <c r="F14" i="1"/>
  <c r="F15" i="1"/>
  <c r="F16" i="1"/>
  <c r="F17" i="1" s="1"/>
  <c r="F18" i="1" s="1"/>
  <c r="F19" i="1" s="1"/>
  <c r="F20" i="1" s="1"/>
  <c r="F21" i="1" s="1"/>
  <c r="F22" i="1" s="1"/>
  <c r="F23" i="1" s="1"/>
  <c r="F10" i="1"/>
  <c r="B28" i="1"/>
  <c r="B27" i="1"/>
  <c r="C28" i="1"/>
  <c r="C27" i="1"/>
  <c r="H8" i="1"/>
  <c r="H9" i="1"/>
</calcChain>
</file>

<file path=xl/sharedStrings.xml><?xml version="1.0" encoding="utf-8"?>
<sst xmlns="http://schemas.openxmlformats.org/spreadsheetml/2006/main" count="12" uniqueCount="10">
  <si>
    <t>年</t>
    <phoneticPr fontId="1" type="noConversion"/>
  </si>
  <si>
    <t>现金流</t>
    <phoneticPr fontId="1" type="noConversion"/>
  </si>
  <si>
    <t>折现率</t>
    <phoneticPr fontId="1" type="noConversion"/>
  </si>
  <si>
    <t>净现值</t>
    <phoneticPr fontId="1" type="noConversion"/>
  </si>
  <si>
    <t>两个IRR的确定</t>
    <phoneticPr fontId="1" type="noConversion"/>
  </si>
  <si>
    <t>第一个IRR</t>
    <phoneticPr fontId="1" type="noConversion"/>
  </si>
  <si>
    <t>第二个IRR</t>
    <phoneticPr fontId="1" type="noConversion"/>
  </si>
  <si>
    <t>数据表</t>
    <phoneticPr fontId="1" type="noConversion"/>
  </si>
  <si>
    <t>两个IRR</t>
    <phoneticPr fontId="1" type="noConversion"/>
  </si>
  <si>
    <r>
      <t>因为利息率在</t>
    </r>
    <r>
      <rPr>
        <sz val="11"/>
        <color theme="1"/>
        <rFont val="等线"/>
        <family val="2"/>
        <charset val="134"/>
        <scheme val="minor"/>
      </rPr>
      <t>6.34%</t>
    </r>
    <r>
      <rPr>
        <sz val="10"/>
        <rFont val="宋体"/>
        <family val="3"/>
        <charset val="134"/>
      </rPr>
      <t>到</t>
    </r>
    <r>
      <rPr>
        <sz val="11"/>
        <color theme="1"/>
        <rFont val="等线"/>
        <family val="2"/>
        <charset val="134"/>
        <scheme val="minor"/>
      </rPr>
      <t>60.20%</t>
    </r>
    <r>
      <rPr>
        <sz val="10"/>
        <rFont val="宋体"/>
        <family val="3"/>
        <charset val="134"/>
      </rPr>
      <t>之间时</t>
    </r>
    <r>
      <rPr>
        <sz val="11"/>
        <color theme="1"/>
        <rFont val="等线"/>
        <family val="2"/>
        <charset val="134"/>
        <scheme val="minor"/>
      </rPr>
      <t>NPV&gt;0</t>
    </r>
    <r>
      <rPr>
        <sz val="10"/>
        <rFont val="宋体"/>
        <family val="3"/>
        <charset val="134"/>
      </rPr>
      <t>，则如果折现率是</t>
    </r>
    <r>
      <rPr>
        <sz val="11"/>
        <color theme="1"/>
        <rFont val="等线"/>
        <family val="2"/>
        <charset val="134"/>
        <scheme val="minor"/>
      </rPr>
      <t>20%</t>
    </r>
    <r>
      <rPr>
        <sz val="10"/>
        <rFont val="宋体"/>
        <family val="3"/>
        <charset val="134"/>
      </rPr>
      <t>，我们应该在该项目上投资</t>
    </r>
    <phoneticPr fontId="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</si>
</sst>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_ "/>
  </numFmts>
  <fonts count="5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20"/>
      <color theme="1"/>
      <name val="等线"/>
      <family val="3"/>
      <charset val="134"/>
      <scheme val="minor"/>
    </font>
    <font>
      <sz val="10"/>
      <name val="宋体"/>
      <family val="3"/>
      <charset val="134"/>
    </font>
    <font>
      <sz val="10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7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9" fontId="0" fillId="0" borderId="0" xfId="0" applyNumberFormat="1">
      <alignment vertical="center"/>
    </xf>
    <xf numFmtId="176" fontId="0" fillId="0" borderId="0" xfId="0" applyNumberFormat="1">
      <alignment vertical="center"/>
    </xf>
    <xf numFmtId="0" fontId="2" fillId="0" borderId="0" xfId="0" applyFont="1" applyAlignment="1">
      <alignment horizontal="center" vertical="center"/>
    </xf>
    <xf numFmtId="10" fontId="0" fillId="0" borderId="0" xfId="0" applyNumberFormat="1">
      <alignment vertical="center"/>
    </xf>
    <xf numFmtId="0" fontId="3" fillId="0" borderId="0" xfId="0" applyFont="1" applyAlignment="1">
      <alignment horizontal="center" vertical="center" wrapText="1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两个</a:t>
            </a:r>
            <a:r>
              <a:rPr lang="en-US" altLang="zh-CN"/>
              <a:t>IRR</a:t>
            </a:r>
            <a:endParaRPr lang="zh-CN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Sheet1!$F$9:$F$31</c:f>
              <c:numCache>
                <c:formatCode>0%</c:formatCode>
                <c:ptCount val="23"/>
                <c:pt idx="0">
                  <c:v>0</c:v>
                </c:pt>
                <c:pt idx="1">
                  <c:v>0.03</c:v>
                </c:pt>
                <c:pt idx="2">
                  <c:v>0.06</c:v>
                </c:pt>
                <c:pt idx="3">
                  <c:v>0.09</c:v>
                </c:pt>
                <c:pt idx="4">
                  <c:v>0.12</c:v>
                </c:pt>
                <c:pt idx="5">
                  <c:v>0.15</c:v>
                </c:pt>
                <c:pt idx="6">
                  <c:v>0.18</c:v>
                </c:pt>
                <c:pt idx="7">
                  <c:v>0.21</c:v>
                </c:pt>
                <c:pt idx="8">
                  <c:v>0.24</c:v>
                </c:pt>
                <c:pt idx="9">
                  <c:v>0.27</c:v>
                </c:pt>
                <c:pt idx="10">
                  <c:v>0.30000000000000004</c:v>
                </c:pt>
                <c:pt idx="11">
                  <c:v>0.33000000000000007</c:v>
                </c:pt>
                <c:pt idx="12">
                  <c:v>0.3600000000000001</c:v>
                </c:pt>
                <c:pt idx="13">
                  <c:v>0.39000000000000012</c:v>
                </c:pt>
                <c:pt idx="14">
                  <c:v>0.42000000000000015</c:v>
                </c:pt>
                <c:pt idx="15">
                  <c:v>0.45000000000000018</c:v>
                </c:pt>
                <c:pt idx="16">
                  <c:v>0.4800000000000002</c:v>
                </c:pt>
                <c:pt idx="17">
                  <c:v>0.51000000000000023</c:v>
                </c:pt>
                <c:pt idx="18">
                  <c:v>0.54000000000000026</c:v>
                </c:pt>
                <c:pt idx="19">
                  <c:v>0.57000000000000028</c:v>
                </c:pt>
                <c:pt idx="20">
                  <c:v>0.60000000000000031</c:v>
                </c:pt>
                <c:pt idx="21">
                  <c:v>0.63000000000000034</c:v>
                </c:pt>
                <c:pt idx="22">
                  <c:v>0.66000000000000036</c:v>
                </c:pt>
              </c:numCache>
            </c:numRef>
          </c:xVal>
          <c:yVal>
            <c:numRef>
              <c:f>Sheet1!$G$9:$G$31</c:f>
              <c:numCache>
                <c:formatCode>0.00_ </c:formatCode>
                <c:ptCount val="23"/>
                <c:pt idx="0">
                  <c:v>-100</c:v>
                </c:pt>
                <c:pt idx="1">
                  <c:v>-45.065832410291705</c:v>
                </c:pt>
                <c:pt idx="2">
                  <c:v>-3.9169874554338548</c:v>
                </c:pt>
                <c:pt idx="3">
                  <c:v>26.371413509311424</c:v>
                </c:pt>
                <c:pt idx="4">
                  <c:v>48.083283285982247</c:v>
                </c:pt>
                <c:pt idx="5">
                  <c:v>63.011014173731951</c:v>
                </c:pt>
                <c:pt idx="6">
                  <c:v>72.5677258033719</c:v>
                </c:pt>
                <c:pt idx="7">
                  <c:v>77.872170833110772</c:v>
                </c:pt>
                <c:pt idx="8">
                  <c:v>79.813386712026499</c:v>
                </c:pt>
                <c:pt idx="9">
                  <c:v>79.100234164289418</c:v>
                </c:pt>
                <c:pt idx="10">
                  <c:v>76.299580115973072</c:v>
                </c:pt>
                <c:pt idx="11">
                  <c:v>71.865892489228031</c:v>
                </c:pt>
                <c:pt idx="12">
                  <c:v>66.164299468185732</c:v>
                </c:pt>
                <c:pt idx="13">
                  <c:v>59.488645939335925</c:v>
                </c:pt>
                <c:pt idx="14">
                  <c:v>52.075698939230847</c:v>
                </c:pt>
                <c:pt idx="15">
                  <c:v>44.116373002799492</c:v>
                </c:pt>
                <c:pt idx="16">
                  <c:v>35.764637717458186</c:v>
                </c:pt>
                <c:pt idx="17">
                  <c:v>27.144613949571749</c:v>
                </c:pt>
                <c:pt idx="18">
                  <c:v>18.356248085576453</c:v>
                </c:pt>
                <c:pt idx="19">
                  <c:v>9.479865100363952</c:v>
                </c:pt>
                <c:pt idx="20">
                  <c:v>0.579833984375</c:v>
                </c:pt>
                <c:pt idx="21">
                  <c:v>-8.2924723385277161</c:v>
                </c:pt>
                <c:pt idx="22">
                  <c:v>-17.09627993295129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F5D-4193-A383-878BEAAF71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8739816"/>
        <c:axId val="848369104"/>
      </c:scatterChart>
      <c:valAx>
        <c:axId val="58873981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折现率</a:t>
                </a:r>
              </a:p>
            </c:rich>
          </c:tx>
          <c:layout>
            <c:manualLayout>
              <c:xMode val="edge"/>
              <c:yMode val="edge"/>
              <c:x val="0.76178018372703415"/>
              <c:y val="0.6363425925925925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848369104"/>
        <c:crosses val="autoZero"/>
        <c:crossBetween val="midCat"/>
      </c:valAx>
      <c:valAx>
        <c:axId val="848369104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净现值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0.00_ 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887398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365760</xdr:colOff>
      <xdr:row>10</xdr:row>
      <xdr:rowOff>76200</xdr:rowOff>
    </xdr:from>
    <xdr:to>
      <xdr:col>15</xdr:col>
      <xdr:colOff>60960</xdr:colOff>
      <xdr:row>26</xdr:row>
      <xdr:rowOff>15240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4743E773-F701-F7CC-827A-155632AC376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dimension ref="A1:O37"/>
  <sheetViews>
    <sheetView tabSelected="1" zoomScale="85" zoomScaleNormal="85" workbookViewId="0">
      <selection activeCell="D36" sqref="D36"/>
    </sheetView>
  </sheetViews>
  <sheetFormatPr defaultRowHeight="13.8" x14ac:dyDescent="0.25"/>
  <cols>
    <col min="1" max="1" width="14.6640625" bestFit="1" customWidth="1"/>
    <col min="2" max="2" width="7.5546875" bestFit="1" customWidth="1"/>
  </cols>
  <sheetData>
    <row r="1" spans="1:15" ht="25.2" x14ac:dyDescent="0.25">
      <c r="A1" s="4" t="s">
        <v>8</v>
      </c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</row>
    <row r="3" spans="1:15" x14ac:dyDescent="0.25">
      <c r="A3" t="s">
        <v>2</v>
      </c>
      <c r="B3" s="2">
        <v>0.2</v>
      </c>
    </row>
    <row r="4" spans="1:15" x14ac:dyDescent="0.25">
      <c r="A4" t="s">
        <v>3</v>
      </c>
      <c r="B4" s="3">
        <f>NPV(B3,B8:B12)+B7</f>
        <v>76.51748971193399</v>
      </c>
    </row>
    <row r="6" spans="1:15" x14ac:dyDescent="0.25">
      <c r="A6" s="1" t="s">
        <v>0</v>
      </c>
      <c r="B6" s="1" t="s">
        <v>1</v>
      </c>
      <c r="F6" t="s">
        <v>7</v>
      </c>
    </row>
    <row r="7" spans="1:15" x14ac:dyDescent="0.25">
      <c r="A7" s="1">
        <v>0</v>
      </c>
      <c r="B7" s="1">
        <v>-500</v>
      </c>
      <c r="F7" t="s">
        <v>2</v>
      </c>
      <c r="G7" t="s">
        <v>3</v>
      </c>
    </row>
    <row r="8" spans="1:15" x14ac:dyDescent="0.25">
      <c r="A8" s="1">
        <v>1</v>
      </c>
      <c r="B8" s="1">
        <v>600</v>
      </c>
      <c r="G8" s="3">
        <f>B4</f>
        <v>76.51748971193399</v>
      </c>
      <c r="H8" t="str">
        <f ca="1">_xlfn.FORMULATEXT(G8)</f>
        <v>=B4</v>
      </c>
    </row>
    <row r="9" spans="1:15" x14ac:dyDescent="0.25">
      <c r="A9" s="1">
        <v>2</v>
      </c>
      <c r="B9" s="1">
        <v>300</v>
      </c>
      <c r="F9" s="2">
        <v>0</v>
      </c>
      <c r="G9" s="3">
        <f>NPV(F9,$B$8:$B$12)+$B$7</f>
        <v>-100</v>
      </c>
      <c r="H9" t="str">
        <f ca="1">_xlfn.FORMULATEXT(G9)</f>
        <v>=NPV(F9,$B$8:$B$12)+$B$7</v>
      </c>
    </row>
    <row r="10" spans="1:15" x14ac:dyDescent="0.25">
      <c r="A10" s="1">
        <v>3</v>
      </c>
      <c r="B10" s="1">
        <v>300</v>
      </c>
      <c r="F10" s="2">
        <f>F9+3%</f>
        <v>0.03</v>
      </c>
      <c r="G10" s="3">
        <f t="shared" ref="G10:G31" si="0">NPV(F10,$B$8:$B$12)+$B$7</f>
        <v>-45.065832410291705</v>
      </c>
    </row>
    <row r="11" spans="1:15" x14ac:dyDescent="0.25">
      <c r="A11" s="1">
        <v>4</v>
      </c>
      <c r="B11" s="1">
        <v>200</v>
      </c>
      <c r="F11" s="2">
        <f t="shared" ref="F11:F31" si="1">F10+3%</f>
        <v>0.06</v>
      </c>
      <c r="G11" s="3">
        <f t="shared" si="0"/>
        <v>-3.9169874554338548</v>
      </c>
    </row>
    <row r="12" spans="1:15" x14ac:dyDescent="0.25">
      <c r="A12" s="1">
        <v>5</v>
      </c>
      <c r="B12" s="1">
        <v>-1000</v>
      </c>
      <c r="F12" s="2">
        <f t="shared" si="1"/>
        <v>0.09</v>
      </c>
      <c r="G12" s="3">
        <f t="shared" si="0"/>
        <v>26.371413509311424</v>
      </c>
    </row>
    <row r="13" spans="1:15" x14ac:dyDescent="0.25">
      <c r="F13" s="2">
        <f t="shared" si="1"/>
        <v>0.12</v>
      </c>
      <c r="G13" s="3">
        <f t="shared" si="0"/>
        <v>48.083283285982247</v>
      </c>
    </row>
    <row r="14" spans="1:15" x14ac:dyDescent="0.25">
      <c r="F14" s="2">
        <f t="shared" si="1"/>
        <v>0.15</v>
      </c>
      <c r="G14" s="3">
        <f t="shared" si="0"/>
        <v>63.011014173731951</v>
      </c>
    </row>
    <row r="15" spans="1:15" x14ac:dyDescent="0.25">
      <c r="F15" s="2">
        <f t="shared" si="1"/>
        <v>0.18</v>
      </c>
      <c r="G15" s="3">
        <f t="shared" si="0"/>
        <v>72.5677258033719</v>
      </c>
    </row>
    <row r="16" spans="1:15" x14ac:dyDescent="0.25">
      <c r="F16" s="2">
        <f t="shared" si="1"/>
        <v>0.21</v>
      </c>
      <c r="G16" s="3">
        <f t="shared" si="0"/>
        <v>77.872170833110772</v>
      </c>
    </row>
    <row r="17" spans="1:7" x14ac:dyDescent="0.25">
      <c r="F17" s="2">
        <f t="shared" si="1"/>
        <v>0.24</v>
      </c>
      <c r="G17" s="3">
        <f t="shared" si="0"/>
        <v>79.813386712026499</v>
      </c>
    </row>
    <row r="18" spans="1:7" x14ac:dyDescent="0.25">
      <c r="F18" s="2">
        <f t="shared" si="1"/>
        <v>0.27</v>
      </c>
      <c r="G18" s="3">
        <f t="shared" si="0"/>
        <v>79.100234164289418</v>
      </c>
    </row>
    <row r="19" spans="1:7" x14ac:dyDescent="0.25">
      <c r="F19" s="2">
        <f t="shared" si="1"/>
        <v>0.30000000000000004</v>
      </c>
      <c r="G19" s="3">
        <f t="shared" si="0"/>
        <v>76.299580115973072</v>
      </c>
    </row>
    <row r="20" spans="1:7" x14ac:dyDescent="0.25">
      <c r="F20" s="2">
        <f t="shared" si="1"/>
        <v>0.33000000000000007</v>
      </c>
      <c r="G20" s="3">
        <f t="shared" si="0"/>
        <v>71.865892489228031</v>
      </c>
    </row>
    <row r="21" spans="1:7" x14ac:dyDescent="0.25">
      <c r="F21" s="2">
        <f t="shared" si="1"/>
        <v>0.3600000000000001</v>
      </c>
      <c r="G21" s="3">
        <f t="shared" si="0"/>
        <v>66.164299468185732</v>
      </c>
    </row>
    <row r="22" spans="1:7" x14ac:dyDescent="0.25">
      <c r="F22" s="2">
        <f t="shared" si="1"/>
        <v>0.39000000000000012</v>
      </c>
      <c r="G22" s="3">
        <f t="shared" si="0"/>
        <v>59.488645939335925</v>
      </c>
    </row>
    <row r="23" spans="1:7" x14ac:dyDescent="0.25">
      <c r="F23" s="2">
        <f t="shared" si="1"/>
        <v>0.42000000000000015</v>
      </c>
      <c r="G23" s="3">
        <f t="shared" si="0"/>
        <v>52.075698939230847</v>
      </c>
    </row>
    <row r="24" spans="1:7" x14ac:dyDescent="0.25">
      <c r="F24" s="2">
        <f>F23+3%</f>
        <v>0.45000000000000018</v>
      </c>
      <c r="G24" s="3">
        <f t="shared" si="0"/>
        <v>44.116373002799492</v>
      </c>
    </row>
    <row r="25" spans="1:7" x14ac:dyDescent="0.25">
      <c r="F25" s="2">
        <f t="shared" si="1"/>
        <v>0.4800000000000002</v>
      </c>
      <c r="G25" s="3">
        <f t="shared" si="0"/>
        <v>35.764637717458186</v>
      </c>
    </row>
    <row r="26" spans="1:7" x14ac:dyDescent="0.25">
      <c r="A26" t="s">
        <v>4</v>
      </c>
      <c r="F26" s="2">
        <f t="shared" si="1"/>
        <v>0.51000000000000023</v>
      </c>
      <c r="G26" s="3">
        <f t="shared" si="0"/>
        <v>27.144613949571749</v>
      </c>
    </row>
    <row r="27" spans="1:7" x14ac:dyDescent="0.25">
      <c r="A27" t="s">
        <v>5</v>
      </c>
      <c r="B27" s="5">
        <f>IRR(B7:B12,0)</f>
        <v>6.3387866457027098E-2</v>
      </c>
      <c r="C27" t="str">
        <f ca="1">_xlfn.FORMULATEXT(B27)</f>
        <v>=IRR(B7:B12,0)</v>
      </c>
      <c r="F27" s="2">
        <f t="shared" si="1"/>
        <v>0.54000000000000026</v>
      </c>
      <c r="G27" s="3">
        <f t="shared" si="0"/>
        <v>18.356248085576453</v>
      </c>
    </row>
    <row r="28" spans="1:7" x14ac:dyDescent="0.25">
      <c r="A28" t="s">
        <v>6</v>
      </c>
      <c r="B28" s="5">
        <f>IRR(B7:B12,0.3)</f>
        <v>0.60195607653725158</v>
      </c>
      <c r="C28" t="str">
        <f ca="1">_xlfn.FORMULATEXT(B28)</f>
        <v>=IRR(B7:B12,0.3)</v>
      </c>
      <c r="F28" s="2">
        <f>F27+3%</f>
        <v>0.57000000000000028</v>
      </c>
      <c r="G28" s="3">
        <f t="shared" si="0"/>
        <v>9.479865100363952</v>
      </c>
    </row>
    <row r="29" spans="1:7" x14ac:dyDescent="0.25">
      <c r="F29" s="2">
        <f t="shared" si="1"/>
        <v>0.60000000000000031</v>
      </c>
      <c r="G29" s="3">
        <f t="shared" si="0"/>
        <v>0.579833984375</v>
      </c>
    </row>
    <row r="30" spans="1:7" x14ac:dyDescent="0.25">
      <c r="A30" s="6" t="s">
        <v>9</v>
      </c>
      <c r="F30" s="2">
        <f t="shared" si="1"/>
        <v>0.63000000000000034</v>
      </c>
      <c r="G30" s="3">
        <f t="shared" si="0"/>
        <v>-8.2924723385277161</v>
      </c>
    </row>
    <row r="31" spans="1:7" x14ac:dyDescent="0.25">
      <c r="A31" s="6"/>
      <c r="F31" s="2">
        <f t="shared" si="1"/>
        <v>0.66000000000000036</v>
      </c>
      <c r="G31" s="3">
        <f t="shared" si="0"/>
        <v>-17.09627993295129</v>
      </c>
    </row>
    <row r="32" spans="1:7" x14ac:dyDescent="0.25">
      <c r="A32" s="6"/>
    </row>
    <row r="33" spans="1:1" x14ac:dyDescent="0.25">
      <c r="A33" s="6"/>
    </row>
    <row r="34" spans="1:1" x14ac:dyDescent="0.25">
      <c r="A34" s="6"/>
    </row>
    <row r="35" spans="1:1" x14ac:dyDescent="0.25">
      <c r="A35" s="6"/>
    </row>
    <row r="36" spans="1:1" x14ac:dyDescent="0.25">
      <c r="A36" s="6"/>
    </row>
    <row r="37" spans="1:1" x14ac:dyDescent="0.25">
      <c r="A37" s="6"/>
    </row>
  </sheetData>
  <mergeCells count="2">
    <mergeCell ref="A1:O1"/>
    <mergeCell ref="A30:A37"/>
  </mergeCells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2024-10-05T13:27:14Z</dcterms:created>
  <dcterms:modified xsi:type="dcterms:W3CDTF">2024-10-06T09:37:05Z</dcterms:modified>
</cp:coreProperties>
</file>