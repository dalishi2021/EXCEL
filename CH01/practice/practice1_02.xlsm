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D8602C4F-80D3-4C69-BE6B-584FF818F205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D10" i="1"/>
  <c r="E10" i="1" s="1"/>
  <c r="B11" i="1" s="1"/>
  <c r="B10" i="1"/>
  <c r="D9" i="1"/>
  <c r="E9" i="1"/>
  <c r="C9" i="1"/>
  <c r="C10" i="1"/>
  <c r="C11" i="1"/>
  <c r="C12" i="1"/>
  <c r="C8" i="1"/>
  <c r="E8" i="1" s="1"/>
  <c r="B9" i="1" s="1"/>
  <c r="D8" i="1"/>
  <c r="B8" i="1"/>
  <c r="B5" i="1"/>
  <c r="F8" i="1"/>
  <c r="C5" i="1"/>
  <c r="B15" i="1"/>
  <c r="D15" i="1"/>
  <c r="D11" i="1" l="1"/>
  <c r="E11" i="1" s="1"/>
  <c r="B12" i="1" s="1"/>
  <c r="D12" i="1" s="1"/>
  <c r="E12" i="1" s="1"/>
</calcChain>
</file>

<file path=xl/sharedStrings.xml><?xml version="1.0" encoding="utf-8"?>
<sst xmlns="http://schemas.openxmlformats.org/spreadsheetml/2006/main" count="11" uniqueCount="11">
  <si>
    <t>年</t>
    <phoneticPr fontId="1" type="noConversion"/>
  </si>
  <si>
    <t>贷款本金</t>
    <phoneticPr fontId="1" type="noConversion"/>
  </si>
  <si>
    <t>利率</t>
    <phoneticPr fontId="1" type="noConversion"/>
  </si>
  <si>
    <t>贷款期限</t>
    <phoneticPr fontId="1" type="noConversion"/>
  </si>
  <si>
    <t>年还款额</t>
    <phoneticPr fontId="1" type="noConversion"/>
  </si>
  <si>
    <t>等额还款计划</t>
    <phoneticPr fontId="1" type="noConversion"/>
  </si>
  <si>
    <t>年初的本金</t>
    <phoneticPr fontId="1" type="noConversion"/>
  </si>
  <si>
    <t>年末偿还额</t>
    <phoneticPr fontId="1" type="noConversion"/>
  </si>
  <si>
    <t>利息</t>
    <phoneticPr fontId="1" type="noConversion"/>
  </si>
  <si>
    <t>本金返还</t>
    <phoneticPr fontId="1" type="noConversion"/>
  </si>
  <si>
    <t>偿还额的分解：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</si>
</sst>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8" fontId="0" fillId="0" borderId="0" xfId="0" applyNumberFormat="1">
      <alignment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15"/>
  <sheetViews>
    <sheetView tabSelected="1" workbookViewId="0">
      <selection activeCell="C18" sqref="C18"/>
    </sheetView>
  </sheetViews>
  <sheetFormatPr defaultRowHeight="13.8" x14ac:dyDescent="0.25"/>
  <cols>
    <col min="2" max="2" width="11.6640625" bestFit="1" customWidth="1"/>
    <col min="3" max="3" width="16.6640625" bestFit="1" customWidth="1"/>
    <col min="4" max="4" width="12.77734375" bestFit="1" customWidth="1"/>
    <col min="5" max="5" width="12.44140625" customWidth="1"/>
    <col min="6" max="6" width="9.109375" bestFit="1" customWidth="1"/>
  </cols>
  <sheetData>
    <row r="1" spans="1:6" ht="25.2" x14ac:dyDescent="0.25">
      <c r="A1" s="6" t="s">
        <v>5</v>
      </c>
      <c r="B1" s="6"/>
      <c r="C1" s="6"/>
      <c r="D1" s="6"/>
      <c r="E1" s="6"/>
      <c r="F1" s="6"/>
    </row>
    <row r="2" spans="1:6" x14ac:dyDescent="0.25">
      <c r="A2" t="s">
        <v>1</v>
      </c>
      <c r="B2">
        <v>10000</v>
      </c>
    </row>
    <row r="3" spans="1:6" x14ac:dyDescent="0.25">
      <c r="A3" t="s">
        <v>2</v>
      </c>
      <c r="B3" s="2">
        <v>0.15</v>
      </c>
    </row>
    <row r="4" spans="1:6" x14ac:dyDescent="0.25">
      <c r="A4" t="s">
        <v>3</v>
      </c>
      <c r="B4">
        <v>5</v>
      </c>
    </row>
    <row r="5" spans="1:6" x14ac:dyDescent="0.25">
      <c r="A5" t="s">
        <v>4</v>
      </c>
      <c r="B5" s="3">
        <f>PMT(B3,B4,-B2)</f>
        <v>2983.1555246152834</v>
      </c>
      <c r="C5" t="str">
        <f ca="1">_xlfn.FORMULATEXT(B5)</f>
        <v>=PMT(B3,B4,-B2)</v>
      </c>
    </row>
    <row r="6" spans="1:6" x14ac:dyDescent="0.25">
      <c r="D6" s="5" t="s">
        <v>10</v>
      </c>
      <c r="E6" s="5"/>
    </row>
    <row r="7" spans="1:6" x14ac:dyDescent="0.25">
      <c r="A7" s="1" t="s">
        <v>0</v>
      </c>
      <c r="B7" s="1" t="s">
        <v>6</v>
      </c>
      <c r="C7" s="1" t="s">
        <v>7</v>
      </c>
      <c r="D7" s="1" t="s">
        <v>8</v>
      </c>
      <c r="E7" s="1" t="s">
        <v>9</v>
      </c>
    </row>
    <row r="8" spans="1:6" x14ac:dyDescent="0.25">
      <c r="A8" s="1">
        <v>1</v>
      </c>
      <c r="B8" s="1">
        <f>B2</f>
        <v>10000</v>
      </c>
      <c r="C8" s="4">
        <f>$B$5</f>
        <v>2983.1555246152834</v>
      </c>
      <c r="D8" s="1">
        <f>$B$3*B8</f>
        <v>1500</v>
      </c>
      <c r="E8" s="4">
        <f>C8-D8</f>
        <v>1483.1555246152834</v>
      </c>
      <c r="F8" s="1" t="str">
        <f ca="1">_xlfn.FORMULATEXT(E8)</f>
        <v>=C8-D8</v>
      </c>
    </row>
    <row r="9" spans="1:6" x14ac:dyDescent="0.25">
      <c r="A9" s="1">
        <v>2</v>
      </c>
      <c r="B9" s="4">
        <f>B8-E8</f>
        <v>8516.8444753847161</v>
      </c>
      <c r="C9" s="4">
        <f t="shared" ref="C9:C12" si="0">$B$5</f>
        <v>2983.1555246152834</v>
      </c>
      <c r="D9" s="1">
        <f>$B$3*B9</f>
        <v>1277.5266713077074</v>
      </c>
      <c r="E9" s="4">
        <f>C9-D9</f>
        <v>1705.628853307576</v>
      </c>
    </row>
    <row r="10" spans="1:6" x14ac:dyDescent="0.25">
      <c r="A10" s="1">
        <v>3</v>
      </c>
      <c r="B10" s="4">
        <f t="shared" ref="B10:B13" si="1">B9-E9</f>
        <v>6811.2156220771403</v>
      </c>
      <c r="C10" s="4">
        <f t="shared" si="0"/>
        <v>2983.1555246152834</v>
      </c>
      <c r="D10" s="1">
        <f t="shared" ref="D10:D12" si="2">$B$3*B10</f>
        <v>1021.682343311571</v>
      </c>
      <c r="E10" s="4">
        <f t="shared" ref="E10:E12" si="3">C10-D10</f>
        <v>1961.4731813037124</v>
      </c>
    </row>
    <row r="11" spans="1:6" x14ac:dyDescent="0.25">
      <c r="A11" s="1">
        <v>4</v>
      </c>
      <c r="B11" s="4">
        <f t="shared" si="1"/>
        <v>4849.7424407734279</v>
      </c>
      <c r="C11" s="4">
        <f t="shared" si="0"/>
        <v>2983.1555246152834</v>
      </c>
      <c r="D11" s="1">
        <f t="shared" si="2"/>
        <v>727.46136611601412</v>
      </c>
      <c r="E11" s="4">
        <f t="shared" si="3"/>
        <v>2255.6941584992692</v>
      </c>
    </row>
    <row r="12" spans="1:6" x14ac:dyDescent="0.25">
      <c r="A12" s="1">
        <v>5</v>
      </c>
      <c r="B12" s="4">
        <f t="shared" si="1"/>
        <v>2594.0482822741587</v>
      </c>
      <c r="C12" s="4">
        <f t="shared" si="0"/>
        <v>2983.1555246152834</v>
      </c>
      <c r="D12" s="1">
        <f t="shared" si="2"/>
        <v>389.10724234112382</v>
      </c>
      <c r="E12" s="4">
        <f t="shared" si="3"/>
        <v>2594.0482822741596</v>
      </c>
    </row>
    <row r="13" spans="1:6" x14ac:dyDescent="0.25">
      <c r="A13" s="1">
        <v>6</v>
      </c>
      <c r="B13" s="4">
        <f t="shared" si="1"/>
        <v>0</v>
      </c>
    </row>
    <row r="15" spans="1:6" x14ac:dyDescent="0.25">
      <c r="B15" s="4" t="str">
        <f ca="1">_xlfn.FORMULATEXT(B9)</f>
        <v>=B8-E8</v>
      </c>
      <c r="D15" s="1" t="str">
        <f ca="1">_xlfn.FORMULATEXT(D8)</f>
        <v>=$B$3*B8</v>
      </c>
    </row>
  </sheetData>
  <mergeCells count="2">
    <mergeCell ref="D6:E6"/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2024-10-06T09:34:17Z</dcterms:modified>
</cp:coreProperties>
</file>