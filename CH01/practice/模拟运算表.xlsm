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F1C07F08-1D29-4AFA-892C-D600C6D7F287}" xr6:coauthVersionLast="47" xr6:coauthVersionMax="47" xr10:uidLastSave="{00000000-0000-0000-0000-000000000000}"/>
  <bookViews>
    <workbookView xWindow="-108" yWindow="-108" windowWidth="23256" windowHeight="12456" activeTab="1" xr2:uid="{EA6F33A8-FE0E-48B1-8C74-8B2321C6BA8B}"/>
  </bookViews>
  <sheets>
    <sheet name="Sheet1" sheetId="1" r:id="rId1"/>
    <sheet name="Sheet2" sheetId="2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J8" i="2"/>
  <c r="K8" i="2"/>
  <c r="L8" i="2"/>
  <c r="F8" i="2"/>
  <c r="G8" i="2" s="1"/>
  <c r="H8" i="2" s="1"/>
  <c r="I8" i="2" s="1"/>
  <c r="E8" i="2"/>
  <c r="B9" i="2"/>
  <c r="G2" i="2"/>
  <c r="C9" i="2" s="1"/>
  <c r="B19" i="1"/>
  <c r="C19" i="1"/>
  <c r="D19" i="1"/>
  <c r="E19" i="1"/>
  <c r="F19" i="1"/>
  <c r="F20" i="1"/>
  <c r="F21" i="1"/>
  <c r="F22" i="1"/>
  <c r="F18" i="1"/>
  <c r="B20" i="1"/>
  <c r="C20" i="1"/>
  <c r="D20" i="1"/>
  <c r="E20" i="1"/>
  <c r="B21" i="1"/>
  <c r="C21" i="1"/>
  <c r="D21" i="1"/>
  <c r="E21" i="1"/>
  <c r="B22" i="1"/>
  <c r="C22" i="1"/>
  <c r="D22" i="1"/>
  <c r="E22" i="1"/>
  <c r="C18" i="1"/>
  <c r="D18" i="1"/>
  <c r="E18" i="1"/>
  <c r="B18" i="1"/>
  <c r="C5" i="1"/>
  <c r="C8" i="1" s="1"/>
  <c r="D5" i="1"/>
  <c r="D8" i="1" s="1"/>
  <c r="E5" i="1"/>
  <c r="E8" i="1" s="1"/>
  <c r="B5" i="1"/>
  <c r="B8" i="1" s="1"/>
  <c r="C15" i="2" l="1"/>
</calcChain>
</file>

<file path=xl/sharedStrings.xml><?xml version="1.0" encoding="utf-8"?>
<sst xmlns="http://schemas.openxmlformats.org/spreadsheetml/2006/main" count="33" uniqueCount="21">
  <si>
    <t>预定数量：</t>
    <phoneticPr fontId="1" type="noConversion"/>
  </si>
  <si>
    <t>公司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</si>
  <si>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</si>
  <si>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</si>
  <si>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</si>
  <si>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</si>
  <si>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公司产品实际供应</t>
    <phoneticPr fontId="1" type="noConversion"/>
  </si>
  <si>
    <t>质量水平</t>
    <phoneticPr fontId="1" type="noConversion"/>
  </si>
  <si>
    <t>供货水平</t>
    <phoneticPr fontId="1" type="noConversion"/>
  </si>
  <si>
    <t>计划采购区间</t>
    <phoneticPr fontId="1" type="noConversion"/>
  </si>
  <si>
    <t>综合水平</t>
    <phoneticPr fontId="1" type="noConversion"/>
  </si>
  <si>
    <t>选择方案</t>
    <phoneticPr fontId="1" type="noConversion"/>
  </si>
  <si>
    <t>产品名称</t>
    <phoneticPr fontId="1" type="noConversion"/>
  </si>
  <si>
    <t>销售数量x</t>
    <phoneticPr fontId="1" type="noConversion"/>
  </si>
  <si>
    <t>销售单价y</t>
    <phoneticPr fontId="1" type="noConversion"/>
  </si>
  <si>
    <t>单位变动成本</t>
    <phoneticPr fontId="1" type="noConversion"/>
  </si>
  <si>
    <t>固定成本</t>
    <phoneticPr fontId="1" type="noConversion"/>
  </si>
  <si>
    <t>利润f(x,y)</t>
    <phoneticPr fontId="1" type="noConversion"/>
  </si>
  <si>
    <t>A</t>
    <phoneticPr fontId="1" type="noConversion"/>
  </si>
  <si>
    <t>单变量模拟运算</t>
    <phoneticPr fontId="1" type="noConversion"/>
  </si>
  <si>
    <t>双变量模拟运算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</si>
</sst>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2">
    <cellStyle name="百分比" xfId="1" builtinId="5"/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22"/>
  <sheetViews>
    <sheetView workbookViewId="0">
      <selection activeCell="B21" sqref="B21:F21"/>
    </sheetView>
  </sheetViews>
  <sheetFormatPr defaultRowHeight="13.8" x14ac:dyDescent="0.25"/>
  <cols>
    <col min="1" max="1" width="18.33203125" bestFit="1" customWidth="1"/>
    <col min="2" max="2" width="9.109375" bestFit="1" customWidth="1"/>
    <col min="6" max="6" width="21.6640625" customWidth="1"/>
  </cols>
  <sheetData>
    <row r="1" spans="1:6" x14ac:dyDescent="0.25">
      <c r="A1" t="s">
        <v>0</v>
      </c>
      <c r="B1">
        <v>5000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</row>
    <row r="3" spans="1:6" x14ac:dyDescent="0.25">
      <c r="A3" t="s">
        <v>6</v>
      </c>
      <c r="B3">
        <v>4800</v>
      </c>
      <c r="C3">
        <v>4870</v>
      </c>
      <c r="D3">
        <v>4820</v>
      </c>
      <c r="E3">
        <v>4840</v>
      </c>
    </row>
    <row r="4" spans="1:6" x14ac:dyDescent="0.25">
      <c r="A4" t="s">
        <v>7</v>
      </c>
      <c r="B4" s="1">
        <v>0.98</v>
      </c>
      <c r="C4" s="1">
        <v>0.97</v>
      </c>
      <c r="D4" s="1">
        <v>0.98199999999999998</v>
      </c>
      <c r="E4" s="1">
        <v>0.98099999999999998</v>
      </c>
    </row>
    <row r="5" spans="1:6" x14ac:dyDescent="0.25">
      <c r="A5" t="s">
        <v>8</v>
      </c>
      <c r="B5" s="2">
        <f>B3/$B$1</f>
        <v>0.96</v>
      </c>
      <c r="C5" s="2">
        <f t="shared" ref="C5:E5" si="0">C3/$B$1</f>
        <v>0.97399999999999998</v>
      </c>
      <c r="D5" s="2">
        <f t="shared" si="0"/>
        <v>0.96399999999999997</v>
      </c>
      <c r="E5" s="2">
        <f t="shared" si="0"/>
        <v>0.96799999999999997</v>
      </c>
    </row>
    <row r="7" spans="1:6" x14ac:dyDescent="0.25">
      <c r="A7" t="s">
        <v>8</v>
      </c>
      <c r="B7" s="3" t="s">
        <v>2</v>
      </c>
      <c r="C7" s="3" t="s">
        <v>3</v>
      </c>
      <c r="D7" s="3" t="s">
        <v>4</v>
      </c>
      <c r="E7" s="3" t="s">
        <v>5</v>
      </c>
    </row>
    <row r="8" spans="1:6" x14ac:dyDescent="0.25">
      <c r="A8" t="s">
        <v>9</v>
      </c>
      <c r="B8" s="1">
        <f>B5</f>
        <v>0.96</v>
      </c>
      <c r="C8" s="1">
        <f t="shared" ref="C8:E8" si="1">C5</f>
        <v>0.97399999999999998</v>
      </c>
      <c r="D8" s="1">
        <f t="shared" si="1"/>
        <v>0.96399999999999997</v>
      </c>
      <c r="E8" s="1">
        <f t="shared" si="1"/>
        <v>0.96799999999999997</v>
      </c>
    </row>
    <row r="9" spans="1:6" x14ac:dyDescent="0.25">
      <c r="A9">
        <v>4000</v>
      </c>
      <c r="B9" s="2">
        <f t="dataTable" ref="B9:E13" dt2D="0" dtr="0" r1="B1"/>
        <v>1.2</v>
      </c>
      <c r="C9" s="2">
        <v>1.2175</v>
      </c>
      <c r="D9" s="2">
        <v>1.2050000000000001</v>
      </c>
      <c r="E9" s="2">
        <v>1.21</v>
      </c>
    </row>
    <row r="10" spans="1:6" x14ac:dyDescent="0.25">
      <c r="A10">
        <v>4500</v>
      </c>
      <c r="B10" s="2">
        <v>1.0666666666666667</v>
      </c>
      <c r="C10" s="2">
        <v>1.0822222222222222</v>
      </c>
      <c r="D10" s="2">
        <v>1.0711111111111111</v>
      </c>
      <c r="E10" s="2">
        <v>1.0755555555555556</v>
      </c>
    </row>
    <row r="11" spans="1:6" x14ac:dyDescent="0.25">
      <c r="A11">
        <v>5000</v>
      </c>
      <c r="B11" s="2">
        <v>0.96</v>
      </c>
      <c r="C11" s="2">
        <v>0.97399999999999998</v>
      </c>
      <c r="D11" s="2">
        <v>0.96399999999999997</v>
      </c>
      <c r="E11" s="2">
        <v>0.96799999999999997</v>
      </c>
    </row>
    <row r="12" spans="1:6" x14ac:dyDescent="0.25">
      <c r="A12">
        <v>5500</v>
      </c>
      <c r="B12" s="2">
        <v>0.87272727272727268</v>
      </c>
      <c r="C12" s="2">
        <v>0.88545454545454549</v>
      </c>
      <c r="D12" s="2">
        <v>0.87636363636363634</v>
      </c>
      <c r="E12" s="2">
        <v>0.88</v>
      </c>
    </row>
    <row r="13" spans="1:6" x14ac:dyDescent="0.25">
      <c r="A13">
        <v>6000</v>
      </c>
      <c r="B13" s="2">
        <v>0.8</v>
      </c>
      <c r="C13" s="2">
        <v>0.81166666666666665</v>
      </c>
      <c r="D13" s="2">
        <v>0.80333333333333334</v>
      </c>
      <c r="E13" s="2">
        <v>0.80666666666666664</v>
      </c>
    </row>
    <row r="16" spans="1:6" x14ac:dyDescent="0.25">
      <c r="A16" t="s">
        <v>10</v>
      </c>
      <c r="B16" s="3" t="s">
        <v>2</v>
      </c>
      <c r="C16" s="3" t="s">
        <v>3</v>
      </c>
      <c r="D16" s="3" t="s">
        <v>4</v>
      </c>
      <c r="E16" s="3" t="s">
        <v>5</v>
      </c>
      <c r="F16" s="3" t="s">
        <v>11</v>
      </c>
    </row>
    <row r="17" spans="1:6" x14ac:dyDescent="0.25">
      <c r="A17" t="s">
        <v>9</v>
      </c>
    </row>
    <row r="18" spans="1:6" x14ac:dyDescent="0.25">
      <c r="A18">
        <v>4000</v>
      </c>
      <c r="B18" s="2">
        <f>IF(B9&gt;=1,1*0.5+B$4*0.5,B9*0.5+B$4*0.5)</f>
        <v>0.99</v>
      </c>
      <c r="C18" s="2">
        <f t="shared" ref="C18:E19" si="2">IF(C9&gt;=1,1*0.5+C$4*0.5,C9*0.5+C$4*0.5)</f>
        <v>0.98499999999999999</v>
      </c>
      <c r="D18" s="2">
        <f t="shared" si="2"/>
        <v>0.99099999999999999</v>
      </c>
      <c r="E18" s="2">
        <f t="shared" si="2"/>
        <v>0.99049999999999994</v>
      </c>
      <c r="F18" s="1">
        <f>MAX(B18:E18)</f>
        <v>0.99099999999999999</v>
      </c>
    </row>
    <row r="19" spans="1:6" x14ac:dyDescent="0.25">
      <c r="A19">
        <v>4500</v>
      </c>
      <c r="B19" s="2">
        <f t="shared" ref="B19:E19" si="3">IF(B10&gt;=1,1*0.5+B$4*0.5,B10*0.5+B$4*0.5)</f>
        <v>0.99</v>
      </c>
      <c r="C19" s="2">
        <f t="shared" si="3"/>
        <v>0.98499999999999999</v>
      </c>
      <c r="D19" s="2">
        <f t="shared" si="3"/>
        <v>0.99099999999999999</v>
      </c>
      <c r="E19" s="2">
        <f t="shared" si="3"/>
        <v>0.99049999999999994</v>
      </c>
      <c r="F19" s="1">
        <f t="shared" ref="F19:F22" si="4">MAX(B19:E19)</f>
        <v>0.99099999999999999</v>
      </c>
    </row>
    <row r="20" spans="1:6" x14ac:dyDescent="0.25">
      <c r="A20">
        <v>5000</v>
      </c>
      <c r="B20" s="2">
        <f t="shared" ref="B20:E20" si="5">IF(B11&gt;=1,1*0.5+B$4*0.5,B11*0.5+B$4*0.5)</f>
        <v>0.97</v>
      </c>
      <c r="C20" s="2">
        <f t="shared" si="5"/>
        <v>0.97199999999999998</v>
      </c>
      <c r="D20" s="2">
        <f t="shared" si="5"/>
        <v>0.97299999999999998</v>
      </c>
      <c r="E20" s="2">
        <f t="shared" si="5"/>
        <v>0.97449999999999992</v>
      </c>
      <c r="F20" s="1">
        <f t="shared" si="4"/>
        <v>0.97449999999999992</v>
      </c>
    </row>
    <row r="21" spans="1:6" x14ac:dyDescent="0.25">
      <c r="A21">
        <v>5500</v>
      </c>
      <c r="B21" s="2">
        <f t="shared" ref="B21:E21" si="6">IF(B12&gt;=1,1*0.5+B$4*0.5,B12*0.5+B$4*0.5)</f>
        <v>0.92636363636363628</v>
      </c>
      <c r="C21" s="2">
        <f t="shared" si="6"/>
        <v>0.92772727272727273</v>
      </c>
      <c r="D21" s="2">
        <f t="shared" si="6"/>
        <v>0.92918181818181811</v>
      </c>
      <c r="E21" s="2">
        <f t="shared" si="6"/>
        <v>0.93049999999999999</v>
      </c>
      <c r="F21" s="1">
        <f t="shared" si="4"/>
        <v>0.93049999999999999</v>
      </c>
    </row>
    <row r="22" spans="1:6" x14ac:dyDescent="0.25">
      <c r="A22">
        <v>6000</v>
      </c>
      <c r="B22" s="2">
        <f t="shared" ref="B22:E22" si="7">IF(B13&gt;=1,1*0.5+B$4*0.5,B13*0.5+B$4*0.5)</f>
        <v>0.89</v>
      </c>
      <c r="C22" s="2">
        <f t="shared" si="7"/>
        <v>0.89083333333333337</v>
      </c>
      <c r="D22" s="2">
        <f t="shared" si="7"/>
        <v>0.89266666666666672</v>
      </c>
      <c r="E22" s="2">
        <f t="shared" si="7"/>
        <v>0.89383333333333326</v>
      </c>
      <c r="F22" s="1">
        <f t="shared" si="4"/>
        <v>0.89383333333333326</v>
      </c>
    </row>
  </sheetData>
  <phoneticPr fontId="1" type="noConversion"/>
  <conditionalFormatting sqref="B18:F18">
    <cfRule type="duplicateValues" dxfId="2" priority="3"/>
  </conditionalFormatting>
  <conditionalFormatting sqref="B19:F19">
    <cfRule type="duplicateValues" dxfId="1" priority="2"/>
  </conditionalFormatting>
  <conditionalFormatting sqref="B20:F20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A34F6-BBA6-41F9-941E-C586CD5BD401}">
  <dimension ref="B1:N25"/>
  <sheetViews>
    <sheetView tabSelected="1" workbookViewId="0">
      <selection activeCell="N11" sqref="N11"/>
    </sheetView>
  </sheetViews>
  <sheetFormatPr defaultRowHeight="13.8" x14ac:dyDescent="0.25"/>
  <cols>
    <col min="2" max="2" width="9.5546875" bestFit="1" customWidth="1"/>
    <col min="3" max="4" width="10.44140625" bestFit="1" customWidth="1"/>
  </cols>
  <sheetData>
    <row r="1" spans="2:14" x14ac:dyDescent="0.25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</row>
    <row r="2" spans="2:14" x14ac:dyDescent="0.25">
      <c r="B2" t="s">
        <v>18</v>
      </c>
      <c r="C2">
        <v>20</v>
      </c>
      <c r="D2">
        <v>5</v>
      </c>
      <c r="E2">
        <v>3</v>
      </c>
      <c r="F2">
        <v>20</v>
      </c>
      <c r="G2">
        <f>C2*(D2-E2)-F2</f>
        <v>20</v>
      </c>
    </row>
    <row r="5" spans="2:14" x14ac:dyDescent="0.25">
      <c r="B5" t="s">
        <v>19</v>
      </c>
    </row>
    <row r="7" spans="2:14" x14ac:dyDescent="0.25">
      <c r="D7" s="4" t="s">
        <v>13</v>
      </c>
      <c r="E7" s="4"/>
      <c r="F7" s="4"/>
      <c r="G7" s="4"/>
      <c r="H7" s="4"/>
      <c r="I7" s="4"/>
      <c r="J7" s="4"/>
      <c r="K7" s="4"/>
      <c r="L7" s="4"/>
    </row>
    <row r="8" spans="2:14" x14ac:dyDescent="0.25">
      <c r="D8" s="3">
        <v>10</v>
      </c>
      <c r="E8">
        <f>D8+2</f>
        <v>12</v>
      </c>
      <c r="F8">
        <f t="shared" ref="F8:L8" si="0">E8+2</f>
        <v>14</v>
      </c>
      <c r="G8">
        <f t="shared" si="0"/>
        <v>16</v>
      </c>
      <c r="H8">
        <f t="shared" si="0"/>
        <v>18</v>
      </c>
      <c r="I8">
        <f t="shared" si="0"/>
        <v>20</v>
      </c>
      <c r="J8">
        <f t="shared" si="0"/>
        <v>22</v>
      </c>
      <c r="K8">
        <f t="shared" si="0"/>
        <v>24</v>
      </c>
      <c r="L8">
        <f t="shared" si="0"/>
        <v>26</v>
      </c>
    </row>
    <row r="9" spans="2:14" x14ac:dyDescent="0.25">
      <c r="B9" t="str">
        <f>G1</f>
        <v>利润f(x,y)</v>
      </c>
      <c r="C9" s="3">
        <f>G2</f>
        <v>20</v>
      </c>
      <c r="D9">
        <f t="dataTable" ref="D9:L9" dt2D="0" dtr="1" r1="C2" ca="1"/>
        <v>0</v>
      </c>
      <c r="E9">
        <v>4</v>
      </c>
      <c r="F9">
        <v>8</v>
      </c>
      <c r="G9">
        <v>12</v>
      </c>
      <c r="H9">
        <v>16</v>
      </c>
      <c r="I9">
        <v>20</v>
      </c>
      <c r="J9">
        <v>24</v>
      </c>
      <c r="K9">
        <v>28</v>
      </c>
      <c r="L9">
        <v>32</v>
      </c>
    </row>
    <row r="14" spans="2:14" x14ac:dyDescent="0.25">
      <c r="B14" t="s">
        <v>20</v>
      </c>
      <c r="D14" s="4" t="s">
        <v>13</v>
      </c>
      <c r="E14" s="4"/>
      <c r="F14" s="4"/>
      <c r="G14" s="4"/>
      <c r="H14" s="4"/>
      <c r="I14" s="4"/>
      <c r="J14" s="4"/>
      <c r="K14" s="4"/>
      <c r="L14" s="4"/>
    </row>
    <row r="15" spans="2:14" x14ac:dyDescent="0.25">
      <c r="C15">
        <f>G2</f>
        <v>20</v>
      </c>
      <c r="D15">
        <v>10</v>
      </c>
      <c r="E15">
        <v>12</v>
      </c>
      <c r="F15">
        <v>14</v>
      </c>
      <c r="G15">
        <v>16</v>
      </c>
      <c r="H15">
        <v>18</v>
      </c>
      <c r="I15">
        <v>20</v>
      </c>
      <c r="J15">
        <v>22</v>
      </c>
      <c r="K15">
        <v>24</v>
      </c>
      <c r="L15">
        <v>26</v>
      </c>
      <c r="M15">
        <v>28</v>
      </c>
      <c r="N15">
        <v>30</v>
      </c>
    </row>
    <row r="16" spans="2:14" x14ac:dyDescent="0.25">
      <c r="B16" s="4" t="str">
        <f>D1</f>
        <v>销售单价y</v>
      </c>
      <c r="C16">
        <v>1</v>
      </c>
      <c r="D16">
        <f t="dataTable" ref="D16:N25" dt2D="1" dtr="1" r1="C2" r2="D2"/>
        <v>-40</v>
      </c>
      <c r="E16">
        <v>-44</v>
      </c>
      <c r="F16">
        <v>-48</v>
      </c>
      <c r="G16">
        <v>-52</v>
      </c>
      <c r="H16">
        <v>-56</v>
      </c>
      <c r="I16" s="5">
        <v>-60</v>
      </c>
      <c r="J16">
        <v>-64</v>
      </c>
      <c r="K16">
        <v>-68</v>
      </c>
      <c r="L16">
        <v>-72</v>
      </c>
      <c r="M16">
        <v>-76</v>
      </c>
      <c r="N16">
        <v>-80</v>
      </c>
    </row>
    <row r="17" spans="2:14" x14ac:dyDescent="0.25">
      <c r="B17" s="4"/>
      <c r="C17">
        <v>2</v>
      </c>
      <c r="D17">
        <v>-30</v>
      </c>
      <c r="E17">
        <v>-32</v>
      </c>
      <c r="F17">
        <v>-34</v>
      </c>
      <c r="G17">
        <v>-36</v>
      </c>
      <c r="H17">
        <v>-38</v>
      </c>
      <c r="I17" s="5">
        <v>-40</v>
      </c>
      <c r="J17">
        <v>-42</v>
      </c>
      <c r="K17">
        <v>-44</v>
      </c>
      <c r="L17">
        <v>-46</v>
      </c>
      <c r="M17">
        <v>-48</v>
      </c>
      <c r="N17">
        <v>-50</v>
      </c>
    </row>
    <row r="18" spans="2:14" x14ac:dyDescent="0.25">
      <c r="B18" s="4"/>
      <c r="C18">
        <v>3</v>
      </c>
      <c r="D18">
        <v>-20</v>
      </c>
      <c r="E18">
        <v>-20</v>
      </c>
      <c r="F18">
        <v>-20</v>
      </c>
      <c r="G18">
        <v>-20</v>
      </c>
      <c r="H18">
        <v>-20</v>
      </c>
      <c r="I18" s="5">
        <v>-20</v>
      </c>
      <c r="J18">
        <v>-20</v>
      </c>
      <c r="K18">
        <v>-20</v>
      </c>
      <c r="L18">
        <v>-20</v>
      </c>
      <c r="M18">
        <v>-20</v>
      </c>
      <c r="N18">
        <v>-20</v>
      </c>
    </row>
    <row r="19" spans="2:14" x14ac:dyDescent="0.25">
      <c r="B19" s="4"/>
      <c r="C19">
        <v>4</v>
      </c>
      <c r="D19">
        <v>-10</v>
      </c>
      <c r="E19">
        <v>-8</v>
      </c>
      <c r="F19">
        <v>-6</v>
      </c>
      <c r="G19">
        <v>-4</v>
      </c>
      <c r="H19">
        <v>-2</v>
      </c>
      <c r="I19" s="5">
        <v>0</v>
      </c>
      <c r="J19">
        <v>2</v>
      </c>
      <c r="K19">
        <v>4</v>
      </c>
      <c r="L19">
        <v>6</v>
      </c>
      <c r="M19">
        <v>8</v>
      </c>
      <c r="N19">
        <v>10</v>
      </c>
    </row>
    <row r="20" spans="2:14" x14ac:dyDescent="0.25">
      <c r="B20" s="4"/>
      <c r="C20">
        <v>5</v>
      </c>
      <c r="D20" s="5">
        <v>0</v>
      </c>
      <c r="E20" s="5">
        <v>4</v>
      </c>
      <c r="F20" s="5">
        <v>8</v>
      </c>
      <c r="G20" s="5">
        <v>12</v>
      </c>
      <c r="H20" s="5">
        <v>16</v>
      </c>
      <c r="I20" s="5">
        <v>20</v>
      </c>
      <c r="J20" s="5">
        <v>24</v>
      </c>
      <c r="K20" s="5">
        <v>28</v>
      </c>
      <c r="L20" s="5">
        <v>32</v>
      </c>
      <c r="M20" s="5">
        <v>36</v>
      </c>
      <c r="N20" s="5">
        <v>40</v>
      </c>
    </row>
    <row r="21" spans="2:14" x14ac:dyDescent="0.25">
      <c r="B21" s="4"/>
      <c r="C21">
        <v>6</v>
      </c>
      <c r="D21">
        <v>10</v>
      </c>
      <c r="E21">
        <v>16</v>
      </c>
      <c r="F21">
        <v>22</v>
      </c>
      <c r="G21">
        <v>28</v>
      </c>
      <c r="H21">
        <v>34</v>
      </c>
      <c r="I21" s="5">
        <v>40</v>
      </c>
      <c r="J21">
        <v>46</v>
      </c>
      <c r="K21">
        <v>52</v>
      </c>
      <c r="L21">
        <v>58</v>
      </c>
      <c r="M21">
        <v>64</v>
      </c>
      <c r="N21">
        <v>70</v>
      </c>
    </row>
    <row r="22" spans="2:14" x14ac:dyDescent="0.25">
      <c r="B22" s="4"/>
      <c r="C22">
        <v>7</v>
      </c>
      <c r="D22">
        <v>20</v>
      </c>
      <c r="E22">
        <v>28</v>
      </c>
      <c r="F22">
        <v>36</v>
      </c>
      <c r="G22">
        <v>44</v>
      </c>
      <c r="H22">
        <v>52</v>
      </c>
      <c r="I22" s="5">
        <v>60</v>
      </c>
      <c r="J22">
        <v>68</v>
      </c>
      <c r="K22">
        <v>76</v>
      </c>
      <c r="L22">
        <v>84</v>
      </c>
      <c r="M22">
        <v>92</v>
      </c>
      <c r="N22">
        <v>100</v>
      </c>
    </row>
    <row r="23" spans="2:14" x14ac:dyDescent="0.25">
      <c r="B23" s="4"/>
      <c r="C23">
        <v>8</v>
      </c>
      <c r="D23">
        <v>30</v>
      </c>
      <c r="E23">
        <v>40</v>
      </c>
      <c r="F23">
        <v>50</v>
      </c>
      <c r="G23">
        <v>60</v>
      </c>
      <c r="H23">
        <v>70</v>
      </c>
      <c r="I23" s="5">
        <v>80</v>
      </c>
      <c r="J23">
        <v>90</v>
      </c>
      <c r="K23">
        <v>100</v>
      </c>
      <c r="L23">
        <v>110</v>
      </c>
      <c r="M23">
        <v>120</v>
      </c>
      <c r="N23">
        <v>130</v>
      </c>
    </row>
    <row r="24" spans="2:14" x14ac:dyDescent="0.25">
      <c r="B24" s="4"/>
      <c r="C24">
        <v>9</v>
      </c>
      <c r="D24">
        <v>40</v>
      </c>
      <c r="E24">
        <v>52</v>
      </c>
      <c r="F24">
        <v>64</v>
      </c>
      <c r="G24">
        <v>76</v>
      </c>
      <c r="H24">
        <v>88</v>
      </c>
      <c r="I24" s="5">
        <v>100</v>
      </c>
      <c r="J24">
        <v>112</v>
      </c>
      <c r="K24">
        <v>124</v>
      </c>
      <c r="L24">
        <v>136</v>
      </c>
      <c r="M24">
        <v>148</v>
      </c>
      <c r="N24">
        <v>160</v>
      </c>
    </row>
    <row r="25" spans="2:14" x14ac:dyDescent="0.25">
      <c r="B25" s="4"/>
      <c r="C25">
        <v>10</v>
      </c>
      <c r="D25">
        <v>50</v>
      </c>
      <c r="E25">
        <v>64</v>
      </c>
      <c r="F25">
        <v>78</v>
      </c>
      <c r="G25">
        <v>92</v>
      </c>
      <c r="H25">
        <v>106</v>
      </c>
      <c r="I25" s="5">
        <v>120</v>
      </c>
      <c r="J25">
        <v>134</v>
      </c>
      <c r="K25">
        <v>148</v>
      </c>
      <c r="L25">
        <v>162</v>
      </c>
      <c r="M25">
        <v>176</v>
      </c>
      <c r="N25">
        <v>190</v>
      </c>
    </row>
  </sheetData>
  <mergeCells count="3">
    <mergeCell ref="D7:L7"/>
    <mergeCell ref="D14:L14"/>
    <mergeCell ref="B16:B2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2024-10-06T12:40:47Z</dcterms:modified>
</cp:coreProperties>
</file>