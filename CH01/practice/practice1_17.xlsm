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D83968ED-1F46-4D48-B37A-94C7E416303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7" sheetId="3" r:id="rId1"/>
  </sheets>
  <externalReferences>
    <externalReference r:id="rId2"/>
  </externalReferences>
  <definedNames>
    <definedName name="solver_adj" localSheetId="0" hidden="1">'Exercise 17'!$B$1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'Exercise 17'!$B$1</definedName>
    <definedName name="solver_lhs2" localSheetId="0" hidden="1">'Exercise 17'!$B$1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'Exercise 17'!$B$2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1</definedName>
    <definedName name="solver_rhs1" localSheetId="0" hidden="1">'Exercise 17'!$B$25</definedName>
    <definedName name="solver_rhs2" localSheetId="0" hidden="1">'Exercise 17'!$B$26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3" l="1"/>
  <c r="B14" i="3"/>
  <c r="C2" i="3"/>
  <c r="B2" i="3"/>
  <c r="E5" i="3" s="1"/>
  <c r="G30" i="3" l="1"/>
</calcChain>
</file>

<file path=xl/sharedStrings.xml><?xml version="1.0" encoding="utf-8"?>
<sst xmlns="http://schemas.openxmlformats.org/spreadsheetml/2006/main" count="14" uniqueCount="13">
  <si>
    <t>XNPV</t>
    <phoneticPr fontId="1" type="noConversion"/>
  </si>
  <si>
    <t>IRR</t>
  </si>
  <si>
    <t>Discount rate</t>
  </si>
  <si>
    <t>Net present value</t>
  </si>
  <si>
    <t>Date</t>
  </si>
  <si>
    <t>Cash flow</t>
  </si>
  <si>
    <t>Guess</t>
  </si>
  <si>
    <r>
      <t>Note</t>
    </r>
    <r>
      <rPr>
        <sz val="10"/>
        <rFont val="Arial"/>
        <family val="2"/>
      </rPr>
      <t xml:space="preserve">:  As shown above, XIRR appears to be incapable of handling this problem, even with the </t>
    </r>
    <r>
      <rPr>
        <b/>
        <sz val="10"/>
        <rFont val="Arial"/>
        <family val="2"/>
      </rPr>
      <t>guess</t>
    </r>
    <r>
      <rPr>
        <sz val="10"/>
        <rFont val="Arial"/>
        <family val="2"/>
      </rPr>
      <t xml:space="preserve"> parameter set for various values.   I have identified the two IRR's by using </t>
    </r>
    <r>
      <rPr>
        <b/>
        <sz val="10"/>
        <rFont val="Arial"/>
        <family val="2"/>
      </rPr>
      <t>Solver</t>
    </r>
    <r>
      <rPr>
        <sz val="10"/>
        <rFont val="Arial"/>
        <family val="2"/>
      </rPr>
      <t xml:space="preserve">.
Also note that </t>
    </r>
    <r>
      <rPr>
        <b/>
        <sz val="10"/>
        <rFont val="Arial"/>
        <family val="2"/>
      </rPr>
      <t xml:space="preserve">XNPV </t>
    </r>
    <r>
      <rPr>
        <sz val="10"/>
        <rFont val="Arial"/>
        <family val="2"/>
      </rPr>
      <t xml:space="preserve">returns an error when the discount rate is 0%.  I have used an </t>
    </r>
    <r>
      <rPr>
        <b/>
        <sz val="10"/>
        <rFont val="Arial"/>
        <family val="2"/>
      </rPr>
      <t>IF</t>
    </r>
    <r>
      <rPr>
        <sz val="10"/>
        <rFont val="Arial"/>
        <family val="2"/>
      </rPr>
      <t xml:space="preserve"> statement to correct this problem.</t>
    </r>
  </si>
  <si>
    <t>Solver limits to identify both IRRs:</t>
  </si>
  <si>
    <t>Lower</t>
  </si>
  <si>
    <t>Upper</t>
  </si>
  <si>
    <t>Solver screen:</t>
  </si>
  <si>
    <t>Data table:  XNPV vs discount 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</si>
</sst>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10" fontId="2" fillId="0" borderId="0" xfId="1" applyNumberFormat="1"/>
    <xf numFmtId="0" fontId="2" fillId="0" borderId="0" xfId="1"/>
    <xf numFmtId="15" fontId="2" fillId="0" borderId="0" xfId="1" applyNumberFormat="1" applyAlignment="1">
      <alignment horizontal="center"/>
    </xf>
    <xf numFmtId="9" fontId="2" fillId="0" borderId="0" xfId="1" applyNumberFormat="1"/>
    <xf numFmtId="10" fontId="0" fillId="0" borderId="0" xfId="2" applyNumberFormat="1" applyFont="1"/>
    <xf numFmtId="0" fontId="3" fillId="0" borderId="0" xfId="1" applyFont="1" applyAlignment="1">
      <alignment horizontal="left" vertical="center" wrapText="1"/>
    </xf>
    <xf numFmtId="0" fontId="3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left" indent="1"/>
    </xf>
    <xf numFmtId="15" fontId="4" fillId="0" borderId="0" xfId="1" applyNumberFormat="1" applyFont="1" applyAlignment="1">
      <alignment horizontal="center"/>
    </xf>
    <xf numFmtId="3" fontId="4" fillId="0" borderId="0" xfId="1" applyNumberFormat="1" applyFont="1"/>
  </cellXfs>
  <cellStyles count="3">
    <cellStyle name="百分比 2" xfId="2" xr:uid="{F16411F2-F3ED-4703-ACC2-16D63222CA6A}"/>
    <cellStyle name="常规" xfId="0" builtinId="0"/>
    <cellStyle name="常规 2" xfId="1" xr:uid="{7BB66BCF-8191-49EE-A0D4-A98FE6869F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XNPV as Function of Discount Rate</a:t>
            </a:r>
          </a:p>
        </c:rich>
      </c:tx>
      <c:layout>
        <c:manualLayout>
          <c:xMode val="edge"/>
          <c:yMode val="edge"/>
          <c:x val="0.29940874994176025"/>
          <c:y val="3.37300919909283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290078281154572E-2"/>
          <c:y val="0.17658751543743251"/>
          <c:w val="0.87810803111368207"/>
          <c:h val="0.7599215551970409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17'!$D$6:$D$22</c:f>
              <c:numCache>
                <c:formatCode>0%</c:formatCode>
                <c:ptCount val="17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</c:v>
                </c:pt>
                <c:pt idx="11">
                  <c:v>0.33</c:v>
                </c:pt>
                <c:pt idx="12">
                  <c:v>0.36</c:v>
                </c:pt>
                <c:pt idx="13">
                  <c:v>0.39</c:v>
                </c:pt>
                <c:pt idx="14">
                  <c:v>0.42</c:v>
                </c:pt>
                <c:pt idx="15">
                  <c:v>0.45</c:v>
                </c:pt>
                <c:pt idx="16">
                  <c:v>0.48</c:v>
                </c:pt>
              </c:numCache>
            </c:numRef>
          </c:xVal>
          <c:yVal>
            <c:numRef>
              <c:f>'Exercise 17'!$E$6:$E$22</c:f>
              <c:numCache>
                <c:formatCode>General</c:formatCode>
                <c:ptCount val="17"/>
                <c:pt idx="0">
                  <c:v>-100</c:v>
                </c:pt>
                <c:pt idx="1">
                  <c:v>-33.16366576598125</c:v>
                </c:pt>
                <c:pt idx="2">
                  <c:v>12.463860637633161</c:v>
                </c:pt>
                <c:pt idx="3">
                  <c:v>42.121669065659034</c:v>
                </c:pt>
                <c:pt idx="4">
                  <c:v>59.761179477132941</c:v>
                </c:pt>
                <c:pt idx="5">
                  <c:v>68.375429469281585</c:v>
                </c:pt>
                <c:pt idx="6">
                  <c:v>70.239806943617509</c:v>
                </c:pt>
                <c:pt idx="7">
                  <c:v>67.089304688363882</c:v>
                </c:pt>
                <c:pt idx="8">
                  <c:v>60.249909762010475</c:v>
                </c:pt>
                <c:pt idx="9">
                  <c:v>50.736605102849808</c:v>
                </c:pt>
                <c:pt idx="10">
                  <c:v>39.326894779788461</c:v>
                </c:pt>
                <c:pt idx="11">
                  <c:v>26.616266485739516</c:v>
                </c:pt>
                <c:pt idx="12">
                  <c:v>13.060240817986596</c:v>
                </c:pt>
                <c:pt idx="13">
                  <c:v>-0.99359871925145171</c:v>
                </c:pt>
                <c:pt idx="14">
                  <c:v>-15.281101407968691</c:v>
                </c:pt>
                <c:pt idx="15">
                  <c:v>-29.602727292257498</c:v>
                </c:pt>
                <c:pt idx="16">
                  <c:v>-43.809036678289715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1-4BCA-98CA-9F527096A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06024"/>
        <c:axId val="1"/>
      </c:scatterChart>
      <c:valAx>
        <c:axId val="457106024"/>
        <c:scaling>
          <c:orientation val="minMax"/>
          <c:max val="0.5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5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57106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3</xdr:row>
      <xdr:rowOff>137160</xdr:rowOff>
    </xdr:from>
    <xdr:to>
      <xdr:col>16</xdr:col>
      <xdr:colOff>441960</xdr:colOff>
      <xdr:row>26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7E03DC5-3394-463E-9CA5-B43DD183A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807720</xdr:colOff>
      <xdr:row>28</xdr:row>
      <xdr:rowOff>99060</xdr:rowOff>
    </xdr:from>
    <xdr:to>
      <xdr:col>3</xdr:col>
      <xdr:colOff>19050</xdr:colOff>
      <xdr:row>44</xdr:row>
      <xdr:rowOff>20955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5C1141-E64C-4C77-A3C5-737398919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4886325"/>
          <a:ext cx="4314825" cy="26765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13</xdr:col>
      <xdr:colOff>289034</xdr:colOff>
      <xdr:row>28</xdr:row>
      <xdr:rowOff>6569</xdr:rowOff>
    </xdr:from>
    <xdr:to>
      <xdr:col>19</xdr:col>
      <xdr:colOff>173062</xdr:colOff>
      <xdr:row>41</xdr:row>
      <xdr:rowOff>95441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869BBB6-A082-32F3-BD37-446CA63A1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13172" y="4782207"/>
          <a:ext cx="3553321" cy="2305372"/>
        </a:xfrm>
        <a:prstGeom prst="rect">
          <a:avLst/>
        </a:prstGeom>
      </xdr:spPr>
    </xdr:pic>
    <xdr:clientData/>
  </xdr:twoCellAnchor>
  <xdr:twoCellAnchor editAs="oneCell">
    <xdr:from>
      <xdr:col>7</xdr:col>
      <xdr:colOff>302172</xdr:colOff>
      <xdr:row>28</xdr:row>
      <xdr:rowOff>26276</xdr:rowOff>
    </xdr:from>
    <xdr:to>
      <xdr:col>12</xdr:col>
      <xdr:colOff>515134</xdr:colOff>
      <xdr:row>38</xdr:row>
      <xdr:rowOff>149305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86503DCC-CF78-8F7D-4FFF-E196F33C4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0827" y="4801914"/>
          <a:ext cx="3271341" cy="18309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 and 6"/>
      <sheetName val="Exercise 5 and 6 (中文)"/>
      <sheetName val="Exercise 5 and 6 (2)"/>
      <sheetName val="Exercise 5 and 6 (2)中文"/>
      <sheetName val="Exercise 7"/>
      <sheetName val="Exercise 7 (中文)"/>
      <sheetName val="Exercise 8"/>
      <sheetName val="Exercise 8 (中文)"/>
      <sheetName val="Exercise 9"/>
      <sheetName val="Exercise 9 (中文)"/>
      <sheetName val="Exercise 10 template"/>
      <sheetName val="Exercise 10 template (中文)"/>
      <sheetName val="Exercise 10"/>
      <sheetName val="Exercise 10 (中文)"/>
      <sheetName val="Exercise 11"/>
      <sheetName val="Exercise 11 (中文)"/>
      <sheetName val="Exercise 12 template"/>
      <sheetName val="Exercise 12 template (中文)"/>
      <sheetName val="Exercise 12"/>
      <sheetName val="Exercise 12 (中文)"/>
      <sheetName val="Exercise 13"/>
      <sheetName val="Exercise 13 (中文)"/>
      <sheetName val="Exercise 13, analytic answer"/>
      <sheetName val="Exercise13,analytic answer (中文)"/>
      <sheetName val="Exercise 14, simple answer"/>
      <sheetName val="Exercise 14, simple answer (中文)"/>
      <sheetName val="Exercise 14, more complicated"/>
      <sheetName val="Exercise14,more complicat (中文)"/>
      <sheetName val="Exercise 15"/>
      <sheetName val="Exercise 15 (中文)"/>
      <sheetName val="Exercise 16"/>
      <sheetName val="Exercise 16 (中文)"/>
      <sheetName val="Exercise 17"/>
      <sheetName val="Exercise 17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6">
          <cell r="D6">
            <v>0</v>
          </cell>
          <cell r="E6">
            <v>-100</v>
          </cell>
        </row>
        <row r="7">
          <cell r="D7">
            <v>0.03</v>
          </cell>
          <cell r="E7">
            <v>-33.16366576598125</v>
          </cell>
        </row>
        <row r="8">
          <cell r="D8">
            <v>0.06</v>
          </cell>
          <cell r="E8">
            <v>12.463860637633161</v>
          </cell>
        </row>
        <row r="9">
          <cell r="D9">
            <v>0.09</v>
          </cell>
          <cell r="E9">
            <v>42.121669065659034</v>
          </cell>
        </row>
        <row r="10">
          <cell r="D10">
            <v>0.12</v>
          </cell>
          <cell r="E10">
            <v>59.761179477132941</v>
          </cell>
        </row>
        <row r="11">
          <cell r="D11">
            <v>0.15</v>
          </cell>
          <cell r="E11">
            <v>68.375429469281585</v>
          </cell>
        </row>
        <row r="12">
          <cell r="D12">
            <v>0.18</v>
          </cell>
          <cell r="E12">
            <v>70.239806943617509</v>
          </cell>
        </row>
        <row r="13">
          <cell r="D13">
            <v>0.21</v>
          </cell>
          <cell r="E13">
            <v>67.089304688363882</v>
          </cell>
        </row>
        <row r="14">
          <cell r="D14">
            <v>0.24</v>
          </cell>
          <cell r="E14">
            <v>60.249909762010475</v>
          </cell>
        </row>
        <row r="15">
          <cell r="D15">
            <v>0.27</v>
          </cell>
          <cell r="E15">
            <v>50.736605102849808</v>
          </cell>
        </row>
        <row r="16">
          <cell r="D16">
            <v>0.3</v>
          </cell>
          <cell r="E16">
            <v>39.326894779788461</v>
          </cell>
        </row>
        <row r="17">
          <cell r="D17">
            <v>0.33</v>
          </cell>
          <cell r="E17">
            <v>26.616266485739516</v>
          </cell>
        </row>
        <row r="18">
          <cell r="D18">
            <v>0.36</v>
          </cell>
          <cell r="E18">
            <v>13.060240817986596</v>
          </cell>
        </row>
        <row r="19">
          <cell r="D19">
            <v>0.39</v>
          </cell>
          <cell r="E19">
            <v>-0.99359871925145171</v>
          </cell>
        </row>
        <row r="20">
          <cell r="D20">
            <v>0.42</v>
          </cell>
          <cell r="E20">
            <v>-15.281101407968691</v>
          </cell>
        </row>
        <row r="21">
          <cell r="D21">
            <v>0.45</v>
          </cell>
          <cell r="E21">
            <v>-29.602727292257498</v>
          </cell>
        </row>
        <row r="22">
          <cell r="D22">
            <v>0.48</v>
          </cell>
          <cell r="E22">
            <v>-43.809036678289715</v>
          </cell>
        </row>
      </sheetData>
      <sheetData sheetId="41">
        <row r="6">
          <cell r="D6">
            <v>0</v>
          </cell>
          <cell r="E6">
            <v>-100</v>
          </cell>
        </row>
        <row r="7">
          <cell r="D7">
            <v>0.03</v>
          </cell>
          <cell r="E7">
            <v>-33.16366576598125</v>
          </cell>
        </row>
        <row r="8">
          <cell r="D8">
            <v>0.06</v>
          </cell>
          <cell r="E8">
            <v>12.463860637633161</v>
          </cell>
        </row>
        <row r="9">
          <cell r="D9">
            <v>0.09</v>
          </cell>
          <cell r="E9">
            <v>42.121669065659034</v>
          </cell>
        </row>
        <row r="10">
          <cell r="D10">
            <v>0.12</v>
          </cell>
          <cell r="E10">
            <v>59.761179477132941</v>
          </cell>
        </row>
        <row r="11">
          <cell r="D11">
            <v>0.15</v>
          </cell>
          <cell r="E11">
            <v>68.375429469281585</v>
          </cell>
        </row>
        <row r="12">
          <cell r="D12">
            <v>0.18</v>
          </cell>
          <cell r="E12">
            <v>70.239806943617623</v>
          </cell>
        </row>
        <row r="13">
          <cell r="D13">
            <v>0.21</v>
          </cell>
          <cell r="E13">
            <v>67.089304688363768</v>
          </cell>
        </row>
        <row r="14">
          <cell r="D14">
            <v>0.24</v>
          </cell>
          <cell r="E14">
            <v>60.249909762010589</v>
          </cell>
        </row>
        <row r="15">
          <cell r="D15">
            <v>0.27</v>
          </cell>
          <cell r="E15">
            <v>50.736605102849751</v>
          </cell>
        </row>
        <row r="16">
          <cell r="D16">
            <v>0.3</v>
          </cell>
          <cell r="E16">
            <v>39.326894779788461</v>
          </cell>
        </row>
        <row r="17">
          <cell r="D17">
            <v>0.33</v>
          </cell>
          <cell r="E17">
            <v>26.616266485739459</v>
          </cell>
        </row>
        <row r="18">
          <cell r="D18">
            <v>0.36</v>
          </cell>
          <cell r="E18">
            <v>13.06024081798671</v>
          </cell>
        </row>
        <row r="19">
          <cell r="D19">
            <v>0.39</v>
          </cell>
          <cell r="E19">
            <v>-0.99359871925145171</v>
          </cell>
        </row>
        <row r="20">
          <cell r="D20">
            <v>0.42</v>
          </cell>
          <cell r="E20">
            <v>-15.281101407968663</v>
          </cell>
        </row>
        <row r="21">
          <cell r="D21">
            <v>0.45</v>
          </cell>
          <cell r="E21">
            <v>-29.602727292257498</v>
          </cell>
        </row>
        <row r="22">
          <cell r="D22">
            <v>0.48</v>
          </cell>
          <cell r="E22">
            <v>-43.809036678289772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C73700A-DA9E-4520-93A9-080F48300880}">
  <we:reference id="wa104100404" version="3.0.0.1" store="zh-CN" storeType="OMEX"/>
  <we:alternateReferences>
    <we:reference id="wa104100404" version="3.0.0.1" store="wa104100404" storeType="OMEX"/>
  </we:alternateReferences>
  <we:properties>
    <we:property name="UniqueID" value="&quot;2024961728213172310&quot;"/>
    <we:property name="PA1SRwQxKStJAmJCT2/+UFR4Vw0=" value="&quot;XTcTBw==&quot;"/>
    <we:property name="PA1SRwQxKStJAmJCT2/+UFREWgsuPzw2VjsF" value="&quot;Pidw&quot;"/>
    <we:property name="PA1SRwQxKStJAmJCT2/+UFR6VB8VMyA=" value="&quot;Sg==&quot;"/>
    <we:property name="PA1SRwQxKStJAmJCT2/+UFREWgsuPzw2RTQO" value="&quot;SQ==&quot;"/>
    <we:property name="PA1SRwQxKStJAmJCT2/+UFRhVBUxOywFViY=" value="&quot;XTcTBA==&quot;"/>
    <we:property name="PA1SRwQxKStJAmJCT2/+UFREWgsuPzw2Xz0RVg==" value="&quot;XTcTBA==&quot;"/>
    <we:property name="PA1SRwQxKStJAmJCT2/+UFREWgsuPzw2QTAOVg==" value="&quot;WUsKFQ==&quot;"/>
    <we:property name="PA1SRwQxKStJAmJCT2/+UFREWgsuPzw2QT0RVg==" value="&quot;XTcTB1I=&quot;"/>
    <we:property name="PA1SRwQxKStJAmJCT2/+UFREWgsuPzw2Xz0RVQ==" value="&quot;XTcTBA==&quot;"/>
    <we:property name="PA1SRwQxKStJAmJCT2/+UFREWgsuPzw2QTAOVQ==" value="&quot;WUkKFQ==&quot;"/>
    <we:property name="PA1SRwQxKStJAmJCT2/+UFREWgsuPzw2QT0RVQ==" value="&quot;XTcTB1E=&quot;"/>
    <we:property name="PA1SRwQxKStJAmJCT2/+UFREWgsuPzw2XSAP" value="&quot;Sw==&quot;"/>
    <we:property name="PA1SRwQxKStJAmJCT2/+UFREWgsuPzw2XTAF" value="&quot;SA==&quot;"/>
    <we:property name="PA1SRwQxKStJAmJCT2/+UFREWgsuPzw2QycH" value="&quot;SVsHBVdoan8=&quot;"/>
    <we:property name="PA1SRwQxKStJAmJCT2/+UFREWgsuPzw2QDYO" value="&quot;SA==&quot;"/>
    <we:property name="PA1SRwQxKStJAmJCT2/+UFREWgsuPzw2QTka" value="&quot;SQ==&quot;"/>
    <we:property name="PA1SRwQxKStJAmJCT2/+UFREWgsuPzw2RzoO" value="&quot;SVsHBVdt&quot;"/>
    <we:property name="PA1SRwQxKStJAmJCT2/+UFREWgsuPzw2UCMF" value="&quot;SVsHBVdp&quot;"/>
    <we:property name="PA1SRwQxKStJAmJCT2/+UFREWgsuPzw2XiYO" value="&quot;SQ==&quot;"/>
    <we:property name="PA1SRwQxKStJAmJCT2/+UFREWgsuPzw2QCYY" value="&quot;SEUH&quot;"/>
    <we:property name="PA1SRwQxKStJAmJCT2/+UFREWgsuPzw2QSYG" value="&quot;SQ==&quot;"/>
    <we:property name="PA1SRwQxKStJAmJCT2/+UFREWgsuPzw2XicW" value="&quot;SVsHAlI=&quot;"/>
    <we:property name="PA1SRwQxKStJAmJCT2/+UFREWgsuPzw2XjsL" value="&quot;SkU=&quot;"/>
    <we:property name="PA1SRwQxKStJAmJCT2/+UFREWgsuPzw2QTcU" value="&quot;SA==&quot;"/>
    <we:property name="PA1SRwQxKStJAmJCT2/+UFREWgsuPzw2XSEQ" value="&quot;Sw==&quot;"/>
    <we:property name="PA1SRwQxKStJAmJCT2/+UFREWgsuPzw2UjYB" value="&quot;SVsHBVY=&quot;"/>
    <we:property name="PA1SRwQxKStJAmJCT2/+UFREWgsuPzw2QTAR" value="&quot;TA==&quot;"/>
    <we:property name="PA1SRwQxKStJAmJCT2/+UFREWgsuPzw2UicR" value="&quot;SA==&quot;"/>
    <we:property name="PA1SRwQxKStJAmJCT2/+UFREWgsuPzw2QCED" value="&quot;SQ==&quot;"/>
    <we:property name="PA1SRwQxKStJAmJCT2/+UFREWgsuPzw2XjAW" value="&quot;Sw==&quot;"/>
    <we:property name="PA1SRwQxKStJAmJCT2/+UFREWgsuPzw2QDoB" value="&quot;SQ==&quot;"/>
    <we:property name="PA1SRwQxKStJAmJCT2/+UFREWgsuPzw2XyUW" value="&quot;SQ==&quot;"/>
    <we:property name="PA1SRwQxKStJAmJCT2/+UFREWgsuPzw2XyUS" value="&quot;SQ==&quot;"/>
    <we:property name="PA1SRwQxKStJAmJCT2/+UFREWgsuPzw2VDQS" value="&quot;SVsHBVdoan8=&quot;"/>
    <we:property name="PA1SRwQxKStJAmJCT2/+UFREWgsuPzw2WiUR" value="&quot;SVsODA==&quot;"/>
    <we:property name="PA1SRwQxKStJAmJCT2/+UFREWgsuPzw2VTAD" value="&quot;SVsHBVdoan8=&quot;"/>
    <we:property name="PA1SRwQxKStJAmJCT2/+UFREWgsuPzw2WiUL" value="&quot;SA==&quot;"/>
    <we:property name="PA1SRwQxKStJAmJCT2/+UFREWgsuPzw2WiUG" value="&quot;Sg==&quot;"/>
  </we:properties>
  <we:bindings>
    <we:binding id="refEdit" type="matrix" appref="{D121421E-79BF-4ACF-8C29-175B38B3CB6A}"/>
    <we:binding id="Worker" type="matrix" appref="{28A7B645-7F75-4A6B-9DAC-5A1A6A9F662F}"/>
    <we:binding id="Obj" type="matrix" appref="{FB4825DA-6D92-4D61-8013-5C0F16CBA664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912A-B284-4F6A-939F-AF06FC352BC7}">
  <sheetPr codeName="Sheet20"/>
  <dimension ref="A1:G47"/>
  <sheetViews>
    <sheetView tabSelected="1" zoomScale="145" zoomScaleNormal="145" workbookViewId="0">
      <selection activeCell="S5" sqref="S5"/>
    </sheetView>
  </sheetViews>
  <sheetFormatPr defaultRowHeight="13.2" x14ac:dyDescent="0.25"/>
  <cols>
    <col min="1" max="1" width="16.33203125" style="2" customWidth="1"/>
    <col min="2" max="2" width="9.88671875" style="2" customWidth="1"/>
    <col min="3" max="3" width="48.33203125" style="2" bestFit="1" customWidth="1"/>
    <col min="4" max="4" width="12.44140625" style="2" customWidth="1"/>
    <col min="5" max="6" width="8.88671875" style="2"/>
    <col min="7" max="7" width="14" style="2" bestFit="1" customWidth="1"/>
    <col min="8" max="256" width="8.88671875" style="2"/>
    <col min="257" max="257" width="16.33203125" style="2" customWidth="1"/>
    <col min="258" max="258" width="9.88671875" style="2" customWidth="1"/>
    <col min="259" max="259" width="48.33203125" style="2" bestFit="1" customWidth="1"/>
    <col min="260" max="260" width="12.44140625" style="2" customWidth="1"/>
    <col min="261" max="512" width="8.88671875" style="2"/>
    <col min="513" max="513" width="16.33203125" style="2" customWidth="1"/>
    <col min="514" max="514" width="9.88671875" style="2" customWidth="1"/>
    <col min="515" max="515" width="48.33203125" style="2" bestFit="1" customWidth="1"/>
    <col min="516" max="516" width="12.44140625" style="2" customWidth="1"/>
    <col min="517" max="768" width="8.88671875" style="2"/>
    <col min="769" max="769" width="16.33203125" style="2" customWidth="1"/>
    <col min="770" max="770" width="9.88671875" style="2" customWidth="1"/>
    <col min="771" max="771" width="48.33203125" style="2" bestFit="1" customWidth="1"/>
    <col min="772" max="772" width="12.44140625" style="2" customWidth="1"/>
    <col min="773" max="1024" width="8.88671875" style="2"/>
    <col min="1025" max="1025" width="16.33203125" style="2" customWidth="1"/>
    <col min="1026" max="1026" width="9.88671875" style="2" customWidth="1"/>
    <col min="1027" max="1027" width="48.33203125" style="2" bestFit="1" customWidth="1"/>
    <col min="1028" max="1028" width="12.44140625" style="2" customWidth="1"/>
    <col min="1029" max="1280" width="8.88671875" style="2"/>
    <col min="1281" max="1281" width="16.33203125" style="2" customWidth="1"/>
    <col min="1282" max="1282" width="9.88671875" style="2" customWidth="1"/>
    <col min="1283" max="1283" width="48.33203125" style="2" bestFit="1" customWidth="1"/>
    <col min="1284" max="1284" width="12.44140625" style="2" customWidth="1"/>
    <col min="1285" max="1536" width="8.88671875" style="2"/>
    <col min="1537" max="1537" width="16.33203125" style="2" customWidth="1"/>
    <col min="1538" max="1538" width="9.88671875" style="2" customWidth="1"/>
    <col min="1539" max="1539" width="48.33203125" style="2" bestFit="1" customWidth="1"/>
    <col min="1540" max="1540" width="12.44140625" style="2" customWidth="1"/>
    <col min="1541" max="1792" width="8.88671875" style="2"/>
    <col min="1793" max="1793" width="16.33203125" style="2" customWidth="1"/>
    <col min="1794" max="1794" width="9.88671875" style="2" customWidth="1"/>
    <col min="1795" max="1795" width="48.33203125" style="2" bestFit="1" customWidth="1"/>
    <col min="1796" max="1796" width="12.44140625" style="2" customWidth="1"/>
    <col min="1797" max="2048" width="8.88671875" style="2"/>
    <col min="2049" max="2049" width="16.33203125" style="2" customWidth="1"/>
    <col min="2050" max="2050" width="9.88671875" style="2" customWidth="1"/>
    <col min="2051" max="2051" width="48.33203125" style="2" bestFit="1" customWidth="1"/>
    <col min="2052" max="2052" width="12.44140625" style="2" customWidth="1"/>
    <col min="2053" max="2304" width="8.88671875" style="2"/>
    <col min="2305" max="2305" width="16.33203125" style="2" customWidth="1"/>
    <col min="2306" max="2306" width="9.88671875" style="2" customWidth="1"/>
    <col min="2307" max="2307" width="48.33203125" style="2" bestFit="1" customWidth="1"/>
    <col min="2308" max="2308" width="12.44140625" style="2" customWidth="1"/>
    <col min="2309" max="2560" width="8.88671875" style="2"/>
    <col min="2561" max="2561" width="16.33203125" style="2" customWidth="1"/>
    <col min="2562" max="2562" width="9.88671875" style="2" customWidth="1"/>
    <col min="2563" max="2563" width="48.33203125" style="2" bestFit="1" customWidth="1"/>
    <col min="2564" max="2564" width="12.44140625" style="2" customWidth="1"/>
    <col min="2565" max="2816" width="8.88671875" style="2"/>
    <col min="2817" max="2817" width="16.33203125" style="2" customWidth="1"/>
    <col min="2818" max="2818" width="9.88671875" style="2" customWidth="1"/>
    <col min="2819" max="2819" width="48.33203125" style="2" bestFit="1" customWidth="1"/>
    <col min="2820" max="2820" width="12.44140625" style="2" customWidth="1"/>
    <col min="2821" max="3072" width="8.88671875" style="2"/>
    <col min="3073" max="3073" width="16.33203125" style="2" customWidth="1"/>
    <col min="3074" max="3074" width="9.88671875" style="2" customWidth="1"/>
    <col min="3075" max="3075" width="48.33203125" style="2" bestFit="1" customWidth="1"/>
    <col min="3076" max="3076" width="12.44140625" style="2" customWidth="1"/>
    <col min="3077" max="3328" width="8.88671875" style="2"/>
    <col min="3329" max="3329" width="16.33203125" style="2" customWidth="1"/>
    <col min="3330" max="3330" width="9.88671875" style="2" customWidth="1"/>
    <col min="3331" max="3331" width="48.33203125" style="2" bestFit="1" customWidth="1"/>
    <col min="3332" max="3332" width="12.44140625" style="2" customWidth="1"/>
    <col min="3333" max="3584" width="8.88671875" style="2"/>
    <col min="3585" max="3585" width="16.33203125" style="2" customWidth="1"/>
    <col min="3586" max="3586" width="9.88671875" style="2" customWidth="1"/>
    <col min="3587" max="3587" width="48.33203125" style="2" bestFit="1" customWidth="1"/>
    <col min="3588" max="3588" width="12.44140625" style="2" customWidth="1"/>
    <col min="3589" max="3840" width="8.88671875" style="2"/>
    <col min="3841" max="3841" width="16.33203125" style="2" customWidth="1"/>
    <col min="3842" max="3842" width="9.88671875" style="2" customWidth="1"/>
    <col min="3843" max="3843" width="48.33203125" style="2" bestFit="1" customWidth="1"/>
    <col min="3844" max="3844" width="12.44140625" style="2" customWidth="1"/>
    <col min="3845" max="4096" width="8.88671875" style="2"/>
    <col min="4097" max="4097" width="16.33203125" style="2" customWidth="1"/>
    <col min="4098" max="4098" width="9.88671875" style="2" customWidth="1"/>
    <col min="4099" max="4099" width="48.33203125" style="2" bestFit="1" customWidth="1"/>
    <col min="4100" max="4100" width="12.44140625" style="2" customWidth="1"/>
    <col min="4101" max="4352" width="8.88671875" style="2"/>
    <col min="4353" max="4353" width="16.33203125" style="2" customWidth="1"/>
    <col min="4354" max="4354" width="9.88671875" style="2" customWidth="1"/>
    <col min="4355" max="4355" width="48.33203125" style="2" bestFit="1" customWidth="1"/>
    <col min="4356" max="4356" width="12.44140625" style="2" customWidth="1"/>
    <col min="4357" max="4608" width="8.88671875" style="2"/>
    <col min="4609" max="4609" width="16.33203125" style="2" customWidth="1"/>
    <col min="4610" max="4610" width="9.88671875" style="2" customWidth="1"/>
    <col min="4611" max="4611" width="48.33203125" style="2" bestFit="1" customWidth="1"/>
    <col min="4612" max="4612" width="12.44140625" style="2" customWidth="1"/>
    <col min="4613" max="4864" width="8.88671875" style="2"/>
    <col min="4865" max="4865" width="16.33203125" style="2" customWidth="1"/>
    <col min="4866" max="4866" width="9.88671875" style="2" customWidth="1"/>
    <col min="4867" max="4867" width="48.33203125" style="2" bestFit="1" customWidth="1"/>
    <col min="4868" max="4868" width="12.44140625" style="2" customWidth="1"/>
    <col min="4869" max="5120" width="8.88671875" style="2"/>
    <col min="5121" max="5121" width="16.33203125" style="2" customWidth="1"/>
    <col min="5122" max="5122" width="9.88671875" style="2" customWidth="1"/>
    <col min="5123" max="5123" width="48.33203125" style="2" bestFit="1" customWidth="1"/>
    <col min="5124" max="5124" width="12.44140625" style="2" customWidth="1"/>
    <col min="5125" max="5376" width="8.88671875" style="2"/>
    <col min="5377" max="5377" width="16.33203125" style="2" customWidth="1"/>
    <col min="5378" max="5378" width="9.88671875" style="2" customWidth="1"/>
    <col min="5379" max="5379" width="48.33203125" style="2" bestFit="1" customWidth="1"/>
    <col min="5380" max="5380" width="12.44140625" style="2" customWidth="1"/>
    <col min="5381" max="5632" width="8.88671875" style="2"/>
    <col min="5633" max="5633" width="16.33203125" style="2" customWidth="1"/>
    <col min="5634" max="5634" width="9.88671875" style="2" customWidth="1"/>
    <col min="5635" max="5635" width="48.33203125" style="2" bestFit="1" customWidth="1"/>
    <col min="5636" max="5636" width="12.44140625" style="2" customWidth="1"/>
    <col min="5637" max="5888" width="8.88671875" style="2"/>
    <col min="5889" max="5889" width="16.33203125" style="2" customWidth="1"/>
    <col min="5890" max="5890" width="9.88671875" style="2" customWidth="1"/>
    <col min="5891" max="5891" width="48.33203125" style="2" bestFit="1" customWidth="1"/>
    <col min="5892" max="5892" width="12.44140625" style="2" customWidth="1"/>
    <col min="5893" max="6144" width="8.88671875" style="2"/>
    <col min="6145" max="6145" width="16.33203125" style="2" customWidth="1"/>
    <col min="6146" max="6146" width="9.88671875" style="2" customWidth="1"/>
    <col min="6147" max="6147" width="48.33203125" style="2" bestFit="1" customWidth="1"/>
    <col min="6148" max="6148" width="12.44140625" style="2" customWidth="1"/>
    <col min="6149" max="6400" width="8.88671875" style="2"/>
    <col min="6401" max="6401" width="16.33203125" style="2" customWidth="1"/>
    <col min="6402" max="6402" width="9.88671875" style="2" customWidth="1"/>
    <col min="6403" max="6403" width="48.33203125" style="2" bestFit="1" customWidth="1"/>
    <col min="6404" max="6404" width="12.44140625" style="2" customWidth="1"/>
    <col min="6405" max="6656" width="8.88671875" style="2"/>
    <col min="6657" max="6657" width="16.33203125" style="2" customWidth="1"/>
    <col min="6658" max="6658" width="9.88671875" style="2" customWidth="1"/>
    <col min="6659" max="6659" width="48.33203125" style="2" bestFit="1" customWidth="1"/>
    <col min="6660" max="6660" width="12.44140625" style="2" customWidth="1"/>
    <col min="6661" max="6912" width="8.88671875" style="2"/>
    <col min="6913" max="6913" width="16.33203125" style="2" customWidth="1"/>
    <col min="6914" max="6914" width="9.88671875" style="2" customWidth="1"/>
    <col min="6915" max="6915" width="48.33203125" style="2" bestFit="1" customWidth="1"/>
    <col min="6916" max="6916" width="12.44140625" style="2" customWidth="1"/>
    <col min="6917" max="7168" width="8.88671875" style="2"/>
    <col min="7169" max="7169" width="16.33203125" style="2" customWidth="1"/>
    <col min="7170" max="7170" width="9.88671875" style="2" customWidth="1"/>
    <col min="7171" max="7171" width="48.33203125" style="2" bestFit="1" customWidth="1"/>
    <col min="7172" max="7172" width="12.44140625" style="2" customWidth="1"/>
    <col min="7173" max="7424" width="8.88671875" style="2"/>
    <col min="7425" max="7425" width="16.33203125" style="2" customWidth="1"/>
    <col min="7426" max="7426" width="9.88671875" style="2" customWidth="1"/>
    <col min="7427" max="7427" width="48.33203125" style="2" bestFit="1" customWidth="1"/>
    <col min="7428" max="7428" width="12.44140625" style="2" customWidth="1"/>
    <col min="7429" max="7680" width="8.88671875" style="2"/>
    <col min="7681" max="7681" width="16.33203125" style="2" customWidth="1"/>
    <col min="7682" max="7682" width="9.88671875" style="2" customWidth="1"/>
    <col min="7683" max="7683" width="48.33203125" style="2" bestFit="1" customWidth="1"/>
    <col min="7684" max="7684" width="12.44140625" style="2" customWidth="1"/>
    <col min="7685" max="7936" width="8.88671875" style="2"/>
    <col min="7937" max="7937" width="16.33203125" style="2" customWidth="1"/>
    <col min="7938" max="7938" width="9.88671875" style="2" customWidth="1"/>
    <col min="7939" max="7939" width="48.33203125" style="2" bestFit="1" customWidth="1"/>
    <col min="7940" max="7940" width="12.44140625" style="2" customWidth="1"/>
    <col min="7941" max="8192" width="8.88671875" style="2"/>
    <col min="8193" max="8193" width="16.33203125" style="2" customWidth="1"/>
    <col min="8194" max="8194" width="9.88671875" style="2" customWidth="1"/>
    <col min="8195" max="8195" width="48.33203125" style="2" bestFit="1" customWidth="1"/>
    <col min="8196" max="8196" width="12.44140625" style="2" customWidth="1"/>
    <col min="8197" max="8448" width="8.88671875" style="2"/>
    <col min="8449" max="8449" width="16.33203125" style="2" customWidth="1"/>
    <col min="8450" max="8450" width="9.88671875" style="2" customWidth="1"/>
    <col min="8451" max="8451" width="48.33203125" style="2" bestFit="1" customWidth="1"/>
    <col min="8452" max="8452" width="12.44140625" style="2" customWidth="1"/>
    <col min="8453" max="8704" width="8.88671875" style="2"/>
    <col min="8705" max="8705" width="16.33203125" style="2" customWidth="1"/>
    <col min="8706" max="8706" width="9.88671875" style="2" customWidth="1"/>
    <col min="8707" max="8707" width="48.33203125" style="2" bestFit="1" customWidth="1"/>
    <col min="8708" max="8708" width="12.44140625" style="2" customWidth="1"/>
    <col min="8709" max="8960" width="8.88671875" style="2"/>
    <col min="8961" max="8961" width="16.33203125" style="2" customWidth="1"/>
    <col min="8962" max="8962" width="9.88671875" style="2" customWidth="1"/>
    <col min="8963" max="8963" width="48.33203125" style="2" bestFit="1" customWidth="1"/>
    <col min="8964" max="8964" width="12.44140625" style="2" customWidth="1"/>
    <col min="8965" max="9216" width="8.88671875" style="2"/>
    <col min="9217" max="9217" width="16.33203125" style="2" customWidth="1"/>
    <col min="9218" max="9218" width="9.88671875" style="2" customWidth="1"/>
    <col min="9219" max="9219" width="48.33203125" style="2" bestFit="1" customWidth="1"/>
    <col min="9220" max="9220" width="12.44140625" style="2" customWidth="1"/>
    <col min="9221" max="9472" width="8.88671875" style="2"/>
    <col min="9473" max="9473" width="16.33203125" style="2" customWidth="1"/>
    <col min="9474" max="9474" width="9.88671875" style="2" customWidth="1"/>
    <col min="9475" max="9475" width="48.33203125" style="2" bestFit="1" customWidth="1"/>
    <col min="9476" max="9476" width="12.44140625" style="2" customWidth="1"/>
    <col min="9477" max="9728" width="8.88671875" style="2"/>
    <col min="9729" max="9729" width="16.33203125" style="2" customWidth="1"/>
    <col min="9730" max="9730" width="9.88671875" style="2" customWidth="1"/>
    <col min="9731" max="9731" width="48.33203125" style="2" bestFit="1" customWidth="1"/>
    <col min="9732" max="9732" width="12.44140625" style="2" customWidth="1"/>
    <col min="9733" max="9984" width="8.88671875" style="2"/>
    <col min="9985" max="9985" width="16.33203125" style="2" customWidth="1"/>
    <col min="9986" max="9986" width="9.88671875" style="2" customWidth="1"/>
    <col min="9987" max="9987" width="48.33203125" style="2" bestFit="1" customWidth="1"/>
    <col min="9988" max="9988" width="12.44140625" style="2" customWidth="1"/>
    <col min="9989" max="10240" width="8.88671875" style="2"/>
    <col min="10241" max="10241" width="16.33203125" style="2" customWidth="1"/>
    <col min="10242" max="10242" width="9.88671875" style="2" customWidth="1"/>
    <col min="10243" max="10243" width="48.33203125" style="2" bestFit="1" customWidth="1"/>
    <col min="10244" max="10244" width="12.44140625" style="2" customWidth="1"/>
    <col min="10245" max="10496" width="8.88671875" style="2"/>
    <col min="10497" max="10497" width="16.33203125" style="2" customWidth="1"/>
    <col min="10498" max="10498" width="9.88671875" style="2" customWidth="1"/>
    <col min="10499" max="10499" width="48.33203125" style="2" bestFit="1" customWidth="1"/>
    <col min="10500" max="10500" width="12.44140625" style="2" customWidth="1"/>
    <col min="10501" max="10752" width="8.88671875" style="2"/>
    <col min="10753" max="10753" width="16.33203125" style="2" customWidth="1"/>
    <col min="10754" max="10754" width="9.88671875" style="2" customWidth="1"/>
    <col min="10755" max="10755" width="48.33203125" style="2" bestFit="1" customWidth="1"/>
    <col min="10756" max="10756" width="12.44140625" style="2" customWidth="1"/>
    <col min="10757" max="11008" width="8.88671875" style="2"/>
    <col min="11009" max="11009" width="16.33203125" style="2" customWidth="1"/>
    <col min="11010" max="11010" width="9.88671875" style="2" customWidth="1"/>
    <col min="11011" max="11011" width="48.33203125" style="2" bestFit="1" customWidth="1"/>
    <col min="11012" max="11012" width="12.44140625" style="2" customWidth="1"/>
    <col min="11013" max="11264" width="8.88671875" style="2"/>
    <col min="11265" max="11265" width="16.33203125" style="2" customWidth="1"/>
    <col min="11266" max="11266" width="9.88671875" style="2" customWidth="1"/>
    <col min="11267" max="11267" width="48.33203125" style="2" bestFit="1" customWidth="1"/>
    <col min="11268" max="11268" width="12.44140625" style="2" customWidth="1"/>
    <col min="11269" max="11520" width="8.88671875" style="2"/>
    <col min="11521" max="11521" width="16.33203125" style="2" customWidth="1"/>
    <col min="11522" max="11522" width="9.88671875" style="2" customWidth="1"/>
    <col min="11523" max="11523" width="48.33203125" style="2" bestFit="1" customWidth="1"/>
    <col min="11524" max="11524" width="12.44140625" style="2" customWidth="1"/>
    <col min="11525" max="11776" width="8.88671875" style="2"/>
    <col min="11777" max="11777" width="16.33203125" style="2" customWidth="1"/>
    <col min="11778" max="11778" width="9.88671875" style="2" customWidth="1"/>
    <col min="11779" max="11779" width="48.33203125" style="2" bestFit="1" customWidth="1"/>
    <col min="11780" max="11780" width="12.44140625" style="2" customWidth="1"/>
    <col min="11781" max="12032" width="8.88671875" style="2"/>
    <col min="12033" max="12033" width="16.33203125" style="2" customWidth="1"/>
    <col min="12034" max="12034" width="9.88671875" style="2" customWidth="1"/>
    <col min="12035" max="12035" width="48.33203125" style="2" bestFit="1" customWidth="1"/>
    <col min="12036" max="12036" width="12.44140625" style="2" customWidth="1"/>
    <col min="12037" max="12288" width="8.88671875" style="2"/>
    <col min="12289" max="12289" width="16.33203125" style="2" customWidth="1"/>
    <col min="12290" max="12290" width="9.88671875" style="2" customWidth="1"/>
    <col min="12291" max="12291" width="48.33203125" style="2" bestFit="1" customWidth="1"/>
    <col min="12292" max="12292" width="12.44140625" style="2" customWidth="1"/>
    <col min="12293" max="12544" width="8.88671875" style="2"/>
    <col min="12545" max="12545" width="16.33203125" style="2" customWidth="1"/>
    <col min="12546" max="12546" width="9.88671875" style="2" customWidth="1"/>
    <col min="12547" max="12547" width="48.33203125" style="2" bestFit="1" customWidth="1"/>
    <col min="12548" max="12548" width="12.44140625" style="2" customWidth="1"/>
    <col min="12549" max="12800" width="8.88671875" style="2"/>
    <col min="12801" max="12801" width="16.33203125" style="2" customWidth="1"/>
    <col min="12802" max="12802" width="9.88671875" style="2" customWidth="1"/>
    <col min="12803" max="12803" width="48.33203125" style="2" bestFit="1" customWidth="1"/>
    <col min="12804" max="12804" width="12.44140625" style="2" customWidth="1"/>
    <col min="12805" max="13056" width="8.88671875" style="2"/>
    <col min="13057" max="13057" width="16.33203125" style="2" customWidth="1"/>
    <col min="13058" max="13058" width="9.88671875" style="2" customWidth="1"/>
    <col min="13059" max="13059" width="48.33203125" style="2" bestFit="1" customWidth="1"/>
    <col min="13060" max="13060" width="12.44140625" style="2" customWidth="1"/>
    <col min="13061" max="13312" width="8.88671875" style="2"/>
    <col min="13313" max="13313" width="16.33203125" style="2" customWidth="1"/>
    <col min="13314" max="13314" width="9.88671875" style="2" customWidth="1"/>
    <col min="13315" max="13315" width="48.33203125" style="2" bestFit="1" customWidth="1"/>
    <col min="13316" max="13316" width="12.44140625" style="2" customWidth="1"/>
    <col min="13317" max="13568" width="8.88671875" style="2"/>
    <col min="13569" max="13569" width="16.33203125" style="2" customWidth="1"/>
    <col min="13570" max="13570" width="9.88671875" style="2" customWidth="1"/>
    <col min="13571" max="13571" width="48.33203125" style="2" bestFit="1" customWidth="1"/>
    <col min="13572" max="13572" width="12.44140625" style="2" customWidth="1"/>
    <col min="13573" max="13824" width="8.88671875" style="2"/>
    <col min="13825" max="13825" width="16.33203125" style="2" customWidth="1"/>
    <col min="13826" max="13826" width="9.88671875" style="2" customWidth="1"/>
    <col min="13827" max="13827" width="48.33203125" style="2" bestFit="1" customWidth="1"/>
    <col min="13828" max="13828" width="12.44140625" style="2" customWidth="1"/>
    <col min="13829" max="14080" width="8.88671875" style="2"/>
    <col min="14081" max="14081" width="16.33203125" style="2" customWidth="1"/>
    <col min="14082" max="14082" width="9.88671875" style="2" customWidth="1"/>
    <col min="14083" max="14083" width="48.33203125" style="2" bestFit="1" customWidth="1"/>
    <col min="14084" max="14084" width="12.44140625" style="2" customWidth="1"/>
    <col min="14085" max="14336" width="8.88671875" style="2"/>
    <col min="14337" max="14337" width="16.33203125" style="2" customWidth="1"/>
    <col min="14338" max="14338" width="9.88671875" style="2" customWidth="1"/>
    <col min="14339" max="14339" width="48.33203125" style="2" bestFit="1" customWidth="1"/>
    <col min="14340" max="14340" width="12.44140625" style="2" customWidth="1"/>
    <col min="14341" max="14592" width="8.88671875" style="2"/>
    <col min="14593" max="14593" width="16.33203125" style="2" customWidth="1"/>
    <col min="14594" max="14594" width="9.88671875" style="2" customWidth="1"/>
    <col min="14595" max="14595" width="48.33203125" style="2" bestFit="1" customWidth="1"/>
    <col min="14596" max="14596" width="12.44140625" style="2" customWidth="1"/>
    <col min="14597" max="14848" width="8.88671875" style="2"/>
    <col min="14849" max="14849" width="16.33203125" style="2" customWidth="1"/>
    <col min="14850" max="14850" width="9.88671875" style="2" customWidth="1"/>
    <col min="14851" max="14851" width="48.33203125" style="2" bestFit="1" customWidth="1"/>
    <col min="14852" max="14852" width="12.44140625" style="2" customWidth="1"/>
    <col min="14853" max="15104" width="8.88671875" style="2"/>
    <col min="15105" max="15105" width="16.33203125" style="2" customWidth="1"/>
    <col min="15106" max="15106" width="9.88671875" style="2" customWidth="1"/>
    <col min="15107" max="15107" width="48.33203125" style="2" bestFit="1" customWidth="1"/>
    <col min="15108" max="15108" width="12.44140625" style="2" customWidth="1"/>
    <col min="15109" max="15360" width="8.88671875" style="2"/>
    <col min="15361" max="15361" width="16.33203125" style="2" customWidth="1"/>
    <col min="15362" max="15362" width="9.88671875" style="2" customWidth="1"/>
    <col min="15363" max="15363" width="48.33203125" style="2" bestFit="1" customWidth="1"/>
    <col min="15364" max="15364" width="12.44140625" style="2" customWidth="1"/>
    <col min="15365" max="15616" width="8.88671875" style="2"/>
    <col min="15617" max="15617" width="16.33203125" style="2" customWidth="1"/>
    <col min="15618" max="15618" width="9.88671875" style="2" customWidth="1"/>
    <col min="15619" max="15619" width="48.33203125" style="2" bestFit="1" customWidth="1"/>
    <col min="15620" max="15620" width="12.44140625" style="2" customWidth="1"/>
    <col min="15621" max="15872" width="8.88671875" style="2"/>
    <col min="15873" max="15873" width="16.33203125" style="2" customWidth="1"/>
    <col min="15874" max="15874" width="9.88671875" style="2" customWidth="1"/>
    <col min="15875" max="15875" width="48.33203125" style="2" bestFit="1" customWidth="1"/>
    <col min="15876" max="15876" width="12.44140625" style="2" customWidth="1"/>
    <col min="15877" max="16128" width="8.88671875" style="2"/>
    <col min="16129" max="16129" width="16.33203125" style="2" customWidth="1"/>
    <col min="16130" max="16130" width="9.88671875" style="2" customWidth="1"/>
    <col min="16131" max="16131" width="48.33203125" style="2" bestFit="1" customWidth="1"/>
    <col min="16132" max="16132" width="12.44140625" style="2" customWidth="1"/>
    <col min="16133" max="16384" width="8.88671875" style="2"/>
  </cols>
  <sheetData>
    <row r="1" spans="1:5" x14ac:dyDescent="0.25">
      <c r="A1" s="2" t="s">
        <v>2</v>
      </c>
      <c r="B1" s="1">
        <v>0.38790093569287482</v>
      </c>
    </row>
    <row r="2" spans="1:5" x14ac:dyDescent="0.25">
      <c r="A2" s="2" t="s">
        <v>3</v>
      </c>
      <c r="B2" s="2">
        <f>IF(B1=0,SUM(B5:B11),XNPV(B1,B5:B11,A5:A11))</f>
        <v>-3.1494846552959643E-7</v>
      </c>
      <c r="C2" s="2" t="e">
        <f ca="1">getformula(B2)</f>
        <v>#NAME?</v>
      </c>
    </row>
    <row r="3" spans="1:5" x14ac:dyDescent="0.25">
      <c r="D3" s="7" t="s">
        <v>12</v>
      </c>
    </row>
    <row r="4" spans="1:5" x14ac:dyDescent="0.25">
      <c r="A4" s="8" t="s">
        <v>4</v>
      </c>
      <c r="B4" s="8" t="s">
        <v>5</v>
      </c>
      <c r="D4" s="2" t="s">
        <v>2</v>
      </c>
      <c r="E4" s="2" t="s">
        <v>0</v>
      </c>
    </row>
    <row r="5" spans="1:5" x14ac:dyDescent="0.25">
      <c r="A5" s="3">
        <v>39263</v>
      </c>
      <c r="B5" s="2">
        <v>-500</v>
      </c>
      <c r="E5" s="2">
        <f>B2</f>
        <v>-3.1494846552959643E-7</v>
      </c>
    </row>
    <row r="6" spans="1:5" x14ac:dyDescent="0.25">
      <c r="A6" s="3">
        <v>39492</v>
      </c>
      <c r="B6" s="2">
        <v>100</v>
      </c>
      <c r="D6" s="4">
        <v>0</v>
      </c>
      <c r="E6" s="2">
        <f t="dataTable" ref="E6:E22" dt2D="0" dtr="0" r1="B1" ca="1"/>
        <v>-100</v>
      </c>
    </row>
    <row r="7" spans="1:5" x14ac:dyDescent="0.25">
      <c r="A7" s="3">
        <v>39858</v>
      </c>
      <c r="B7" s="2">
        <v>300</v>
      </c>
      <c r="D7" s="4">
        <v>0.03</v>
      </c>
      <c r="E7" s="2">
        <v>-33.16366576598125</v>
      </c>
    </row>
    <row r="8" spans="1:5" x14ac:dyDescent="0.25">
      <c r="A8" s="3">
        <v>40223</v>
      </c>
      <c r="B8" s="2">
        <v>400</v>
      </c>
      <c r="D8" s="4">
        <v>0.06</v>
      </c>
      <c r="E8" s="2">
        <v>12.463860637633161</v>
      </c>
    </row>
    <row r="9" spans="1:5" x14ac:dyDescent="0.25">
      <c r="A9" s="3">
        <v>40588</v>
      </c>
      <c r="B9" s="2">
        <v>600</v>
      </c>
      <c r="D9" s="4">
        <v>0.09</v>
      </c>
      <c r="E9" s="2">
        <v>42.121669065659034</v>
      </c>
    </row>
    <row r="10" spans="1:5" x14ac:dyDescent="0.25">
      <c r="A10" s="3">
        <v>40953</v>
      </c>
      <c r="B10" s="2">
        <v>800</v>
      </c>
      <c r="D10" s="4">
        <v>0.12</v>
      </c>
      <c r="E10" s="2">
        <v>59.761179477132941</v>
      </c>
    </row>
    <row r="11" spans="1:5" x14ac:dyDescent="0.25">
      <c r="A11" s="10">
        <v>41319</v>
      </c>
      <c r="B11" s="11">
        <v>-1800</v>
      </c>
      <c r="D11" s="4">
        <v>0.15</v>
      </c>
      <c r="E11" s="2">
        <v>68.375429469281585</v>
      </c>
    </row>
    <row r="12" spans="1:5" x14ac:dyDescent="0.25">
      <c r="D12" s="4">
        <v>0.18</v>
      </c>
      <c r="E12" s="2">
        <v>70.239806943617509</v>
      </c>
    </row>
    <row r="13" spans="1:5" ht="13.8" x14ac:dyDescent="0.25">
      <c r="A13" s="2" t="s">
        <v>6</v>
      </c>
      <c r="B13" s="5">
        <v>0.35</v>
      </c>
      <c r="D13" s="4">
        <v>0.21</v>
      </c>
      <c r="E13" s="2">
        <v>67.089304688363882</v>
      </c>
    </row>
    <row r="14" spans="1:5" x14ac:dyDescent="0.25">
      <c r="A14" s="2" t="s">
        <v>1</v>
      </c>
      <c r="B14" s="2" t="e">
        <f>XIRR(B5:B11,A5:A11,B13)</f>
        <v>#NUM!</v>
      </c>
      <c r="C14" s="2" t="e">
        <f ca="1">getformula(B14)&amp;" , doesn't work!"</f>
        <v>#NAME?</v>
      </c>
      <c r="D14" s="4">
        <v>0.24</v>
      </c>
      <c r="E14" s="2">
        <v>60.249909762010475</v>
      </c>
    </row>
    <row r="15" spans="1:5" x14ac:dyDescent="0.25">
      <c r="B15" s="4"/>
      <c r="D15" s="4">
        <v>0.27</v>
      </c>
      <c r="E15" s="2">
        <v>50.736605102849808</v>
      </c>
    </row>
    <row r="16" spans="1:5" ht="12.75" customHeight="1" x14ac:dyDescent="0.25">
      <c r="A16" s="6" t="s">
        <v>7</v>
      </c>
      <c r="B16" s="6"/>
      <c r="C16" s="6"/>
      <c r="D16" s="4">
        <v>0.3</v>
      </c>
      <c r="E16" s="2">
        <v>39.326894779788461</v>
      </c>
    </row>
    <row r="17" spans="1:7" x14ac:dyDescent="0.25">
      <c r="A17" s="6"/>
      <c r="B17" s="6"/>
      <c r="C17" s="6"/>
      <c r="D17" s="4">
        <v>0.33</v>
      </c>
      <c r="E17" s="2">
        <v>26.616266485739516</v>
      </c>
    </row>
    <row r="18" spans="1:7" x14ac:dyDescent="0.25">
      <c r="A18" s="6"/>
      <c r="B18" s="6"/>
      <c r="C18" s="6"/>
      <c r="D18" s="4">
        <v>0.36</v>
      </c>
      <c r="E18" s="2">
        <v>13.060240817986596</v>
      </c>
    </row>
    <row r="19" spans="1:7" x14ac:dyDescent="0.25">
      <c r="A19" s="6"/>
      <c r="B19" s="6"/>
      <c r="C19" s="6"/>
      <c r="D19" s="4">
        <v>0.39</v>
      </c>
      <c r="E19" s="2">
        <v>-0.99359871925145171</v>
      </c>
    </row>
    <row r="20" spans="1:7" x14ac:dyDescent="0.25">
      <c r="A20" s="6"/>
      <c r="B20" s="6"/>
      <c r="C20" s="6"/>
      <c r="D20" s="4">
        <v>0.42</v>
      </c>
      <c r="E20" s="2">
        <v>-15.281101407968691</v>
      </c>
    </row>
    <row r="21" spans="1:7" x14ac:dyDescent="0.25">
      <c r="A21" s="6"/>
      <c r="B21" s="6"/>
      <c r="C21" s="6"/>
      <c r="D21" s="4">
        <v>0.45</v>
      </c>
      <c r="E21" s="2">
        <v>-29.602727292257498</v>
      </c>
    </row>
    <row r="22" spans="1:7" x14ac:dyDescent="0.25">
      <c r="A22" s="6"/>
      <c r="B22" s="6"/>
      <c r="C22" s="6"/>
      <c r="D22" s="4">
        <v>0.48</v>
      </c>
      <c r="E22" s="2">
        <v>-43.809036678289715</v>
      </c>
    </row>
    <row r="24" spans="1:7" x14ac:dyDescent="0.25">
      <c r="A24" s="2" t="s">
        <v>8</v>
      </c>
    </row>
    <row r="25" spans="1:7" x14ac:dyDescent="0.25">
      <c r="A25" s="9" t="s">
        <v>9</v>
      </c>
      <c r="B25" s="4">
        <v>0.15</v>
      </c>
    </row>
    <row r="26" spans="1:7" x14ac:dyDescent="0.25">
      <c r="A26" s="9" t="s">
        <v>10</v>
      </c>
      <c r="B26" s="4">
        <v>0.45</v>
      </c>
    </row>
    <row r="28" spans="1:7" x14ac:dyDescent="0.25">
      <c r="A28" s="2" t="s">
        <v>11</v>
      </c>
    </row>
    <row r="30" spans="1:7" x14ac:dyDescent="0.25">
      <c r="G30" s="2">
        <f>B2</f>
        <v>-3.1494846552959643E-7</v>
      </c>
    </row>
    <row r="31" spans="1:7" x14ac:dyDescent="0.25">
      <c r="F31" s="4">
        <v>0</v>
      </c>
      <c r="G31" s="2">
        <f t="dataTable" ref="G31:G47" dt2D="0" dtr="0" r1="B1"/>
        <v>-100</v>
      </c>
    </row>
    <row r="32" spans="1:7" x14ac:dyDescent="0.25">
      <c r="F32" s="4">
        <v>0.03</v>
      </c>
      <c r="G32" s="2">
        <v>-33.16366576598125</v>
      </c>
    </row>
    <row r="33" spans="6:7" x14ac:dyDescent="0.25">
      <c r="F33" s="4">
        <v>0.06</v>
      </c>
      <c r="G33" s="2">
        <v>12.463860637633161</v>
      </c>
    </row>
    <row r="34" spans="6:7" x14ac:dyDescent="0.25">
      <c r="F34" s="4">
        <v>0.09</v>
      </c>
      <c r="G34" s="2">
        <v>42.121669065659034</v>
      </c>
    </row>
    <row r="35" spans="6:7" x14ac:dyDescent="0.25">
      <c r="F35" s="4">
        <v>0.12</v>
      </c>
      <c r="G35" s="2">
        <v>59.761179477132941</v>
      </c>
    </row>
    <row r="36" spans="6:7" x14ac:dyDescent="0.25">
      <c r="F36" s="4">
        <v>0.15</v>
      </c>
      <c r="G36" s="2">
        <v>68.375429469281585</v>
      </c>
    </row>
    <row r="37" spans="6:7" x14ac:dyDescent="0.25">
      <c r="F37" s="4">
        <v>0.18</v>
      </c>
      <c r="G37" s="2">
        <v>70.239806943617509</v>
      </c>
    </row>
    <row r="38" spans="6:7" x14ac:dyDescent="0.25">
      <c r="F38" s="4">
        <v>0.21</v>
      </c>
      <c r="G38" s="2">
        <v>67.089304688363882</v>
      </c>
    </row>
    <row r="39" spans="6:7" x14ac:dyDescent="0.25">
      <c r="F39" s="4">
        <v>0.24</v>
      </c>
      <c r="G39" s="2">
        <v>60.249909762010475</v>
      </c>
    </row>
    <row r="40" spans="6:7" x14ac:dyDescent="0.25">
      <c r="F40" s="4">
        <v>0.27</v>
      </c>
      <c r="G40" s="2">
        <v>50.736605102849808</v>
      </c>
    </row>
    <row r="41" spans="6:7" x14ac:dyDescent="0.25">
      <c r="F41" s="4">
        <v>0.3</v>
      </c>
      <c r="G41" s="2">
        <v>39.326894779788461</v>
      </c>
    </row>
    <row r="42" spans="6:7" x14ac:dyDescent="0.25">
      <c r="F42" s="4">
        <v>0.33</v>
      </c>
      <c r="G42" s="2">
        <v>26.616266485739516</v>
      </c>
    </row>
    <row r="43" spans="6:7" x14ac:dyDescent="0.25">
      <c r="F43" s="4">
        <v>0.36</v>
      </c>
      <c r="G43" s="2">
        <v>13.060240817986596</v>
      </c>
    </row>
    <row r="44" spans="6:7" x14ac:dyDescent="0.25">
      <c r="F44" s="4">
        <v>0.39</v>
      </c>
      <c r="G44" s="2">
        <v>-0.99359871925145171</v>
      </c>
    </row>
    <row r="45" spans="6:7" x14ac:dyDescent="0.25">
      <c r="F45" s="4">
        <v>0.42</v>
      </c>
      <c r="G45" s="2">
        <v>-15.281101407968691</v>
      </c>
    </row>
    <row r="46" spans="6:7" x14ac:dyDescent="0.25">
      <c r="F46" s="4">
        <v>0.45</v>
      </c>
      <c r="G46" s="2">
        <v>-29.602727292257498</v>
      </c>
    </row>
    <row r="47" spans="6:7" x14ac:dyDescent="0.25">
      <c r="F47" s="4">
        <v>0.48</v>
      </c>
      <c r="G47" s="2">
        <v>-43.809036678289715</v>
      </c>
    </row>
  </sheetData>
  <mergeCells count="1">
    <mergeCell ref="A16:C2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  <extLst>
    <ext xmlns:x15="http://schemas.microsoft.com/office/spreadsheetml/2010/11/main" uri="{F7C9EE02-42E1-4005-9D12-6889AFFD525C}">
      <x15:webExtensions xmlns:xm="http://schemas.microsoft.com/office/excel/2006/main">
        <x15:webExtension appRef="{D121421E-79BF-4ACF-8C29-175B38B3CB6A}">
          <xm:f>#REF!</xm:f>
        </x15:webExtension>
        <x15:webExtension appRef="{28A7B645-7F75-4A6B-9DAC-5A1A6A9F662F}">
          <xm:f>#REF!</xm:f>
        </x15:webExtension>
        <x15:webExtension appRef="{FB4825DA-6D92-4D61-8013-5C0F16CBA664}">
          <xm:f>#REF!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Exercise 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2024-10-06T12:39:48Z</dcterms:modified>
</cp:coreProperties>
</file>