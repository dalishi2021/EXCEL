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"/>
    </mc:Choice>
  </mc:AlternateContent>
  <xr:revisionPtr revIDLastSave="0" documentId="13_ncr:1_{B1A21F50-9026-487F-B148-02AA01C8941F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06" sheetId="2" r:id="rId2"/>
  </sheets>
  <externalReferences>
    <externalReference r:id="rId3"/>
  </externalReferences>
  <definedNames>
    <definedName name="StartTime">'[1]Page 603'!$B$6</definedName>
    <definedName name="step">'[1]Circle picture'!$N$14</definedName>
    <definedName name="Stoptime">'[1]Page 603'!$B$7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<sst xmlns="http://schemas.openxmlformats.org/spreadsheetml/2006/main" count="23" uniqueCount="23">
  <si>
    <t>Current wealth</t>
  </si>
  <si>
    <t>Riskfree rate</t>
  </si>
  <si>
    <t>Parameters of risky investment</t>
  </si>
  <si>
    <t>Expected annual return</t>
  </si>
  <si>
    <t>Standard deviation of return</t>
  </si>
  <si>
    <t>Proportion invested in risky</t>
  </si>
  <si>
    <t>Safety cushion</t>
  </si>
  <si>
    <t>Annual drawdown</t>
  </si>
  <si>
    <t>Year</t>
  </si>
  <si>
    <t>Wealth at
beginning of year</t>
  </si>
  <si>
    <t>Invested in risky</t>
  </si>
  <si>
    <t>Invested in bonds</t>
  </si>
  <si>
    <t>Random 
number, normally distributed</t>
  </si>
  <si>
    <t>1+return on risky investment</t>
  </si>
  <si>
    <t>Wealth at end of year</t>
  </si>
  <si>
    <t>Drawdown</t>
  </si>
  <si>
    <t>Left at end of 10 years</t>
  </si>
  <si>
    <t>Normally-distributed random numbers generated by =NORMSINV(RAND())</t>
  </si>
  <si>
    <t>=C21*F21+D21*EXP($B$3)</t>
  </si>
  <si>
    <t>Wealth at beginning of year =G20-H20</t>
  </si>
  <si>
    <t>1+return on risky investment =EXP($B$5+$B$6*E21)</t>
  </si>
  <si>
    <t>Drawdown calculated as =IF(G21&gt;$B$8*$B$9,$B$9,G21/$B$8)</t>
  </si>
  <si>
    <t>Investment in risky asset =B21*$B$7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</si>
</sst>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0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left" indent="1"/>
    </xf>
    <xf numFmtId="0" fontId="2" fillId="0" borderId="0" xfId="1"/>
    <xf numFmtId="3" fontId="2" fillId="0" borderId="0" xfId="1" applyNumberFormat="1"/>
    <xf numFmtId="9" fontId="2" fillId="0" borderId="0" xfId="1" applyNumberFormat="1"/>
    <xf numFmtId="0" fontId="2" fillId="0" borderId="0" xfId="1" applyAlignment="1">
      <alignment horizontal="left"/>
    </xf>
    <xf numFmtId="3" fontId="2" fillId="2" borderId="0" xfId="1" applyNumberFormat="1" applyFill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176" fontId="2" fillId="0" borderId="0" xfId="1" applyNumberFormat="1"/>
    <xf numFmtId="0" fontId="2" fillId="3" borderId="1" xfId="1" applyFill="1" applyBorder="1" applyAlignment="1">
      <alignment horizontal="center" vertical="center" wrapText="1"/>
    </xf>
    <xf numFmtId="0" fontId="2" fillId="3" borderId="2" xfId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3" fontId="2" fillId="3" borderId="1" xfId="1" applyNumberFormat="1" applyFill="1" applyBorder="1" applyAlignment="1">
      <alignment horizontal="center" vertical="center" wrapText="1"/>
    </xf>
    <xf numFmtId="0" fontId="2" fillId="3" borderId="1" xfId="1" applyFill="1" applyBorder="1" applyAlignment="1">
      <alignment vertical="center" wrapText="1"/>
    </xf>
    <xf numFmtId="0" fontId="2" fillId="3" borderId="2" xfId="1" applyFill="1" applyBorder="1" applyAlignment="1">
      <alignment vertical="center" wrapText="1"/>
    </xf>
    <xf numFmtId="0" fontId="2" fillId="3" borderId="3" xfId="1" applyFill="1" applyBorder="1" applyAlignment="1">
      <alignment vertical="center" wrapText="1"/>
    </xf>
    <xf numFmtId="0" fontId="2" fillId="4" borderId="0" xfId="1" applyFill="1" applyAlignment="1">
      <alignment horizontal="left"/>
    </xf>
    <xf numFmtId="3" fontId="2" fillId="4" borderId="0" xfId="1" applyNumberFormat="1" applyFill="1"/>
  </cellXfs>
  <cellStyles count="2">
    <cellStyle name="常规" xfId="0" builtinId="0"/>
    <cellStyle name="常规 2" xfId="1" xr:uid="{8167061C-1D56-4FC8-B5F5-4455FD56B0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20</xdr:row>
      <xdr:rowOff>121920</xdr:rowOff>
    </xdr:from>
    <xdr:to>
      <xdr:col>4</xdr:col>
      <xdr:colOff>342900</xdr:colOff>
      <xdr:row>22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94A59B0-5AA3-4E5E-82B2-4728C1151D58}"/>
            </a:ext>
          </a:extLst>
        </xdr:cNvPr>
        <xdr:cNvSpPr>
          <a:spLocks noChangeShapeType="1"/>
        </xdr:cNvSpPr>
      </xdr:nvSpPr>
      <xdr:spPr bwMode="auto">
        <a:xfrm flipV="1">
          <a:off x="4086225" y="4714875"/>
          <a:ext cx="342900" cy="295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617220</xdr:colOff>
      <xdr:row>20</xdr:row>
      <xdr:rowOff>114300</xdr:rowOff>
    </xdr:from>
    <xdr:to>
      <xdr:col>5</xdr:col>
      <xdr:colOff>396240</xdr:colOff>
      <xdr:row>24</xdr:row>
      <xdr:rowOff>7620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F5EEC23-6DC7-4841-9983-770C5F8AF80A}"/>
            </a:ext>
          </a:extLst>
        </xdr:cNvPr>
        <xdr:cNvSpPr>
          <a:spLocks noChangeShapeType="1"/>
        </xdr:cNvSpPr>
      </xdr:nvSpPr>
      <xdr:spPr bwMode="auto">
        <a:xfrm flipV="1">
          <a:off x="4705350" y="4705350"/>
          <a:ext cx="561975" cy="733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403860</xdr:colOff>
      <xdr:row>21</xdr:row>
      <xdr:rowOff>0</xdr:rowOff>
    </xdr:from>
    <xdr:to>
      <xdr:col>6</xdr:col>
      <xdr:colOff>480060</xdr:colOff>
      <xdr:row>21</xdr:row>
      <xdr:rowOff>121920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FD251D54-619A-41CF-B69B-5B3524FCBE58}"/>
            </a:ext>
          </a:extLst>
        </xdr:cNvPr>
        <xdr:cNvSpPr>
          <a:spLocks noChangeShapeType="1"/>
        </xdr:cNvSpPr>
      </xdr:nvSpPr>
      <xdr:spPr bwMode="auto">
        <a:xfrm flipH="1" flipV="1">
          <a:off x="6086475" y="4762500"/>
          <a:ext cx="76200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556260</xdr:colOff>
      <xdr:row>20</xdr:row>
      <xdr:rowOff>91440</xdr:rowOff>
    </xdr:from>
    <xdr:to>
      <xdr:col>1</xdr:col>
      <xdr:colOff>144780</xdr:colOff>
      <xdr:row>24</xdr:row>
      <xdr:rowOff>7620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ACD85EC3-7483-4586-9C90-A4A13126F4FA}"/>
            </a:ext>
          </a:extLst>
        </xdr:cNvPr>
        <xdr:cNvSpPr>
          <a:spLocks noChangeShapeType="1"/>
        </xdr:cNvSpPr>
      </xdr:nvSpPr>
      <xdr:spPr bwMode="auto">
        <a:xfrm flipV="1">
          <a:off x="552450" y="4686300"/>
          <a:ext cx="1447800" cy="752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</xdr:colOff>
      <xdr:row>20</xdr:row>
      <xdr:rowOff>121920</xdr:rowOff>
    </xdr:from>
    <xdr:to>
      <xdr:col>2</xdr:col>
      <xdr:colOff>365760</xdr:colOff>
      <xdr:row>27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E7E2EE6D-3C31-4516-B694-9EDB19F8E351}"/>
            </a:ext>
          </a:extLst>
        </xdr:cNvPr>
        <xdr:cNvSpPr>
          <a:spLocks noChangeShapeType="1"/>
        </xdr:cNvSpPr>
      </xdr:nvSpPr>
      <xdr:spPr bwMode="auto">
        <a:xfrm flipV="1">
          <a:off x="2609850" y="4714875"/>
          <a:ext cx="352425" cy="1628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38100</xdr:colOff>
      <xdr:row>21</xdr:row>
      <xdr:rowOff>0</xdr:rowOff>
    </xdr:from>
    <xdr:to>
      <xdr:col>7</xdr:col>
      <xdr:colOff>426720</xdr:colOff>
      <xdr:row>26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0102083-8D18-4FE6-BEA8-FDEA3D6A5A58}"/>
            </a:ext>
          </a:extLst>
        </xdr:cNvPr>
        <xdr:cNvSpPr>
          <a:spLocks noChangeShapeType="1"/>
        </xdr:cNvSpPr>
      </xdr:nvSpPr>
      <xdr:spPr bwMode="auto">
        <a:xfrm flipV="1">
          <a:off x="6419850" y="4762500"/>
          <a:ext cx="390525" cy="1143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251460</xdr:colOff>
      <xdr:row>6</xdr:row>
      <xdr:rowOff>91440</xdr:rowOff>
    </xdr:from>
    <xdr:to>
      <xdr:col>13</xdr:col>
      <xdr:colOff>297180</xdr:colOff>
      <xdr:row>11</xdr:row>
      <xdr:rowOff>53340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2C8D0ACB-E44B-47A4-AD91-F284E4D3C05C}"/>
            </a:ext>
          </a:extLst>
        </xdr:cNvPr>
        <xdr:cNvSpPr txBox="1">
          <a:spLocks noChangeArrowheads="1"/>
        </xdr:cNvSpPr>
      </xdr:nvSpPr>
      <xdr:spPr bwMode="auto">
        <a:xfrm>
          <a:off x="8772525" y="1790700"/>
          <a:ext cx="1876425" cy="1314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 MS page 13</a:t>
          </a:r>
        </a:p>
      </xdr:txBody>
    </xdr:sp>
    <xdr:clientData/>
  </xdr:twoCellAnchor>
  <xdr:twoCellAnchor editAs="oneCell">
    <xdr:from>
      <xdr:col>14</xdr:col>
      <xdr:colOff>533400</xdr:colOff>
      <xdr:row>0</xdr:row>
      <xdr:rowOff>323850</xdr:rowOff>
    </xdr:from>
    <xdr:to>
      <xdr:col>37</xdr:col>
      <xdr:colOff>281956</xdr:colOff>
      <xdr:row>39</xdr:row>
      <xdr:rowOff>145927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EC153648-0A82-A78E-147C-577BD52BC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6675" y="323850"/>
          <a:ext cx="13769356" cy="82231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598-599"/>
      <sheetName val="Pages 598-599  中文"/>
      <sheetName val="Pages 600-602"/>
      <sheetName val="Pages 600-602 中文"/>
      <sheetName val="Page 603"/>
      <sheetName val="Page 603 中文"/>
      <sheetName val="Page 604"/>
      <sheetName val="Page 604  中文"/>
      <sheetName val="Page 605"/>
      <sheetName val="Page 605 中文"/>
      <sheetName val="Page 606"/>
      <sheetName val="Page 606  中文"/>
      <sheetName val="Page 607-8"/>
      <sheetName val="Page 607-8  中文"/>
      <sheetName val="Circle picture"/>
      <sheetName val="Circle picture  中文"/>
    </sheetNames>
    <sheetDataSet>
      <sheetData sheetId="0"/>
      <sheetData sheetId="1"/>
      <sheetData sheetId="2"/>
      <sheetData sheetId="3"/>
      <sheetData sheetId="4">
        <row r="6">
          <cell r="B6">
            <v>0.50940972222222225</v>
          </cell>
        </row>
        <row r="7">
          <cell r="B7">
            <v>0.50980324074074079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N14">
            <v>0.01</v>
          </cell>
        </row>
      </sheetData>
      <sheetData sheetId="1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1478A-B25F-4822-B586-1964726A6565}">
  <sheetPr codeName="Sheet15"/>
  <dimension ref="A1:J28"/>
  <sheetViews>
    <sheetView tabSelected="1" workbookViewId="0">
      <selection activeCell="G21" sqref="G21"/>
    </sheetView>
  </sheetViews>
  <sheetFormatPr defaultRowHeight="13.2" x14ac:dyDescent="0.25"/>
  <cols>
    <col min="1" max="1" width="27.109375" style="3" bestFit="1" customWidth="1"/>
    <col min="2" max="4" width="10.88671875" style="3" customWidth="1"/>
    <col min="5" max="5" width="11.33203125" style="3" customWidth="1"/>
    <col min="6" max="6" width="11.88671875" style="3" customWidth="1"/>
    <col min="7" max="7" width="10.109375" style="3" bestFit="1" customWidth="1"/>
    <col min="8" max="8" width="11" style="3" customWidth="1"/>
    <col min="9" max="9" width="11.33203125" style="3" customWidth="1"/>
    <col min="10" max="256" width="8.88671875" style="3"/>
    <col min="257" max="257" width="27.109375" style="3" bestFit="1" customWidth="1"/>
    <col min="258" max="260" width="10.88671875" style="3" customWidth="1"/>
    <col min="261" max="261" width="11.33203125" style="3" customWidth="1"/>
    <col min="262" max="262" width="11.88671875" style="3" customWidth="1"/>
    <col min="263" max="263" width="10.109375" style="3" bestFit="1" customWidth="1"/>
    <col min="264" max="264" width="11" style="3" customWidth="1"/>
    <col min="265" max="265" width="11.33203125" style="3" customWidth="1"/>
    <col min="266" max="512" width="8.88671875" style="3"/>
    <col min="513" max="513" width="27.109375" style="3" bestFit="1" customWidth="1"/>
    <col min="514" max="516" width="10.88671875" style="3" customWidth="1"/>
    <col min="517" max="517" width="11.33203125" style="3" customWidth="1"/>
    <col min="518" max="518" width="11.88671875" style="3" customWidth="1"/>
    <col min="519" max="519" width="10.109375" style="3" bestFit="1" customWidth="1"/>
    <col min="520" max="520" width="11" style="3" customWidth="1"/>
    <col min="521" max="521" width="11.33203125" style="3" customWidth="1"/>
    <col min="522" max="768" width="8.88671875" style="3"/>
    <col min="769" max="769" width="27.109375" style="3" bestFit="1" customWidth="1"/>
    <col min="770" max="772" width="10.88671875" style="3" customWidth="1"/>
    <col min="773" max="773" width="11.33203125" style="3" customWidth="1"/>
    <col min="774" max="774" width="11.88671875" style="3" customWidth="1"/>
    <col min="775" max="775" width="10.109375" style="3" bestFit="1" customWidth="1"/>
    <col min="776" max="776" width="11" style="3" customWidth="1"/>
    <col min="777" max="777" width="11.33203125" style="3" customWidth="1"/>
    <col min="778" max="1024" width="8.88671875" style="3"/>
    <col min="1025" max="1025" width="27.109375" style="3" bestFit="1" customWidth="1"/>
    <col min="1026" max="1028" width="10.88671875" style="3" customWidth="1"/>
    <col min="1029" max="1029" width="11.33203125" style="3" customWidth="1"/>
    <col min="1030" max="1030" width="11.88671875" style="3" customWidth="1"/>
    <col min="1031" max="1031" width="10.109375" style="3" bestFit="1" customWidth="1"/>
    <col min="1032" max="1032" width="11" style="3" customWidth="1"/>
    <col min="1033" max="1033" width="11.33203125" style="3" customWidth="1"/>
    <col min="1034" max="1280" width="8.88671875" style="3"/>
    <col min="1281" max="1281" width="27.109375" style="3" bestFit="1" customWidth="1"/>
    <col min="1282" max="1284" width="10.88671875" style="3" customWidth="1"/>
    <col min="1285" max="1285" width="11.33203125" style="3" customWidth="1"/>
    <col min="1286" max="1286" width="11.88671875" style="3" customWidth="1"/>
    <col min="1287" max="1287" width="10.109375" style="3" bestFit="1" customWidth="1"/>
    <col min="1288" max="1288" width="11" style="3" customWidth="1"/>
    <col min="1289" max="1289" width="11.33203125" style="3" customWidth="1"/>
    <col min="1290" max="1536" width="8.88671875" style="3"/>
    <col min="1537" max="1537" width="27.109375" style="3" bestFit="1" customWidth="1"/>
    <col min="1538" max="1540" width="10.88671875" style="3" customWidth="1"/>
    <col min="1541" max="1541" width="11.33203125" style="3" customWidth="1"/>
    <col min="1542" max="1542" width="11.88671875" style="3" customWidth="1"/>
    <col min="1543" max="1543" width="10.109375" style="3" bestFit="1" customWidth="1"/>
    <col min="1544" max="1544" width="11" style="3" customWidth="1"/>
    <col min="1545" max="1545" width="11.33203125" style="3" customWidth="1"/>
    <col min="1546" max="1792" width="8.88671875" style="3"/>
    <col min="1793" max="1793" width="27.109375" style="3" bestFit="1" customWidth="1"/>
    <col min="1794" max="1796" width="10.88671875" style="3" customWidth="1"/>
    <col min="1797" max="1797" width="11.33203125" style="3" customWidth="1"/>
    <col min="1798" max="1798" width="11.88671875" style="3" customWidth="1"/>
    <col min="1799" max="1799" width="10.109375" style="3" bestFit="1" customWidth="1"/>
    <col min="1800" max="1800" width="11" style="3" customWidth="1"/>
    <col min="1801" max="1801" width="11.33203125" style="3" customWidth="1"/>
    <col min="1802" max="2048" width="8.88671875" style="3"/>
    <col min="2049" max="2049" width="27.109375" style="3" bestFit="1" customWidth="1"/>
    <col min="2050" max="2052" width="10.88671875" style="3" customWidth="1"/>
    <col min="2053" max="2053" width="11.33203125" style="3" customWidth="1"/>
    <col min="2054" max="2054" width="11.88671875" style="3" customWidth="1"/>
    <col min="2055" max="2055" width="10.109375" style="3" bestFit="1" customWidth="1"/>
    <col min="2056" max="2056" width="11" style="3" customWidth="1"/>
    <col min="2057" max="2057" width="11.33203125" style="3" customWidth="1"/>
    <col min="2058" max="2304" width="8.88671875" style="3"/>
    <col min="2305" max="2305" width="27.109375" style="3" bestFit="1" customWidth="1"/>
    <col min="2306" max="2308" width="10.88671875" style="3" customWidth="1"/>
    <col min="2309" max="2309" width="11.33203125" style="3" customWidth="1"/>
    <col min="2310" max="2310" width="11.88671875" style="3" customWidth="1"/>
    <col min="2311" max="2311" width="10.109375" style="3" bestFit="1" customWidth="1"/>
    <col min="2312" max="2312" width="11" style="3" customWidth="1"/>
    <col min="2313" max="2313" width="11.33203125" style="3" customWidth="1"/>
    <col min="2314" max="2560" width="8.88671875" style="3"/>
    <col min="2561" max="2561" width="27.109375" style="3" bestFit="1" customWidth="1"/>
    <col min="2562" max="2564" width="10.88671875" style="3" customWidth="1"/>
    <col min="2565" max="2565" width="11.33203125" style="3" customWidth="1"/>
    <col min="2566" max="2566" width="11.88671875" style="3" customWidth="1"/>
    <col min="2567" max="2567" width="10.109375" style="3" bestFit="1" customWidth="1"/>
    <col min="2568" max="2568" width="11" style="3" customWidth="1"/>
    <col min="2569" max="2569" width="11.33203125" style="3" customWidth="1"/>
    <col min="2570" max="2816" width="8.88671875" style="3"/>
    <col min="2817" max="2817" width="27.109375" style="3" bestFit="1" customWidth="1"/>
    <col min="2818" max="2820" width="10.88671875" style="3" customWidth="1"/>
    <col min="2821" max="2821" width="11.33203125" style="3" customWidth="1"/>
    <col min="2822" max="2822" width="11.88671875" style="3" customWidth="1"/>
    <col min="2823" max="2823" width="10.109375" style="3" bestFit="1" customWidth="1"/>
    <col min="2824" max="2824" width="11" style="3" customWidth="1"/>
    <col min="2825" max="2825" width="11.33203125" style="3" customWidth="1"/>
    <col min="2826" max="3072" width="8.88671875" style="3"/>
    <col min="3073" max="3073" width="27.109375" style="3" bestFit="1" customWidth="1"/>
    <col min="3074" max="3076" width="10.88671875" style="3" customWidth="1"/>
    <col min="3077" max="3077" width="11.33203125" style="3" customWidth="1"/>
    <col min="3078" max="3078" width="11.88671875" style="3" customWidth="1"/>
    <col min="3079" max="3079" width="10.109375" style="3" bestFit="1" customWidth="1"/>
    <col min="3080" max="3080" width="11" style="3" customWidth="1"/>
    <col min="3081" max="3081" width="11.33203125" style="3" customWidth="1"/>
    <col min="3082" max="3328" width="8.88671875" style="3"/>
    <col min="3329" max="3329" width="27.109375" style="3" bestFit="1" customWidth="1"/>
    <col min="3330" max="3332" width="10.88671875" style="3" customWidth="1"/>
    <col min="3333" max="3333" width="11.33203125" style="3" customWidth="1"/>
    <col min="3334" max="3334" width="11.88671875" style="3" customWidth="1"/>
    <col min="3335" max="3335" width="10.109375" style="3" bestFit="1" customWidth="1"/>
    <col min="3336" max="3336" width="11" style="3" customWidth="1"/>
    <col min="3337" max="3337" width="11.33203125" style="3" customWidth="1"/>
    <col min="3338" max="3584" width="8.88671875" style="3"/>
    <col min="3585" max="3585" width="27.109375" style="3" bestFit="1" customWidth="1"/>
    <col min="3586" max="3588" width="10.88671875" style="3" customWidth="1"/>
    <col min="3589" max="3589" width="11.33203125" style="3" customWidth="1"/>
    <col min="3590" max="3590" width="11.88671875" style="3" customWidth="1"/>
    <col min="3591" max="3591" width="10.109375" style="3" bestFit="1" customWidth="1"/>
    <col min="3592" max="3592" width="11" style="3" customWidth="1"/>
    <col min="3593" max="3593" width="11.33203125" style="3" customWidth="1"/>
    <col min="3594" max="3840" width="8.88671875" style="3"/>
    <col min="3841" max="3841" width="27.109375" style="3" bestFit="1" customWidth="1"/>
    <col min="3842" max="3844" width="10.88671875" style="3" customWidth="1"/>
    <col min="3845" max="3845" width="11.33203125" style="3" customWidth="1"/>
    <col min="3846" max="3846" width="11.88671875" style="3" customWidth="1"/>
    <col min="3847" max="3847" width="10.109375" style="3" bestFit="1" customWidth="1"/>
    <col min="3848" max="3848" width="11" style="3" customWidth="1"/>
    <col min="3849" max="3849" width="11.33203125" style="3" customWidth="1"/>
    <col min="3850" max="4096" width="8.88671875" style="3"/>
    <col min="4097" max="4097" width="27.109375" style="3" bestFit="1" customWidth="1"/>
    <col min="4098" max="4100" width="10.88671875" style="3" customWidth="1"/>
    <col min="4101" max="4101" width="11.33203125" style="3" customWidth="1"/>
    <col min="4102" max="4102" width="11.88671875" style="3" customWidth="1"/>
    <col min="4103" max="4103" width="10.109375" style="3" bestFit="1" customWidth="1"/>
    <col min="4104" max="4104" width="11" style="3" customWidth="1"/>
    <col min="4105" max="4105" width="11.33203125" style="3" customWidth="1"/>
    <col min="4106" max="4352" width="8.88671875" style="3"/>
    <col min="4353" max="4353" width="27.109375" style="3" bestFit="1" customWidth="1"/>
    <col min="4354" max="4356" width="10.88671875" style="3" customWidth="1"/>
    <col min="4357" max="4357" width="11.33203125" style="3" customWidth="1"/>
    <col min="4358" max="4358" width="11.88671875" style="3" customWidth="1"/>
    <col min="4359" max="4359" width="10.109375" style="3" bestFit="1" customWidth="1"/>
    <col min="4360" max="4360" width="11" style="3" customWidth="1"/>
    <col min="4361" max="4361" width="11.33203125" style="3" customWidth="1"/>
    <col min="4362" max="4608" width="8.88671875" style="3"/>
    <col min="4609" max="4609" width="27.109375" style="3" bestFit="1" customWidth="1"/>
    <col min="4610" max="4612" width="10.88671875" style="3" customWidth="1"/>
    <col min="4613" max="4613" width="11.33203125" style="3" customWidth="1"/>
    <col min="4614" max="4614" width="11.88671875" style="3" customWidth="1"/>
    <col min="4615" max="4615" width="10.109375" style="3" bestFit="1" customWidth="1"/>
    <col min="4616" max="4616" width="11" style="3" customWidth="1"/>
    <col min="4617" max="4617" width="11.33203125" style="3" customWidth="1"/>
    <col min="4618" max="4864" width="8.88671875" style="3"/>
    <col min="4865" max="4865" width="27.109375" style="3" bestFit="1" customWidth="1"/>
    <col min="4866" max="4868" width="10.88671875" style="3" customWidth="1"/>
    <col min="4869" max="4869" width="11.33203125" style="3" customWidth="1"/>
    <col min="4870" max="4870" width="11.88671875" style="3" customWidth="1"/>
    <col min="4871" max="4871" width="10.109375" style="3" bestFit="1" customWidth="1"/>
    <col min="4872" max="4872" width="11" style="3" customWidth="1"/>
    <col min="4873" max="4873" width="11.33203125" style="3" customWidth="1"/>
    <col min="4874" max="5120" width="8.88671875" style="3"/>
    <col min="5121" max="5121" width="27.109375" style="3" bestFit="1" customWidth="1"/>
    <col min="5122" max="5124" width="10.88671875" style="3" customWidth="1"/>
    <col min="5125" max="5125" width="11.33203125" style="3" customWidth="1"/>
    <col min="5126" max="5126" width="11.88671875" style="3" customWidth="1"/>
    <col min="5127" max="5127" width="10.109375" style="3" bestFit="1" customWidth="1"/>
    <col min="5128" max="5128" width="11" style="3" customWidth="1"/>
    <col min="5129" max="5129" width="11.33203125" style="3" customWidth="1"/>
    <col min="5130" max="5376" width="8.88671875" style="3"/>
    <col min="5377" max="5377" width="27.109375" style="3" bestFit="1" customWidth="1"/>
    <col min="5378" max="5380" width="10.88671875" style="3" customWidth="1"/>
    <col min="5381" max="5381" width="11.33203125" style="3" customWidth="1"/>
    <col min="5382" max="5382" width="11.88671875" style="3" customWidth="1"/>
    <col min="5383" max="5383" width="10.109375" style="3" bestFit="1" customWidth="1"/>
    <col min="5384" max="5384" width="11" style="3" customWidth="1"/>
    <col min="5385" max="5385" width="11.33203125" style="3" customWidth="1"/>
    <col min="5386" max="5632" width="8.88671875" style="3"/>
    <col min="5633" max="5633" width="27.109375" style="3" bestFit="1" customWidth="1"/>
    <col min="5634" max="5636" width="10.88671875" style="3" customWidth="1"/>
    <col min="5637" max="5637" width="11.33203125" style="3" customWidth="1"/>
    <col min="5638" max="5638" width="11.88671875" style="3" customWidth="1"/>
    <col min="5639" max="5639" width="10.109375" style="3" bestFit="1" customWidth="1"/>
    <col min="5640" max="5640" width="11" style="3" customWidth="1"/>
    <col min="5641" max="5641" width="11.33203125" style="3" customWidth="1"/>
    <col min="5642" max="5888" width="8.88671875" style="3"/>
    <col min="5889" max="5889" width="27.109375" style="3" bestFit="1" customWidth="1"/>
    <col min="5890" max="5892" width="10.88671875" style="3" customWidth="1"/>
    <col min="5893" max="5893" width="11.33203125" style="3" customWidth="1"/>
    <col min="5894" max="5894" width="11.88671875" style="3" customWidth="1"/>
    <col min="5895" max="5895" width="10.109375" style="3" bestFit="1" customWidth="1"/>
    <col min="5896" max="5896" width="11" style="3" customWidth="1"/>
    <col min="5897" max="5897" width="11.33203125" style="3" customWidth="1"/>
    <col min="5898" max="6144" width="8.88671875" style="3"/>
    <col min="6145" max="6145" width="27.109375" style="3" bestFit="1" customWidth="1"/>
    <col min="6146" max="6148" width="10.88671875" style="3" customWidth="1"/>
    <col min="6149" max="6149" width="11.33203125" style="3" customWidth="1"/>
    <col min="6150" max="6150" width="11.88671875" style="3" customWidth="1"/>
    <col min="6151" max="6151" width="10.109375" style="3" bestFit="1" customWidth="1"/>
    <col min="6152" max="6152" width="11" style="3" customWidth="1"/>
    <col min="6153" max="6153" width="11.33203125" style="3" customWidth="1"/>
    <col min="6154" max="6400" width="8.88671875" style="3"/>
    <col min="6401" max="6401" width="27.109375" style="3" bestFit="1" customWidth="1"/>
    <col min="6402" max="6404" width="10.88671875" style="3" customWidth="1"/>
    <col min="6405" max="6405" width="11.33203125" style="3" customWidth="1"/>
    <col min="6406" max="6406" width="11.88671875" style="3" customWidth="1"/>
    <col min="6407" max="6407" width="10.109375" style="3" bestFit="1" customWidth="1"/>
    <col min="6408" max="6408" width="11" style="3" customWidth="1"/>
    <col min="6409" max="6409" width="11.33203125" style="3" customWidth="1"/>
    <col min="6410" max="6656" width="8.88671875" style="3"/>
    <col min="6657" max="6657" width="27.109375" style="3" bestFit="1" customWidth="1"/>
    <col min="6658" max="6660" width="10.88671875" style="3" customWidth="1"/>
    <col min="6661" max="6661" width="11.33203125" style="3" customWidth="1"/>
    <col min="6662" max="6662" width="11.88671875" style="3" customWidth="1"/>
    <col min="6663" max="6663" width="10.109375" style="3" bestFit="1" customWidth="1"/>
    <col min="6664" max="6664" width="11" style="3" customWidth="1"/>
    <col min="6665" max="6665" width="11.33203125" style="3" customWidth="1"/>
    <col min="6666" max="6912" width="8.88671875" style="3"/>
    <col min="6913" max="6913" width="27.109375" style="3" bestFit="1" customWidth="1"/>
    <col min="6914" max="6916" width="10.88671875" style="3" customWidth="1"/>
    <col min="6917" max="6917" width="11.33203125" style="3" customWidth="1"/>
    <col min="6918" max="6918" width="11.88671875" style="3" customWidth="1"/>
    <col min="6919" max="6919" width="10.109375" style="3" bestFit="1" customWidth="1"/>
    <col min="6920" max="6920" width="11" style="3" customWidth="1"/>
    <col min="6921" max="6921" width="11.33203125" style="3" customWidth="1"/>
    <col min="6922" max="7168" width="8.88671875" style="3"/>
    <col min="7169" max="7169" width="27.109375" style="3" bestFit="1" customWidth="1"/>
    <col min="7170" max="7172" width="10.88671875" style="3" customWidth="1"/>
    <col min="7173" max="7173" width="11.33203125" style="3" customWidth="1"/>
    <col min="7174" max="7174" width="11.88671875" style="3" customWidth="1"/>
    <col min="7175" max="7175" width="10.109375" style="3" bestFit="1" customWidth="1"/>
    <col min="7176" max="7176" width="11" style="3" customWidth="1"/>
    <col min="7177" max="7177" width="11.33203125" style="3" customWidth="1"/>
    <col min="7178" max="7424" width="8.88671875" style="3"/>
    <col min="7425" max="7425" width="27.109375" style="3" bestFit="1" customWidth="1"/>
    <col min="7426" max="7428" width="10.88671875" style="3" customWidth="1"/>
    <col min="7429" max="7429" width="11.33203125" style="3" customWidth="1"/>
    <col min="7430" max="7430" width="11.88671875" style="3" customWidth="1"/>
    <col min="7431" max="7431" width="10.109375" style="3" bestFit="1" customWidth="1"/>
    <col min="7432" max="7432" width="11" style="3" customWidth="1"/>
    <col min="7433" max="7433" width="11.33203125" style="3" customWidth="1"/>
    <col min="7434" max="7680" width="8.88671875" style="3"/>
    <col min="7681" max="7681" width="27.109375" style="3" bestFit="1" customWidth="1"/>
    <col min="7682" max="7684" width="10.88671875" style="3" customWidth="1"/>
    <col min="7685" max="7685" width="11.33203125" style="3" customWidth="1"/>
    <col min="7686" max="7686" width="11.88671875" style="3" customWidth="1"/>
    <col min="7687" max="7687" width="10.109375" style="3" bestFit="1" customWidth="1"/>
    <col min="7688" max="7688" width="11" style="3" customWidth="1"/>
    <col min="7689" max="7689" width="11.33203125" style="3" customWidth="1"/>
    <col min="7690" max="7936" width="8.88671875" style="3"/>
    <col min="7937" max="7937" width="27.109375" style="3" bestFit="1" customWidth="1"/>
    <col min="7938" max="7940" width="10.88671875" style="3" customWidth="1"/>
    <col min="7941" max="7941" width="11.33203125" style="3" customWidth="1"/>
    <col min="7942" max="7942" width="11.88671875" style="3" customWidth="1"/>
    <col min="7943" max="7943" width="10.109375" style="3" bestFit="1" customWidth="1"/>
    <col min="7944" max="7944" width="11" style="3" customWidth="1"/>
    <col min="7945" max="7945" width="11.33203125" style="3" customWidth="1"/>
    <col min="7946" max="8192" width="8.88671875" style="3"/>
    <col min="8193" max="8193" width="27.109375" style="3" bestFit="1" customWidth="1"/>
    <col min="8194" max="8196" width="10.88671875" style="3" customWidth="1"/>
    <col min="8197" max="8197" width="11.33203125" style="3" customWidth="1"/>
    <col min="8198" max="8198" width="11.88671875" style="3" customWidth="1"/>
    <col min="8199" max="8199" width="10.109375" style="3" bestFit="1" customWidth="1"/>
    <col min="8200" max="8200" width="11" style="3" customWidth="1"/>
    <col min="8201" max="8201" width="11.33203125" style="3" customWidth="1"/>
    <col min="8202" max="8448" width="8.88671875" style="3"/>
    <col min="8449" max="8449" width="27.109375" style="3" bestFit="1" customWidth="1"/>
    <col min="8450" max="8452" width="10.88671875" style="3" customWidth="1"/>
    <col min="8453" max="8453" width="11.33203125" style="3" customWidth="1"/>
    <col min="8454" max="8454" width="11.88671875" style="3" customWidth="1"/>
    <col min="8455" max="8455" width="10.109375" style="3" bestFit="1" customWidth="1"/>
    <col min="8456" max="8456" width="11" style="3" customWidth="1"/>
    <col min="8457" max="8457" width="11.33203125" style="3" customWidth="1"/>
    <col min="8458" max="8704" width="8.88671875" style="3"/>
    <col min="8705" max="8705" width="27.109375" style="3" bestFit="1" customWidth="1"/>
    <col min="8706" max="8708" width="10.88671875" style="3" customWidth="1"/>
    <col min="8709" max="8709" width="11.33203125" style="3" customWidth="1"/>
    <col min="8710" max="8710" width="11.88671875" style="3" customWidth="1"/>
    <col min="8711" max="8711" width="10.109375" style="3" bestFit="1" customWidth="1"/>
    <col min="8712" max="8712" width="11" style="3" customWidth="1"/>
    <col min="8713" max="8713" width="11.33203125" style="3" customWidth="1"/>
    <col min="8714" max="8960" width="8.88671875" style="3"/>
    <col min="8961" max="8961" width="27.109375" style="3" bestFit="1" customWidth="1"/>
    <col min="8962" max="8964" width="10.88671875" style="3" customWidth="1"/>
    <col min="8965" max="8965" width="11.33203125" style="3" customWidth="1"/>
    <col min="8966" max="8966" width="11.88671875" style="3" customWidth="1"/>
    <col min="8967" max="8967" width="10.109375" style="3" bestFit="1" customWidth="1"/>
    <col min="8968" max="8968" width="11" style="3" customWidth="1"/>
    <col min="8969" max="8969" width="11.33203125" style="3" customWidth="1"/>
    <col min="8970" max="9216" width="8.88671875" style="3"/>
    <col min="9217" max="9217" width="27.109375" style="3" bestFit="1" customWidth="1"/>
    <col min="9218" max="9220" width="10.88671875" style="3" customWidth="1"/>
    <col min="9221" max="9221" width="11.33203125" style="3" customWidth="1"/>
    <col min="9222" max="9222" width="11.88671875" style="3" customWidth="1"/>
    <col min="9223" max="9223" width="10.109375" style="3" bestFit="1" customWidth="1"/>
    <col min="9224" max="9224" width="11" style="3" customWidth="1"/>
    <col min="9225" max="9225" width="11.33203125" style="3" customWidth="1"/>
    <col min="9226" max="9472" width="8.88671875" style="3"/>
    <col min="9473" max="9473" width="27.109375" style="3" bestFit="1" customWidth="1"/>
    <col min="9474" max="9476" width="10.88671875" style="3" customWidth="1"/>
    <col min="9477" max="9477" width="11.33203125" style="3" customWidth="1"/>
    <col min="9478" max="9478" width="11.88671875" style="3" customWidth="1"/>
    <col min="9479" max="9479" width="10.109375" style="3" bestFit="1" customWidth="1"/>
    <col min="9480" max="9480" width="11" style="3" customWidth="1"/>
    <col min="9481" max="9481" width="11.33203125" style="3" customWidth="1"/>
    <col min="9482" max="9728" width="8.88671875" style="3"/>
    <col min="9729" max="9729" width="27.109375" style="3" bestFit="1" customWidth="1"/>
    <col min="9730" max="9732" width="10.88671875" style="3" customWidth="1"/>
    <col min="9733" max="9733" width="11.33203125" style="3" customWidth="1"/>
    <col min="9734" max="9734" width="11.88671875" style="3" customWidth="1"/>
    <col min="9735" max="9735" width="10.109375" style="3" bestFit="1" customWidth="1"/>
    <col min="9736" max="9736" width="11" style="3" customWidth="1"/>
    <col min="9737" max="9737" width="11.33203125" style="3" customWidth="1"/>
    <col min="9738" max="9984" width="8.88671875" style="3"/>
    <col min="9985" max="9985" width="27.109375" style="3" bestFit="1" customWidth="1"/>
    <col min="9986" max="9988" width="10.88671875" style="3" customWidth="1"/>
    <col min="9989" max="9989" width="11.33203125" style="3" customWidth="1"/>
    <col min="9990" max="9990" width="11.88671875" style="3" customWidth="1"/>
    <col min="9991" max="9991" width="10.109375" style="3" bestFit="1" customWidth="1"/>
    <col min="9992" max="9992" width="11" style="3" customWidth="1"/>
    <col min="9993" max="9993" width="11.33203125" style="3" customWidth="1"/>
    <col min="9994" max="10240" width="8.88671875" style="3"/>
    <col min="10241" max="10241" width="27.109375" style="3" bestFit="1" customWidth="1"/>
    <col min="10242" max="10244" width="10.88671875" style="3" customWidth="1"/>
    <col min="10245" max="10245" width="11.33203125" style="3" customWidth="1"/>
    <col min="10246" max="10246" width="11.88671875" style="3" customWidth="1"/>
    <col min="10247" max="10247" width="10.109375" style="3" bestFit="1" customWidth="1"/>
    <col min="10248" max="10248" width="11" style="3" customWidth="1"/>
    <col min="10249" max="10249" width="11.33203125" style="3" customWidth="1"/>
    <col min="10250" max="10496" width="8.88671875" style="3"/>
    <col min="10497" max="10497" width="27.109375" style="3" bestFit="1" customWidth="1"/>
    <col min="10498" max="10500" width="10.88671875" style="3" customWidth="1"/>
    <col min="10501" max="10501" width="11.33203125" style="3" customWidth="1"/>
    <col min="10502" max="10502" width="11.88671875" style="3" customWidth="1"/>
    <col min="10503" max="10503" width="10.109375" style="3" bestFit="1" customWidth="1"/>
    <col min="10504" max="10504" width="11" style="3" customWidth="1"/>
    <col min="10505" max="10505" width="11.33203125" style="3" customWidth="1"/>
    <col min="10506" max="10752" width="8.88671875" style="3"/>
    <col min="10753" max="10753" width="27.109375" style="3" bestFit="1" customWidth="1"/>
    <col min="10754" max="10756" width="10.88671875" style="3" customWidth="1"/>
    <col min="10757" max="10757" width="11.33203125" style="3" customWidth="1"/>
    <col min="10758" max="10758" width="11.88671875" style="3" customWidth="1"/>
    <col min="10759" max="10759" width="10.109375" style="3" bestFit="1" customWidth="1"/>
    <col min="10760" max="10760" width="11" style="3" customWidth="1"/>
    <col min="10761" max="10761" width="11.33203125" style="3" customWidth="1"/>
    <col min="10762" max="11008" width="8.88671875" style="3"/>
    <col min="11009" max="11009" width="27.109375" style="3" bestFit="1" customWidth="1"/>
    <col min="11010" max="11012" width="10.88671875" style="3" customWidth="1"/>
    <col min="11013" max="11013" width="11.33203125" style="3" customWidth="1"/>
    <col min="11014" max="11014" width="11.88671875" style="3" customWidth="1"/>
    <col min="11015" max="11015" width="10.109375" style="3" bestFit="1" customWidth="1"/>
    <col min="11016" max="11016" width="11" style="3" customWidth="1"/>
    <col min="11017" max="11017" width="11.33203125" style="3" customWidth="1"/>
    <col min="11018" max="11264" width="8.88671875" style="3"/>
    <col min="11265" max="11265" width="27.109375" style="3" bestFit="1" customWidth="1"/>
    <col min="11266" max="11268" width="10.88671875" style="3" customWidth="1"/>
    <col min="11269" max="11269" width="11.33203125" style="3" customWidth="1"/>
    <col min="11270" max="11270" width="11.88671875" style="3" customWidth="1"/>
    <col min="11271" max="11271" width="10.109375" style="3" bestFit="1" customWidth="1"/>
    <col min="11272" max="11272" width="11" style="3" customWidth="1"/>
    <col min="11273" max="11273" width="11.33203125" style="3" customWidth="1"/>
    <col min="11274" max="11520" width="8.88671875" style="3"/>
    <col min="11521" max="11521" width="27.109375" style="3" bestFit="1" customWidth="1"/>
    <col min="11522" max="11524" width="10.88671875" style="3" customWidth="1"/>
    <col min="11525" max="11525" width="11.33203125" style="3" customWidth="1"/>
    <col min="11526" max="11526" width="11.88671875" style="3" customWidth="1"/>
    <col min="11527" max="11527" width="10.109375" style="3" bestFit="1" customWidth="1"/>
    <col min="11528" max="11528" width="11" style="3" customWidth="1"/>
    <col min="11529" max="11529" width="11.33203125" style="3" customWidth="1"/>
    <col min="11530" max="11776" width="8.88671875" style="3"/>
    <col min="11777" max="11777" width="27.109375" style="3" bestFit="1" customWidth="1"/>
    <col min="11778" max="11780" width="10.88671875" style="3" customWidth="1"/>
    <col min="11781" max="11781" width="11.33203125" style="3" customWidth="1"/>
    <col min="11782" max="11782" width="11.88671875" style="3" customWidth="1"/>
    <col min="11783" max="11783" width="10.109375" style="3" bestFit="1" customWidth="1"/>
    <col min="11784" max="11784" width="11" style="3" customWidth="1"/>
    <col min="11785" max="11785" width="11.33203125" style="3" customWidth="1"/>
    <col min="11786" max="12032" width="8.88671875" style="3"/>
    <col min="12033" max="12033" width="27.109375" style="3" bestFit="1" customWidth="1"/>
    <col min="12034" max="12036" width="10.88671875" style="3" customWidth="1"/>
    <col min="12037" max="12037" width="11.33203125" style="3" customWidth="1"/>
    <col min="12038" max="12038" width="11.88671875" style="3" customWidth="1"/>
    <col min="12039" max="12039" width="10.109375" style="3" bestFit="1" customWidth="1"/>
    <col min="12040" max="12040" width="11" style="3" customWidth="1"/>
    <col min="12041" max="12041" width="11.33203125" style="3" customWidth="1"/>
    <col min="12042" max="12288" width="8.88671875" style="3"/>
    <col min="12289" max="12289" width="27.109375" style="3" bestFit="1" customWidth="1"/>
    <col min="12290" max="12292" width="10.88671875" style="3" customWidth="1"/>
    <col min="12293" max="12293" width="11.33203125" style="3" customWidth="1"/>
    <col min="12294" max="12294" width="11.88671875" style="3" customWidth="1"/>
    <col min="12295" max="12295" width="10.109375" style="3" bestFit="1" customWidth="1"/>
    <col min="12296" max="12296" width="11" style="3" customWidth="1"/>
    <col min="12297" max="12297" width="11.33203125" style="3" customWidth="1"/>
    <col min="12298" max="12544" width="8.88671875" style="3"/>
    <col min="12545" max="12545" width="27.109375" style="3" bestFit="1" customWidth="1"/>
    <col min="12546" max="12548" width="10.88671875" style="3" customWidth="1"/>
    <col min="12549" max="12549" width="11.33203125" style="3" customWidth="1"/>
    <col min="12550" max="12550" width="11.88671875" style="3" customWidth="1"/>
    <col min="12551" max="12551" width="10.109375" style="3" bestFit="1" customWidth="1"/>
    <col min="12552" max="12552" width="11" style="3" customWidth="1"/>
    <col min="12553" max="12553" width="11.33203125" style="3" customWidth="1"/>
    <col min="12554" max="12800" width="8.88671875" style="3"/>
    <col min="12801" max="12801" width="27.109375" style="3" bestFit="1" customWidth="1"/>
    <col min="12802" max="12804" width="10.88671875" style="3" customWidth="1"/>
    <col min="12805" max="12805" width="11.33203125" style="3" customWidth="1"/>
    <col min="12806" max="12806" width="11.88671875" style="3" customWidth="1"/>
    <col min="12807" max="12807" width="10.109375" style="3" bestFit="1" customWidth="1"/>
    <col min="12808" max="12808" width="11" style="3" customWidth="1"/>
    <col min="12809" max="12809" width="11.33203125" style="3" customWidth="1"/>
    <col min="12810" max="13056" width="8.88671875" style="3"/>
    <col min="13057" max="13057" width="27.109375" style="3" bestFit="1" customWidth="1"/>
    <col min="13058" max="13060" width="10.88671875" style="3" customWidth="1"/>
    <col min="13061" max="13061" width="11.33203125" style="3" customWidth="1"/>
    <col min="13062" max="13062" width="11.88671875" style="3" customWidth="1"/>
    <col min="13063" max="13063" width="10.109375" style="3" bestFit="1" customWidth="1"/>
    <col min="13064" max="13064" width="11" style="3" customWidth="1"/>
    <col min="13065" max="13065" width="11.33203125" style="3" customWidth="1"/>
    <col min="13066" max="13312" width="8.88671875" style="3"/>
    <col min="13313" max="13313" width="27.109375" style="3" bestFit="1" customWidth="1"/>
    <col min="13314" max="13316" width="10.88671875" style="3" customWidth="1"/>
    <col min="13317" max="13317" width="11.33203125" style="3" customWidth="1"/>
    <col min="13318" max="13318" width="11.88671875" style="3" customWidth="1"/>
    <col min="13319" max="13319" width="10.109375" style="3" bestFit="1" customWidth="1"/>
    <col min="13320" max="13320" width="11" style="3" customWidth="1"/>
    <col min="13321" max="13321" width="11.33203125" style="3" customWidth="1"/>
    <col min="13322" max="13568" width="8.88671875" style="3"/>
    <col min="13569" max="13569" width="27.109375" style="3" bestFit="1" customWidth="1"/>
    <col min="13570" max="13572" width="10.88671875" style="3" customWidth="1"/>
    <col min="13573" max="13573" width="11.33203125" style="3" customWidth="1"/>
    <col min="13574" max="13574" width="11.88671875" style="3" customWidth="1"/>
    <col min="13575" max="13575" width="10.109375" style="3" bestFit="1" customWidth="1"/>
    <col min="13576" max="13576" width="11" style="3" customWidth="1"/>
    <col min="13577" max="13577" width="11.33203125" style="3" customWidth="1"/>
    <col min="13578" max="13824" width="8.88671875" style="3"/>
    <col min="13825" max="13825" width="27.109375" style="3" bestFit="1" customWidth="1"/>
    <col min="13826" max="13828" width="10.88671875" style="3" customWidth="1"/>
    <col min="13829" max="13829" width="11.33203125" style="3" customWidth="1"/>
    <col min="13830" max="13830" width="11.88671875" style="3" customWidth="1"/>
    <col min="13831" max="13831" width="10.109375" style="3" bestFit="1" customWidth="1"/>
    <col min="13832" max="13832" width="11" style="3" customWidth="1"/>
    <col min="13833" max="13833" width="11.33203125" style="3" customWidth="1"/>
    <col min="13834" max="14080" width="8.88671875" style="3"/>
    <col min="14081" max="14081" width="27.109375" style="3" bestFit="1" customWidth="1"/>
    <col min="14082" max="14084" width="10.88671875" style="3" customWidth="1"/>
    <col min="14085" max="14085" width="11.33203125" style="3" customWidth="1"/>
    <col min="14086" max="14086" width="11.88671875" style="3" customWidth="1"/>
    <col min="14087" max="14087" width="10.109375" style="3" bestFit="1" customWidth="1"/>
    <col min="14088" max="14088" width="11" style="3" customWidth="1"/>
    <col min="14089" max="14089" width="11.33203125" style="3" customWidth="1"/>
    <col min="14090" max="14336" width="8.88671875" style="3"/>
    <col min="14337" max="14337" width="27.109375" style="3" bestFit="1" customWidth="1"/>
    <col min="14338" max="14340" width="10.88671875" style="3" customWidth="1"/>
    <col min="14341" max="14341" width="11.33203125" style="3" customWidth="1"/>
    <col min="14342" max="14342" width="11.88671875" style="3" customWidth="1"/>
    <col min="14343" max="14343" width="10.109375" style="3" bestFit="1" customWidth="1"/>
    <col min="14344" max="14344" width="11" style="3" customWidth="1"/>
    <col min="14345" max="14345" width="11.33203125" style="3" customWidth="1"/>
    <col min="14346" max="14592" width="8.88671875" style="3"/>
    <col min="14593" max="14593" width="27.109375" style="3" bestFit="1" customWidth="1"/>
    <col min="14594" max="14596" width="10.88671875" style="3" customWidth="1"/>
    <col min="14597" max="14597" width="11.33203125" style="3" customWidth="1"/>
    <col min="14598" max="14598" width="11.88671875" style="3" customWidth="1"/>
    <col min="14599" max="14599" width="10.109375" style="3" bestFit="1" customWidth="1"/>
    <col min="14600" max="14600" width="11" style="3" customWidth="1"/>
    <col min="14601" max="14601" width="11.33203125" style="3" customWidth="1"/>
    <col min="14602" max="14848" width="8.88671875" style="3"/>
    <col min="14849" max="14849" width="27.109375" style="3" bestFit="1" customWidth="1"/>
    <col min="14850" max="14852" width="10.88671875" style="3" customWidth="1"/>
    <col min="14853" max="14853" width="11.33203125" style="3" customWidth="1"/>
    <col min="14854" max="14854" width="11.88671875" style="3" customWidth="1"/>
    <col min="14855" max="14855" width="10.109375" style="3" bestFit="1" customWidth="1"/>
    <col min="14856" max="14856" width="11" style="3" customWidth="1"/>
    <col min="14857" max="14857" width="11.33203125" style="3" customWidth="1"/>
    <col min="14858" max="15104" width="8.88671875" style="3"/>
    <col min="15105" max="15105" width="27.109375" style="3" bestFit="1" customWidth="1"/>
    <col min="15106" max="15108" width="10.88671875" style="3" customWidth="1"/>
    <col min="15109" max="15109" width="11.33203125" style="3" customWidth="1"/>
    <col min="15110" max="15110" width="11.88671875" style="3" customWidth="1"/>
    <col min="15111" max="15111" width="10.109375" style="3" bestFit="1" customWidth="1"/>
    <col min="15112" max="15112" width="11" style="3" customWidth="1"/>
    <col min="15113" max="15113" width="11.33203125" style="3" customWidth="1"/>
    <col min="15114" max="15360" width="8.88671875" style="3"/>
    <col min="15361" max="15361" width="27.109375" style="3" bestFit="1" customWidth="1"/>
    <col min="15362" max="15364" width="10.88671875" style="3" customWidth="1"/>
    <col min="15365" max="15365" width="11.33203125" style="3" customWidth="1"/>
    <col min="15366" max="15366" width="11.88671875" style="3" customWidth="1"/>
    <col min="15367" max="15367" width="10.109375" style="3" bestFit="1" customWidth="1"/>
    <col min="15368" max="15368" width="11" style="3" customWidth="1"/>
    <col min="15369" max="15369" width="11.33203125" style="3" customWidth="1"/>
    <col min="15370" max="15616" width="8.88671875" style="3"/>
    <col min="15617" max="15617" width="27.109375" style="3" bestFit="1" customWidth="1"/>
    <col min="15618" max="15620" width="10.88671875" style="3" customWidth="1"/>
    <col min="15621" max="15621" width="11.33203125" style="3" customWidth="1"/>
    <col min="15622" max="15622" width="11.88671875" style="3" customWidth="1"/>
    <col min="15623" max="15623" width="10.109375" style="3" bestFit="1" customWidth="1"/>
    <col min="15624" max="15624" width="11" style="3" customWidth="1"/>
    <col min="15625" max="15625" width="11.33203125" style="3" customWidth="1"/>
    <col min="15626" max="15872" width="8.88671875" style="3"/>
    <col min="15873" max="15873" width="27.109375" style="3" bestFit="1" customWidth="1"/>
    <col min="15874" max="15876" width="10.88671875" style="3" customWidth="1"/>
    <col min="15877" max="15877" width="11.33203125" style="3" customWidth="1"/>
    <col min="15878" max="15878" width="11.88671875" style="3" customWidth="1"/>
    <col min="15879" max="15879" width="10.109375" style="3" bestFit="1" customWidth="1"/>
    <col min="15880" max="15880" width="11" style="3" customWidth="1"/>
    <col min="15881" max="15881" width="11.33203125" style="3" customWidth="1"/>
    <col min="15882" max="16128" width="8.88671875" style="3"/>
    <col min="16129" max="16129" width="27.109375" style="3" bestFit="1" customWidth="1"/>
    <col min="16130" max="16132" width="10.88671875" style="3" customWidth="1"/>
    <col min="16133" max="16133" width="11.33203125" style="3" customWidth="1"/>
    <col min="16134" max="16134" width="11.88671875" style="3" customWidth="1"/>
    <col min="16135" max="16135" width="10.109375" style="3" bestFit="1" customWidth="1"/>
    <col min="16136" max="16136" width="11" style="3" customWidth="1"/>
    <col min="16137" max="16137" width="11.33203125" style="3" customWidth="1"/>
    <col min="16138" max="16384" width="8.88671875" style="3"/>
  </cols>
  <sheetData>
    <row r="1" spans="1:10" ht="66" customHeight="1" x14ac:dyDescent="0.25">
      <c r="A1" s="1" t="str">
        <f>"PLANNING YOUR RETIREMENT"&amp;CHAR(10)&amp;"Using a safety cushion of "&amp;TEXT(B8,"0")&amp;CHAR(10)&amp;"Investor takes "&amp;TEXT(B9,"0,000")&amp;" if end-year wealth &gt; "&amp;TEXT(B8,"0")&amp;"*"&amp;TEXT(B9,"0,000")&amp;", else takes end-year wealth/"&amp;TEXT(B8,"0")</f>
        <v>PLANNING YOUR RETIREMENT
Using a safety cushion of 3
Investor takes 150,000 if end-year wealth &gt; 3*150,000, else takes end-year wealth/3</v>
      </c>
      <c r="B1" s="1"/>
      <c r="C1" s="1"/>
      <c r="D1" s="1"/>
      <c r="E1" s="1"/>
      <c r="F1" s="1"/>
      <c r="G1" s="1"/>
      <c r="H1" s="1"/>
      <c r="I1" s="1"/>
      <c r="J1" s="2"/>
    </row>
    <row r="2" spans="1:10" x14ac:dyDescent="0.25">
      <c r="A2" s="3" t="s">
        <v>0</v>
      </c>
      <c r="B2" s="4">
        <v>1000000</v>
      </c>
      <c r="C2" s="4"/>
      <c r="D2" s="4"/>
    </row>
    <row r="3" spans="1:10" x14ac:dyDescent="0.25">
      <c r="A3" s="3" t="s">
        <v>1</v>
      </c>
      <c r="B3" s="5">
        <v>0.06</v>
      </c>
      <c r="C3" s="5"/>
      <c r="D3" s="5"/>
    </row>
    <row r="4" spans="1:10" x14ac:dyDescent="0.25">
      <c r="A4" s="3" t="s">
        <v>2</v>
      </c>
    </row>
    <row r="5" spans="1:10" x14ac:dyDescent="0.25">
      <c r="A5" s="2" t="s">
        <v>3</v>
      </c>
      <c r="B5" s="5">
        <v>0.08</v>
      </c>
      <c r="C5" s="5"/>
      <c r="D5" s="5"/>
    </row>
    <row r="6" spans="1:10" x14ac:dyDescent="0.25">
      <c r="A6" s="2" t="s">
        <v>4</v>
      </c>
      <c r="B6" s="5">
        <v>0.2</v>
      </c>
      <c r="C6" s="5"/>
      <c r="D6" s="5"/>
    </row>
    <row r="7" spans="1:10" x14ac:dyDescent="0.25">
      <c r="A7" s="6" t="s">
        <v>5</v>
      </c>
      <c r="B7" s="5">
        <v>0.7</v>
      </c>
      <c r="C7" s="5"/>
      <c r="D7" s="5"/>
    </row>
    <row r="8" spans="1:10" x14ac:dyDescent="0.25">
      <c r="A8" s="18" t="s">
        <v>6</v>
      </c>
      <c r="B8" s="19">
        <v>3</v>
      </c>
      <c r="C8" s="5"/>
      <c r="D8" s="5"/>
    </row>
    <row r="9" spans="1:10" x14ac:dyDescent="0.25">
      <c r="A9" s="6" t="s">
        <v>7</v>
      </c>
      <c r="B9" s="4">
        <v>150000</v>
      </c>
      <c r="C9" s="4"/>
      <c r="D9" s="4"/>
    </row>
    <row r="11" spans="1:10" s="8" customFormat="1" ht="52.8" x14ac:dyDescent="0.25">
      <c r="A11" s="8" t="s">
        <v>8</v>
      </c>
      <c r="B11" s="8" t="s">
        <v>9</v>
      </c>
      <c r="C11" s="8" t="s">
        <v>10</v>
      </c>
      <c r="D11" s="8" t="s">
        <v>11</v>
      </c>
      <c r="E11" s="8" t="s">
        <v>12</v>
      </c>
      <c r="F11" s="8" t="s">
        <v>13</v>
      </c>
      <c r="G11" s="8" t="s">
        <v>14</v>
      </c>
      <c r="H11" s="8" t="s">
        <v>15</v>
      </c>
      <c r="I11" s="8" t="s">
        <v>16</v>
      </c>
    </row>
    <row r="12" spans="1:10" x14ac:dyDescent="0.25">
      <c r="A12" s="9">
        <v>1</v>
      </c>
      <c r="B12" s="4">
        <v>1000000</v>
      </c>
      <c r="C12" s="4">
        <v>700000</v>
      </c>
      <c r="D12" s="4">
        <v>300000</v>
      </c>
      <c r="E12" s="10">
        <v>-0.54713050690667564</v>
      </c>
      <c r="F12" s="10">
        <v>0.97100263074306592</v>
      </c>
      <c r="G12" s="4">
        <v>998252.80548375403</v>
      </c>
      <c r="H12" s="4">
        <v>150000</v>
      </c>
    </row>
    <row r="13" spans="1:10" x14ac:dyDescent="0.25">
      <c r="A13" s="9">
        <v>2</v>
      </c>
      <c r="B13" s="4">
        <v>848252.80548375403</v>
      </c>
      <c r="C13" s="4">
        <v>593776.96383862779</v>
      </c>
      <c r="D13" s="4">
        <v>254475.84164512623</v>
      </c>
      <c r="E13" s="10">
        <v>0.47164328129467781</v>
      </c>
      <c r="F13" s="10">
        <v>1.1904467493094806</v>
      </c>
      <c r="G13" s="4">
        <v>977071.60528823209</v>
      </c>
      <c r="H13" s="4">
        <v>150000</v>
      </c>
    </row>
    <row r="14" spans="1:10" x14ac:dyDescent="0.25">
      <c r="A14" s="9">
        <v>3</v>
      </c>
      <c r="B14" s="4">
        <v>827071.60528823209</v>
      </c>
      <c r="C14" s="4">
        <v>578950.12370176241</v>
      </c>
      <c r="D14" s="4">
        <v>248121.48158646969</v>
      </c>
      <c r="E14" s="10">
        <v>-0.89059639695751569</v>
      </c>
      <c r="F14" s="10">
        <v>0.90654076567382458</v>
      </c>
      <c r="G14" s="4">
        <v>788306.34555904614</v>
      </c>
      <c r="H14" s="4">
        <v>150000</v>
      </c>
    </row>
    <row r="15" spans="1:10" x14ac:dyDescent="0.25">
      <c r="A15" s="9">
        <v>4</v>
      </c>
      <c r="B15" s="4">
        <v>638306.34555904614</v>
      </c>
      <c r="C15" s="4">
        <v>446814.44189133227</v>
      </c>
      <c r="D15" s="4">
        <v>191491.90366771386</v>
      </c>
      <c r="E15" s="10">
        <v>0.42123730305181173</v>
      </c>
      <c r="F15" s="10">
        <v>1.1785059128042585</v>
      </c>
      <c r="G15" s="4">
        <v>729906.56337719189</v>
      </c>
      <c r="H15" s="4">
        <v>150000</v>
      </c>
    </row>
    <row r="16" spans="1:10" x14ac:dyDescent="0.25">
      <c r="A16" s="9">
        <v>5</v>
      </c>
      <c r="B16" s="4">
        <v>579906.56337719189</v>
      </c>
      <c r="C16" s="4">
        <v>405934.5943640343</v>
      </c>
      <c r="D16" s="4">
        <v>173971.96901315759</v>
      </c>
      <c r="E16" s="10">
        <v>0.91291378237954368</v>
      </c>
      <c r="F16" s="10">
        <v>1.3002840706433956</v>
      </c>
      <c r="G16" s="4">
        <v>712560.0815472696</v>
      </c>
      <c r="H16" s="4">
        <v>150000</v>
      </c>
    </row>
    <row r="17" spans="1:9" x14ac:dyDescent="0.25">
      <c r="A17" s="9">
        <v>6</v>
      </c>
      <c r="B17" s="4">
        <v>562560.0815472696</v>
      </c>
      <c r="C17" s="4">
        <v>393792.05708308867</v>
      </c>
      <c r="D17" s="4">
        <v>168768.02446418093</v>
      </c>
      <c r="E17" s="10">
        <v>8.9516603096454983E-2</v>
      </c>
      <c r="F17" s="10">
        <v>1.1028561565039752</v>
      </c>
      <c r="G17" s="4">
        <v>613500.05080077774</v>
      </c>
      <c r="H17" s="4">
        <v>150000</v>
      </c>
    </row>
    <row r="18" spans="1:9" x14ac:dyDescent="0.25">
      <c r="A18" s="9">
        <v>7</v>
      </c>
      <c r="B18" s="4">
        <v>463500.05080077774</v>
      </c>
      <c r="C18" s="4">
        <v>324450.03556054441</v>
      </c>
      <c r="D18" s="4">
        <v>139050.01524023333</v>
      </c>
      <c r="E18" s="10">
        <v>-0.35900054375787693</v>
      </c>
      <c r="F18" s="10">
        <v>1.0082336024363616</v>
      </c>
      <c r="G18" s="4">
        <v>474769.81614358234</v>
      </c>
      <c r="H18" s="4">
        <v>150000</v>
      </c>
    </row>
    <row r="19" spans="1:9" x14ac:dyDescent="0.25">
      <c r="A19" s="9">
        <v>8</v>
      </c>
      <c r="B19" s="4">
        <v>324769.81614358234</v>
      </c>
      <c r="C19" s="4">
        <v>227338.87130050763</v>
      </c>
      <c r="D19" s="4">
        <v>97430.944843074714</v>
      </c>
      <c r="E19" s="10">
        <v>-0.98088327716827117</v>
      </c>
      <c r="F19" s="10">
        <v>0.89031792990451797</v>
      </c>
      <c r="G19" s="4">
        <v>305859.61128191947</v>
      </c>
      <c r="H19" s="4">
        <v>101953.20376063982</v>
      </c>
    </row>
    <row r="20" spans="1:9" x14ac:dyDescent="0.25">
      <c r="A20" s="9">
        <v>9</v>
      </c>
      <c r="B20" s="4">
        <v>203906.40752127965</v>
      </c>
      <c r="C20" s="4">
        <v>142734.48526489575</v>
      </c>
      <c r="D20" s="4">
        <v>61171.922256383899</v>
      </c>
      <c r="E20" s="10">
        <v>-1.1469493201547798</v>
      </c>
      <c r="F20" s="10">
        <v>0.86123328555902035</v>
      </c>
      <c r="G20" s="4">
        <v>187882.27238152165</v>
      </c>
      <c r="H20" s="4">
        <v>62627.424127173879</v>
      </c>
    </row>
    <row r="21" spans="1:9" x14ac:dyDescent="0.25">
      <c r="A21" s="9">
        <v>10</v>
      </c>
      <c r="B21" s="4">
        <v>125254.84825434777</v>
      </c>
      <c r="C21" s="4">
        <v>87678.393778043435</v>
      </c>
      <c r="D21" s="4">
        <v>37576.454476304338</v>
      </c>
      <c r="E21" s="10">
        <v>-0.29894713689702979</v>
      </c>
      <c r="F21" s="10">
        <v>1.0204161891163328</v>
      </c>
      <c r="G21" s="4">
        <v>129368.50509937017</v>
      </c>
      <c r="H21" s="4">
        <v>43122.835033123389</v>
      </c>
      <c r="I21" s="7">
        <v>86245.670066246792</v>
      </c>
    </row>
    <row r="22" spans="1:9" x14ac:dyDescent="0.25">
      <c r="H22" s="4"/>
    </row>
    <row r="23" spans="1:9" ht="25.5" customHeight="1" x14ac:dyDescent="0.25">
      <c r="B23" s="11" t="s">
        <v>17</v>
      </c>
      <c r="C23" s="12"/>
      <c r="D23" s="13"/>
      <c r="G23" s="14" t="s">
        <v>18</v>
      </c>
      <c r="H23" s="12"/>
      <c r="I23" s="13"/>
    </row>
    <row r="25" spans="1:9" ht="24" customHeight="1" x14ac:dyDescent="0.25">
      <c r="A25" s="11" t="s">
        <v>19</v>
      </c>
      <c r="B25" s="13"/>
      <c r="D25" s="11" t="s">
        <v>20</v>
      </c>
      <c r="E25" s="12"/>
      <c r="F25" s="13"/>
    </row>
    <row r="27" spans="1:9" ht="34.5" customHeight="1" x14ac:dyDescent="0.25">
      <c r="G27" s="11" t="s">
        <v>21</v>
      </c>
      <c r="H27" s="12"/>
      <c r="I27" s="13"/>
    </row>
    <row r="28" spans="1:9" x14ac:dyDescent="0.25">
      <c r="B28" s="15" t="s">
        <v>22</v>
      </c>
      <c r="C28" s="16"/>
      <c r="D28" s="17"/>
    </row>
  </sheetData>
  <mergeCells count="7">
    <mergeCell ref="B28:D28"/>
    <mergeCell ref="A1:I1"/>
    <mergeCell ref="B23:D23"/>
    <mergeCell ref="G23:I23"/>
    <mergeCell ref="A25:B25"/>
    <mergeCell ref="D25:F25"/>
    <mergeCell ref="G27:I27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2024-12-09T07:42:54Z</dcterms:modified>
</cp:coreProperties>
</file>