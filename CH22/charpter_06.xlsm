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"/>
    </mc:Choice>
  </mc:AlternateContent>
  <xr:revisionPtr revIDLastSave="0" documentId="13_ncr:1_{A97370E8-0D7E-4929-B0EB-EE0FDB7E7CFB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07-8" sheetId="2" r:id="rId2"/>
  </sheets>
  <functionGroups builtInGroupCount="19"/>
  <externalReferences>
    <externalReference r:id="rId3"/>
    <externalReference r:id="rId4"/>
  </externalReferences>
  <definedNames>
    <definedName name="StartTime">'[1]Page 603'!$B$6</definedName>
    <definedName name="step">'[1]Circle picture'!$N$14</definedName>
    <definedName name="Stoptime">'[1]Page 603'!$B$7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31" i="2" l="1"/>
  <c r="BW31" i="2"/>
  <c r="BG31" i="2"/>
  <c r="AQ31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19" i="2"/>
  <c r="B18" i="2"/>
  <c r="B22" i="2" s="1"/>
  <c r="B17" i="2"/>
  <c r="B21" i="2" s="1"/>
  <c r="B13" i="2"/>
  <c r="E23" i="2"/>
  <c r="C26" i="2"/>
  <c r="C25" i="2"/>
  <c r="C22" i="2"/>
  <c r="C21" i="2"/>
  <c r="C17" i="2"/>
  <c r="C18" i="2"/>
  <c r="C19" i="2"/>
  <c r="C13" i="2"/>
  <c r="CL31" i="2" l="1"/>
  <c r="BV31" i="2"/>
  <c r="BF31" i="2"/>
  <c r="BF32" i="2" s="1"/>
  <c r="BF33" i="2" s="1"/>
  <c r="BF34" i="2" s="1"/>
  <c r="BF35" i="2" s="1"/>
  <c r="BF36" i="2" s="1"/>
  <c r="BF37" i="2" s="1"/>
  <c r="BF38" i="2" s="1"/>
  <c r="BF39" i="2" s="1"/>
  <c r="BF40" i="2" s="1"/>
  <c r="AP31" i="2"/>
  <c r="Z31" i="2"/>
  <c r="J31" i="2"/>
  <c r="CK31" i="2"/>
  <c r="BU31" i="2"/>
  <c r="BE31" i="2"/>
  <c r="AO31" i="2"/>
  <c r="AO32" i="2" s="1"/>
  <c r="AO33" i="2" s="1"/>
  <c r="AO34" i="2" s="1"/>
  <c r="AO35" i="2" s="1"/>
  <c r="AO36" i="2" s="1"/>
  <c r="AO37" i="2" s="1"/>
  <c r="AO38" i="2" s="1"/>
  <c r="AO39" i="2" s="1"/>
  <c r="AO40" i="2" s="1"/>
  <c r="Y31" i="2"/>
  <c r="Y32" i="2" s="1"/>
  <c r="Y33" i="2" s="1"/>
  <c r="Y34" i="2" s="1"/>
  <c r="Y35" i="2" s="1"/>
  <c r="Y36" i="2" s="1"/>
  <c r="Y37" i="2" s="1"/>
  <c r="Y38" i="2" s="1"/>
  <c r="Y39" i="2" s="1"/>
  <c r="Y40" i="2" s="1"/>
  <c r="I31" i="2"/>
  <c r="I32" i="2" s="1"/>
  <c r="I33" i="2" s="1"/>
  <c r="I34" i="2" s="1"/>
  <c r="I35" i="2" s="1"/>
  <c r="I36" i="2" s="1"/>
  <c r="I37" i="2" s="1"/>
  <c r="I38" i="2" s="1"/>
  <c r="I39" i="2" s="1"/>
  <c r="I40" i="2" s="1"/>
  <c r="CJ31" i="2"/>
  <c r="CJ32" i="2" s="1"/>
  <c r="CJ33" i="2" s="1"/>
  <c r="CJ34" i="2" s="1"/>
  <c r="CJ35" i="2" s="1"/>
  <c r="CJ36" i="2" s="1"/>
  <c r="CJ37" i="2" s="1"/>
  <c r="CJ38" i="2" s="1"/>
  <c r="CJ39" i="2" s="1"/>
  <c r="CJ40" i="2" s="1"/>
  <c r="BT31" i="2"/>
  <c r="BT32" i="2" s="1"/>
  <c r="BT33" i="2" s="1"/>
  <c r="BT34" i="2" s="1"/>
  <c r="BT35" i="2" s="1"/>
  <c r="BT36" i="2" s="1"/>
  <c r="BT37" i="2" s="1"/>
  <c r="BT38" i="2" s="1"/>
  <c r="BT39" i="2" s="1"/>
  <c r="BT40" i="2" s="1"/>
  <c r="BD31" i="2"/>
  <c r="BD32" i="2" s="1"/>
  <c r="BD33" i="2" s="1"/>
  <c r="BD34" i="2" s="1"/>
  <c r="BD35" i="2" s="1"/>
  <c r="BD36" i="2" s="1"/>
  <c r="BD37" i="2" s="1"/>
  <c r="BD38" i="2" s="1"/>
  <c r="BD39" i="2" s="1"/>
  <c r="BD40" i="2" s="1"/>
  <c r="AN31" i="2"/>
  <c r="AN32" i="2" s="1"/>
  <c r="AN33" i="2" s="1"/>
  <c r="AN34" i="2" s="1"/>
  <c r="AN35" i="2" s="1"/>
  <c r="AN36" i="2" s="1"/>
  <c r="AN37" i="2" s="1"/>
  <c r="AN38" i="2" s="1"/>
  <c r="AN39" i="2" s="1"/>
  <c r="AN40" i="2" s="1"/>
  <c r="X31" i="2"/>
  <c r="X32" i="2" s="1"/>
  <c r="X33" i="2" s="1"/>
  <c r="X34" i="2" s="1"/>
  <c r="X35" i="2" s="1"/>
  <c r="X36" i="2" s="1"/>
  <c r="X37" i="2" s="1"/>
  <c r="X38" i="2" s="1"/>
  <c r="X39" i="2" s="1"/>
  <c r="X40" i="2" s="1"/>
  <c r="H31" i="2"/>
  <c r="CI31" i="2"/>
  <c r="CI32" i="2" s="1"/>
  <c r="CI33" i="2" s="1"/>
  <c r="CI34" i="2" s="1"/>
  <c r="CI35" i="2" s="1"/>
  <c r="CI36" i="2" s="1"/>
  <c r="CI37" i="2" s="1"/>
  <c r="CI38" i="2" s="1"/>
  <c r="CI39" i="2" s="1"/>
  <c r="CI40" i="2" s="1"/>
  <c r="BS31" i="2"/>
  <c r="BS32" i="2" s="1"/>
  <c r="BC31" i="2"/>
  <c r="BC32" i="2" s="1"/>
  <c r="BC33" i="2" s="1"/>
  <c r="BC34" i="2" s="1"/>
  <c r="BC35" i="2" s="1"/>
  <c r="BC36" i="2" s="1"/>
  <c r="BC37" i="2" s="1"/>
  <c r="BC38" i="2" s="1"/>
  <c r="BC39" i="2" s="1"/>
  <c r="BC40" i="2" s="1"/>
  <c r="AM31" i="2"/>
  <c r="AM32" i="2" s="1"/>
  <c r="AM33" i="2" s="1"/>
  <c r="AM34" i="2" s="1"/>
  <c r="AM35" i="2" s="1"/>
  <c r="AM36" i="2" s="1"/>
  <c r="AM37" i="2" s="1"/>
  <c r="AM38" i="2" s="1"/>
  <c r="AM39" i="2" s="1"/>
  <c r="AM40" i="2" s="1"/>
  <c r="W31" i="2"/>
  <c r="W32" i="2" s="1"/>
  <c r="W33" i="2" s="1"/>
  <c r="W34" i="2" s="1"/>
  <c r="W35" i="2" s="1"/>
  <c r="W36" i="2" s="1"/>
  <c r="W37" i="2" s="1"/>
  <c r="W38" i="2" s="1"/>
  <c r="W39" i="2" s="1"/>
  <c r="W40" i="2" s="1"/>
  <c r="G31" i="2"/>
  <c r="G32" i="2" s="1"/>
  <c r="G33" i="2" s="1"/>
  <c r="G34" i="2" s="1"/>
  <c r="G35" i="2" s="1"/>
  <c r="G36" i="2" s="1"/>
  <c r="G37" i="2" s="1"/>
  <c r="G38" i="2" s="1"/>
  <c r="G39" i="2" s="1"/>
  <c r="G40" i="2" s="1"/>
  <c r="CX31" i="2"/>
  <c r="CX32" i="2" s="1"/>
  <c r="CX33" i="2" s="1"/>
  <c r="CX34" i="2" s="1"/>
  <c r="CX35" i="2" s="1"/>
  <c r="CX36" i="2" s="1"/>
  <c r="CX37" i="2" s="1"/>
  <c r="CX38" i="2" s="1"/>
  <c r="CX39" i="2" s="1"/>
  <c r="CX40" i="2" s="1"/>
  <c r="CH31" i="2"/>
  <c r="CH32" i="2" s="1"/>
  <c r="CH33" i="2" s="1"/>
  <c r="CH34" i="2" s="1"/>
  <c r="CH35" i="2" s="1"/>
  <c r="CH36" i="2" s="1"/>
  <c r="CH37" i="2" s="1"/>
  <c r="CH38" i="2" s="1"/>
  <c r="CH39" i="2" s="1"/>
  <c r="CH40" i="2" s="1"/>
  <c r="BR31" i="2"/>
  <c r="BR32" i="2" s="1"/>
  <c r="BR33" i="2" s="1"/>
  <c r="BR34" i="2" s="1"/>
  <c r="BR35" i="2" s="1"/>
  <c r="BR36" i="2" s="1"/>
  <c r="BR37" i="2" s="1"/>
  <c r="BR38" i="2" s="1"/>
  <c r="BR39" i="2" s="1"/>
  <c r="BR40" i="2" s="1"/>
  <c r="BB31" i="2"/>
  <c r="BB32" i="2" s="1"/>
  <c r="BB33" i="2" s="1"/>
  <c r="BB34" i="2" s="1"/>
  <c r="BB35" i="2" s="1"/>
  <c r="BB36" i="2" s="1"/>
  <c r="BB37" i="2" s="1"/>
  <c r="BB38" i="2" s="1"/>
  <c r="BB39" i="2" s="1"/>
  <c r="BB40" i="2" s="1"/>
  <c r="AL31" i="2"/>
  <c r="AL32" i="2" s="1"/>
  <c r="AL33" i="2" s="1"/>
  <c r="AL34" i="2" s="1"/>
  <c r="AL35" i="2" s="1"/>
  <c r="AL36" i="2" s="1"/>
  <c r="AL37" i="2" s="1"/>
  <c r="AL38" i="2" s="1"/>
  <c r="AL39" i="2" s="1"/>
  <c r="AL40" i="2" s="1"/>
  <c r="V31" i="2"/>
  <c r="V32" i="2" s="1"/>
  <c r="V33" i="2" s="1"/>
  <c r="V34" i="2" s="1"/>
  <c r="V35" i="2" s="1"/>
  <c r="V36" i="2" s="1"/>
  <c r="V37" i="2" s="1"/>
  <c r="V38" i="2" s="1"/>
  <c r="V39" i="2" s="1"/>
  <c r="V40" i="2" s="1"/>
  <c r="F31" i="2"/>
  <c r="F32" i="2" s="1"/>
  <c r="F33" i="2" s="1"/>
  <c r="F34" i="2" s="1"/>
  <c r="F35" i="2" s="1"/>
  <c r="F36" i="2" s="1"/>
  <c r="F37" i="2" s="1"/>
  <c r="F38" i="2" s="1"/>
  <c r="F39" i="2" s="1"/>
  <c r="F40" i="2" s="1"/>
  <c r="CW31" i="2"/>
  <c r="CW32" i="2" s="1"/>
  <c r="CW33" i="2" s="1"/>
  <c r="CW34" i="2" s="1"/>
  <c r="CW35" i="2" s="1"/>
  <c r="CW36" i="2" s="1"/>
  <c r="CW37" i="2" s="1"/>
  <c r="CW38" i="2" s="1"/>
  <c r="CW39" i="2" s="1"/>
  <c r="CW40" i="2" s="1"/>
  <c r="CG31" i="2"/>
  <c r="CG32" i="2" s="1"/>
  <c r="CG33" i="2" s="1"/>
  <c r="CG34" i="2" s="1"/>
  <c r="CG35" i="2" s="1"/>
  <c r="CG36" i="2" s="1"/>
  <c r="CG37" i="2" s="1"/>
  <c r="CG38" i="2" s="1"/>
  <c r="CG39" i="2" s="1"/>
  <c r="CG40" i="2" s="1"/>
  <c r="BQ31" i="2"/>
  <c r="BQ32" i="2" s="1"/>
  <c r="BQ33" i="2" s="1"/>
  <c r="BQ34" i="2" s="1"/>
  <c r="BQ35" i="2" s="1"/>
  <c r="BQ36" i="2" s="1"/>
  <c r="BQ37" i="2" s="1"/>
  <c r="BQ38" i="2" s="1"/>
  <c r="BQ39" i="2" s="1"/>
  <c r="BQ40" i="2" s="1"/>
  <c r="BA31" i="2"/>
  <c r="BA32" i="2" s="1"/>
  <c r="BA33" i="2" s="1"/>
  <c r="BA34" i="2" s="1"/>
  <c r="BA35" i="2" s="1"/>
  <c r="BA36" i="2" s="1"/>
  <c r="BA37" i="2" s="1"/>
  <c r="BA38" i="2" s="1"/>
  <c r="BA39" i="2" s="1"/>
  <c r="BA40" i="2" s="1"/>
  <c r="AK31" i="2"/>
  <c r="AK32" i="2" s="1"/>
  <c r="AK33" i="2" s="1"/>
  <c r="AK34" i="2" s="1"/>
  <c r="AK35" i="2" s="1"/>
  <c r="AK36" i="2" s="1"/>
  <c r="AK37" i="2" s="1"/>
  <c r="AK38" i="2" s="1"/>
  <c r="AK39" i="2" s="1"/>
  <c r="AK40" i="2" s="1"/>
  <c r="U31" i="2"/>
  <c r="U32" i="2" s="1"/>
  <c r="U33" i="2" s="1"/>
  <c r="U34" i="2" s="1"/>
  <c r="U35" i="2" s="1"/>
  <c r="U36" i="2" s="1"/>
  <c r="U37" i="2" s="1"/>
  <c r="U38" i="2" s="1"/>
  <c r="U39" i="2" s="1"/>
  <c r="U40" i="2" s="1"/>
  <c r="E31" i="2"/>
  <c r="E32" i="2" s="1"/>
  <c r="E33" i="2" s="1"/>
  <c r="E34" i="2" s="1"/>
  <c r="E35" i="2" s="1"/>
  <c r="E36" i="2" s="1"/>
  <c r="E37" i="2" s="1"/>
  <c r="E38" i="2" s="1"/>
  <c r="E39" i="2" s="1"/>
  <c r="E40" i="2" s="1"/>
  <c r="CV31" i="2"/>
  <c r="CV32" i="2" s="1"/>
  <c r="CV33" i="2" s="1"/>
  <c r="CV34" i="2" s="1"/>
  <c r="CV35" i="2" s="1"/>
  <c r="CV36" i="2" s="1"/>
  <c r="CV37" i="2" s="1"/>
  <c r="CV38" i="2" s="1"/>
  <c r="CV39" i="2" s="1"/>
  <c r="CV40" i="2" s="1"/>
  <c r="CF31" i="2"/>
  <c r="CF32" i="2" s="1"/>
  <c r="CF33" i="2" s="1"/>
  <c r="CF34" i="2" s="1"/>
  <c r="CF35" i="2" s="1"/>
  <c r="CF36" i="2" s="1"/>
  <c r="CF37" i="2" s="1"/>
  <c r="CF38" i="2" s="1"/>
  <c r="CF39" i="2" s="1"/>
  <c r="CF40" i="2" s="1"/>
  <c r="BP31" i="2"/>
  <c r="BP32" i="2" s="1"/>
  <c r="BP33" i="2" s="1"/>
  <c r="BP34" i="2" s="1"/>
  <c r="BP35" i="2" s="1"/>
  <c r="BP36" i="2" s="1"/>
  <c r="BP37" i="2" s="1"/>
  <c r="BP38" i="2" s="1"/>
  <c r="BP39" i="2" s="1"/>
  <c r="BP40" i="2" s="1"/>
  <c r="AZ31" i="2"/>
  <c r="AZ32" i="2" s="1"/>
  <c r="AZ33" i="2" s="1"/>
  <c r="AZ34" i="2" s="1"/>
  <c r="AZ35" i="2" s="1"/>
  <c r="AZ36" i="2" s="1"/>
  <c r="AZ37" i="2" s="1"/>
  <c r="AZ38" i="2" s="1"/>
  <c r="AZ39" i="2" s="1"/>
  <c r="AZ40" i="2" s="1"/>
  <c r="AJ31" i="2"/>
  <c r="AJ32" i="2" s="1"/>
  <c r="AJ33" i="2" s="1"/>
  <c r="AJ34" i="2" s="1"/>
  <c r="AJ35" i="2" s="1"/>
  <c r="AJ36" i="2" s="1"/>
  <c r="AJ37" i="2" s="1"/>
  <c r="AJ38" i="2" s="1"/>
  <c r="AJ39" i="2" s="1"/>
  <c r="AJ40" i="2" s="1"/>
  <c r="T31" i="2"/>
  <c r="T32" i="2" s="1"/>
  <c r="T33" i="2" s="1"/>
  <c r="T34" i="2" s="1"/>
  <c r="T35" i="2" s="1"/>
  <c r="T36" i="2" s="1"/>
  <c r="T37" i="2" s="1"/>
  <c r="T38" i="2" s="1"/>
  <c r="T39" i="2" s="1"/>
  <c r="T40" i="2" s="1"/>
  <c r="D31" i="2"/>
  <c r="D32" i="2" s="1"/>
  <c r="D33" i="2" s="1"/>
  <c r="D34" i="2" s="1"/>
  <c r="D35" i="2" s="1"/>
  <c r="D36" i="2" s="1"/>
  <c r="D37" i="2" s="1"/>
  <c r="D38" i="2" s="1"/>
  <c r="D39" i="2" s="1"/>
  <c r="D40" i="2" s="1"/>
  <c r="CU31" i="2"/>
  <c r="CU32" i="2" s="1"/>
  <c r="CU33" i="2" s="1"/>
  <c r="CU34" i="2" s="1"/>
  <c r="CU35" i="2" s="1"/>
  <c r="CU36" i="2" s="1"/>
  <c r="CU37" i="2" s="1"/>
  <c r="CU38" i="2" s="1"/>
  <c r="CU39" i="2" s="1"/>
  <c r="CU40" i="2" s="1"/>
  <c r="CE31" i="2"/>
  <c r="CE32" i="2" s="1"/>
  <c r="CE33" i="2" s="1"/>
  <c r="CE34" i="2" s="1"/>
  <c r="CE35" i="2" s="1"/>
  <c r="CE36" i="2" s="1"/>
  <c r="CE37" i="2" s="1"/>
  <c r="CE38" i="2" s="1"/>
  <c r="CE39" i="2" s="1"/>
  <c r="CE40" i="2" s="1"/>
  <c r="BO31" i="2"/>
  <c r="BO32" i="2" s="1"/>
  <c r="BO33" i="2" s="1"/>
  <c r="BO34" i="2" s="1"/>
  <c r="BO35" i="2" s="1"/>
  <c r="BO36" i="2" s="1"/>
  <c r="BO37" i="2" s="1"/>
  <c r="BO38" i="2" s="1"/>
  <c r="BO39" i="2" s="1"/>
  <c r="BO40" i="2" s="1"/>
  <c r="AY31" i="2"/>
  <c r="AY32" i="2" s="1"/>
  <c r="AY33" i="2" s="1"/>
  <c r="AY34" i="2" s="1"/>
  <c r="AY35" i="2" s="1"/>
  <c r="AY36" i="2" s="1"/>
  <c r="AY37" i="2" s="1"/>
  <c r="AY38" i="2" s="1"/>
  <c r="AY39" i="2" s="1"/>
  <c r="AY40" i="2" s="1"/>
  <c r="AI31" i="2"/>
  <c r="AI32" i="2" s="1"/>
  <c r="AI33" i="2" s="1"/>
  <c r="AI34" i="2" s="1"/>
  <c r="AI35" i="2" s="1"/>
  <c r="AI36" i="2" s="1"/>
  <c r="AI37" i="2" s="1"/>
  <c r="AI38" i="2" s="1"/>
  <c r="AI39" i="2" s="1"/>
  <c r="AI40" i="2" s="1"/>
  <c r="S31" i="2"/>
  <c r="S32" i="2" s="1"/>
  <c r="S33" i="2" s="1"/>
  <c r="S34" i="2" s="1"/>
  <c r="S35" i="2" s="1"/>
  <c r="S36" i="2" s="1"/>
  <c r="S37" i="2" s="1"/>
  <c r="S38" i="2" s="1"/>
  <c r="S39" i="2" s="1"/>
  <c r="S40" i="2" s="1"/>
  <c r="C31" i="2"/>
  <c r="C32" i="2" s="1"/>
  <c r="C33" i="2" s="1"/>
  <c r="C34" i="2" s="1"/>
  <c r="C35" i="2" s="1"/>
  <c r="C36" i="2" s="1"/>
  <c r="C37" i="2" s="1"/>
  <c r="C38" i="2" s="1"/>
  <c r="C39" i="2" s="1"/>
  <c r="C40" i="2" s="1"/>
  <c r="CT31" i="2"/>
  <c r="CT32" i="2" s="1"/>
  <c r="CT33" i="2" s="1"/>
  <c r="CT34" i="2" s="1"/>
  <c r="CT35" i="2" s="1"/>
  <c r="CT36" i="2" s="1"/>
  <c r="CT37" i="2" s="1"/>
  <c r="CT38" i="2" s="1"/>
  <c r="CT39" i="2" s="1"/>
  <c r="CT40" i="2" s="1"/>
  <c r="CD31" i="2"/>
  <c r="CD32" i="2" s="1"/>
  <c r="CD33" i="2" s="1"/>
  <c r="CD34" i="2" s="1"/>
  <c r="CD35" i="2" s="1"/>
  <c r="CD36" i="2" s="1"/>
  <c r="CD37" i="2" s="1"/>
  <c r="CD38" i="2" s="1"/>
  <c r="CD39" i="2" s="1"/>
  <c r="CD40" i="2" s="1"/>
  <c r="BN31" i="2"/>
  <c r="BN32" i="2" s="1"/>
  <c r="BN33" i="2" s="1"/>
  <c r="BN34" i="2" s="1"/>
  <c r="BN35" i="2" s="1"/>
  <c r="BN36" i="2" s="1"/>
  <c r="BN37" i="2" s="1"/>
  <c r="BN38" i="2" s="1"/>
  <c r="BN39" i="2" s="1"/>
  <c r="BN40" i="2" s="1"/>
  <c r="AX31" i="2"/>
  <c r="AX32" i="2" s="1"/>
  <c r="AX33" i="2" s="1"/>
  <c r="AX34" i="2" s="1"/>
  <c r="AX35" i="2" s="1"/>
  <c r="AX36" i="2" s="1"/>
  <c r="AX37" i="2" s="1"/>
  <c r="AX38" i="2" s="1"/>
  <c r="AX39" i="2" s="1"/>
  <c r="AX40" i="2" s="1"/>
  <c r="AH31" i="2"/>
  <c r="AH32" i="2" s="1"/>
  <c r="AH33" i="2" s="1"/>
  <c r="AH34" i="2" s="1"/>
  <c r="AH35" i="2" s="1"/>
  <c r="AH36" i="2" s="1"/>
  <c r="AH37" i="2" s="1"/>
  <c r="AH38" i="2" s="1"/>
  <c r="AH39" i="2" s="1"/>
  <c r="AH40" i="2" s="1"/>
  <c r="R31" i="2"/>
  <c r="R32" i="2" s="1"/>
  <c r="R33" i="2" s="1"/>
  <c r="R34" i="2" s="1"/>
  <c r="R35" i="2" s="1"/>
  <c r="R36" i="2" s="1"/>
  <c r="R37" i="2" s="1"/>
  <c r="R38" i="2" s="1"/>
  <c r="R39" i="2" s="1"/>
  <c r="R40" i="2" s="1"/>
  <c r="CS31" i="2"/>
  <c r="CS32" i="2" s="1"/>
  <c r="CS33" i="2" s="1"/>
  <c r="CS34" i="2" s="1"/>
  <c r="CS35" i="2" s="1"/>
  <c r="CS36" i="2" s="1"/>
  <c r="CS37" i="2" s="1"/>
  <c r="CS38" i="2" s="1"/>
  <c r="CS39" i="2" s="1"/>
  <c r="CS40" i="2" s="1"/>
  <c r="CC31" i="2"/>
  <c r="CC32" i="2" s="1"/>
  <c r="CC33" i="2" s="1"/>
  <c r="CC34" i="2" s="1"/>
  <c r="CC35" i="2" s="1"/>
  <c r="CC36" i="2" s="1"/>
  <c r="CC37" i="2" s="1"/>
  <c r="CC38" i="2" s="1"/>
  <c r="CC39" i="2" s="1"/>
  <c r="CC40" i="2" s="1"/>
  <c r="BM31" i="2"/>
  <c r="BM32" i="2" s="1"/>
  <c r="BM33" i="2" s="1"/>
  <c r="BM34" i="2" s="1"/>
  <c r="BM35" i="2" s="1"/>
  <c r="BM36" i="2" s="1"/>
  <c r="BM37" i="2" s="1"/>
  <c r="BM38" i="2" s="1"/>
  <c r="BM39" i="2" s="1"/>
  <c r="BM40" i="2" s="1"/>
  <c r="AW31" i="2"/>
  <c r="AW32" i="2" s="1"/>
  <c r="AW33" i="2" s="1"/>
  <c r="AW34" i="2" s="1"/>
  <c r="AW35" i="2" s="1"/>
  <c r="AW36" i="2" s="1"/>
  <c r="AW37" i="2" s="1"/>
  <c r="AW38" i="2" s="1"/>
  <c r="AW39" i="2" s="1"/>
  <c r="AW40" i="2" s="1"/>
  <c r="AG31" i="2"/>
  <c r="AG32" i="2" s="1"/>
  <c r="AG33" i="2" s="1"/>
  <c r="AG34" i="2" s="1"/>
  <c r="AG35" i="2" s="1"/>
  <c r="AG36" i="2" s="1"/>
  <c r="AG37" i="2" s="1"/>
  <c r="AG38" i="2" s="1"/>
  <c r="AG39" i="2" s="1"/>
  <c r="AG40" i="2" s="1"/>
  <c r="Q31" i="2"/>
  <c r="Q32" i="2" s="1"/>
  <c r="Q33" i="2" s="1"/>
  <c r="Q34" i="2" s="1"/>
  <c r="Q35" i="2" s="1"/>
  <c r="Q36" i="2" s="1"/>
  <c r="Q37" i="2" s="1"/>
  <c r="Q38" i="2" s="1"/>
  <c r="Q39" i="2" s="1"/>
  <c r="Q40" i="2" s="1"/>
  <c r="CR31" i="2"/>
  <c r="CR32" i="2" s="1"/>
  <c r="CR33" i="2" s="1"/>
  <c r="CR34" i="2" s="1"/>
  <c r="CR35" i="2" s="1"/>
  <c r="CR36" i="2" s="1"/>
  <c r="CR37" i="2" s="1"/>
  <c r="CR38" i="2" s="1"/>
  <c r="CR39" i="2" s="1"/>
  <c r="CR40" i="2" s="1"/>
  <c r="CB31" i="2"/>
  <c r="CB32" i="2" s="1"/>
  <c r="CB33" i="2" s="1"/>
  <c r="CB34" i="2" s="1"/>
  <c r="CB35" i="2" s="1"/>
  <c r="CB36" i="2" s="1"/>
  <c r="CB37" i="2" s="1"/>
  <c r="CB38" i="2" s="1"/>
  <c r="CB39" i="2" s="1"/>
  <c r="CB40" i="2" s="1"/>
  <c r="BL31" i="2"/>
  <c r="BL32" i="2" s="1"/>
  <c r="BL33" i="2" s="1"/>
  <c r="BL34" i="2" s="1"/>
  <c r="BL35" i="2" s="1"/>
  <c r="BL36" i="2" s="1"/>
  <c r="BL37" i="2" s="1"/>
  <c r="BL38" i="2" s="1"/>
  <c r="BL39" i="2" s="1"/>
  <c r="BL40" i="2" s="1"/>
  <c r="AV31" i="2"/>
  <c r="AV32" i="2" s="1"/>
  <c r="AV33" i="2" s="1"/>
  <c r="AV34" i="2" s="1"/>
  <c r="AV35" i="2" s="1"/>
  <c r="AV36" i="2" s="1"/>
  <c r="AV37" i="2" s="1"/>
  <c r="AV38" i="2" s="1"/>
  <c r="AV39" i="2" s="1"/>
  <c r="AV40" i="2" s="1"/>
  <c r="AF31" i="2"/>
  <c r="AF32" i="2" s="1"/>
  <c r="AF33" i="2" s="1"/>
  <c r="AF34" i="2" s="1"/>
  <c r="AF35" i="2" s="1"/>
  <c r="AF36" i="2" s="1"/>
  <c r="AF37" i="2" s="1"/>
  <c r="AF38" i="2" s="1"/>
  <c r="AF39" i="2" s="1"/>
  <c r="AF40" i="2" s="1"/>
  <c r="P31" i="2"/>
  <c r="P32" i="2" s="1"/>
  <c r="P33" i="2" s="1"/>
  <c r="P34" i="2" s="1"/>
  <c r="P35" i="2" s="1"/>
  <c r="P36" i="2" s="1"/>
  <c r="P37" i="2" s="1"/>
  <c r="P38" i="2" s="1"/>
  <c r="P39" i="2" s="1"/>
  <c r="P40" i="2" s="1"/>
  <c r="BS33" i="2"/>
  <c r="BS34" i="2" s="1"/>
  <c r="BS35" i="2" s="1"/>
  <c r="BS36" i="2" s="1"/>
  <c r="BS37" i="2" s="1"/>
  <c r="BS38" i="2" s="1"/>
  <c r="BS39" i="2" s="1"/>
  <c r="BS40" i="2" s="1"/>
  <c r="CM32" i="2"/>
  <c r="CM33" i="2" s="1"/>
  <c r="CM34" i="2" s="1"/>
  <c r="CM35" i="2" s="1"/>
  <c r="CM36" i="2" s="1"/>
  <c r="CM37" i="2" s="1"/>
  <c r="CM38" i="2" s="1"/>
  <c r="CM39" i="2" s="1"/>
  <c r="CM40" i="2" s="1"/>
  <c r="BW32" i="2"/>
  <c r="BW33" i="2" s="1"/>
  <c r="BW34" i="2" s="1"/>
  <c r="BW35" i="2" s="1"/>
  <c r="BW36" i="2" s="1"/>
  <c r="BW37" i="2" s="1"/>
  <c r="BW38" i="2" s="1"/>
  <c r="BW39" i="2" s="1"/>
  <c r="BW40" i="2" s="1"/>
  <c r="BG32" i="2"/>
  <c r="BG33" i="2" s="1"/>
  <c r="BG34" i="2" s="1"/>
  <c r="BG35" i="2" s="1"/>
  <c r="BG36" i="2" s="1"/>
  <c r="BG37" i="2" s="1"/>
  <c r="BG38" i="2" s="1"/>
  <c r="BG39" i="2" s="1"/>
  <c r="BG40" i="2" s="1"/>
  <c r="AQ32" i="2"/>
  <c r="AQ33" i="2" s="1"/>
  <c r="AQ34" i="2" s="1"/>
  <c r="AQ35" i="2" s="1"/>
  <c r="AQ36" i="2" s="1"/>
  <c r="AQ37" i="2" s="1"/>
  <c r="AQ38" i="2" s="1"/>
  <c r="AQ39" i="2" s="1"/>
  <c r="AQ40" i="2" s="1"/>
  <c r="CQ31" i="2"/>
  <c r="CQ32" i="2" s="1"/>
  <c r="CQ33" i="2" s="1"/>
  <c r="CQ34" i="2" s="1"/>
  <c r="CQ35" i="2" s="1"/>
  <c r="CQ36" i="2" s="1"/>
  <c r="CQ37" i="2" s="1"/>
  <c r="CQ38" i="2" s="1"/>
  <c r="CQ39" i="2" s="1"/>
  <c r="CQ40" i="2" s="1"/>
  <c r="CA31" i="2"/>
  <c r="CA32" i="2" s="1"/>
  <c r="CA33" i="2" s="1"/>
  <c r="CA34" i="2" s="1"/>
  <c r="CA35" i="2" s="1"/>
  <c r="CA36" i="2" s="1"/>
  <c r="CA37" i="2" s="1"/>
  <c r="CA38" i="2" s="1"/>
  <c r="CA39" i="2" s="1"/>
  <c r="CA40" i="2" s="1"/>
  <c r="BK31" i="2"/>
  <c r="BK32" i="2" s="1"/>
  <c r="BK33" i="2" s="1"/>
  <c r="BK34" i="2" s="1"/>
  <c r="BK35" i="2" s="1"/>
  <c r="BK36" i="2" s="1"/>
  <c r="BK37" i="2" s="1"/>
  <c r="BK38" i="2" s="1"/>
  <c r="BK39" i="2" s="1"/>
  <c r="BK40" i="2" s="1"/>
  <c r="AU31" i="2"/>
  <c r="AU32" i="2" s="1"/>
  <c r="AU33" i="2" s="1"/>
  <c r="AU34" i="2" s="1"/>
  <c r="AU35" i="2" s="1"/>
  <c r="AU36" i="2" s="1"/>
  <c r="AU37" i="2" s="1"/>
  <c r="AU38" i="2" s="1"/>
  <c r="AU39" i="2" s="1"/>
  <c r="AU40" i="2" s="1"/>
  <c r="AE31" i="2"/>
  <c r="AE32" i="2" s="1"/>
  <c r="AE33" i="2" s="1"/>
  <c r="AE34" i="2" s="1"/>
  <c r="AE35" i="2" s="1"/>
  <c r="AE36" i="2" s="1"/>
  <c r="AE37" i="2" s="1"/>
  <c r="AE38" i="2" s="1"/>
  <c r="AE39" i="2" s="1"/>
  <c r="AE40" i="2" s="1"/>
  <c r="O31" i="2"/>
  <c r="O32" i="2" s="1"/>
  <c r="O33" i="2" s="1"/>
  <c r="O34" i="2" s="1"/>
  <c r="O35" i="2" s="1"/>
  <c r="O36" i="2" s="1"/>
  <c r="O37" i="2" s="1"/>
  <c r="O38" i="2" s="1"/>
  <c r="O39" i="2" s="1"/>
  <c r="O40" i="2" s="1"/>
  <c r="CL32" i="2"/>
  <c r="CL33" i="2" s="1"/>
  <c r="CL34" i="2" s="1"/>
  <c r="CL35" i="2" s="1"/>
  <c r="CL36" i="2" s="1"/>
  <c r="CL37" i="2" s="1"/>
  <c r="CL38" i="2" s="1"/>
  <c r="CL39" i="2" s="1"/>
  <c r="CL40" i="2" s="1"/>
  <c r="BV32" i="2"/>
  <c r="BV33" i="2" s="1"/>
  <c r="BV34" i="2" s="1"/>
  <c r="BV35" i="2" s="1"/>
  <c r="BV36" i="2" s="1"/>
  <c r="BV37" i="2" s="1"/>
  <c r="BV38" i="2" s="1"/>
  <c r="BV39" i="2" s="1"/>
  <c r="BV40" i="2" s="1"/>
  <c r="AP32" i="2"/>
  <c r="AP33" i="2" s="1"/>
  <c r="AP34" i="2" s="1"/>
  <c r="AP35" i="2" s="1"/>
  <c r="AP36" i="2" s="1"/>
  <c r="AP37" i="2" s="1"/>
  <c r="AP38" i="2" s="1"/>
  <c r="AP39" i="2" s="1"/>
  <c r="AP40" i="2" s="1"/>
  <c r="Z32" i="2"/>
  <c r="Z33" i="2" s="1"/>
  <c r="Z34" i="2" s="1"/>
  <c r="Z35" i="2" s="1"/>
  <c r="Z36" i="2" s="1"/>
  <c r="Z37" i="2" s="1"/>
  <c r="Z38" i="2" s="1"/>
  <c r="Z39" i="2" s="1"/>
  <c r="Z40" i="2" s="1"/>
  <c r="J32" i="2"/>
  <c r="J33" i="2" s="1"/>
  <c r="J34" i="2" s="1"/>
  <c r="J35" i="2" s="1"/>
  <c r="J36" i="2" s="1"/>
  <c r="J37" i="2" s="1"/>
  <c r="J38" i="2" s="1"/>
  <c r="J39" i="2" s="1"/>
  <c r="J40" i="2" s="1"/>
  <c r="CP31" i="2"/>
  <c r="CP32" i="2" s="1"/>
  <c r="CP33" i="2" s="1"/>
  <c r="CP34" i="2" s="1"/>
  <c r="CP35" i="2" s="1"/>
  <c r="CP36" i="2" s="1"/>
  <c r="CP37" i="2" s="1"/>
  <c r="CP38" i="2" s="1"/>
  <c r="CP39" i="2" s="1"/>
  <c r="CP40" i="2" s="1"/>
  <c r="BZ31" i="2"/>
  <c r="BZ32" i="2" s="1"/>
  <c r="BZ33" i="2" s="1"/>
  <c r="BZ34" i="2" s="1"/>
  <c r="BZ35" i="2" s="1"/>
  <c r="BZ36" i="2" s="1"/>
  <c r="BZ37" i="2" s="1"/>
  <c r="BZ38" i="2" s="1"/>
  <c r="BZ39" i="2" s="1"/>
  <c r="BZ40" i="2" s="1"/>
  <c r="BJ31" i="2"/>
  <c r="BJ32" i="2" s="1"/>
  <c r="BJ33" i="2" s="1"/>
  <c r="BJ34" i="2" s="1"/>
  <c r="BJ35" i="2" s="1"/>
  <c r="BJ36" i="2" s="1"/>
  <c r="BJ37" i="2" s="1"/>
  <c r="BJ38" i="2" s="1"/>
  <c r="BJ39" i="2" s="1"/>
  <c r="BJ40" i="2" s="1"/>
  <c r="AT31" i="2"/>
  <c r="AT32" i="2" s="1"/>
  <c r="AT33" i="2" s="1"/>
  <c r="AT34" i="2" s="1"/>
  <c r="AT35" i="2" s="1"/>
  <c r="AT36" i="2" s="1"/>
  <c r="AT37" i="2" s="1"/>
  <c r="AT38" i="2" s="1"/>
  <c r="AT39" i="2" s="1"/>
  <c r="AT40" i="2" s="1"/>
  <c r="AD31" i="2"/>
  <c r="AD32" i="2" s="1"/>
  <c r="AD33" i="2" s="1"/>
  <c r="AD34" i="2" s="1"/>
  <c r="AD35" i="2" s="1"/>
  <c r="AD36" i="2" s="1"/>
  <c r="AD37" i="2" s="1"/>
  <c r="AD38" i="2" s="1"/>
  <c r="AD39" i="2" s="1"/>
  <c r="AD40" i="2" s="1"/>
  <c r="N31" i="2"/>
  <c r="N32" i="2" s="1"/>
  <c r="N33" i="2" s="1"/>
  <c r="N34" i="2" s="1"/>
  <c r="N35" i="2" s="1"/>
  <c r="N36" i="2" s="1"/>
  <c r="N37" i="2" s="1"/>
  <c r="N38" i="2" s="1"/>
  <c r="N39" i="2" s="1"/>
  <c r="N40" i="2" s="1"/>
  <c r="CK32" i="2"/>
  <c r="CK33" i="2" s="1"/>
  <c r="CK34" i="2" s="1"/>
  <c r="CK35" i="2" s="1"/>
  <c r="CK36" i="2" s="1"/>
  <c r="CK37" i="2" s="1"/>
  <c r="CK38" i="2" s="1"/>
  <c r="CK39" i="2" s="1"/>
  <c r="CK40" i="2" s="1"/>
  <c r="BU32" i="2"/>
  <c r="BU33" i="2" s="1"/>
  <c r="BU34" i="2" s="1"/>
  <c r="BU35" i="2" s="1"/>
  <c r="BU36" i="2" s="1"/>
  <c r="BU37" i="2" s="1"/>
  <c r="BU38" i="2" s="1"/>
  <c r="BU39" i="2" s="1"/>
  <c r="BU40" i="2" s="1"/>
  <c r="BE32" i="2"/>
  <c r="BE33" i="2" s="1"/>
  <c r="BE34" i="2" s="1"/>
  <c r="BE35" i="2" s="1"/>
  <c r="BE36" i="2" s="1"/>
  <c r="BE37" i="2" s="1"/>
  <c r="BE38" i="2" s="1"/>
  <c r="BE39" i="2" s="1"/>
  <c r="BE40" i="2" s="1"/>
  <c r="CO31" i="2"/>
  <c r="CO32" i="2" s="1"/>
  <c r="CO33" i="2" s="1"/>
  <c r="CO34" i="2" s="1"/>
  <c r="CO35" i="2" s="1"/>
  <c r="CO36" i="2" s="1"/>
  <c r="CO37" i="2" s="1"/>
  <c r="CO38" i="2" s="1"/>
  <c r="CO39" i="2" s="1"/>
  <c r="CO40" i="2" s="1"/>
  <c r="BY31" i="2"/>
  <c r="BY32" i="2" s="1"/>
  <c r="BY33" i="2" s="1"/>
  <c r="BY34" i="2" s="1"/>
  <c r="BY35" i="2" s="1"/>
  <c r="BY36" i="2" s="1"/>
  <c r="BY37" i="2" s="1"/>
  <c r="BY38" i="2" s="1"/>
  <c r="BY39" i="2" s="1"/>
  <c r="BY40" i="2" s="1"/>
  <c r="BI31" i="2"/>
  <c r="BI32" i="2" s="1"/>
  <c r="BI33" i="2" s="1"/>
  <c r="BI34" i="2" s="1"/>
  <c r="BI35" i="2" s="1"/>
  <c r="BI36" i="2" s="1"/>
  <c r="BI37" i="2" s="1"/>
  <c r="BI38" i="2" s="1"/>
  <c r="BI39" i="2" s="1"/>
  <c r="BI40" i="2" s="1"/>
  <c r="AS31" i="2"/>
  <c r="AS32" i="2" s="1"/>
  <c r="AS33" i="2" s="1"/>
  <c r="AS34" i="2" s="1"/>
  <c r="AS35" i="2" s="1"/>
  <c r="AS36" i="2" s="1"/>
  <c r="AS37" i="2" s="1"/>
  <c r="AS38" i="2" s="1"/>
  <c r="AS39" i="2" s="1"/>
  <c r="AS40" i="2" s="1"/>
  <c r="AC31" i="2"/>
  <c r="AC32" i="2" s="1"/>
  <c r="AC33" i="2" s="1"/>
  <c r="AC34" i="2" s="1"/>
  <c r="AC35" i="2" s="1"/>
  <c r="AC36" i="2" s="1"/>
  <c r="AC37" i="2" s="1"/>
  <c r="AC38" i="2" s="1"/>
  <c r="AC39" i="2" s="1"/>
  <c r="AC40" i="2" s="1"/>
  <c r="M31" i="2"/>
  <c r="M32" i="2" s="1"/>
  <c r="M33" i="2" s="1"/>
  <c r="M34" i="2" s="1"/>
  <c r="M35" i="2" s="1"/>
  <c r="M36" i="2" s="1"/>
  <c r="M37" i="2" s="1"/>
  <c r="M38" i="2" s="1"/>
  <c r="M39" i="2" s="1"/>
  <c r="M40" i="2" s="1"/>
  <c r="H32" i="2"/>
  <c r="H33" i="2" s="1"/>
  <c r="H34" i="2" s="1"/>
  <c r="H35" i="2" s="1"/>
  <c r="H36" i="2" s="1"/>
  <c r="H37" i="2" s="1"/>
  <c r="H38" i="2" s="1"/>
  <c r="H39" i="2" s="1"/>
  <c r="H40" i="2" s="1"/>
  <c r="CN31" i="2"/>
  <c r="CN32" i="2" s="1"/>
  <c r="CN33" i="2" s="1"/>
  <c r="CN34" i="2" s="1"/>
  <c r="CN35" i="2" s="1"/>
  <c r="CN36" i="2" s="1"/>
  <c r="CN37" i="2" s="1"/>
  <c r="CN38" i="2" s="1"/>
  <c r="CN39" i="2" s="1"/>
  <c r="CN40" i="2" s="1"/>
  <c r="BX31" i="2"/>
  <c r="BX32" i="2" s="1"/>
  <c r="BX33" i="2" s="1"/>
  <c r="BX34" i="2" s="1"/>
  <c r="BX35" i="2" s="1"/>
  <c r="BX36" i="2" s="1"/>
  <c r="BX37" i="2" s="1"/>
  <c r="BX38" i="2" s="1"/>
  <c r="BX39" i="2" s="1"/>
  <c r="BX40" i="2" s="1"/>
  <c r="BH31" i="2"/>
  <c r="BH32" i="2" s="1"/>
  <c r="BH33" i="2" s="1"/>
  <c r="BH34" i="2" s="1"/>
  <c r="BH35" i="2" s="1"/>
  <c r="BH36" i="2" s="1"/>
  <c r="BH37" i="2" s="1"/>
  <c r="BH38" i="2" s="1"/>
  <c r="BH39" i="2" s="1"/>
  <c r="BH40" i="2" s="1"/>
  <c r="AR31" i="2"/>
  <c r="AR32" i="2" s="1"/>
  <c r="AR33" i="2" s="1"/>
  <c r="AR34" i="2" s="1"/>
  <c r="AR35" i="2" s="1"/>
  <c r="AR36" i="2" s="1"/>
  <c r="AR37" i="2" s="1"/>
  <c r="AR38" i="2" s="1"/>
  <c r="AR39" i="2" s="1"/>
  <c r="AR40" i="2" s="1"/>
  <c r="AB31" i="2"/>
  <c r="AB32" i="2" s="1"/>
  <c r="AB33" i="2" s="1"/>
  <c r="AB34" i="2" s="1"/>
  <c r="AB35" i="2" s="1"/>
  <c r="AB36" i="2" s="1"/>
  <c r="AB37" i="2" s="1"/>
  <c r="AB38" i="2" s="1"/>
  <c r="AB39" i="2" s="1"/>
  <c r="AB40" i="2" s="1"/>
  <c r="L31" i="2"/>
  <c r="L32" i="2" s="1"/>
  <c r="L33" i="2" s="1"/>
  <c r="L34" i="2" s="1"/>
  <c r="L35" i="2" s="1"/>
  <c r="L36" i="2" s="1"/>
  <c r="L37" i="2" s="1"/>
  <c r="L38" i="2" s="1"/>
  <c r="L39" i="2" s="1"/>
  <c r="L40" i="2" s="1"/>
  <c r="K31" i="2"/>
  <c r="K32" i="2" s="1"/>
  <c r="K33" i="2" s="1"/>
  <c r="K34" i="2" s="1"/>
  <c r="K35" i="2" s="1"/>
  <c r="K36" i="2" s="1"/>
  <c r="K37" i="2" s="1"/>
  <c r="K38" i="2" s="1"/>
  <c r="K39" i="2" s="1"/>
  <c r="K40" i="2" s="1"/>
  <c r="AA31" i="2"/>
  <c r="AA32" i="2" s="1"/>
  <c r="AA33" i="2" s="1"/>
  <c r="AA34" i="2" s="1"/>
  <c r="AA35" i="2" s="1"/>
  <c r="AA36" i="2" s="1"/>
  <c r="AA37" i="2" s="1"/>
  <c r="AA38" i="2" s="1"/>
  <c r="AA39" i="2" s="1"/>
  <c r="AA40" i="2" s="1"/>
  <c r="B25" i="2" l="1"/>
  <c r="B26" i="2" s="1"/>
</calcChain>
</file>

<file path=xl/sharedStrings.xml><?xml version="1.0" encoding="utf-8"?>
<sst xmlns="http://schemas.openxmlformats.org/spreadsheetml/2006/main" count="21" uniqueCount="21">
  <si>
    <t>HOW WELL DO WE DO?
PERCENTAGE OF POSITIVE OUTCOMES</t>
  </si>
  <si>
    <t>Current wealth</t>
  </si>
  <si>
    <t>Riskfree rate</t>
  </si>
  <si>
    <t>Parameters of risky investment</t>
  </si>
  <si>
    <t>Expected annual return</t>
  </si>
  <si>
    <t>Standard deviation of return</t>
  </si>
  <si>
    <t>Proportion invested in risky</t>
  </si>
  <si>
    <t>Annual drawdown</t>
  </si>
  <si>
    <t>Years of investment</t>
  </si>
  <si>
    <t>Runs</t>
  </si>
  <si>
    <t>Successful runs</t>
  </si>
  <si>
    <t>SIMULATION OF 100 PATHS</t>
  </si>
  <si>
    <t>R</t>
  </si>
  <si>
    <t>Up</t>
  </si>
  <si>
    <t>Down</t>
  </si>
  <si>
    <t>PiUp (risk-neutral prob. of Up)</t>
  </si>
  <si>
    <t>PiDown (risk-neutral prob. of Down)</t>
  </si>
  <si>
    <t>Number of year 10 wealth &gt; 0</t>
  </si>
  <si>
    <t>Percentage of successful simulations</t>
  </si>
  <si>
    <t>Wealth at end of year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</si>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</sst>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3" fontId="2" fillId="0" borderId="0" xfId="1" applyNumberFormat="1"/>
    <xf numFmtId="9" fontId="2" fillId="0" borderId="0" xfId="1" applyNumberFormat="1"/>
    <xf numFmtId="0" fontId="2" fillId="0" borderId="0" xfId="1" applyAlignment="1">
      <alignment horizontal="left" indent="1"/>
    </xf>
    <xf numFmtId="0" fontId="2" fillId="0" borderId="0" xfId="1" applyAlignment="1">
      <alignment horizontal="left"/>
    </xf>
    <xf numFmtId="0" fontId="2" fillId="2" borderId="0" xfId="1" applyFill="1"/>
    <xf numFmtId="10" fontId="2" fillId="2" borderId="0" xfId="2" applyNumberFormat="1" applyFill="1"/>
    <xf numFmtId="0" fontId="4" fillId="3" borderId="0" xfId="1" applyFont="1" applyFill="1" applyAlignment="1">
      <alignment horizontal="left"/>
    </xf>
    <xf numFmtId="176" fontId="2" fillId="0" borderId="0" xfId="1" applyNumberFormat="1"/>
    <xf numFmtId="0" fontId="2" fillId="3" borderId="0" xfId="1" applyFill="1" applyAlignment="1">
      <alignment horizontal="center" vertical="center" wrapText="1"/>
    </xf>
    <xf numFmtId="10" fontId="2" fillId="0" borderId="0" xfId="2" applyNumberFormat="1"/>
    <xf numFmtId="0" fontId="5" fillId="0" borderId="0" xfId="1" applyFont="1" applyAlignment="1">
      <alignment horizontal="center"/>
    </xf>
    <xf numFmtId="0" fontId="2" fillId="0" borderId="0" xfId="1" applyAlignment="1">
      <alignment horizontal="center" vertical="center" wrapText="1"/>
    </xf>
    <xf numFmtId="0" fontId="5" fillId="0" borderId="0" xfId="1" applyFont="1" applyAlignment="1">
      <alignment horizontal="center" vertical="center"/>
    </xf>
    <xf numFmtId="0" fontId="2" fillId="0" borderId="0" xfId="1" applyAlignment="1">
      <alignment horizontal="center"/>
    </xf>
    <xf numFmtId="3" fontId="2" fillId="0" borderId="0" xfId="1" applyNumberFormat="1" applyAlignment="1">
      <alignment horizontal="center"/>
    </xf>
  </cellXfs>
  <cellStyles count="3">
    <cellStyle name="百分比 2" xfId="2" xr:uid="{85CC6340-0AC0-4713-8F63-7BC3A4D75F16}"/>
    <cellStyle name="常规" xfId="0" builtinId="0"/>
    <cellStyle name="常规 2" xfId="1" xr:uid="{358FEE7A-5F03-4E77-A2D1-A64E919A16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838200</xdr:colOff>
      <xdr:row>25</xdr:row>
      <xdr:rowOff>121920</xdr:rowOff>
    </xdr:from>
    <xdr:to>
      <xdr:col>4</xdr:col>
      <xdr:colOff>441960</xdr:colOff>
      <xdr:row>30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FAFA40E3-3AAB-46C7-BA26-D81C252B3912}"/>
            </a:ext>
          </a:extLst>
        </xdr:cNvPr>
        <xdr:cNvSpPr>
          <a:spLocks noChangeShapeType="1"/>
        </xdr:cNvSpPr>
      </xdr:nvSpPr>
      <xdr:spPr bwMode="auto">
        <a:xfrm flipH="1">
          <a:off x="3714750" y="4781550"/>
          <a:ext cx="1762125" cy="962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342900</xdr:colOff>
      <xdr:row>42</xdr:row>
      <xdr:rowOff>76200</xdr:rowOff>
    </xdr:from>
    <xdr:to>
      <xdr:col>19</xdr:col>
      <xdr:colOff>209868</xdr:colOff>
      <xdr:row>91</xdr:row>
      <xdr:rowOff>1162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5CA062E-92F7-8525-DEBA-98DDD16EB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7810500"/>
          <a:ext cx="15928023" cy="83222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598-599"/>
      <sheetName val="Pages 598-599  中文"/>
      <sheetName val="Pages 600-602"/>
      <sheetName val="Pages 600-602 中文"/>
      <sheetName val="Page 603"/>
      <sheetName val="Page 603 中文"/>
      <sheetName val="Page 604"/>
      <sheetName val="Page 604  中文"/>
      <sheetName val="Page 605"/>
      <sheetName val="Page 605 中文"/>
      <sheetName val="Page 606"/>
      <sheetName val="Page 606  中文"/>
      <sheetName val="Page 607-8"/>
      <sheetName val="Page 607-8  中文"/>
      <sheetName val="Circle picture"/>
      <sheetName val="Circle picture  中文"/>
    </sheetNames>
    <sheetDataSet>
      <sheetData sheetId="0"/>
      <sheetData sheetId="1"/>
      <sheetData sheetId="2"/>
      <sheetData sheetId="3"/>
      <sheetData sheetId="4">
        <row r="6">
          <cell r="B6">
            <v>0.50940972222222225</v>
          </cell>
        </row>
        <row r="7">
          <cell r="B7">
            <v>0.50980324074074079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4">
          <cell r="N14">
            <v>0.01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R43" sqref="R4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967D-4A07-4DC7-B1BC-0B938771C139}">
  <sheetPr codeName="Sheet8"/>
  <dimension ref="A1:CX40"/>
  <sheetViews>
    <sheetView tabSelected="1" workbookViewId="0">
      <selection activeCell="T14" sqref="T14"/>
    </sheetView>
  </sheetViews>
  <sheetFormatPr defaultRowHeight="13.2" x14ac:dyDescent="0.25"/>
  <cols>
    <col min="1" max="1" width="33" style="2" customWidth="1"/>
    <col min="2" max="2" width="8.88671875" style="2"/>
    <col min="3" max="3" width="19.5546875" style="2" customWidth="1"/>
    <col min="4" max="8" width="11.88671875" style="2" customWidth="1"/>
    <col min="9" max="118" width="10.33203125" style="2" customWidth="1"/>
    <col min="119" max="256" width="8.88671875" style="2"/>
    <col min="257" max="257" width="33" style="2" customWidth="1"/>
    <col min="258" max="258" width="8.88671875" style="2"/>
    <col min="259" max="259" width="19.5546875" style="2" customWidth="1"/>
    <col min="260" max="264" width="11.88671875" style="2" customWidth="1"/>
    <col min="265" max="374" width="10.33203125" style="2" customWidth="1"/>
    <col min="375" max="512" width="8.88671875" style="2"/>
    <col min="513" max="513" width="33" style="2" customWidth="1"/>
    <col min="514" max="514" width="8.88671875" style="2"/>
    <col min="515" max="515" width="19.5546875" style="2" customWidth="1"/>
    <col min="516" max="520" width="11.88671875" style="2" customWidth="1"/>
    <col min="521" max="630" width="10.33203125" style="2" customWidth="1"/>
    <col min="631" max="768" width="8.88671875" style="2"/>
    <col min="769" max="769" width="33" style="2" customWidth="1"/>
    <col min="770" max="770" width="8.88671875" style="2"/>
    <col min="771" max="771" width="19.5546875" style="2" customWidth="1"/>
    <col min="772" max="776" width="11.88671875" style="2" customWidth="1"/>
    <col min="777" max="886" width="10.33203125" style="2" customWidth="1"/>
    <col min="887" max="1024" width="8.88671875" style="2"/>
    <col min="1025" max="1025" width="33" style="2" customWidth="1"/>
    <col min="1026" max="1026" width="8.88671875" style="2"/>
    <col min="1027" max="1027" width="19.5546875" style="2" customWidth="1"/>
    <col min="1028" max="1032" width="11.88671875" style="2" customWidth="1"/>
    <col min="1033" max="1142" width="10.33203125" style="2" customWidth="1"/>
    <col min="1143" max="1280" width="8.88671875" style="2"/>
    <col min="1281" max="1281" width="33" style="2" customWidth="1"/>
    <col min="1282" max="1282" width="8.88671875" style="2"/>
    <col min="1283" max="1283" width="19.5546875" style="2" customWidth="1"/>
    <col min="1284" max="1288" width="11.88671875" style="2" customWidth="1"/>
    <col min="1289" max="1398" width="10.33203125" style="2" customWidth="1"/>
    <col min="1399" max="1536" width="8.88671875" style="2"/>
    <col min="1537" max="1537" width="33" style="2" customWidth="1"/>
    <col min="1538" max="1538" width="8.88671875" style="2"/>
    <col min="1539" max="1539" width="19.5546875" style="2" customWidth="1"/>
    <col min="1540" max="1544" width="11.88671875" style="2" customWidth="1"/>
    <col min="1545" max="1654" width="10.33203125" style="2" customWidth="1"/>
    <col min="1655" max="1792" width="8.88671875" style="2"/>
    <col min="1793" max="1793" width="33" style="2" customWidth="1"/>
    <col min="1794" max="1794" width="8.88671875" style="2"/>
    <col min="1795" max="1795" width="19.5546875" style="2" customWidth="1"/>
    <col min="1796" max="1800" width="11.88671875" style="2" customWidth="1"/>
    <col min="1801" max="1910" width="10.33203125" style="2" customWidth="1"/>
    <col min="1911" max="2048" width="8.88671875" style="2"/>
    <col min="2049" max="2049" width="33" style="2" customWidth="1"/>
    <col min="2050" max="2050" width="8.88671875" style="2"/>
    <col min="2051" max="2051" width="19.5546875" style="2" customWidth="1"/>
    <col min="2052" max="2056" width="11.88671875" style="2" customWidth="1"/>
    <col min="2057" max="2166" width="10.33203125" style="2" customWidth="1"/>
    <col min="2167" max="2304" width="8.88671875" style="2"/>
    <col min="2305" max="2305" width="33" style="2" customWidth="1"/>
    <col min="2306" max="2306" width="8.88671875" style="2"/>
    <col min="2307" max="2307" width="19.5546875" style="2" customWidth="1"/>
    <col min="2308" max="2312" width="11.88671875" style="2" customWidth="1"/>
    <col min="2313" max="2422" width="10.33203125" style="2" customWidth="1"/>
    <col min="2423" max="2560" width="8.88671875" style="2"/>
    <col min="2561" max="2561" width="33" style="2" customWidth="1"/>
    <col min="2562" max="2562" width="8.88671875" style="2"/>
    <col min="2563" max="2563" width="19.5546875" style="2" customWidth="1"/>
    <col min="2564" max="2568" width="11.88671875" style="2" customWidth="1"/>
    <col min="2569" max="2678" width="10.33203125" style="2" customWidth="1"/>
    <col min="2679" max="2816" width="8.88671875" style="2"/>
    <col min="2817" max="2817" width="33" style="2" customWidth="1"/>
    <col min="2818" max="2818" width="8.88671875" style="2"/>
    <col min="2819" max="2819" width="19.5546875" style="2" customWidth="1"/>
    <col min="2820" max="2824" width="11.88671875" style="2" customWidth="1"/>
    <col min="2825" max="2934" width="10.33203125" style="2" customWidth="1"/>
    <col min="2935" max="3072" width="8.88671875" style="2"/>
    <col min="3073" max="3073" width="33" style="2" customWidth="1"/>
    <col min="3074" max="3074" width="8.88671875" style="2"/>
    <col min="3075" max="3075" width="19.5546875" style="2" customWidth="1"/>
    <col min="3076" max="3080" width="11.88671875" style="2" customWidth="1"/>
    <col min="3081" max="3190" width="10.33203125" style="2" customWidth="1"/>
    <col min="3191" max="3328" width="8.88671875" style="2"/>
    <col min="3329" max="3329" width="33" style="2" customWidth="1"/>
    <col min="3330" max="3330" width="8.88671875" style="2"/>
    <col min="3331" max="3331" width="19.5546875" style="2" customWidth="1"/>
    <col min="3332" max="3336" width="11.88671875" style="2" customWidth="1"/>
    <col min="3337" max="3446" width="10.33203125" style="2" customWidth="1"/>
    <col min="3447" max="3584" width="8.88671875" style="2"/>
    <col min="3585" max="3585" width="33" style="2" customWidth="1"/>
    <col min="3586" max="3586" width="8.88671875" style="2"/>
    <col min="3587" max="3587" width="19.5546875" style="2" customWidth="1"/>
    <col min="3588" max="3592" width="11.88671875" style="2" customWidth="1"/>
    <col min="3593" max="3702" width="10.33203125" style="2" customWidth="1"/>
    <col min="3703" max="3840" width="8.88671875" style="2"/>
    <col min="3841" max="3841" width="33" style="2" customWidth="1"/>
    <col min="3842" max="3842" width="8.88671875" style="2"/>
    <col min="3843" max="3843" width="19.5546875" style="2" customWidth="1"/>
    <col min="3844" max="3848" width="11.88671875" style="2" customWidth="1"/>
    <col min="3849" max="3958" width="10.33203125" style="2" customWidth="1"/>
    <col min="3959" max="4096" width="8.88671875" style="2"/>
    <col min="4097" max="4097" width="33" style="2" customWidth="1"/>
    <col min="4098" max="4098" width="8.88671875" style="2"/>
    <col min="4099" max="4099" width="19.5546875" style="2" customWidth="1"/>
    <col min="4100" max="4104" width="11.88671875" style="2" customWidth="1"/>
    <col min="4105" max="4214" width="10.33203125" style="2" customWidth="1"/>
    <col min="4215" max="4352" width="8.88671875" style="2"/>
    <col min="4353" max="4353" width="33" style="2" customWidth="1"/>
    <col min="4354" max="4354" width="8.88671875" style="2"/>
    <col min="4355" max="4355" width="19.5546875" style="2" customWidth="1"/>
    <col min="4356" max="4360" width="11.88671875" style="2" customWidth="1"/>
    <col min="4361" max="4470" width="10.33203125" style="2" customWidth="1"/>
    <col min="4471" max="4608" width="8.88671875" style="2"/>
    <col min="4609" max="4609" width="33" style="2" customWidth="1"/>
    <col min="4610" max="4610" width="8.88671875" style="2"/>
    <col min="4611" max="4611" width="19.5546875" style="2" customWidth="1"/>
    <col min="4612" max="4616" width="11.88671875" style="2" customWidth="1"/>
    <col min="4617" max="4726" width="10.33203125" style="2" customWidth="1"/>
    <col min="4727" max="4864" width="8.88671875" style="2"/>
    <col min="4865" max="4865" width="33" style="2" customWidth="1"/>
    <col min="4866" max="4866" width="8.88671875" style="2"/>
    <col min="4867" max="4867" width="19.5546875" style="2" customWidth="1"/>
    <col min="4868" max="4872" width="11.88671875" style="2" customWidth="1"/>
    <col min="4873" max="4982" width="10.33203125" style="2" customWidth="1"/>
    <col min="4983" max="5120" width="8.88671875" style="2"/>
    <col min="5121" max="5121" width="33" style="2" customWidth="1"/>
    <col min="5122" max="5122" width="8.88671875" style="2"/>
    <col min="5123" max="5123" width="19.5546875" style="2" customWidth="1"/>
    <col min="5124" max="5128" width="11.88671875" style="2" customWidth="1"/>
    <col min="5129" max="5238" width="10.33203125" style="2" customWidth="1"/>
    <col min="5239" max="5376" width="8.88671875" style="2"/>
    <col min="5377" max="5377" width="33" style="2" customWidth="1"/>
    <col min="5378" max="5378" width="8.88671875" style="2"/>
    <col min="5379" max="5379" width="19.5546875" style="2" customWidth="1"/>
    <col min="5380" max="5384" width="11.88671875" style="2" customWidth="1"/>
    <col min="5385" max="5494" width="10.33203125" style="2" customWidth="1"/>
    <col min="5495" max="5632" width="8.88671875" style="2"/>
    <col min="5633" max="5633" width="33" style="2" customWidth="1"/>
    <col min="5634" max="5634" width="8.88671875" style="2"/>
    <col min="5635" max="5635" width="19.5546875" style="2" customWidth="1"/>
    <col min="5636" max="5640" width="11.88671875" style="2" customWidth="1"/>
    <col min="5641" max="5750" width="10.33203125" style="2" customWidth="1"/>
    <col min="5751" max="5888" width="8.88671875" style="2"/>
    <col min="5889" max="5889" width="33" style="2" customWidth="1"/>
    <col min="5890" max="5890" width="8.88671875" style="2"/>
    <col min="5891" max="5891" width="19.5546875" style="2" customWidth="1"/>
    <col min="5892" max="5896" width="11.88671875" style="2" customWidth="1"/>
    <col min="5897" max="6006" width="10.33203125" style="2" customWidth="1"/>
    <col min="6007" max="6144" width="8.88671875" style="2"/>
    <col min="6145" max="6145" width="33" style="2" customWidth="1"/>
    <col min="6146" max="6146" width="8.88671875" style="2"/>
    <col min="6147" max="6147" width="19.5546875" style="2" customWidth="1"/>
    <col min="6148" max="6152" width="11.88671875" style="2" customWidth="1"/>
    <col min="6153" max="6262" width="10.33203125" style="2" customWidth="1"/>
    <col min="6263" max="6400" width="8.88671875" style="2"/>
    <col min="6401" max="6401" width="33" style="2" customWidth="1"/>
    <col min="6402" max="6402" width="8.88671875" style="2"/>
    <col min="6403" max="6403" width="19.5546875" style="2" customWidth="1"/>
    <col min="6404" max="6408" width="11.88671875" style="2" customWidth="1"/>
    <col min="6409" max="6518" width="10.33203125" style="2" customWidth="1"/>
    <col min="6519" max="6656" width="8.88671875" style="2"/>
    <col min="6657" max="6657" width="33" style="2" customWidth="1"/>
    <col min="6658" max="6658" width="8.88671875" style="2"/>
    <col min="6659" max="6659" width="19.5546875" style="2" customWidth="1"/>
    <col min="6660" max="6664" width="11.88671875" style="2" customWidth="1"/>
    <col min="6665" max="6774" width="10.33203125" style="2" customWidth="1"/>
    <col min="6775" max="6912" width="8.88671875" style="2"/>
    <col min="6913" max="6913" width="33" style="2" customWidth="1"/>
    <col min="6914" max="6914" width="8.88671875" style="2"/>
    <col min="6915" max="6915" width="19.5546875" style="2" customWidth="1"/>
    <col min="6916" max="6920" width="11.88671875" style="2" customWidth="1"/>
    <col min="6921" max="7030" width="10.33203125" style="2" customWidth="1"/>
    <col min="7031" max="7168" width="8.88671875" style="2"/>
    <col min="7169" max="7169" width="33" style="2" customWidth="1"/>
    <col min="7170" max="7170" width="8.88671875" style="2"/>
    <col min="7171" max="7171" width="19.5546875" style="2" customWidth="1"/>
    <col min="7172" max="7176" width="11.88671875" style="2" customWidth="1"/>
    <col min="7177" max="7286" width="10.33203125" style="2" customWidth="1"/>
    <col min="7287" max="7424" width="8.88671875" style="2"/>
    <col min="7425" max="7425" width="33" style="2" customWidth="1"/>
    <col min="7426" max="7426" width="8.88671875" style="2"/>
    <col min="7427" max="7427" width="19.5546875" style="2" customWidth="1"/>
    <col min="7428" max="7432" width="11.88671875" style="2" customWidth="1"/>
    <col min="7433" max="7542" width="10.33203125" style="2" customWidth="1"/>
    <col min="7543" max="7680" width="8.88671875" style="2"/>
    <col min="7681" max="7681" width="33" style="2" customWidth="1"/>
    <col min="7682" max="7682" width="8.88671875" style="2"/>
    <col min="7683" max="7683" width="19.5546875" style="2" customWidth="1"/>
    <col min="7684" max="7688" width="11.88671875" style="2" customWidth="1"/>
    <col min="7689" max="7798" width="10.33203125" style="2" customWidth="1"/>
    <col min="7799" max="7936" width="8.88671875" style="2"/>
    <col min="7937" max="7937" width="33" style="2" customWidth="1"/>
    <col min="7938" max="7938" width="8.88671875" style="2"/>
    <col min="7939" max="7939" width="19.5546875" style="2" customWidth="1"/>
    <col min="7940" max="7944" width="11.88671875" style="2" customWidth="1"/>
    <col min="7945" max="8054" width="10.33203125" style="2" customWidth="1"/>
    <col min="8055" max="8192" width="8.88671875" style="2"/>
    <col min="8193" max="8193" width="33" style="2" customWidth="1"/>
    <col min="8194" max="8194" width="8.88671875" style="2"/>
    <col min="8195" max="8195" width="19.5546875" style="2" customWidth="1"/>
    <col min="8196" max="8200" width="11.88671875" style="2" customWidth="1"/>
    <col min="8201" max="8310" width="10.33203125" style="2" customWidth="1"/>
    <col min="8311" max="8448" width="8.88671875" style="2"/>
    <col min="8449" max="8449" width="33" style="2" customWidth="1"/>
    <col min="8450" max="8450" width="8.88671875" style="2"/>
    <col min="8451" max="8451" width="19.5546875" style="2" customWidth="1"/>
    <col min="8452" max="8456" width="11.88671875" style="2" customWidth="1"/>
    <col min="8457" max="8566" width="10.33203125" style="2" customWidth="1"/>
    <col min="8567" max="8704" width="8.88671875" style="2"/>
    <col min="8705" max="8705" width="33" style="2" customWidth="1"/>
    <col min="8706" max="8706" width="8.88671875" style="2"/>
    <col min="8707" max="8707" width="19.5546875" style="2" customWidth="1"/>
    <col min="8708" max="8712" width="11.88671875" style="2" customWidth="1"/>
    <col min="8713" max="8822" width="10.33203125" style="2" customWidth="1"/>
    <col min="8823" max="8960" width="8.88671875" style="2"/>
    <col min="8961" max="8961" width="33" style="2" customWidth="1"/>
    <col min="8962" max="8962" width="8.88671875" style="2"/>
    <col min="8963" max="8963" width="19.5546875" style="2" customWidth="1"/>
    <col min="8964" max="8968" width="11.88671875" style="2" customWidth="1"/>
    <col min="8969" max="9078" width="10.33203125" style="2" customWidth="1"/>
    <col min="9079" max="9216" width="8.88671875" style="2"/>
    <col min="9217" max="9217" width="33" style="2" customWidth="1"/>
    <col min="9218" max="9218" width="8.88671875" style="2"/>
    <col min="9219" max="9219" width="19.5546875" style="2" customWidth="1"/>
    <col min="9220" max="9224" width="11.88671875" style="2" customWidth="1"/>
    <col min="9225" max="9334" width="10.33203125" style="2" customWidth="1"/>
    <col min="9335" max="9472" width="8.88671875" style="2"/>
    <col min="9473" max="9473" width="33" style="2" customWidth="1"/>
    <col min="9474" max="9474" width="8.88671875" style="2"/>
    <col min="9475" max="9475" width="19.5546875" style="2" customWidth="1"/>
    <col min="9476" max="9480" width="11.88671875" style="2" customWidth="1"/>
    <col min="9481" max="9590" width="10.33203125" style="2" customWidth="1"/>
    <col min="9591" max="9728" width="8.88671875" style="2"/>
    <col min="9729" max="9729" width="33" style="2" customWidth="1"/>
    <col min="9730" max="9730" width="8.88671875" style="2"/>
    <col min="9731" max="9731" width="19.5546875" style="2" customWidth="1"/>
    <col min="9732" max="9736" width="11.88671875" style="2" customWidth="1"/>
    <col min="9737" max="9846" width="10.33203125" style="2" customWidth="1"/>
    <col min="9847" max="9984" width="8.88671875" style="2"/>
    <col min="9985" max="9985" width="33" style="2" customWidth="1"/>
    <col min="9986" max="9986" width="8.88671875" style="2"/>
    <col min="9987" max="9987" width="19.5546875" style="2" customWidth="1"/>
    <col min="9988" max="9992" width="11.88671875" style="2" customWidth="1"/>
    <col min="9993" max="10102" width="10.33203125" style="2" customWidth="1"/>
    <col min="10103" max="10240" width="8.88671875" style="2"/>
    <col min="10241" max="10241" width="33" style="2" customWidth="1"/>
    <col min="10242" max="10242" width="8.88671875" style="2"/>
    <col min="10243" max="10243" width="19.5546875" style="2" customWidth="1"/>
    <col min="10244" max="10248" width="11.88671875" style="2" customWidth="1"/>
    <col min="10249" max="10358" width="10.33203125" style="2" customWidth="1"/>
    <col min="10359" max="10496" width="8.88671875" style="2"/>
    <col min="10497" max="10497" width="33" style="2" customWidth="1"/>
    <col min="10498" max="10498" width="8.88671875" style="2"/>
    <col min="10499" max="10499" width="19.5546875" style="2" customWidth="1"/>
    <col min="10500" max="10504" width="11.88671875" style="2" customWidth="1"/>
    <col min="10505" max="10614" width="10.33203125" style="2" customWidth="1"/>
    <col min="10615" max="10752" width="8.88671875" style="2"/>
    <col min="10753" max="10753" width="33" style="2" customWidth="1"/>
    <col min="10754" max="10754" width="8.88671875" style="2"/>
    <col min="10755" max="10755" width="19.5546875" style="2" customWidth="1"/>
    <col min="10756" max="10760" width="11.88671875" style="2" customWidth="1"/>
    <col min="10761" max="10870" width="10.33203125" style="2" customWidth="1"/>
    <col min="10871" max="11008" width="8.88671875" style="2"/>
    <col min="11009" max="11009" width="33" style="2" customWidth="1"/>
    <col min="11010" max="11010" width="8.88671875" style="2"/>
    <col min="11011" max="11011" width="19.5546875" style="2" customWidth="1"/>
    <col min="11012" max="11016" width="11.88671875" style="2" customWidth="1"/>
    <col min="11017" max="11126" width="10.33203125" style="2" customWidth="1"/>
    <col min="11127" max="11264" width="8.88671875" style="2"/>
    <col min="11265" max="11265" width="33" style="2" customWidth="1"/>
    <col min="11266" max="11266" width="8.88671875" style="2"/>
    <col min="11267" max="11267" width="19.5546875" style="2" customWidth="1"/>
    <col min="11268" max="11272" width="11.88671875" style="2" customWidth="1"/>
    <col min="11273" max="11382" width="10.33203125" style="2" customWidth="1"/>
    <col min="11383" max="11520" width="8.88671875" style="2"/>
    <col min="11521" max="11521" width="33" style="2" customWidth="1"/>
    <col min="11522" max="11522" width="8.88671875" style="2"/>
    <col min="11523" max="11523" width="19.5546875" style="2" customWidth="1"/>
    <col min="11524" max="11528" width="11.88671875" style="2" customWidth="1"/>
    <col min="11529" max="11638" width="10.33203125" style="2" customWidth="1"/>
    <col min="11639" max="11776" width="8.88671875" style="2"/>
    <col min="11777" max="11777" width="33" style="2" customWidth="1"/>
    <col min="11778" max="11778" width="8.88671875" style="2"/>
    <col min="11779" max="11779" width="19.5546875" style="2" customWidth="1"/>
    <col min="11780" max="11784" width="11.88671875" style="2" customWidth="1"/>
    <col min="11785" max="11894" width="10.33203125" style="2" customWidth="1"/>
    <col min="11895" max="12032" width="8.88671875" style="2"/>
    <col min="12033" max="12033" width="33" style="2" customWidth="1"/>
    <col min="12034" max="12034" width="8.88671875" style="2"/>
    <col min="12035" max="12035" width="19.5546875" style="2" customWidth="1"/>
    <col min="12036" max="12040" width="11.88671875" style="2" customWidth="1"/>
    <col min="12041" max="12150" width="10.33203125" style="2" customWidth="1"/>
    <col min="12151" max="12288" width="8.88671875" style="2"/>
    <col min="12289" max="12289" width="33" style="2" customWidth="1"/>
    <col min="12290" max="12290" width="8.88671875" style="2"/>
    <col min="12291" max="12291" width="19.5546875" style="2" customWidth="1"/>
    <col min="12292" max="12296" width="11.88671875" style="2" customWidth="1"/>
    <col min="12297" max="12406" width="10.33203125" style="2" customWidth="1"/>
    <col min="12407" max="12544" width="8.88671875" style="2"/>
    <col min="12545" max="12545" width="33" style="2" customWidth="1"/>
    <col min="12546" max="12546" width="8.88671875" style="2"/>
    <col min="12547" max="12547" width="19.5546875" style="2" customWidth="1"/>
    <col min="12548" max="12552" width="11.88671875" style="2" customWidth="1"/>
    <col min="12553" max="12662" width="10.33203125" style="2" customWidth="1"/>
    <col min="12663" max="12800" width="8.88671875" style="2"/>
    <col min="12801" max="12801" width="33" style="2" customWidth="1"/>
    <col min="12802" max="12802" width="8.88671875" style="2"/>
    <col min="12803" max="12803" width="19.5546875" style="2" customWidth="1"/>
    <col min="12804" max="12808" width="11.88671875" style="2" customWidth="1"/>
    <col min="12809" max="12918" width="10.33203125" style="2" customWidth="1"/>
    <col min="12919" max="13056" width="8.88671875" style="2"/>
    <col min="13057" max="13057" width="33" style="2" customWidth="1"/>
    <col min="13058" max="13058" width="8.88671875" style="2"/>
    <col min="13059" max="13059" width="19.5546875" style="2" customWidth="1"/>
    <col min="13060" max="13064" width="11.88671875" style="2" customWidth="1"/>
    <col min="13065" max="13174" width="10.33203125" style="2" customWidth="1"/>
    <col min="13175" max="13312" width="8.88671875" style="2"/>
    <col min="13313" max="13313" width="33" style="2" customWidth="1"/>
    <col min="13314" max="13314" width="8.88671875" style="2"/>
    <col min="13315" max="13315" width="19.5546875" style="2" customWidth="1"/>
    <col min="13316" max="13320" width="11.88671875" style="2" customWidth="1"/>
    <col min="13321" max="13430" width="10.33203125" style="2" customWidth="1"/>
    <col min="13431" max="13568" width="8.88671875" style="2"/>
    <col min="13569" max="13569" width="33" style="2" customWidth="1"/>
    <col min="13570" max="13570" width="8.88671875" style="2"/>
    <col min="13571" max="13571" width="19.5546875" style="2" customWidth="1"/>
    <col min="13572" max="13576" width="11.88671875" style="2" customWidth="1"/>
    <col min="13577" max="13686" width="10.33203125" style="2" customWidth="1"/>
    <col min="13687" max="13824" width="8.88671875" style="2"/>
    <col min="13825" max="13825" width="33" style="2" customWidth="1"/>
    <col min="13826" max="13826" width="8.88671875" style="2"/>
    <col min="13827" max="13827" width="19.5546875" style="2" customWidth="1"/>
    <col min="13828" max="13832" width="11.88671875" style="2" customWidth="1"/>
    <col min="13833" max="13942" width="10.33203125" style="2" customWidth="1"/>
    <col min="13943" max="14080" width="8.88671875" style="2"/>
    <col min="14081" max="14081" width="33" style="2" customWidth="1"/>
    <col min="14082" max="14082" width="8.88671875" style="2"/>
    <col min="14083" max="14083" width="19.5546875" style="2" customWidth="1"/>
    <col min="14084" max="14088" width="11.88671875" style="2" customWidth="1"/>
    <col min="14089" max="14198" width="10.33203125" style="2" customWidth="1"/>
    <col min="14199" max="14336" width="8.88671875" style="2"/>
    <col min="14337" max="14337" width="33" style="2" customWidth="1"/>
    <col min="14338" max="14338" width="8.88671875" style="2"/>
    <col min="14339" max="14339" width="19.5546875" style="2" customWidth="1"/>
    <col min="14340" max="14344" width="11.88671875" style="2" customWidth="1"/>
    <col min="14345" max="14454" width="10.33203125" style="2" customWidth="1"/>
    <col min="14455" max="14592" width="8.88671875" style="2"/>
    <col min="14593" max="14593" width="33" style="2" customWidth="1"/>
    <col min="14594" max="14594" width="8.88671875" style="2"/>
    <col min="14595" max="14595" width="19.5546875" style="2" customWidth="1"/>
    <col min="14596" max="14600" width="11.88671875" style="2" customWidth="1"/>
    <col min="14601" max="14710" width="10.33203125" style="2" customWidth="1"/>
    <col min="14711" max="14848" width="8.88671875" style="2"/>
    <col min="14849" max="14849" width="33" style="2" customWidth="1"/>
    <col min="14850" max="14850" width="8.88671875" style="2"/>
    <col min="14851" max="14851" width="19.5546875" style="2" customWidth="1"/>
    <col min="14852" max="14856" width="11.88671875" style="2" customWidth="1"/>
    <col min="14857" max="14966" width="10.33203125" style="2" customWidth="1"/>
    <col min="14967" max="15104" width="8.88671875" style="2"/>
    <col min="15105" max="15105" width="33" style="2" customWidth="1"/>
    <col min="15106" max="15106" width="8.88671875" style="2"/>
    <col min="15107" max="15107" width="19.5546875" style="2" customWidth="1"/>
    <col min="15108" max="15112" width="11.88671875" style="2" customWidth="1"/>
    <col min="15113" max="15222" width="10.33203125" style="2" customWidth="1"/>
    <col min="15223" max="15360" width="8.88671875" style="2"/>
    <col min="15361" max="15361" width="33" style="2" customWidth="1"/>
    <col min="15362" max="15362" width="8.88671875" style="2"/>
    <col min="15363" max="15363" width="19.5546875" style="2" customWidth="1"/>
    <col min="15364" max="15368" width="11.88671875" style="2" customWidth="1"/>
    <col min="15369" max="15478" width="10.33203125" style="2" customWidth="1"/>
    <col min="15479" max="15616" width="8.88671875" style="2"/>
    <col min="15617" max="15617" width="33" style="2" customWidth="1"/>
    <col min="15618" max="15618" width="8.88671875" style="2"/>
    <col min="15619" max="15619" width="19.5546875" style="2" customWidth="1"/>
    <col min="15620" max="15624" width="11.88671875" style="2" customWidth="1"/>
    <col min="15625" max="15734" width="10.33203125" style="2" customWidth="1"/>
    <col min="15735" max="15872" width="8.88671875" style="2"/>
    <col min="15873" max="15873" width="33" style="2" customWidth="1"/>
    <col min="15874" max="15874" width="8.88671875" style="2"/>
    <col min="15875" max="15875" width="19.5546875" style="2" customWidth="1"/>
    <col min="15876" max="15880" width="11.88671875" style="2" customWidth="1"/>
    <col min="15881" max="15990" width="10.33203125" style="2" customWidth="1"/>
    <col min="15991" max="16128" width="8.88671875" style="2"/>
    <col min="16129" max="16129" width="33" style="2" customWidth="1"/>
    <col min="16130" max="16130" width="8.88671875" style="2"/>
    <col min="16131" max="16131" width="19.5546875" style="2" customWidth="1"/>
    <col min="16132" max="16136" width="11.88671875" style="2" customWidth="1"/>
    <col min="16137" max="16246" width="10.33203125" style="2" customWidth="1"/>
    <col min="16247" max="16384" width="8.88671875" style="2"/>
  </cols>
  <sheetData>
    <row r="1" spans="1:5" ht="41.25" customHeight="1" x14ac:dyDescent="0.25">
      <c r="A1" s="1" t="s">
        <v>0</v>
      </c>
      <c r="B1" s="1"/>
      <c r="C1" s="1"/>
      <c r="D1" s="1"/>
      <c r="E1" s="1"/>
    </row>
    <row r="2" spans="1:5" x14ac:dyDescent="0.25">
      <c r="A2" s="2" t="s">
        <v>1</v>
      </c>
      <c r="B2" s="3">
        <v>1000000</v>
      </c>
    </row>
    <row r="3" spans="1:5" x14ac:dyDescent="0.25">
      <c r="A3" s="2" t="s">
        <v>2</v>
      </c>
      <c r="B3" s="4">
        <v>0.08</v>
      </c>
    </row>
    <row r="4" spans="1:5" x14ac:dyDescent="0.25">
      <c r="A4" s="2" t="s">
        <v>3</v>
      </c>
    </row>
    <row r="5" spans="1:5" x14ac:dyDescent="0.25">
      <c r="A5" s="5" t="s">
        <v>4</v>
      </c>
      <c r="B5" s="4">
        <v>0.1</v>
      </c>
    </row>
    <row r="6" spans="1:5" x14ac:dyDescent="0.25">
      <c r="A6" s="5" t="s">
        <v>5</v>
      </c>
      <c r="B6" s="4">
        <v>0.4</v>
      </c>
    </row>
    <row r="7" spans="1:5" x14ac:dyDescent="0.25">
      <c r="A7" s="6" t="s">
        <v>6</v>
      </c>
      <c r="B7" s="4">
        <v>0.4</v>
      </c>
    </row>
    <row r="8" spans="1:5" x14ac:dyDescent="0.25">
      <c r="A8" s="6" t="s">
        <v>7</v>
      </c>
      <c r="B8" s="3">
        <v>100000</v>
      </c>
    </row>
    <row r="9" spans="1:5" x14ac:dyDescent="0.25">
      <c r="A9" s="6" t="s">
        <v>8</v>
      </c>
      <c r="B9" s="3">
        <v>10</v>
      </c>
    </row>
    <row r="11" spans="1:5" x14ac:dyDescent="0.25">
      <c r="A11" s="2" t="s">
        <v>9</v>
      </c>
      <c r="B11" s="3">
        <v>100000</v>
      </c>
    </row>
    <row r="13" spans="1:5" x14ac:dyDescent="0.25">
      <c r="A13" s="7" t="s">
        <v>10</v>
      </c>
      <c r="B13" s="8">
        <f>successfulruns(B2,B8,B3,B5,B6,B7,B9,B11)</f>
        <v>0.85868999999999995</v>
      </c>
      <c r="C13" s="2" t="str">
        <f ca="1">_xlfn.FORMULATEXT(B13)</f>
        <v>=successfulruns(B2,B8,B3,B5,B6,B7,B9,B11)</v>
      </c>
    </row>
    <row r="16" spans="1:5" ht="15.6" x14ac:dyDescent="0.3">
      <c r="A16" s="9" t="s">
        <v>11</v>
      </c>
    </row>
    <row r="17" spans="1:102" x14ac:dyDescent="0.25">
      <c r="A17" s="2" t="s">
        <v>12</v>
      </c>
      <c r="B17" s="10">
        <f>EXP(B3)</f>
        <v>1.0832870676749586</v>
      </c>
      <c r="C17" s="2" t="str">
        <f t="shared" ref="C17:C22" ca="1" si="0">_xlfn.FORMULATEXT(B17)</f>
        <v>=EXP(B3)</v>
      </c>
    </row>
    <row r="18" spans="1:102" x14ac:dyDescent="0.25">
      <c r="A18" s="2" t="s">
        <v>13</v>
      </c>
      <c r="B18" s="10">
        <f>EXP(B5+B6)</f>
        <v>1.6487212707001282</v>
      </c>
      <c r="C18" s="2" t="str">
        <f t="shared" ca="1" si="0"/>
        <v>=EXP(B5+B6)</v>
      </c>
    </row>
    <row r="19" spans="1:102" x14ac:dyDescent="0.25">
      <c r="A19" s="2" t="s">
        <v>14</v>
      </c>
      <c r="B19" s="10">
        <f>EXP(B5-B6)</f>
        <v>0.74081822068171788</v>
      </c>
      <c r="C19" s="2" t="str">
        <f t="shared" ca="1" si="0"/>
        <v>=EXP(B5-B6)</v>
      </c>
    </row>
    <row r="20" spans="1:102" x14ac:dyDescent="0.25">
      <c r="B20" s="10"/>
    </row>
    <row r="21" spans="1:102" x14ac:dyDescent="0.25">
      <c r="A21" s="2" t="s">
        <v>15</v>
      </c>
      <c r="B21" s="10">
        <f>(B17-B19)/(B18-B19)</f>
        <v>0.37720860942839241</v>
      </c>
      <c r="C21" s="2" t="str">
        <f t="shared" ca="1" si="0"/>
        <v>=(B17-B19)/(B18-B19)</v>
      </c>
    </row>
    <row r="22" spans="1:102" x14ac:dyDescent="0.25">
      <c r="A22" s="2" t="s">
        <v>16</v>
      </c>
      <c r="B22" s="10">
        <f>(B18-B17)/(B18-B19)</f>
        <v>0.62279139057160759</v>
      </c>
      <c r="C22" s="2" t="str">
        <f t="shared" ca="1" si="0"/>
        <v>=(B18-B17)/(B18-B19)</v>
      </c>
    </row>
    <row r="23" spans="1:102" x14ac:dyDescent="0.25">
      <c r="E23" s="11" t="str">
        <f ca="1">"Cell "&amp;CHAR(COLUMN(C31)+64)&amp;ROW(C31)&amp;" contains formula"&amp;CHAR(10)&amp;[2]!ggetformula(C31)</f>
        <v>Cell C31 contains formula
=IF(RAND()&gt;$B$22,$B$7*C30*$B$18+(1-$B$7)*C30*$B$17-$B$8,$B$7*C30*$B$19+(1-$B$7)*C30*$B$17-$B$8)</v>
      </c>
      <c r="F23" s="11"/>
      <c r="G23" s="11"/>
      <c r="H23" s="11"/>
    </row>
    <row r="24" spans="1:102" x14ac:dyDescent="0.25">
      <c r="E24" s="11"/>
      <c r="F24" s="11"/>
      <c r="G24" s="11"/>
      <c r="H24" s="11"/>
    </row>
    <row r="25" spans="1:102" x14ac:dyDescent="0.25">
      <c r="A25" s="2" t="s">
        <v>17</v>
      </c>
      <c r="B25" s="2">
        <f ca="1">COUNTIF(C40:CX40,"&gt;0")</f>
        <v>85</v>
      </c>
      <c r="C25" s="2" t="str">
        <f t="shared" ref="C25:C26" ca="1" si="1">_xlfn.FORMULATEXT(B25)</f>
        <v>=COUNTIF(C40:CX40,"&gt;0")</v>
      </c>
      <c r="E25" s="11"/>
      <c r="F25" s="11"/>
      <c r="G25" s="11"/>
      <c r="H25" s="11"/>
    </row>
    <row r="26" spans="1:102" x14ac:dyDescent="0.25">
      <c r="A26" s="2" t="s">
        <v>18</v>
      </c>
      <c r="B26" s="12">
        <f ca="1">B25/100</f>
        <v>0.85</v>
      </c>
      <c r="C26" s="2" t="str">
        <f t="shared" ca="1" si="1"/>
        <v>=B25/100</v>
      </c>
      <c r="E26" s="11"/>
      <c r="F26" s="11"/>
      <c r="G26" s="11"/>
      <c r="H26" s="11"/>
    </row>
    <row r="28" spans="1:102" x14ac:dyDescent="0.25">
      <c r="C28" s="13" t="s">
        <v>19</v>
      </c>
    </row>
    <row r="29" spans="1:102" s="14" customFormat="1" ht="26.4" x14ac:dyDescent="0.25">
      <c r="B29" s="15" t="s">
        <v>20</v>
      </c>
      <c r="C29" s="14" t="str">
        <f t="shared" ref="C29:BN29" si="2">"Simulation "&amp;CHAR(10)&amp;COLUMN(C28)-2</f>
        <v>Simulation 
1</v>
      </c>
      <c r="D29" s="14" t="str">
        <f t="shared" si="2"/>
        <v>Simulation 
2</v>
      </c>
      <c r="E29" s="14" t="str">
        <f t="shared" si="2"/>
        <v>Simulation 
3</v>
      </c>
      <c r="F29" s="14" t="str">
        <f t="shared" si="2"/>
        <v>Simulation 
4</v>
      </c>
      <c r="G29" s="14" t="str">
        <f t="shared" si="2"/>
        <v>Simulation 
5</v>
      </c>
      <c r="H29" s="14" t="str">
        <f t="shared" si="2"/>
        <v>Simulation 
6</v>
      </c>
      <c r="I29" s="14" t="str">
        <f t="shared" si="2"/>
        <v>Simulation 
7</v>
      </c>
      <c r="J29" s="14" t="str">
        <f t="shared" si="2"/>
        <v>Simulation 
8</v>
      </c>
      <c r="K29" s="14" t="str">
        <f t="shared" si="2"/>
        <v>Simulation 
9</v>
      </c>
      <c r="L29" s="14" t="str">
        <f t="shared" si="2"/>
        <v>Simulation 
10</v>
      </c>
      <c r="M29" s="14" t="str">
        <f t="shared" si="2"/>
        <v>Simulation 
11</v>
      </c>
      <c r="N29" s="14" t="str">
        <f t="shared" si="2"/>
        <v>Simulation 
12</v>
      </c>
      <c r="O29" s="14" t="str">
        <f t="shared" si="2"/>
        <v>Simulation 
13</v>
      </c>
      <c r="P29" s="14" t="str">
        <f t="shared" si="2"/>
        <v>Simulation 
14</v>
      </c>
      <c r="Q29" s="14" t="str">
        <f t="shared" si="2"/>
        <v>Simulation 
15</v>
      </c>
      <c r="R29" s="14" t="str">
        <f t="shared" si="2"/>
        <v>Simulation 
16</v>
      </c>
      <c r="S29" s="14" t="str">
        <f t="shared" si="2"/>
        <v>Simulation 
17</v>
      </c>
      <c r="T29" s="14" t="str">
        <f t="shared" si="2"/>
        <v>Simulation 
18</v>
      </c>
      <c r="U29" s="14" t="str">
        <f t="shared" si="2"/>
        <v>Simulation 
19</v>
      </c>
      <c r="V29" s="14" t="str">
        <f t="shared" si="2"/>
        <v>Simulation 
20</v>
      </c>
      <c r="W29" s="14" t="str">
        <f t="shared" si="2"/>
        <v>Simulation 
21</v>
      </c>
      <c r="X29" s="14" t="str">
        <f t="shared" si="2"/>
        <v>Simulation 
22</v>
      </c>
      <c r="Y29" s="14" t="str">
        <f t="shared" si="2"/>
        <v>Simulation 
23</v>
      </c>
      <c r="Z29" s="14" t="str">
        <f t="shared" si="2"/>
        <v>Simulation 
24</v>
      </c>
      <c r="AA29" s="14" t="str">
        <f t="shared" si="2"/>
        <v>Simulation 
25</v>
      </c>
      <c r="AB29" s="14" t="str">
        <f t="shared" si="2"/>
        <v>Simulation 
26</v>
      </c>
      <c r="AC29" s="14" t="str">
        <f t="shared" si="2"/>
        <v>Simulation 
27</v>
      </c>
      <c r="AD29" s="14" t="str">
        <f t="shared" si="2"/>
        <v>Simulation 
28</v>
      </c>
      <c r="AE29" s="14" t="str">
        <f t="shared" si="2"/>
        <v>Simulation 
29</v>
      </c>
      <c r="AF29" s="14" t="str">
        <f t="shared" si="2"/>
        <v>Simulation 
30</v>
      </c>
      <c r="AG29" s="14" t="str">
        <f t="shared" si="2"/>
        <v>Simulation 
31</v>
      </c>
      <c r="AH29" s="14" t="str">
        <f t="shared" si="2"/>
        <v>Simulation 
32</v>
      </c>
      <c r="AI29" s="14" t="str">
        <f t="shared" si="2"/>
        <v>Simulation 
33</v>
      </c>
      <c r="AJ29" s="14" t="str">
        <f t="shared" si="2"/>
        <v>Simulation 
34</v>
      </c>
      <c r="AK29" s="14" t="str">
        <f t="shared" si="2"/>
        <v>Simulation 
35</v>
      </c>
      <c r="AL29" s="14" t="str">
        <f t="shared" si="2"/>
        <v>Simulation 
36</v>
      </c>
      <c r="AM29" s="14" t="str">
        <f t="shared" si="2"/>
        <v>Simulation 
37</v>
      </c>
      <c r="AN29" s="14" t="str">
        <f t="shared" si="2"/>
        <v>Simulation 
38</v>
      </c>
      <c r="AO29" s="14" t="str">
        <f t="shared" si="2"/>
        <v>Simulation 
39</v>
      </c>
      <c r="AP29" s="14" t="str">
        <f t="shared" si="2"/>
        <v>Simulation 
40</v>
      </c>
      <c r="AQ29" s="14" t="str">
        <f t="shared" si="2"/>
        <v>Simulation 
41</v>
      </c>
      <c r="AR29" s="14" t="str">
        <f t="shared" si="2"/>
        <v>Simulation 
42</v>
      </c>
      <c r="AS29" s="14" t="str">
        <f t="shared" si="2"/>
        <v>Simulation 
43</v>
      </c>
      <c r="AT29" s="14" t="str">
        <f t="shared" si="2"/>
        <v>Simulation 
44</v>
      </c>
      <c r="AU29" s="14" t="str">
        <f t="shared" si="2"/>
        <v>Simulation 
45</v>
      </c>
      <c r="AV29" s="14" t="str">
        <f t="shared" si="2"/>
        <v>Simulation 
46</v>
      </c>
      <c r="AW29" s="14" t="str">
        <f t="shared" si="2"/>
        <v>Simulation 
47</v>
      </c>
      <c r="AX29" s="14" t="str">
        <f t="shared" si="2"/>
        <v>Simulation 
48</v>
      </c>
      <c r="AY29" s="14" t="str">
        <f t="shared" si="2"/>
        <v>Simulation 
49</v>
      </c>
      <c r="AZ29" s="14" t="str">
        <f t="shared" si="2"/>
        <v>Simulation 
50</v>
      </c>
      <c r="BA29" s="14" t="str">
        <f t="shared" si="2"/>
        <v>Simulation 
51</v>
      </c>
      <c r="BB29" s="14" t="str">
        <f t="shared" si="2"/>
        <v>Simulation 
52</v>
      </c>
      <c r="BC29" s="14" t="str">
        <f t="shared" si="2"/>
        <v>Simulation 
53</v>
      </c>
      <c r="BD29" s="14" t="str">
        <f t="shared" si="2"/>
        <v>Simulation 
54</v>
      </c>
      <c r="BE29" s="14" t="str">
        <f t="shared" si="2"/>
        <v>Simulation 
55</v>
      </c>
      <c r="BF29" s="14" t="str">
        <f t="shared" si="2"/>
        <v>Simulation 
56</v>
      </c>
      <c r="BG29" s="14" t="str">
        <f t="shared" si="2"/>
        <v>Simulation 
57</v>
      </c>
      <c r="BH29" s="14" t="str">
        <f t="shared" si="2"/>
        <v>Simulation 
58</v>
      </c>
      <c r="BI29" s="14" t="str">
        <f t="shared" si="2"/>
        <v>Simulation 
59</v>
      </c>
      <c r="BJ29" s="14" t="str">
        <f t="shared" si="2"/>
        <v>Simulation 
60</v>
      </c>
      <c r="BK29" s="14" t="str">
        <f t="shared" si="2"/>
        <v>Simulation 
61</v>
      </c>
      <c r="BL29" s="14" t="str">
        <f t="shared" si="2"/>
        <v>Simulation 
62</v>
      </c>
      <c r="BM29" s="14" t="str">
        <f t="shared" si="2"/>
        <v>Simulation 
63</v>
      </c>
      <c r="BN29" s="14" t="str">
        <f t="shared" si="2"/>
        <v>Simulation 
64</v>
      </c>
      <c r="BO29" s="14" t="str">
        <f t="shared" ref="BO29:CT29" si="3">"Simulation "&amp;CHAR(10)&amp;COLUMN(BO28)-2</f>
        <v>Simulation 
65</v>
      </c>
      <c r="BP29" s="14" t="str">
        <f t="shared" si="3"/>
        <v>Simulation 
66</v>
      </c>
      <c r="BQ29" s="14" t="str">
        <f t="shared" si="3"/>
        <v>Simulation 
67</v>
      </c>
      <c r="BR29" s="14" t="str">
        <f t="shared" si="3"/>
        <v>Simulation 
68</v>
      </c>
      <c r="BS29" s="14" t="str">
        <f t="shared" si="3"/>
        <v>Simulation 
69</v>
      </c>
      <c r="BT29" s="14" t="str">
        <f t="shared" si="3"/>
        <v>Simulation 
70</v>
      </c>
      <c r="BU29" s="14" t="str">
        <f t="shared" si="3"/>
        <v>Simulation 
71</v>
      </c>
      <c r="BV29" s="14" t="str">
        <f t="shared" si="3"/>
        <v>Simulation 
72</v>
      </c>
      <c r="BW29" s="14" t="str">
        <f t="shared" si="3"/>
        <v>Simulation 
73</v>
      </c>
      <c r="BX29" s="14" t="str">
        <f t="shared" si="3"/>
        <v>Simulation 
74</v>
      </c>
      <c r="BY29" s="14" t="str">
        <f t="shared" si="3"/>
        <v>Simulation 
75</v>
      </c>
      <c r="BZ29" s="14" t="str">
        <f t="shared" si="3"/>
        <v>Simulation 
76</v>
      </c>
      <c r="CA29" s="14" t="str">
        <f t="shared" si="3"/>
        <v>Simulation 
77</v>
      </c>
      <c r="CB29" s="14" t="str">
        <f t="shared" si="3"/>
        <v>Simulation 
78</v>
      </c>
      <c r="CC29" s="14" t="str">
        <f t="shared" si="3"/>
        <v>Simulation 
79</v>
      </c>
      <c r="CD29" s="14" t="str">
        <f t="shared" si="3"/>
        <v>Simulation 
80</v>
      </c>
      <c r="CE29" s="14" t="str">
        <f t="shared" si="3"/>
        <v>Simulation 
81</v>
      </c>
      <c r="CF29" s="14" t="str">
        <f t="shared" si="3"/>
        <v>Simulation 
82</v>
      </c>
      <c r="CG29" s="14" t="str">
        <f t="shared" si="3"/>
        <v>Simulation 
83</v>
      </c>
      <c r="CH29" s="14" t="str">
        <f t="shared" si="3"/>
        <v>Simulation 
84</v>
      </c>
      <c r="CI29" s="14" t="str">
        <f t="shared" si="3"/>
        <v>Simulation 
85</v>
      </c>
      <c r="CJ29" s="14" t="str">
        <f t="shared" si="3"/>
        <v>Simulation 
86</v>
      </c>
      <c r="CK29" s="14" t="str">
        <f t="shared" si="3"/>
        <v>Simulation 
87</v>
      </c>
      <c r="CL29" s="14" t="str">
        <f t="shared" si="3"/>
        <v>Simulation 
88</v>
      </c>
      <c r="CM29" s="14" t="str">
        <f t="shared" si="3"/>
        <v>Simulation 
89</v>
      </c>
      <c r="CN29" s="14" t="str">
        <f t="shared" si="3"/>
        <v>Simulation 
90</v>
      </c>
      <c r="CO29" s="14" t="str">
        <f t="shared" si="3"/>
        <v>Simulation 
91</v>
      </c>
      <c r="CP29" s="14" t="str">
        <f t="shared" si="3"/>
        <v>Simulation 
92</v>
      </c>
      <c r="CQ29" s="14" t="str">
        <f t="shared" si="3"/>
        <v>Simulation 
93</v>
      </c>
      <c r="CR29" s="14" t="str">
        <f t="shared" si="3"/>
        <v>Simulation 
94</v>
      </c>
      <c r="CS29" s="14" t="str">
        <f t="shared" si="3"/>
        <v>Simulation 
95</v>
      </c>
      <c r="CT29" s="14" t="str">
        <f t="shared" si="3"/>
        <v>Simulation 
96</v>
      </c>
      <c r="CU29" s="14" t="str">
        <f>"Simulation "&amp;CHAR(10)&amp;COLUMN(CU28)-2</f>
        <v>Simulation 
97</v>
      </c>
      <c r="CV29" s="14" t="str">
        <f>"Simulation "&amp;CHAR(10)&amp;COLUMN(CV28)-2</f>
        <v>Simulation 
98</v>
      </c>
      <c r="CW29" s="14" t="str">
        <f>"Simulation "&amp;CHAR(10)&amp;COLUMN(CW28)-2</f>
        <v>Simulation 
99</v>
      </c>
      <c r="CX29" s="14" t="str">
        <f>"Simulation "&amp;CHAR(10)&amp;COLUMN(CX28)-2</f>
        <v>Simulation 
100</v>
      </c>
    </row>
    <row r="30" spans="1:102" x14ac:dyDescent="0.25">
      <c r="B30" s="16">
        <v>0</v>
      </c>
      <c r="C30" s="17">
        <f t="shared" ref="C30:BN30" si="4">$B$2</f>
        <v>1000000</v>
      </c>
      <c r="D30" s="17">
        <f t="shared" si="4"/>
        <v>1000000</v>
      </c>
      <c r="E30" s="17">
        <f t="shared" si="4"/>
        <v>1000000</v>
      </c>
      <c r="F30" s="17">
        <f t="shared" si="4"/>
        <v>1000000</v>
      </c>
      <c r="G30" s="17">
        <f t="shared" si="4"/>
        <v>1000000</v>
      </c>
      <c r="H30" s="17">
        <f t="shared" si="4"/>
        <v>1000000</v>
      </c>
      <c r="I30" s="17">
        <f t="shared" si="4"/>
        <v>1000000</v>
      </c>
      <c r="J30" s="17">
        <f t="shared" si="4"/>
        <v>1000000</v>
      </c>
      <c r="K30" s="17">
        <f t="shared" si="4"/>
        <v>1000000</v>
      </c>
      <c r="L30" s="17">
        <f t="shared" si="4"/>
        <v>1000000</v>
      </c>
      <c r="M30" s="17">
        <f t="shared" si="4"/>
        <v>1000000</v>
      </c>
      <c r="N30" s="17">
        <f t="shared" si="4"/>
        <v>1000000</v>
      </c>
      <c r="O30" s="17">
        <f t="shared" si="4"/>
        <v>1000000</v>
      </c>
      <c r="P30" s="17">
        <f t="shared" si="4"/>
        <v>1000000</v>
      </c>
      <c r="Q30" s="17">
        <f t="shared" si="4"/>
        <v>1000000</v>
      </c>
      <c r="R30" s="17">
        <f t="shared" si="4"/>
        <v>1000000</v>
      </c>
      <c r="S30" s="17">
        <f t="shared" si="4"/>
        <v>1000000</v>
      </c>
      <c r="T30" s="17">
        <f t="shared" si="4"/>
        <v>1000000</v>
      </c>
      <c r="U30" s="17">
        <f t="shared" si="4"/>
        <v>1000000</v>
      </c>
      <c r="V30" s="17">
        <f t="shared" si="4"/>
        <v>1000000</v>
      </c>
      <c r="W30" s="17">
        <f t="shared" si="4"/>
        <v>1000000</v>
      </c>
      <c r="X30" s="17">
        <f t="shared" si="4"/>
        <v>1000000</v>
      </c>
      <c r="Y30" s="17">
        <f t="shared" si="4"/>
        <v>1000000</v>
      </c>
      <c r="Z30" s="17">
        <f t="shared" si="4"/>
        <v>1000000</v>
      </c>
      <c r="AA30" s="17">
        <f t="shared" si="4"/>
        <v>1000000</v>
      </c>
      <c r="AB30" s="17">
        <f t="shared" si="4"/>
        <v>1000000</v>
      </c>
      <c r="AC30" s="17">
        <f t="shared" si="4"/>
        <v>1000000</v>
      </c>
      <c r="AD30" s="17">
        <f t="shared" si="4"/>
        <v>1000000</v>
      </c>
      <c r="AE30" s="17">
        <f t="shared" si="4"/>
        <v>1000000</v>
      </c>
      <c r="AF30" s="17">
        <f t="shared" si="4"/>
        <v>1000000</v>
      </c>
      <c r="AG30" s="17">
        <f t="shared" si="4"/>
        <v>1000000</v>
      </c>
      <c r="AH30" s="17">
        <f t="shared" si="4"/>
        <v>1000000</v>
      </c>
      <c r="AI30" s="17">
        <f t="shared" si="4"/>
        <v>1000000</v>
      </c>
      <c r="AJ30" s="17">
        <f t="shared" si="4"/>
        <v>1000000</v>
      </c>
      <c r="AK30" s="17">
        <f t="shared" si="4"/>
        <v>1000000</v>
      </c>
      <c r="AL30" s="17">
        <f t="shared" si="4"/>
        <v>1000000</v>
      </c>
      <c r="AM30" s="17">
        <f t="shared" si="4"/>
        <v>1000000</v>
      </c>
      <c r="AN30" s="17">
        <f t="shared" si="4"/>
        <v>1000000</v>
      </c>
      <c r="AO30" s="17">
        <f t="shared" si="4"/>
        <v>1000000</v>
      </c>
      <c r="AP30" s="17">
        <f t="shared" si="4"/>
        <v>1000000</v>
      </c>
      <c r="AQ30" s="17">
        <f t="shared" si="4"/>
        <v>1000000</v>
      </c>
      <c r="AR30" s="17">
        <f t="shared" si="4"/>
        <v>1000000</v>
      </c>
      <c r="AS30" s="17">
        <f t="shared" si="4"/>
        <v>1000000</v>
      </c>
      <c r="AT30" s="17">
        <f t="shared" si="4"/>
        <v>1000000</v>
      </c>
      <c r="AU30" s="17">
        <f t="shared" si="4"/>
        <v>1000000</v>
      </c>
      <c r="AV30" s="17">
        <f t="shared" si="4"/>
        <v>1000000</v>
      </c>
      <c r="AW30" s="17">
        <f t="shared" si="4"/>
        <v>1000000</v>
      </c>
      <c r="AX30" s="17">
        <f t="shared" si="4"/>
        <v>1000000</v>
      </c>
      <c r="AY30" s="17">
        <f t="shared" si="4"/>
        <v>1000000</v>
      </c>
      <c r="AZ30" s="17">
        <f t="shared" si="4"/>
        <v>1000000</v>
      </c>
      <c r="BA30" s="17">
        <f t="shared" si="4"/>
        <v>1000000</v>
      </c>
      <c r="BB30" s="17">
        <f t="shared" si="4"/>
        <v>1000000</v>
      </c>
      <c r="BC30" s="17">
        <f t="shared" si="4"/>
        <v>1000000</v>
      </c>
      <c r="BD30" s="17">
        <f t="shared" si="4"/>
        <v>1000000</v>
      </c>
      <c r="BE30" s="17">
        <f t="shared" si="4"/>
        <v>1000000</v>
      </c>
      <c r="BF30" s="17">
        <f t="shared" si="4"/>
        <v>1000000</v>
      </c>
      <c r="BG30" s="17">
        <f t="shared" si="4"/>
        <v>1000000</v>
      </c>
      <c r="BH30" s="17">
        <f t="shared" si="4"/>
        <v>1000000</v>
      </c>
      <c r="BI30" s="17">
        <f t="shared" si="4"/>
        <v>1000000</v>
      </c>
      <c r="BJ30" s="17">
        <f t="shared" si="4"/>
        <v>1000000</v>
      </c>
      <c r="BK30" s="17">
        <f t="shared" si="4"/>
        <v>1000000</v>
      </c>
      <c r="BL30" s="17">
        <f t="shared" si="4"/>
        <v>1000000</v>
      </c>
      <c r="BM30" s="17">
        <f t="shared" si="4"/>
        <v>1000000</v>
      </c>
      <c r="BN30" s="17">
        <f t="shared" si="4"/>
        <v>1000000</v>
      </c>
      <c r="BO30" s="17">
        <f t="shared" ref="BO30:CX30" si="5">$B$2</f>
        <v>1000000</v>
      </c>
      <c r="BP30" s="17">
        <f t="shared" si="5"/>
        <v>1000000</v>
      </c>
      <c r="BQ30" s="17">
        <f t="shared" si="5"/>
        <v>1000000</v>
      </c>
      <c r="BR30" s="17">
        <f t="shared" si="5"/>
        <v>1000000</v>
      </c>
      <c r="BS30" s="17">
        <f t="shared" si="5"/>
        <v>1000000</v>
      </c>
      <c r="BT30" s="17">
        <f t="shared" si="5"/>
        <v>1000000</v>
      </c>
      <c r="BU30" s="17">
        <f t="shared" si="5"/>
        <v>1000000</v>
      </c>
      <c r="BV30" s="17">
        <f t="shared" si="5"/>
        <v>1000000</v>
      </c>
      <c r="BW30" s="17">
        <f t="shared" si="5"/>
        <v>1000000</v>
      </c>
      <c r="BX30" s="17">
        <f t="shared" si="5"/>
        <v>1000000</v>
      </c>
      <c r="BY30" s="17">
        <f t="shared" si="5"/>
        <v>1000000</v>
      </c>
      <c r="BZ30" s="17">
        <f t="shared" si="5"/>
        <v>1000000</v>
      </c>
      <c r="CA30" s="17">
        <f t="shared" si="5"/>
        <v>1000000</v>
      </c>
      <c r="CB30" s="17">
        <f t="shared" si="5"/>
        <v>1000000</v>
      </c>
      <c r="CC30" s="17">
        <f t="shared" si="5"/>
        <v>1000000</v>
      </c>
      <c r="CD30" s="17">
        <f t="shared" si="5"/>
        <v>1000000</v>
      </c>
      <c r="CE30" s="17">
        <f t="shared" si="5"/>
        <v>1000000</v>
      </c>
      <c r="CF30" s="17">
        <f t="shared" si="5"/>
        <v>1000000</v>
      </c>
      <c r="CG30" s="17">
        <f t="shared" si="5"/>
        <v>1000000</v>
      </c>
      <c r="CH30" s="17">
        <f t="shared" si="5"/>
        <v>1000000</v>
      </c>
      <c r="CI30" s="17">
        <f t="shared" si="5"/>
        <v>1000000</v>
      </c>
      <c r="CJ30" s="17">
        <f t="shared" si="5"/>
        <v>1000000</v>
      </c>
      <c r="CK30" s="17">
        <f t="shared" si="5"/>
        <v>1000000</v>
      </c>
      <c r="CL30" s="17">
        <f t="shared" si="5"/>
        <v>1000000</v>
      </c>
      <c r="CM30" s="17">
        <f t="shared" si="5"/>
        <v>1000000</v>
      </c>
      <c r="CN30" s="17">
        <f t="shared" si="5"/>
        <v>1000000</v>
      </c>
      <c r="CO30" s="17">
        <f t="shared" si="5"/>
        <v>1000000</v>
      </c>
      <c r="CP30" s="17">
        <f t="shared" si="5"/>
        <v>1000000</v>
      </c>
      <c r="CQ30" s="17">
        <f t="shared" si="5"/>
        <v>1000000</v>
      </c>
      <c r="CR30" s="17">
        <f t="shared" si="5"/>
        <v>1000000</v>
      </c>
      <c r="CS30" s="17">
        <f t="shared" si="5"/>
        <v>1000000</v>
      </c>
      <c r="CT30" s="17">
        <f t="shared" si="5"/>
        <v>1000000</v>
      </c>
      <c r="CU30" s="17">
        <f t="shared" si="5"/>
        <v>1000000</v>
      </c>
      <c r="CV30" s="17">
        <f t="shared" si="5"/>
        <v>1000000</v>
      </c>
      <c r="CW30" s="17">
        <f t="shared" si="5"/>
        <v>1000000</v>
      </c>
      <c r="CX30" s="17">
        <f t="shared" si="5"/>
        <v>1000000</v>
      </c>
    </row>
    <row r="31" spans="1:102" x14ac:dyDescent="0.25">
      <c r="B31" s="16">
        <v>1</v>
      </c>
      <c r="C31" s="17">
        <f t="shared" ref="C31:BN34" ca="1" si="6">IF(RAND()&gt;$B$22,$B$7*C30*$B$18+(1-$B$7)*C30*$B$17-$B$8,$B$7*C30*$B$19+(1-$B$7)*C30*$B$17-$B$8)</f>
        <v>846299.52887766226</v>
      </c>
      <c r="D31" s="17">
        <f t="shared" ca="1" si="6"/>
        <v>1209460.7488850264</v>
      </c>
      <c r="E31" s="17">
        <f t="shared" ca="1" si="6"/>
        <v>846299.52887766226</v>
      </c>
      <c r="F31" s="17">
        <f t="shared" ca="1" si="6"/>
        <v>1209460.7488850264</v>
      </c>
      <c r="G31" s="17">
        <f t="shared" ca="1" si="6"/>
        <v>1209460.7488850264</v>
      </c>
      <c r="H31" s="17">
        <f t="shared" ca="1" si="6"/>
        <v>846299.52887766226</v>
      </c>
      <c r="I31" s="17">
        <f t="shared" ca="1" si="6"/>
        <v>1209460.7488850264</v>
      </c>
      <c r="J31" s="17">
        <f t="shared" ca="1" si="6"/>
        <v>846299.52887766226</v>
      </c>
      <c r="K31" s="17">
        <f t="shared" ca="1" si="6"/>
        <v>1209460.7488850264</v>
      </c>
      <c r="L31" s="17">
        <f t="shared" ca="1" si="6"/>
        <v>1209460.7488850264</v>
      </c>
      <c r="M31" s="17">
        <f t="shared" ca="1" si="6"/>
        <v>846299.52887766226</v>
      </c>
      <c r="N31" s="17">
        <f t="shared" ca="1" si="6"/>
        <v>1209460.7488850264</v>
      </c>
      <c r="O31" s="17">
        <f t="shared" ca="1" si="6"/>
        <v>846299.52887766226</v>
      </c>
      <c r="P31" s="17">
        <f t="shared" ca="1" si="6"/>
        <v>846299.52887766226</v>
      </c>
      <c r="Q31" s="17">
        <f t="shared" ca="1" si="6"/>
        <v>846299.52887766226</v>
      </c>
      <c r="R31" s="17">
        <f t="shared" ca="1" si="6"/>
        <v>846299.52887766226</v>
      </c>
      <c r="S31" s="17">
        <f t="shared" ca="1" si="6"/>
        <v>1209460.7488850264</v>
      </c>
      <c r="T31" s="17">
        <f t="shared" ca="1" si="6"/>
        <v>846299.52887766226</v>
      </c>
      <c r="U31" s="17">
        <f t="shared" ca="1" si="6"/>
        <v>846299.52887766226</v>
      </c>
      <c r="V31" s="17">
        <f t="shared" ca="1" si="6"/>
        <v>846299.52887766226</v>
      </c>
      <c r="W31" s="17">
        <f t="shared" ca="1" si="6"/>
        <v>1209460.7488850264</v>
      </c>
      <c r="X31" s="17">
        <f t="shared" ca="1" si="6"/>
        <v>1209460.7488850264</v>
      </c>
      <c r="Y31" s="17">
        <f t="shared" ca="1" si="6"/>
        <v>846299.52887766226</v>
      </c>
      <c r="Z31" s="17">
        <f t="shared" ca="1" si="6"/>
        <v>1209460.7488850264</v>
      </c>
      <c r="AA31" s="17">
        <f t="shared" ca="1" si="6"/>
        <v>846299.52887766226</v>
      </c>
      <c r="AB31" s="17">
        <f t="shared" ca="1" si="6"/>
        <v>846299.52887766226</v>
      </c>
      <c r="AC31" s="17">
        <f t="shared" ca="1" si="6"/>
        <v>1209460.7488850264</v>
      </c>
      <c r="AD31" s="17">
        <f t="shared" ca="1" si="6"/>
        <v>846299.52887766226</v>
      </c>
      <c r="AE31" s="17">
        <f t="shared" ca="1" si="6"/>
        <v>846299.52887766226</v>
      </c>
      <c r="AF31" s="17">
        <f t="shared" ca="1" si="6"/>
        <v>846299.52887766226</v>
      </c>
      <c r="AG31" s="17">
        <f t="shared" ca="1" si="6"/>
        <v>846299.52887766226</v>
      </c>
      <c r="AH31" s="17">
        <f t="shared" ca="1" si="6"/>
        <v>846299.52887766226</v>
      </c>
      <c r="AI31" s="17">
        <f t="shared" ca="1" si="6"/>
        <v>1209460.7488850264</v>
      </c>
      <c r="AJ31" s="17">
        <f t="shared" ca="1" si="6"/>
        <v>846299.52887766226</v>
      </c>
      <c r="AK31" s="17">
        <f t="shared" ca="1" si="6"/>
        <v>846299.52887766226</v>
      </c>
      <c r="AL31" s="17">
        <f t="shared" ca="1" si="6"/>
        <v>846299.52887766226</v>
      </c>
      <c r="AM31" s="17">
        <f t="shared" ca="1" si="6"/>
        <v>1209460.7488850264</v>
      </c>
      <c r="AN31" s="17">
        <f t="shared" ca="1" si="6"/>
        <v>1209460.7488850264</v>
      </c>
      <c r="AO31" s="17">
        <f t="shared" ca="1" si="6"/>
        <v>846299.52887766226</v>
      </c>
      <c r="AP31" s="17">
        <f t="shared" ca="1" si="6"/>
        <v>846299.52887766226</v>
      </c>
      <c r="AQ31" s="17">
        <f t="shared" ca="1" si="6"/>
        <v>846299.52887766226</v>
      </c>
      <c r="AR31" s="17">
        <f t="shared" ca="1" si="6"/>
        <v>846299.52887766226</v>
      </c>
      <c r="AS31" s="17">
        <f t="shared" ca="1" si="6"/>
        <v>846299.52887766226</v>
      </c>
      <c r="AT31" s="17">
        <f t="shared" ca="1" si="6"/>
        <v>846299.52887766226</v>
      </c>
      <c r="AU31" s="17">
        <f t="shared" ca="1" si="6"/>
        <v>846299.52887766226</v>
      </c>
      <c r="AV31" s="17">
        <f t="shared" ca="1" si="6"/>
        <v>846299.52887766226</v>
      </c>
      <c r="AW31" s="17">
        <f t="shared" ca="1" si="6"/>
        <v>846299.52887766226</v>
      </c>
      <c r="AX31" s="17">
        <f t="shared" ca="1" si="6"/>
        <v>846299.52887766226</v>
      </c>
      <c r="AY31" s="17">
        <f t="shared" ca="1" si="6"/>
        <v>846299.52887766226</v>
      </c>
      <c r="AZ31" s="17">
        <f t="shared" ca="1" si="6"/>
        <v>846299.52887766226</v>
      </c>
      <c r="BA31" s="17">
        <f t="shared" ca="1" si="6"/>
        <v>846299.52887766226</v>
      </c>
      <c r="BB31" s="17">
        <f t="shared" ca="1" si="6"/>
        <v>1209460.7488850264</v>
      </c>
      <c r="BC31" s="17">
        <f t="shared" ca="1" si="6"/>
        <v>846299.52887766226</v>
      </c>
      <c r="BD31" s="17">
        <f t="shared" ca="1" si="6"/>
        <v>1209460.7488850264</v>
      </c>
      <c r="BE31" s="17">
        <f t="shared" ca="1" si="6"/>
        <v>1209460.7488850264</v>
      </c>
      <c r="BF31" s="17">
        <f t="shared" ca="1" si="6"/>
        <v>846299.52887766226</v>
      </c>
      <c r="BG31" s="17">
        <f t="shared" ca="1" si="6"/>
        <v>846299.52887766226</v>
      </c>
      <c r="BH31" s="17">
        <f t="shared" ca="1" si="6"/>
        <v>846299.52887766226</v>
      </c>
      <c r="BI31" s="17">
        <f t="shared" ca="1" si="6"/>
        <v>1209460.7488850264</v>
      </c>
      <c r="BJ31" s="17">
        <f t="shared" ca="1" si="6"/>
        <v>1209460.7488850264</v>
      </c>
      <c r="BK31" s="17">
        <f t="shared" ca="1" si="6"/>
        <v>846299.52887766226</v>
      </c>
      <c r="BL31" s="17">
        <f t="shared" ca="1" si="6"/>
        <v>846299.52887766226</v>
      </c>
      <c r="BM31" s="17">
        <f t="shared" ca="1" si="6"/>
        <v>846299.52887766226</v>
      </c>
      <c r="BN31" s="17">
        <f t="shared" ca="1" si="6"/>
        <v>846299.52887766226</v>
      </c>
      <c r="BO31" s="17">
        <f t="shared" ref="BO31:CX38" ca="1" si="7">IF(RAND()&gt;$B$22,$B$7*BO30*$B$18+(1-$B$7)*BO30*$B$17-$B$8,$B$7*BO30*$B$19+(1-$B$7)*BO30*$B$17-$B$8)</f>
        <v>846299.52887766226</v>
      </c>
      <c r="BP31" s="17">
        <f t="shared" ca="1" si="7"/>
        <v>846299.52887766226</v>
      </c>
      <c r="BQ31" s="17">
        <f t="shared" ca="1" si="7"/>
        <v>1209460.7488850264</v>
      </c>
      <c r="BR31" s="17">
        <f t="shared" ca="1" si="7"/>
        <v>846299.52887766226</v>
      </c>
      <c r="BS31" s="17">
        <f t="shared" ca="1" si="7"/>
        <v>846299.52887766226</v>
      </c>
      <c r="BT31" s="17">
        <f t="shared" ca="1" si="7"/>
        <v>1209460.7488850264</v>
      </c>
      <c r="BU31" s="17">
        <f t="shared" ca="1" si="7"/>
        <v>846299.52887766226</v>
      </c>
      <c r="BV31" s="17">
        <f t="shared" ca="1" si="7"/>
        <v>846299.52887766226</v>
      </c>
      <c r="BW31" s="17">
        <f t="shared" ca="1" si="7"/>
        <v>1209460.7488850264</v>
      </c>
      <c r="BX31" s="17">
        <f t="shared" ca="1" si="7"/>
        <v>846299.52887766226</v>
      </c>
      <c r="BY31" s="17">
        <f t="shared" ca="1" si="7"/>
        <v>846299.52887766226</v>
      </c>
      <c r="BZ31" s="17">
        <f t="shared" ca="1" si="7"/>
        <v>846299.52887766226</v>
      </c>
      <c r="CA31" s="17">
        <f t="shared" ca="1" si="7"/>
        <v>846299.52887766226</v>
      </c>
      <c r="CB31" s="17">
        <f t="shared" ca="1" si="7"/>
        <v>846299.52887766226</v>
      </c>
      <c r="CC31" s="17">
        <f t="shared" ca="1" si="7"/>
        <v>1209460.7488850264</v>
      </c>
      <c r="CD31" s="17">
        <f t="shared" ca="1" si="7"/>
        <v>1209460.7488850264</v>
      </c>
      <c r="CE31" s="17">
        <f t="shared" ca="1" si="7"/>
        <v>846299.52887766226</v>
      </c>
      <c r="CF31" s="17">
        <f t="shared" ca="1" si="7"/>
        <v>1209460.7488850264</v>
      </c>
      <c r="CG31" s="17">
        <f t="shared" ca="1" si="7"/>
        <v>846299.52887766226</v>
      </c>
      <c r="CH31" s="17">
        <f t="shared" ca="1" si="7"/>
        <v>1209460.7488850264</v>
      </c>
      <c r="CI31" s="17">
        <f t="shared" ca="1" si="7"/>
        <v>846299.52887766226</v>
      </c>
      <c r="CJ31" s="17">
        <f t="shared" ca="1" si="7"/>
        <v>846299.52887766226</v>
      </c>
      <c r="CK31" s="17">
        <f t="shared" ca="1" si="7"/>
        <v>846299.52887766226</v>
      </c>
      <c r="CL31" s="17">
        <f t="shared" ca="1" si="7"/>
        <v>1209460.7488850264</v>
      </c>
      <c r="CM31" s="17">
        <f t="shared" ca="1" si="7"/>
        <v>1209460.7488850264</v>
      </c>
      <c r="CN31" s="17">
        <f t="shared" ca="1" si="7"/>
        <v>1209460.7488850264</v>
      </c>
      <c r="CO31" s="17">
        <f t="shared" ca="1" si="7"/>
        <v>1209460.7488850264</v>
      </c>
      <c r="CP31" s="17">
        <f t="shared" ca="1" si="7"/>
        <v>1209460.7488850264</v>
      </c>
      <c r="CQ31" s="17">
        <f t="shared" ca="1" si="7"/>
        <v>1209460.7488850264</v>
      </c>
      <c r="CR31" s="17">
        <f t="shared" ca="1" si="7"/>
        <v>1209460.7488850264</v>
      </c>
      <c r="CS31" s="17">
        <f t="shared" ca="1" si="7"/>
        <v>846299.52887766226</v>
      </c>
      <c r="CT31" s="17">
        <f t="shared" ca="1" si="7"/>
        <v>846299.52887766226</v>
      </c>
      <c r="CU31" s="17">
        <f t="shared" ca="1" si="7"/>
        <v>1209460.7488850264</v>
      </c>
      <c r="CV31" s="17">
        <f t="shared" ca="1" si="7"/>
        <v>846299.52887766226</v>
      </c>
      <c r="CW31" s="17">
        <f t="shared" ca="1" si="7"/>
        <v>846299.52887766226</v>
      </c>
      <c r="CX31" s="17">
        <f t="shared" ca="1" si="7"/>
        <v>846299.52887766226</v>
      </c>
    </row>
    <row r="32" spans="1:102" x14ac:dyDescent="0.25">
      <c r="B32" s="16">
        <v>2</v>
      </c>
      <c r="C32" s="17">
        <f t="shared" ca="1" si="6"/>
        <v>700852.84546631936</v>
      </c>
      <c r="D32" s="17">
        <f t="shared" ca="1" si="6"/>
        <v>1044512.1368659253</v>
      </c>
      <c r="E32" s="17">
        <f t="shared" ca="1" si="6"/>
        <v>700852.84546631936</v>
      </c>
      <c r="F32" s="17">
        <f t="shared" ca="1" si="6"/>
        <v>1044512.1368659253</v>
      </c>
      <c r="G32" s="17">
        <f t="shared" ca="1" si="6"/>
        <v>1044512.1368659253</v>
      </c>
      <c r="H32" s="17">
        <f t="shared" ca="1" si="6"/>
        <v>1008196.0148651889</v>
      </c>
      <c r="I32" s="17">
        <f t="shared" ca="1" si="6"/>
        <v>1483741.3779820318</v>
      </c>
      <c r="J32" s="17">
        <f t="shared" ca="1" si="6"/>
        <v>1008196.0148651889</v>
      </c>
      <c r="K32" s="17">
        <f t="shared" ca="1" si="6"/>
        <v>1044512.1368659253</v>
      </c>
      <c r="L32" s="17">
        <f t="shared" ca="1" si="6"/>
        <v>1483741.3779820318</v>
      </c>
      <c r="M32" s="17">
        <f t="shared" ca="1" si="6"/>
        <v>700852.84546631936</v>
      </c>
      <c r="N32" s="17">
        <f t="shared" ca="1" si="6"/>
        <v>1044512.1368659253</v>
      </c>
      <c r="O32" s="17">
        <f t="shared" ca="1" si="6"/>
        <v>700852.84546631936</v>
      </c>
      <c r="P32" s="17">
        <f t="shared" ca="1" si="6"/>
        <v>700852.84546631936</v>
      </c>
      <c r="Q32" s="17">
        <f t="shared" ca="1" si="6"/>
        <v>1008196.0148651889</v>
      </c>
      <c r="R32" s="17">
        <f t="shared" ca="1" si="6"/>
        <v>700852.84546631936</v>
      </c>
      <c r="S32" s="17">
        <f t="shared" ca="1" si="6"/>
        <v>1044512.1368659253</v>
      </c>
      <c r="T32" s="17">
        <f t="shared" ca="1" si="6"/>
        <v>700852.84546631936</v>
      </c>
      <c r="U32" s="17">
        <f t="shared" ca="1" si="6"/>
        <v>700852.84546631936</v>
      </c>
      <c r="V32" s="17">
        <f t="shared" ca="1" si="6"/>
        <v>700852.84546631936</v>
      </c>
      <c r="W32" s="17">
        <f t="shared" ca="1" si="6"/>
        <v>1044512.1368659253</v>
      </c>
      <c r="X32" s="17">
        <f t="shared" ca="1" si="6"/>
        <v>1483741.3779820318</v>
      </c>
      <c r="Y32" s="17">
        <f t="shared" ca="1" si="6"/>
        <v>700852.84546631936</v>
      </c>
      <c r="Z32" s="17">
        <f t="shared" ca="1" si="6"/>
        <v>1044512.1368659253</v>
      </c>
      <c r="AA32" s="17">
        <f t="shared" ca="1" si="6"/>
        <v>700852.84546631936</v>
      </c>
      <c r="AB32" s="17">
        <f t="shared" ca="1" si="6"/>
        <v>700852.84546631936</v>
      </c>
      <c r="AC32" s="17">
        <f t="shared" ca="1" si="6"/>
        <v>1044512.1368659253</v>
      </c>
      <c r="AD32" s="17">
        <f t="shared" ca="1" si="6"/>
        <v>1008196.0148651889</v>
      </c>
      <c r="AE32" s="17">
        <f t="shared" ca="1" si="6"/>
        <v>700852.84546631936</v>
      </c>
      <c r="AF32" s="17">
        <f t="shared" ca="1" si="6"/>
        <v>700852.84546631936</v>
      </c>
      <c r="AG32" s="17">
        <f t="shared" ca="1" si="6"/>
        <v>700852.84546631936</v>
      </c>
      <c r="AH32" s="17">
        <f t="shared" ca="1" si="6"/>
        <v>700852.84546631936</v>
      </c>
      <c r="AI32" s="17">
        <f t="shared" ca="1" si="6"/>
        <v>1044512.1368659253</v>
      </c>
      <c r="AJ32" s="17">
        <f t="shared" ca="1" si="6"/>
        <v>700852.84546631936</v>
      </c>
      <c r="AK32" s="17">
        <f t="shared" ca="1" si="6"/>
        <v>700852.84546631936</v>
      </c>
      <c r="AL32" s="17">
        <f t="shared" ca="1" si="6"/>
        <v>1008196.0148651889</v>
      </c>
      <c r="AM32" s="17">
        <f t="shared" ca="1" si="6"/>
        <v>1483741.3779820318</v>
      </c>
      <c r="AN32" s="17">
        <f t="shared" ca="1" si="6"/>
        <v>1044512.1368659253</v>
      </c>
      <c r="AO32" s="17">
        <f t="shared" ca="1" si="6"/>
        <v>1008196.0148651889</v>
      </c>
      <c r="AP32" s="17">
        <f t="shared" ca="1" si="6"/>
        <v>1008196.0148651889</v>
      </c>
      <c r="AQ32" s="17">
        <f t="shared" ca="1" si="6"/>
        <v>700852.84546631936</v>
      </c>
      <c r="AR32" s="17">
        <f t="shared" ca="1" si="6"/>
        <v>1008196.0148651889</v>
      </c>
      <c r="AS32" s="17">
        <f t="shared" ca="1" si="6"/>
        <v>700852.84546631936</v>
      </c>
      <c r="AT32" s="17">
        <f t="shared" ca="1" si="6"/>
        <v>700852.84546631936</v>
      </c>
      <c r="AU32" s="17">
        <f t="shared" ca="1" si="6"/>
        <v>700852.84546631936</v>
      </c>
      <c r="AV32" s="17">
        <f t="shared" ca="1" si="6"/>
        <v>700852.84546631936</v>
      </c>
      <c r="AW32" s="17">
        <f t="shared" ca="1" si="6"/>
        <v>700852.84546631936</v>
      </c>
      <c r="AX32" s="17">
        <f t="shared" ca="1" si="6"/>
        <v>1008196.0148651889</v>
      </c>
      <c r="AY32" s="17">
        <f t="shared" ca="1" si="6"/>
        <v>700852.84546631936</v>
      </c>
      <c r="AZ32" s="17">
        <f t="shared" ca="1" si="6"/>
        <v>700852.84546631936</v>
      </c>
      <c r="BA32" s="17">
        <f t="shared" ca="1" si="6"/>
        <v>1008196.0148651889</v>
      </c>
      <c r="BB32" s="17">
        <f t="shared" ca="1" si="6"/>
        <v>1044512.1368659253</v>
      </c>
      <c r="BC32" s="17">
        <f t="shared" ca="1" si="6"/>
        <v>1008196.0148651889</v>
      </c>
      <c r="BD32" s="17">
        <f t="shared" ca="1" si="6"/>
        <v>1483741.3779820318</v>
      </c>
      <c r="BE32" s="17">
        <f t="shared" ca="1" si="6"/>
        <v>1044512.1368659253</v>
      </c>
      <c r="BF32" s="17">
        <f t="shared" ca="1" si="6"/>
        <v>1008196.0148651889</v>
      </c>
      <c r="BG32" s="17">
        <f t="shared" ca="1" si="6"/>
        <v>700852.84546631936</v>
      </c>
      <c r="BH32" s="17">
        <f t="shared" ca="1" si="6"/>
        <v>700852.84546631936</v>
      </c>
      <c r="BI32" s="17">
        <f t="shared" ca="1" si="6"/>
        <v>1044512.1368659253</v>
      </c>
      <c r="BJ32" s="17">
        <f t="shared" ca="1" si="6"/>
        <v>1044512.1368659253</v>
      </c>
      <c r="BK32" s="17">
        <f t="shared" ca="1" si="6"/>
        <v>700852.84546631936</v>
      </c>
      <c r="BL32" s="17">
        <f t="shared" ca="1" si="6"/>
        <v>1008196.0148651889</v>
      </c>
      <c r="BM32" s="17">
        <f t="shared" ca="1" si="6"/>
        <v>700852.84546631936</v>
      </c>
      <c r="BN32" s="17">
        <f t="shared" ca="1" si="6"/>
        <v>700852.84546631936</v>
      </c>
      <c r="BO32" s="17">
        <f t="shared" ca="1" si="7"/>
        <v>700852.84546631936</v>
      </c>
      <c r="BP32" s="17">
        <f t="shared" ca="1" si="7"/>
        <v>700852.84546631936</v>
      </c>
      <c r="BQ32" s="17">
        <f t="shared" ca="1" si="7"/>
        <v>1483741.3779820318</v>
      </c>
      <c r="BR32" s="17">
        <f t="shared" ca="1" si="7"/>
        <v>1008196.0148651889</v>
      </c>
      <c r="BS32" s="17">
        <f t="shared" ca="1" si="7"/>
        <v>700852.84546631936</v>
      </c>
      <c r="BT32" s="17">
        <f t="shared" ca="1" si="7"/>
        <v>1483741.3779820318</v>
      </c>
      <c r="BU32" s="17">
        <f t="shared" ca="1" si="7"/>
        <v>700852.84546631936</v>
      </c>
      <c r="BV32" s="17">
        <f t="shared" ca="1" si="7"/>
        <v>1008196.0148651889</v>
      </c>
      <c r="BW32" s="17">
        <f t="shared" ca="1" si="7"/>
        <v>1044512.1368659253</v>
      </c>
      <c r="BX32" s="17">
        <f t="shared" ca="1" si="7"/>
        <v>700852.84546631936</v>
      </c>
      <c r="BY32" s="17">
        <f t="shared" ca="1" si="7"/>
        <v>700852.84546631936</v>
      </c>
      <c r="BZ32" s="17">
        <f t="shared" ca="1" si="7"/>
        <v>700852.84546631936</v>
      </c>
      <c r="CA32" s="17">
        <f t="shared" ca="1" si="7"/>
        <v>700852.84546631936</v>
      </c>
      <c r="CB32" s="17">
        <f t="shared" ca="1" si="7"/>
        <v>700852.84546631936</v>
      </c>
      <c r="CC32" s="17">
        <f t="shared" ca="1" si="7"/>
        <v>1044512.1368659253</v>
      </c>
      <c r="CD32" s="17">
        <f t="shared" ca="1" si="7"/>
        <v>1044512.1368659253</v>
      </c>
      <c r="CE32" s="17">
        <f t="shared" ca="1" si="7"/>
        <v>700852.84546631936</v>
      </c>
      <c r="CF32" s="17">
        <f t="shared" ca="1" si="7"/>
        <v>1044512.1368659253</v>
      </c>
      <c r="CG32" s="17">
        <f t="shared" ca="1" si="7"/>
        <v>700852.84546631936</v>
      </c>
      <c r="CH32" s="17">
        <f t="shared" ca="1" si="7"/>
        <v>1483741.3779820318</v>
      </c>
      <c r="CI32" s="17">
        <f t="shared" ca="1" si="7"/>
        <v>700852.84546631936</v>
      </c>
      <c r="CJ32" s="17">
        <f t="shared" ca="1" si="7"/>
        <v>700852.84546631936</v>
      </c>
      <c r="CK32" s="17">
        <f t="shared" ca="1" si="7"/>
        <v>700852.84546631936</v>
      </c>
      <c r="CL32" s="17">
        <f t="shared" ca="1" si="7"/>
        <v>1483741.3779820318</v>
      </c>
      <c r="CM32" s="17">
        <f t="shared" ca="1" si="7"/>
        <v>1483741.3779820318</v>
      </c>
      <c r="CN32" s="17">
        <f t="shared" ca="1" si="7"/>
        <v>1483741.3779820318</v>
      </c>
      <c r="CO32" s="17">
        <f t="shared" ca="1" si="7"/>
        <v>1044512.1368659253</v>
      </c>
      <c r="CP32" s="17">
        <f t="shared" ca="1" si="7"/>
        <v>1044512.1368659253</v>
      </c>
      <c r="CQ32" s="17">
        <f t="shared" ca="1" si="7"/>
        <v>1044512.1368659253</v>
      </c>
      <c r="CR32" s="17">
        <f t="shared" ca="1" si="7"/>
        <v>1044512.1368659253</v>
      </c>
      <c r="CS32" s="17">
        <f t="shared" ca="1" si="7"/>
        <v>700852.84546631936</v>
      </c>
      <c r="CT32" s="17">
        <f t="shared" ca="1" si="7"/>
        <v>1008196.0148651889</v>
      </c>
      <c r="CU32" s="17">
        <f t="shared" ca="1" si="7"/>
        <v>1044512.1368659253</v>
      </c>
      <c r="CV32" s="17">
        <f t="shared" ca="1" si="7"/>
        <v>700852.84546631936</v>
      </c>
      <c r="CW32" s="17">
        <f t="shared" ca="1" si="7"/>
        <v>1008196.0148651889</v>
      </c>
      <c r="CX32" s="17">
        <f t="shared" ca="1" si="7"/>
        <v>700852.84546631936</v>
      </c>
    </row>
    <row r="33" spans="2:102" x14ac:dyDescent="0.25">
      <c r="B33" s="16">
        <v>3</v>
      </c>
      <c r="C33" s="17">
        <f t="shared" ca="1" si="6"/>
        <v>563216.71747734712</v>
      </c>
      <c r="D33" s="17">
        <f t="shared" ca="1" si="6"/>
        <v>888421.34302322543</v>
      </c>
      <c r="E33" s="17">
        <f t="shared" ca="1" si="6"/>
        <v>817739.29188252822</v>
      </c>
      <c r="F33" s="17">
        <f t="shared" ca="1" si="6"/>
        <v>888421.34302322543</v>
      </c>
      <c r="G33" s="17">
        <f t="shared" ca="1" si="6"/>
        <v>888421.34302322543</v>
      </c>
      <c r="H33" s="17">
        <f t="shared" ca="1" si="6"/>
        <v>1220193.1086482694</v>
      </c>
      <c r="I33" s="17">
        <f t="shared" ca="1" si="6"/>
        <v>1304063.7669606903</v>
      </c>
      <c r="J33" s="17">
        <f t="shared" ca="1" si="6"/>
        <v>1220193.1086482694</v>
      </c>
      <c r="K33" s="17">
        <f t="shared" ca="1" si="6"/>
        <v>888421.34302322543</v>
      </c>
      <c r="L33" s="17">
        <f t="shared" ca="1" si="6"/>
        <v>1304063.7669606903</v>
      </c>
      <c r="M33" s="17">
        <f t="shared" ca="1" si="6"/>
        <v>817739.29188252822</v>
      </c>
      <c r="N33" s="17">
        <f t="shared" ca="1" si="6"/>
        <v>1267747.6449599536</v>
      </c>
      <c r="O33" s="17">
        <f t="shared" ca="1" si="6"/>
        <v>817739.29188252822</v>
      </c>
      <c r="P33" s="17">
        <f t="shared" ca="1" si="6"/>
        <v>817739.29188252822</v>
      </c>
      <c r="Q33" s="17">
        <f t="shared" ca="1" si="6"/>
        <v>1220193.1086482694</v>
      </c>
      <c r="R33" s="17">
        <f t="shared" ca="1" si="6"/>
        <v>817739.29188252822</v>
      </c>
      <c r="S33" s="17">
        <f t="shared" ca="1" si="6"/>
        <v>1267747.6449599536</v>
      </c>
      <c r="T33" s="17">
        <f t="shared" ca="1" si="6"/>
        <v>563216.71747734712</v>
      </c>
      <c r="U33" s="17">
        <f t="shared" ca="1" si="6"/>
        <v>563216.71747734712</v>
      </c>
      <c r="V33" s="17">
        <f t="shared" ca="1" si="6"/>
        <v>563216.71747734712</v>
      </c>
      <c r="W33" s="17">
        <f t="shared" ca="1" si="6"/>
        <v>1267747.6449599536</v>
      </c>
      <c r="X33" s="17">
        <f t="shared" ca="1" si="6"/>
        <v>1304063.7669606903</v>
      </c>
      <c r="Y33" s="17">
        <f t="shared" ca="1" si="6"/>
        <v>563216.71747734712</v>
      </c>
      <c r="Z33" s="17">
        <f t="shared" ca="1" si="6"/>
        <v>888421.34302322543</v>
      </c>
      <c r="AA33" s="17">
        <f t="shared" ca="1" si="6"/>
        <v>563216.71747734712</v>
      </c>
      <c r="AB33" s="17">
        <f t="shared" ca="1" si="6"/>
        <v>563216.71747734712</v>
      </c>
      <c r="AC33" s="17">
        <f t="shared" ca="1" si="6"/>
        <v>1267747.6449599536</v>
      </c>
      <c r="AD33" s="17">
        <f t="shared" ca="1" si="6"/>
        <v>1220193.1086482694</v>
      </c>
      <c r="AE33" s="17">
        <f t="shared" ca="1" si="6"/>
        <v>563216.71747734712</v>
      </c>
      <c r="AF33" s="17">
        <f t="shared" ca="1" si="6"/>
        <v>817739.29188252822</v>
      </c>
      <c r="AG33" s="17">
        <f t="shared" ca="1" si="6"/>
        <v>817739.29188252822</v>
      </c>
      <c r="AH33" s="17">
        <f t="shared" ca="1" si="6"/>
        <v>563216.71747734712</v>
      </c>
      <c r="AI33" s="17">
        <f t="shared" ca="1" si="6"/>
        <v>1267747.6449599536</v>
      </c>
      <c r="AJ33" s="17">
        <f t="shared" ca="1" si="6"/>
        <v>563216.71747734712</v>
      </c>
      <c r="AK33" s="17">
        <f t="shared" ca="1" si="6"/>
        <v>563216.71747734712</v>
      </c>
      <c r="AL33" s="17">
        <f t="shared" ca="1" si="6"/>
        <v>854055.41388326488</v>
      </c>
      <c r="AM33" s="17">
        <f t="shared" ca="1" si="6"/>
        <v>1304063.7669606903</v>
      </c>
      <c r="AN33" s="17">
        <f t="shared" ca="1" si="6"/>
        <v>888421.34302322543</v>
      </c>
      <c r="AO33" s="17">
        <f t="shared" ca="1" si="6"/>
        <v>854055.41388326488</v>
      </c>
      <c r="AP33" s="17">
        <f t="shared" ca="1" si="6"/>
        <v>854055.41388326488</v>
      </c>
      <c r="AQ33" s="17">
        <f t="shared" ca="1" si="6"/>
        <v>563216.71747734712</v>
      </c>
      <c r="AR33" s="17">
        <f t="shared" ca="1" si="6"/>
        <v>854055.41388326488</v>
      </c>
      <c r="AS33" s="17">
        <f t="shared" ca="1" si="6"/>
        <v>817739.29188252822</v>
      </c>
      <c r="AT33" s="17">
        <f t="shared" ca="1" si="6"/>
        <v>563216.71747734712</v>
      </c>
      <c r="AU33" s="17">
        <f t="shared" ca="1" si="6"/>
        <v>563216.71747734712</v>
      </c>
      <c r="AV33" s="17">
        <f t="shared" ca="1" si="6"/>
        <v>817739.29188252822</v>
      </c>
      <c r="AW33" s="17">
        <f t="shared" ca="1" si="6"/>
        <v>817739.29188252822</v>
      </c>
      <c r="AX33" s="17">
        <f t="shared" ca="1" si="6"/>
        <v>1220193.1086482694</v>
      </c>
      <c r="AY33" s="17">
        <f t="shared" ca="1" si="6"/>
        <v>817739.29188252822</v>
      </c>
      <c r="AZ33" s="17">
        <f t="shared" ca="1" si="6"/>
        <v>817739.29188252822</v>
      </c>
      <c r="BA33" s="17">
        <f t="shared" ca="1" si="6"/>
        <v>1220193.1086482694</v>
      </c>
      <c r="BB33" s="17">
        <f t="shared" ca="1" si="6"/>
        <v>1267747.6449599536</v>
      </c>
      <c r="BC33" s="17">
        <f t="shared" ca="1" si="6"/>
        <v>1220193.1086482694</v>
      </c>
      <c r="BD33" s="17">
        <f t="shared" ca="1" si="6"/>
        <v>1304063.7669606903</v>
      </c>
      <c r="BE33" s="17">
        <f t="shared" ca="1" si="6"/>
        <v>1267747.6449599536</v>
      </c>
      <c r="BF33" s="17">
        <f t="shared" ca="1" si="6"/>
        <v>854055.41388326488</v>
      </c>
      <c r="BG33" s="17">
        <f t="shared" ca="1" si="6"/>
        <v>817739.29188252822</v>
      </c>
      <c r="BH33" s="17">
        <f t="shared" ca="1" si="6"/>
        <v>817739.29188252822</v>
      </c>
      <c r="BI33" s="17">
        <f t="shared" ca="1" si="6"/>
        <v>1267747.6449599536</v>
      </c>
      <c r="BJ33" s="17">
        <f t="shared" ca="1" si="6"/>
        <v>888421.34302322543</v>
      </c>
      <c r="BK33" s="17">
        <f t="shared" ca="1" si="6"/>
        <v>563216.71747734712</v>
      </c>
      <c r="BL33" s="17">
        <f t="shared" ca="1" si="6"/>
        <v>1220193.1086482694</v>
      </c>
      <c r="BM33" s="17">
        <f t="shared" ca="1" si="6"/>
        <v>817739.29188252822</v>
      </c>
      <c r="BN33" s="17">
        <f t="shared" ca="1" si="6"/>
        <v>563216.71747734712</v>
      </c>
      <c r="BO33" s="17">
        <f t="shared" ca="1" si="7"/>
        <v>563216.71747734712</v>
      </c>
      <c r="BP33" s="17">
        <f t="shared" ca="1" si="7"/>
        <v>817739.29188252822</v>
      </c>
      <c r="BQ33" s="17">
        <f t="shared" ca="1" si="7"/>
        <v>1304063.7669606903</v>
      </c>
      <c r="BR33" s="17">
        <f t="shared" ca="1" si="7"/>
        <v>854055.41388326488</v>
      </c>
      <c r="BS33" s="17">
        <f t="shared" ca="1" si="7"/>
        <v>563216.71747734712</v>
      </c>
      <c r="BT33" s="17">
        <f t="shared" ca="1" si="7"/>
        <v>1304063.7669606903</v>
      </c>
      <c r="BU33" s="17">
        <f t="shared" ca="1" si="7"/>
        <v>563216.71747734712</v>
      </c>
      <c r="BV33" s="17">
        <f t="shared" ca="1" si="7"/>
        <v>1220193.1086482694</v>
      </c>
      <c r="BW33" s="17">
        <f t="shared" ca="1" si="7"/>
        <v>888421.34302322543</v>
      </c>
      <c r="BX33" s="17">
        <f t="shared" ca="1" si="7"/>
        <v>563216.71747734712</v>
      </c>
      <c r="BY33" s="17">
        <f t="shared" ca="1" si="7"/>
        <v>563216.71747734712</v>
      </c>
      <c r="BZ33" s="17">
        <f t="shared" ca="1" si="7"/>
        <v>563216.71747734712</v>
      </c>
      <c r="CA33" s="17">
        <f t="shared" ca="1" si="7"/>
        <v>817739.29188252822</v>
      </c>
      <c r="CB33" s="17">
        <f t="shared" ca="1" si="7"/>
        <v>563216.71747734712</v>
      </c>
      <c r="CC33" s="17">
        <f t="shared" ca="1" si="7"/>
        <v>888421.34302322543</v>
      </c>
      <c r="CD33" s="17">
        <f t="shared" ca="1" si="7"/>
        <v>888421.34302322543</v>
      </c>
      <c r="CE33" s="17">
        <f t="shared" ca="1" si="7"/>
        <v>563216.71747734712</v>
      </c>
      <c r="CF33" s="17">
        <f t="shared" ca="1" si="7"/>
        <v>888421.34302322543</v>
      </c>
      <c r="CG33" s="17">
        <f t="shared" ca="1" si="7"/>
        <v>563216.71747734712</v>
      </c>
      <c r="CH33" s="17">
        <f t="shared" ca="1" si="7"/>
        <v>1304063.7669606903</v>
      </c>
      <c r="CI33" s="17">
        <f t="shared" ca="1" si="7"/>
        <v>817739.29188252822</v>
      </c>
      <c r="CJ33" s="17">
        <f t="shared" ca="1" si="7"/>
        <v>563216.71747734712</v>
      </c>
      <c r="CK33" s="17">
        <f t="shared" ca="1" si="7"/>
        <v>563216.71747734712</v>
      </c>
      <c r="CL33" s="17">
        <f t="shared" ca="1" si="7"/>
        <v>1842901.0959640525</v>
      </c>
      <c r="CM33" s="17">
        <f t="shared" ca="1" si="7"/>
        <v>1304063.7669606903</v>
      </c>
      <c r="CN33" s="17">
        <f t="shared" ca="1" si="7"/>
        <v>1842901.0959640525</v>
      </c>
      <c r="CO33" s="17">
        <f t="shared" ca="1" si="7"/>
        <v>1267747.6449599536</v>
      </c>
      <c r="CP33" s="17">
        <f t="shared" ca="1" si="7"/>
        <v>888421.34302322543</v>
      </c>
      <c r="CQ33" s="17">
        <f t="shared" ca="1" si="7"/>
        <v>1267747.6449599536</v>
      </c>
      <c r="CR33" s="17">
        <f t="shared" ca="1" si="7"/>
        <v>888421.34302322543</v>
      </c>
      <c r="CS33" s="17">
        <f t="shared" ca="1" si="7"/>
        <v>563216.71747734712</v>
      </c>
      <c r="CT33" s="17">
        <f t="shared" ca="1" si="7"/>
        <v>1220193.1086482694</v>
      </c>
      <c r="CU33" s="17">
        <f t="shared" ca="1" si="7"/>
        <v>1267747.6449599536</v>
      </c>
      <c r="CV33" s="17">
        <f t="shared" ca="1" si="7"/>
        <v>563216.71747734712</v>
      </c>
      <c r="CW33" s="17">
        <f t="shared" ca="1" si="7"/>
        <v>1220193.1086482694</v>
      </c>
      <c r="CX33" s="17">
        <f t="shared" ca="1" si="7"/>
        <v>563216.71747734712</v>
      </c>
    </row>
    <row r="34" spans="2:102" x14ac:dyDescent="0.25">
      <c r="B34" s="16">
        <v>4</v>
      </c>
      <c r="C34" s="17">
        <f t="shared" ca="1" si="6"/>
        <v>432971.714404837</v>
      </c>
      <c r="D34" s="17">
        <f t="shared" ca="1" si="6"/>
        <v>1063352.8771606337</v>
      </c>
      <c r="E34" s="17">
        <f t="shared" ca="1" si="6"/>
        <v>970797.5055412068</v>
      </c>
      <c r="F34" s="17">
        <f t="shared" ca="1" si="6"/>
        <v>1063352.8771606337</v>
      </c>
      <c r="G34" s="17">
        <f t="shared" ca="1" si="6"/>
        <v>740712.69834773825</v>
      </c>
      <c r="H34" s="17">
        <f t="shared" ca="1" si="6"/>
        <v>1497794.9818349113</v>
      </c>
      <c r="I34" s="17">
        <f t="shared" ca="1" si="6"/>
        <v>1134034.9283013309</v>
      </c>
      <c r="J34" s="17">
        <f t="shared" ca="1" si="6"/>
        <v>1054668.1638536276</v>
      </c>
      <c r="K34" s="17">
        <f t="shared" ca="1" si="6"/>
        <v>740712.69834773825</v>
      </c>
      <c r="L34" s="17">
        <f t="shared" ca="1" si="6"/>
        <v>1134034.9283013309</v>
      </c>
      <c r="M34" s="17">
        <f t="shared" ca="1" si="6"/>
        <v>970797.5055412068</v>
      </c>
      <c r="N34" s="17">
        <f t="shared" ca="1" si="6"/>
        <v>1560065.7805664893</v>
      </c>
      <c r="O34" s="17">
        <f t="shared" ca="1" si="6"/>
        <v>970797.5055412068</v>
      </c>
      <c r="P34" s="17">
        <f t="shared" ca="1" si="6"/>
        <v>970797.5055412068</v>
      </c>
      <c r="Q34" s="17">
        <f t="shared" ca="1" si="6"/>
        <v>1497794.9818349113</v>
      </c>
      <c r="R34" s="17">
        <f t="shared" ca="1" si="6"/>
        <v>970797.5055412068</v>
      </c>
      <c r="S34" s="17">
        <f t="shared" ca="1" si="6"/>
        <v>1099668.9991613701</v>
      </c>
      <c r="T34" s="17">
        <f t="shared" ca="1" si="6"/>
        <v>637510.18465245329</v>
      </c>
      <c r="U34" s="17">
        <f t="shared" ca="1" si="6"/>
        <v>432971.714404837</v>
      </c>
      <c r="V34" s="17">
        <f t="shared" ca="1" si="6"/>
        <v>432971.714404837</v>
      </c>
      <c r="W34" s="17">
        <f t="shared" ca="1" si="6"/>
        <v>1099668.9991613701</v>
      </c>
      <c r="X34" s="17">
        <f t="shared" ca="1" si="6"/>
        <v>1134034.9283013309</v>
      </c>
      <c r="Y34" s="17">
        <f t="shared" ca="1" si="6"/>
        <v>432971.714404837</v>
      </c>
      <c r="Z34" s="17">
        <f t="shared" ca="1" si="6"/>
        <v>740712.69834773825</v>
      </c>
      <c r="AA34" s="17">
        <f t="shared" ca="1" si="6"/>
        <v>432971.714404837</v>
      </c>
      <c r="AB34" s="17">
        <f t="shared" ca="1" si="6"/>
        <v>432971.714404837</v>
      </c>
      <c r="AC34" s="17">
        <f t="shared" ca="1" si="6"/>
        <v>1560065.7805664893</v>
      </c>
      <c r="AD34" s="17">
        <f t="shared" ca="1" si="6"/>
        <v>1054668.1638536276</v>
      </c>
      <c r="AE34" s="17">
        <f t="shared" ca="1" si="6"/>
        <v>432971.714404837</v>
      </c>
      <c r="AF34" s="17">
        <f t="shared" ca="1" si="6"/>
        <v>970797.5055412068</v>
      </c>
      <c r="AG34" s="17">
        <f t="shared" ca="1" si="6"/>
        <v>673826.30665318959</v>
      </c>
      <c r="AH34" s="17">
        <f t="shared" ca="1" si="6"/>
        <v>637510.18465245329</v>
      </c>
      <c r="AI34" s="17">
        <f t="shared" ca="1" si="6"/>
        <v>1560065.7805664893</v>
      </c>
      <c r="AJ34" s="17">
        <f t="shared" ca="1" si="6"/>
        <v>432971.714404837</v>
      </c>
      <c r="AK34" s="17">
        <f t="shared" ca="1" si="6"/>
        <v>432971.714404837</v>
      </c>
      <c r="AL34" s="17">
        <f t="shared" ca="1" si="6"/>
        <v>708192.2357931505</v>
      </c>
      <c r="AM34" s="17">
        <f t="shared" ca="1" si="6"/>
        <v>1134034.9283013309</v>
      </c>
      <c r="AN34" s="17">
        <f t="shared" ca="1" si="6"/>
        <v>740712.69834773825</v>
      </c>
      <c r="AO34" s="17">
        <f t="shared" ca="1" si="6"/>
        <v>1018352.0418528914</v>
      </c>
      <c r="AP34" s="17">
        <f t="shared" ca="1" si="6"/>
        <v>1018352.0418528914</v>
      </c>
      <c r="AQ34" s="17">
        <f t="shared" ca="1" si="6"/>
        <v>432971.714404837</v>
      </c>
      <c r="AR34" s="17">
        <f t="shared" ca="1" si="6"/>
        <v>708192.2357931505</v>
      </c>
      <c r="AS34" s="17">
        <f t="shared" ca="1" si="6"/>
        <v>970797.5055412068</v>
      </c>
      <c r="AT34" s="17">
        <f t="shared" ca="1" si="6"/>
        <v>432971.714404837</v>
      </c>
      <c r="AU34" s="17">
        <f t="shared" ca="1" si="6"/>
        <v>432971.714404837</v>
      </c>
      <c r="AV34" s="17">
        <f t="shared" ca="1" si="6"/>
        <v>673826.30665318959</v>
      </c>
      <c r="AW34" s="17">
        <f t="shared" ca="1" si="6"/>
        <v>970797.5055412068</v>
      </c>
      <c r="AX34" s="17">
        <f t="shared" ca="1" si="6"/>
        <v>1054668.1638536276</v>
      </c>
      <c r="AY34" s="17">
        <f t="shared" ca="1" si="6"/>
        <v>970797.5055412068</v>
      </c>
      <c r="AZ34" s="17">
        <f t="shared" ca="1" si="6"/>
        <v>673826.30665318959</v>
      </c>
      <c r="BA34" s="17">
        <f t="shared" ca="1" si="6"/>
        <v>1054668.1638536276</v>
      </c>
      <c r="BB34" s="17">
        <f t="shared" ca="1" si="6"/>
        <v>1099668.9991613701</v>
      </c>
      <c r="BC34" s="17">
        <f t="shared" ca="1" si="6"/>
        <v>1054668.1638536276</v>
      </c>
      <c r="BD34" s="17">
        <f t="shared" ca="1" si="6"/>
        <v>1134034.9283013309</v>
      </c>
      <c r="BE34" s="17">
        <f t="shared" ca="1" si="6"/>
        <v>1099668.9991613701</v>
      </c>
      <c r="BF34" s="17">
        <f t="shared" ca="1" si="6"/>
        <v>1018352.0418528914</v>
      </c>
      <c r="BG34" s="17">
        <f t="shared" ca="1" si="6"/>
        <v>673826.30665318959</v>
      </c>
      <c r="BH34" s="17">
        <f t="shared" ca="1" si="6"/>
        <v>970797.5055412068</v>
      </c>
      <c r="BI34" s="17">
        <f t="shared" ca="1" si="6"/>
        <v>1099668.9991613701</v>
      </c>
      <c r="BJ34" s="17">
        <f t="shared" ca="1" si="6"/>
        <v>740712.69834773825</v>
      </c>
      <c r="BK34" s="17">
        <f t="shared" ca="1" si="6"/>
        <v>432971.714404837</v>
      </c>
      <c r="BL34" s="17">
        <f t="shared" ca="1" si="6"/>
        <v>1054668.1638536276</v>
      </c>
      <c r="BM34" s="17">
        <f t="shared" ca="1" si="6"/>
        <v>970797.5055412068</v>
      </c>
      <c r="BN34" s="17">
        <f t="shared" ref="BN34:BQ40" ca="1" si="8">IF(RAND()&gt;$B$22,$B$7*BN33*$B$18+(1-$B$7)*BN33*$B$17-$B$8,$B$7*BN33*$B$19+(1-$B$7)*BN33*$B$17-$B$8)</f>
        <v>432971.714404837</v>
      </c>
      <c r="BO34" s="17">
        <f t="shared" ca="1" si="7"/>
        <v>637510.18465245329</v>
      </c>
      <c r="BP34" s="17">
        <f t="shared" ca="1" si="7"/>
        <v>673826.30665318959</v>
      </c>
      <c r="BQ34" s="17">
        <f t="shared" ca="1" si="7"/>
        <v>1134034.9283013309</v>
      </c>
      <c r="BR34" s="17">
        <f t="shared" ca="1" si="7"/>
        <v>1018352.0418528914</v>
      </c>
      <c r="BS34" s="17">
        <f t="shared" ca="1" si="7"/>
        <v>432971.714404837</v>
      </c>
      <c r="BT34" s="17">
        <f t="shared" ca="1" si="7"/>
        <v>1134034.9283013309</v>
      </c>
      <c r="BU34" s="17">
        <f t="shared" ca="1" si="7"/>
        <v>432971.714404837</v>
      </c>
      <c r="BV34" s="17">
        <f t="shared" ca="1" si="7"/>
        <v>1054668.1638536276</v>
      </c>
      <c r="BW34" s="17">
        <f t="shared" ca="1" si="7"/>
        <v>740712.69834773825</v>
      </c>
      <c r="BX34" s="17">
        <f t="shared" ca="1" si="7"/>
        <v>432971.714404837</v>
      </c>
      <c r="BY34" s="17">
        <f t="shared" ca="1" si="7"/>
        <v>432971.714404837</v>
      </c>
      <c r="BZ34" s="17">
        <f t="shared" ca="1" si="7"/>
        <v>432971.714404837</v>
      </c>
      <c r="CA34" s="17">
        <f t="shared" ca="1" si="7"/>
        <v>970797.5055412068</v>
      </c>
      <c r="CB34" s="17">
        <f t="shared" ca="1" si="7"/>
        <v>432971.714404837</v>
      </c>
      <c r="CC34" s="17">
        <f t="shared" ca="1" si="7"/>
        <v>740712.69834773825</v>
      </c>
      <c r="CD34" s="17">
        <f t="shared" ca="1" si="7"/>
        <v>740712.69834773825</v>
      </c>
      <c r="CE34" s="17">
        <f t="shared" ca="1" si="7"/>
        <v>432971.714404837</v>
      </c>
      <c r="CF34" s="17">
        <f t="shared" ca="1" si="7"/>
        <v>1063352.8771606337</v>
      </c>
      <c r="CG34" s="17">
        <f t="shared" ca="1" si="7"/>
        <v>432971.714404837</v>
      </c>
      <c r="CH34" s="17">
        <f t="shared" ca="1" si="7"/>
        <v>1134034.9283013309</v>
      </c>
      <c r="CI34" s="17">
        <f t="shared" ca="1" si="7"/>
        <v>673826.30665318959</v>
      </c>
      <c r="CJ34" s="17">
        <f t="shared" ca="1" si="7"/>
        <v>432971.714404837</v>
      </c>
      <c r="CK34" s="17">
        <f t="shared" ca="1" si="7"/>
        <v>432971.714404837</v>
      </c>
      <c r="CL34" s="17">
        <f t="shared" ca="1" si="7"/>
        <v>2313206.6492421245</v>
      </c>
      <c r="CM34" s="17">
        <f t="shared" ca="1" si="7"/>
        <v>1607620.316878174</v>
      </c>
      <c r="CN34" s="17">
        <f t="shared" ca="1" si="7"/>
        <v>2313206.6492421245</v>
      </c>
      <c r="CO34" s="17">
        <f t="shared" ca="1" si="7"/>
        <v>1560065.7805664893</v>
      </c>
      <c r="CP34" s="17">
        <f t="shared" ca="1" si="7"/>
        <v>740712.69834773825</v>
      </c>
      <c r="CQ34" s="17">
        <f t="shared" ca="1" si="7"/>
        <v>1560065.7805664893</v>
      </c>
      <c r="CR34" s="17">
        <f t="shared" ca="1" si="7"/>
        <v>740712.69834773825</v>
      </c>
      <c r="CS34" s="17">
        <f t="shared" ca="1" si="7"/>
        <v>432971.714404837</v>
      </c>
      <c r="CT34" s="17">
        <f t="shared" ca="1" si="7"/>
        <v>1054668.1638536276</v>
      </c>
      <c r="CU34" s="17">
        <f t="shared" ca="1" si="7"/>
        <v>1560065.7805664893</v>
      </c>
      <c r="CV34" s="17">
        <f t="shared" ca="1" si="7"/>
        <v>637510.18465245329</v>
      </c>
      <c r="CW34" s="17">
        <f t="shared" ca="1" si="7"/>
        <v>1054668.1638536276</v>
      </c>
      <c r="CX34" s="17">
        <f t="shared" ca="1" si="7"/>
        <v>432971.714404837</v>
      </c>
    </row>
    <row r="35" spans="2:102" x14ac:dyDescent="0.25">
      <c r="B35" s="16">
        <v>5</v>
      </c>
      <c r="C35" s="17">
        <f t="shared" ref="C35:BM39" ca="1" si="9">IF(RAND()&gt;$B$22,$B$7*C34*$B$18+(1-$B$7)*C34*$B$17-$B$8,$B$7*C34*$B$19+(1-$B$7)*C34*$B$17-$B$8)</f>
        <v>309720.92935865099</v>
      </c>
      <c r="D35" s="17">
        <f t="shared" ca="1" si="9"/>
        <v>906250.32668781443</v>
      </c>
      <c r="E35" s="17">
        <f t="shared" ca="1" si="9"/>
        <v>818665.22212925379</v>
      </c>
      <c r="F35" s="17">
        <f t="shared" ca="1" si="9"/>
        <v>906250.32668781443</v>
      </c>
      <c r="G35" s="17">
        <f t="shared" ca="1" si="9"/>
        <v>869934.20468707802</v>
      </c>
      <c r="H35" s="17">
        <f t="shared" ca="1" si="9"/>
        <v>1317362.6856657034</v>
      </c>
      <c r="I35" s="17">
        <f t="shared" ca="1" si="9"/>
        <v>1384974.2264752379</v>
      </c>
      <c r="J35" s="17">
        <f t="shared" ca="1" si="9"/>
        <v>1281046.563664967</v>
      </c>
      <c r="K35" s="17">
        <f t="shared" ca="1" si="9"/>
        <v>600936.07748016668</v>
      </c>
      <c r="L35" s="17">
        <f t="shared" ca="1" si="9"/>
        <v>1384974.2264752379</v>
      </c>
      <c r="M35" s="17">
        <f t="shared" ca="1" si="9"/>
        <v>818665.22212925379</v>
      </c>
      <c r="N35" s="17">
        <f t="shared" ca="1" si="9"/>
        <v>1942844.9053304982</v>
      </c>
      <c r="O35" s="17">
        <f t="shared" ca="1" si="9"/>
        <v>818665.22212925379</v>
      </c>
      <c r="P35" s="17">
        <f t="shared" ca="1" si="9"/>
        <v>818665.22212925379</v>
      </c>
      <c r="Q35" s="17">
        <f t="shared" ca="1" si="9"/>
        <v>1317362.6856657034</v>
      </c>
      <c r="R35" s="17">
        <f t="shared" ca="1" si="9"/>
        <v>818665.22212925379</v>
      </c>
      <c r="S35" s="17">
        <f t="shared" ca="1" si="9"/>
        <v>1339973.3911674954</v>
      </c>
      <c r="T35" s="17">
        <f t="shared" ca="1" si="9"/>
        <v>734794.56381683296</v>
      </c>
      <c r="U35" s="17">
        <f t="shared" ca="1" si="9"/>
        <v>466959.46539059165</v>
      </c>
      <c r="V35" s="17">
        <f t="shared" ca="1" si="9"/>
        <v>466959.46539059165</v>
      </c>
      <c r="W35" s="17">
        <f t="shared" ca="1" si="9"/>
        <v>940616.25582777499</v>
      </c>
      <c r="X35" s="17">
        <f t="shared" ca="1" si="9"/>
        <v>1384974.2264752379</v>
      </c>
      <c r="Y35" s="17">
        <f t="shared" ca="1" si="9"/>
        <v>466959.46539059165</v>
      </c>
      <c r="Z35" s="17">
        <f t="shared" ca="1" si="9"/>
        <v>869934.20468707802</v>
      </c>
      <c r="AA35" s="17">
        <f t="shared" ca="1" si="9"/>
        <v>309720.92935865099</v>
      </c>
      <c r="AB35" s="17">
        <f t="shared" ca="1" si="9"/>
        <v>309720.92935865099</v>
      </c>
      <c r="AC35" s="17">
        <f t="shared" ca="1" si="9"/>
        <v>1376289.5131682314</v>
      </c>
      <c r="AD35" s="17">
        <f t="shared" ca="1" si="9"/>
        <v>898031.98657695693</v>
      </c>
      <c r="AE35" s="17">
        <f t="shared" ca="1" si="9"/>
        <v>309720.92935865099</v>
      </c>
      <c r="AF35" s="17">
        <f t="shared" ca="1" si="9"/>
        <v>1171221.2286217043</v>
      </c>
      <c r="AG35" s="17">
        <f t="shared" ca="1" si="9"/>
        <v>782349.10012851714</v>
      </c>
      <c r="AH35" s="17">
        <f t="shared" ca="1" si="9"/>
        <v>503275.58739132807</v>
      </c>
      <c r="AI35" s="17">
        <f t="shared" ca="1" si="9"/>
        <v>1942844.9053304982</v>
      </c>
      <c r="AJ35" s="17">
        <f t="shared" ca="1" si="9"/>
        <v>309720.92935865099</v>
      </c>
      <c r="AK35" s="17">
        <f t="shared" ca="1" si="9"/>
        <v>309720.92935865099</v>
      </c>
      <c r="AL35" s="17">
        <f t="shared" ca="1" si="9"/>
        <v>570161.97908587672</v>
      </c>
      <c r="AM35" s="17">
        <f t="shared" ca="1" si="9"/>
        <v>1384974.2264752379</v>
      </c>
      <c r="AN35" s="17">
        <f t="shared" ca="1" si="9"/>
        <v>600936.07748016668</v>
      </c>
      <c r="AO35" s="17">
        <f t="shared" ca="1" si="9"/>
        <v>863666.05743699661</v>
      </c>
      <c r="AP35" s="17">
        <f t="shared" ca="1" si="9"/>
        <v>1233492.027353283</v>
      </c>
      <c r="AQ35" s="17">
        <f t="shared" ca="1" si="9"/>
        <v>466959.46539059165</v>
      </c>
      <c r="AR35" s="17">
        <f t="shared" ca="1" si="9"/>
        <v>827349.93543626019</v>
      </c>
      <c r="AS35" s="17">
        <f t="shared" ca="1" si="9"/>
        <v>818665.22212925379</v>
      </c>
      <c r="AT35" s="17">
        <f t="shared" ca="1" si="9"/>
        <v>309720.92935865099</v>
      </c>
      <c r="AU35" s="17">
        <f t="shared" ca="1" si="9"/>
        <v>466959.46539059165</v>
      </c>
      <c r="AV35" s="17">
        <f t="shared" ca="1" si="9"/>
        <v>537641.51653128851</v>
      </c>
      <c r="AW35" s="17">
        <f t="shared" ca="1" si="9"/>
        <v>1171221.2286217043</v>
      </c>
      <c r="AX35" s="17">
        <f t="shared" ca="1" si="9"/>
        <v>1281046.563664967</v>
      </c>
      <c r="AY35" s="17">
        <f t="shared" ca="1" si="9"/>
        <v>1171221.2286217043</v>
      </c>
      <c r="AZ35" s="17">
        <f t="shared" ca="1" si="9"/>
        <v>782349.10012851714</v>
      </c>
      <c r="BA35" s="17">
        <f t="shared" ca="1" si="9"/>
        <v>898031.98657695693</v>
      </c>
      <c r="BB35" s="17">
        <f t="shared" ca="1" si="9"/>
        <v>1339973.3911674954</v>
      </c>
      <c r="BC35" s="17">
        <f t="shared" ca="1" si="9"/>
        <v>898031.98657695693</v>
      </c>
      <c r="BD35" s="17">
        <f t="shared" ca="1" si="9"/>
        <v>973136.71838236297</v>
      </c>
      <c r="BE35" s="17">
        <f t="shared" ca="1" si="9"/>
        <v>940616.25582777499</v>
      </c>
      <c r="BF35" s="17">
        <f t="shared" ca="1" si="9"/>
        <v>863666.05743699661</v>
      </c>
      <c r="BG35" s="17">
        <f t="shared" ca="1" si="9"/>
        <v>782349.10012851714</v>
      </c>
      <c r="BH35" s="17">
        <f t="shared" ca="1" si="9"/>
        <v>818665.22212925379</v>
      </c>
      <c r="BI35" s="17">
        <f t="shared" ca="1" si="9"/>
        <v>1339973.3911674954</v>
      </c>
      <c r="BJ35" s="17">
        <f t="shared" ca="1" si="9"/>
        <v>600936.07748016668</v>
      </c>
      <c r="BK35" s="17">
        <f t="shared" ca="1" si="9"/>
        <v>466959.46539059165</v>
      </c>
      <c r="BL35" s="17">
        <f t="shared" ca="1" si="9"/>
        <v>898031.98657695693</v>
      </c>
      <c r="BM35" s="17">
        <f t="shared" ca="1" si="9"/>
        <v>1171221.2286217043</v>
      </c>
      <c r="BN35" s="17">
        <f t="shared" ca="1" si="8"/>
        <v>309720.92935865099</v>
      </c>
      <c r="BO35" s="17">
        <f t="shared" ca="1" si="7"/>
        <v>503275.58739132807</v>
      </c>
      <c r="BP35" s="17">
        <f t="shared" ca="1" si="7"/>
        <v>537641.51653128851</v>
      </c>
      <c r="BQ35" s="17">
        <f t="shared" ca="1" si="7"/>
        <v>973136.71838236297</v>
      </c>
      <c r="BR35" s="17">
        <f t="shared" ca="1" si="7"/>
        <v>863666.05743699661</v>
      </c>
      <c r="BS35" s="17">
        <f t="shared" ca="1" si="7"/>
        <v>309720.92935865099</v>
      </c>
      <c r="BT35" s="17">
        <f t="shared" ca="1" si="7"/>
        <v>973136.71838236297</v>
      </c>
      <c r="BU35" s="17">
        <f t="shared" ca="1" si="7"/>
        <v>309720.92935865099</v>
      </c>
      <c r="BV35" s="17">
        <f t="shared" ca="1" si="7"/>
        <v>1281046.563664967</v>
      </c>
      <c r="BW35" s="17">
        <f t="shared" ca="1" si="7"/>
        <v>600936.07748016668</v>
      </c>
      <c r="BX35" s="17">
        <f t="shared" ca="1" si="7"/>
        <v>466959.46539059165</v>
      </c>
      <c r="BY35" s="17">
        <f t="shared" ca="1" si="7"/>
        <v>309720.92935865099</v>
      </c>
      <c r="BZ35" s="17">
        <f t="shared" ca="1" si="7"/>
        <v>466959.46539059165</v>
      </c>
      <c r="CA35" s="17">
        <f t="shared" ca="1" si="7"/>
        <v>818665.22212925379</v>
      </c>
      <c r="CB35" s="17">
        <f t="shared" ca="1" si="7"/>
        <v>309720.92935865099</v>
      </c>
      <c r="CC35" s="17">
        <f t="shared" ca="1" si="7"/>
        <v>600936.07748016668</v>
      </c>
      <c r="CD35" s="17">
        <f t="shared" ca="1" si="7"/>
        <v>600936.07748016668</v>
      </c>
      <c r="CE35" s="17">
        <f t="shared" ca="1" si="7"/>
        <v>466959.46539059165</v>
      </c>
      <c r="CF35" s="17">
        <f t="shared" ca="1" si="7"/>
        <v>1292418.854855811</v>
      </c>
      <c r="CG35" s="17">
        <f t="shared" ca="1" si="7"/>
        <v>466959.46539059165</v>
      </c>
      <c r="CH35" s="17">
        <f t="shared" ca="1" si="7"/>
        <v>973136.71838236297</v>
      </c>
      <c r="CI35" s="17">
        <f t="shared" ca="1" si="7"/>
        <v>537641.51653128851</v>
      </c>
      <c r="CJ35" s="17">
        <f t="shared" ca="1" si="7"/>
        <v>466959.46539059165</v>
      </c>
      <c r="CK35" s="17">
        <f t="shared" ca="1" si="7"/>
        <v>309720.92935865099</v>
      </c>
      <c r="CL35" s="17">
        <f t="shared" ca="1" si="7"/>
        <v>2929053.3112424156</v>
      </c>
      <c r="CM35" s="17">
        <f t="shared" ca="1" si="7"/>
        <v>1421290.3484759741</v>
      </c>
      <c r="CN35" s="17">
        <f t="shared" ca="1" si="7"/>
        <v>2088986.3623744985</v>
      </c>
      <c r="CO35" s="17">
        <f t="shared" ca="1" si="7"/>
        <v>1376289.5131682314</v>
      </c>
      <c r="CP35" s="17">
        <f t="shared" ca="1" si="7"/>
        <v>600936.07748016668</v>
      </c>
      <c r="CQ35" s="17">
        <f t="shared" ca="1" si="7"/>
        <v>1376289.5131682314</v>
      </c>
      <c r="CR35" s="17">
        <f t="shared" ca="1" si="7"/>
        <v>600936.07748016668</v>
      </c>
      <c r="CS35" s="17">
        <f t="shared" ca="1" si="7"/>
        <v>466959.46539059165</v>
      </c>
      <c r="CT35" s="17">
        <f t="shared" ca="1" si="7"/>
        <v>898031.98657695693</v>
      </c>
      <c r="CU35" s="17">
        <f t="shared" ca="1" si="7"/>
        <v>1376289.5131682314</v>
      </c>
      <c r="CV35" s="17">
        <f t="shared" ca="1" si="7"/>
        <v>503275.58739132807</v>
      </c>
      <c r="CW35" s="17">
        <f t="shared" ca="1" si="7"/>
        <v>1281046.563664967</v>
      </c>
      <c r="CX35" s="17">
        <f t="shared" ca="1" si="7"/>
        <v>309720.92935865099</v>
      </c>
    </row>
    <row r="36" spans="2:102" x14ac:dyDescent="0.25">
      <c r="B36" s="16">
        <v>6</v>
      </c>
      <c r="C36" s="17">
        <f t="shared" ca="1" si="9"/>
        <v>305567.40010334551</v>
      </c>
      <c r="D36" s="17">
        <f t="shared" ca="1" si="9"/>
        <v>757584.25718990644</v>
      </c>
      <c r="E36" s="17">
        <f t="shared" ca="1" si="9"/>
        <v>674702.51400943962</v>
      </c>
      <c r="F36" s="17">
        <f t="shared" ca="1" si="9"/>
        <v>757584.25718990644</v>
      </c>
      <c r="G36" s="17">
        <f t="shared" ca="1" si="9"/>
        <v>723218.32804994576</v>
      </c>
      <c r="H36" s="17">
        <f t="shared" ca="1" si="9"/>
        <v>1625034.7289250018</v>
      </c>
      <c r="I36" s="17">
        <f t="shared" ca="1" si="9"/>
        <v>1210600.4580212224</v>
      </c>
      <c r="J36" s="17">
        <f t="shared" ca="1" si="9"/>
        <v>1577480.1926133172</v>
      </c>
      <c r="K36" s="17">
        <f t="shared" ca="1" si="9"/>
        <v>686902.20604920946</v>
      </c>
      <c r="L36" s="17">
        <f t="shared" ca="1" si="9"/>
        <v>1713569.3877867251</v>
      </c>
      <c r="M36" s="17">
        <f t="shared" ca="1" si="9"/>
        <v>972009.97485549934</v>
      </c>
      <c r="N36" s="17">
        <f t="shared" ca="1" si="9"/>
        <v>2444079.1447015321</v>
      </c>
      <c r="O36" s="17">
        <f t="shared" ca="1" si="9"/>
        <v>674702.51400943962</v>
      </c>
      <c r="P36" s="17">
        <f t="shared" ca="1" si="9"/>
        <v>674702.51400943962</v>
      </c>
      <c r="Q36" s="17">
        <f t="shared" ca="1" si="9"/>
        <v>1146619.6888064672</v>
      </c>
      <c r="R36" s="17">
        <f t="shared" ca="1" si="9"/>
        <v>972009.97485549934</v>
      </c>
      <c r="S36" s="17">
        <f t="shared" ca="1" si="9"/>
        <v>1168016.1887704046</v>
      </c>
      <c r="T36" s="17">
        <f t="shared" ca="1" si="9"/>
        <v>595335.74956173648</v>
      </c>
      <c r="U36" s="17">
        <f t="shared" ca="1" si="9"/>
        <v>511465.09124931577</v>
      </c>
      <c r="V36" s="17">
        <f t="shared" ca="1" si="9"/>
        <v>341883.52210408193</v>
      </c>
      <c r="W36" s="17">
        <f t="shared" ca="1" si="9"/>
        <v>790104.71974449418</v>
      </c>
      <c r="X36" s="17">
        <f t="shared" ca="1" si="9"/>
        <v>1210600.4580212224</v>
      </c>
      <c r="Y36" s="17">
        <f t="shared" ca="1" si="9"/>
        <v>511465.09124931577</v>
      </c>
      <c r="Z36" s="17">
        <f t="shared" ca="1" si="9"/>
        <v>1039144.6951502413</v>
      </c>
      <c r="AA36" s="17">
        <f t="shared" ca="1" si="9"/>
        <v>193088.76953564316</v>
      </c>
      <c r="AB36" s="17">
        <f t="shared" ca="1" si="9"/>
        <v>193088.76953564316</v>
      </c>
      <c r="AC36" s="17">
        <f t="shared" ca="1" si="9"/>
        <v>1702197.0965958806</v>
      </c>
      <c r="AD36" s="17">
        <f t="shared" ca="1" si="9"/>
        <v>749807.24581484555</v>
      </c>
      <c r="AE36" s="17">
        <f t="shared" ca="1" si="9"/>
        <v>305567.40010334551</v>
      </c>
      <c r="AF36" s="17">
        <f t="shared" ca="1" si="9"/>
        <v>1433668.2271410178</v>
      </c>
      <c r="AG36" s="17">
        <f t="shared" ca="1" si="9"/>
        <v>640336.58486947883</v>
      </c>
      <c r="AH36" s="17">
        <f t="shared" ca="1" si="9"/>
        <v>376249.45124404249</v>
      </c>
      <c r="AI36" s="17">
        <f t="shared" ca="1" si="9"/>
        <v>1738513.2185966168</v>
      </c>
      <c r="AJ36" s="17">
        <f t="shared" ca="1" si="9"/>
        <v>305567.40010334551</v>
      </c>
      <c r="AK36" s="17">
        <f t="shared" ca="1" si="9"/>
        <v>305567.40010334551</v>
      </c>
      <c r="AL36" s="17">
        <f t="shared" ca="1" si="9"/>
        <v>646604.73211956094</v>
      </c>
      <c r="AM36" s="17">
        <f t="shared" ca="1" si="9"/>
        <v>1210600.4580212224</v>
      </c>
      <c r="AN36" s="17">
        <f t="shared" ca="1" si="9"/>
        <v>468665.52700507222</v>
      </c>
      <c r="AO36" s="17">
        <f t="shared" ca="1" si="9"/>
        <v>717286.78326025803</v>
      </c>
      <c r="AP36" s="17">
        <f t="shared" ca="1" si="9"/>
        <v>1067252.9243587642</v>
      </c>
      <c r="AQ36" s="17">
        <f t="shared" ca="1" si="9"/>
        <v>341883.52210408193</v>
      </c>
      <c r="AR36" s="17">
        <f t="shared" ca="1" si="9"/>
        <v>983382.2660463436</v>
      </c>
      <c r="AS36" s="17">
        <f t="shared" ca="1" si="9"/>
        <v>674702.51400943962</v>
      </c>
      <c r="AT36" s="17">
        <f t="shared" ca="1" si="9"/>
        <v>193088.76953564316</v>
      </c>
      <c r="AU36" s="17">
        <f t="shared" ca="1" si="9"/>
        <v>341883.52210408193</v>
      </c>
      <c r="AV36" s="17">
        <f t="shared" ca="1" si="9"/>
        <v>408769.91379863024</v>
      </c>
      <c r="AW36" s="17">
        <f t="shared" ca="1" si="9"/>
        <v>1433668.2271410178</v>
      </c>
      <c r="AX36" s="17">
        <f t="shared" ca="1" si="9"/>
        <v>1112253.7596665064</v>
      </c>
      <c r="AY36" s="17">
        <f t="shared" ca="1" si="9"/>
        <v>1008326.0968562355</v>
      </c>
      <c r="AZ36" s="17">
        <f t="shared" ca="1" si="9"/>
        <v>640336.58486947883</v>
      </c>
      <c r="BA36" s="17">
        <f t="shared" ca="1" si="9"/>
        <v>749807.24581484555</v>
      </c>
      <c r="BB36" s="17">
        <f t="shared" ca="1" si="9"/>
        <v>1168016.1887704046</v>
      </c>
      <c r="BC36" s="17">
        <f t="shared" ca="1" si="9"/>
        <v>749807.24581484555</v>
      </c>
      <c r="BD36" s="17">
        <f t="shared" ca="1" si="9"/>
        <v>1174284.336020486</v>
      </c>
      <c r="BE36" s="17">
        <f t="shared" ca="1" si="9"/>
        <v>1131700.0667696679</v>
      </c>
      <c r="BF36" s="17">
        <f t="shared" ca="1" si="9"/>
        <v>717286.78326025803</v>
      </c>
      <c r="BG36" s="17">
        <f t="shared" ca="1" si="9"/>
        <v>924455.43854381458</v>
      </c>
      <c r="BH36" s="17">
        <f t="shared" ca="1" si="9"/>
        <v>674702.51400943962</v>
      </c>
      <c r="BI36" s="17">
        <f t="shared" ca="1" si="9"/>
        <v>1168016.1887704046</v>
      </c>
      <c r="BJ36" s="17">
        <f t="shared" ca="1" si="9"/>
        <v>686902.20604920946</v>
      </c>
      <c r="BK36" s="17">
        <f t="shared" ca="1" si="9"/>
        <v>341883.52210408193</v>
      </c>
      <c r="BL36" s="17">
        <f t="shared" ca="1" si="9"/>
        <v>749807.24581484555</v>
      </c>
      <c r="BM36" s="17">
        <f t="shared" ca="1" si="9"/>
        <v>1433668.2271410178</v>
      </c>
      <c r="BN36" s="17">
        <f t="shared" ca="1" si="8"/>
        <v>193088.76953564316</v>
      </c>
      <c r="BO36" s="17">
        <f t="shared" ca="1" si="7"/>
        <v>559019.62756099994</v>
      </c>
      <c r="BP36" s="17">
        <f t="shared" ca="1" si="7"/>
        <v>604020.46286874241</v>
      </c>
      <c r="BQ36" s="17">
        <f t="shared" ca="1" si="7"/>
        <v>1174284.336020486</v>
      </c>
      <c r="BR36" s="17">
        <f t="shared" ca="1" si="7"/>
        <v>1030936.802358028</v>
      </c>
      <c r="BS36" s="17">
        <f t="shared" ca="1" si="7"/>
        <v>305567.40010334551</v>
      </c>
      <c r="BT36" s="17">
        <f t="shared" ca="1" si="7"/>
        <v>1174284.336020486</v>
      </c>
      <c r="BU36" s="17">
        <f t="shared" ca="1" si="7"/>
        <v>193088.76953564316</v>
      </c>
      <c r="BV36" s="17">
        <f t="shared" ca="1" si="7"/>
        <v>1112253.7596665064</v>
      </c>
      <c r="BW36" s="17">
        <f t="shared" ca="1" si="7"/>
        <v>686902.20604920946</v>
      </c>
      <c r="BX36" s="17">
        <f t="shared" ca="1" si="7"/>
        <v>341883.52210408193</v>
      </c>
      <c r="BY36" s="17">
        <f t="shared" ca="1" si="7"/>
        <v>193088.76953564316</v>
      </c>
      <c r="BZ36" s="17">
        <f t="shared" ca="1" si="7"/>
        <v>341883.52210408193</v>
      </c>
      <c r="CA36" s="17">
        <f t="shared" ca="1" si="7"/>
        <v>972009.97485549934</v>
      </c>
      <c r="CB36" s="17">
        <f t="shared" ca="1" si="7"/>
        <v>305567.40010334551</v>
      </c>
      <c r="CC36" s="17">
        <f t="shared" ca="1" si="7"/>
        <v>468665.52700507222</v>
      </c>
      <c r="CD36" s="17">
        <f t="shared" ca="1" si="7"/>
        <v>686902.20604920946</v>
      </c>
      <c r="CE36" s="17">
        <f t="shared" ca="1" si="7"/>
        <v>341883.52210408193</v>
      </c>
      <c r="CF36" s="17">
        <f t="shared" ca="1" si="7"/>
        <v>1123015.3534626618</v>
      </c>
      <c r="CG36" s="17">
        <f t="shared" ca="1" si="7"/>
        <v>511465.09124931577</v>
      </c>
      <c r="CH36" s="17">
        <f t="shared" ca="1" si="7"/>
        <v>1174284.336020486</v>
      </c>
      <c r="CI36" s="17">
        <f t="shared" ca="1" si="7"/>
        <v>408769.91379863024</v>
      </c>
      <c r="CJ36" s="17">
        <f t="shared" ca="1" si="7"/>
        <v>341883.52210408193</v>
      </c>
      <c r="CK36" s="17">
        <f t="shared" ca="1" si="7"/>
        <v>305567.40010334551</v>
      </c>
      <c r="CL36" s="17">
        <f t="shared" ca="1" si="7"/>
        <v>2671761.7684862548</v>
      </c>
      <c r="CM36" s="17">
        <f t="shared" ca="1" si="7"/>
        <v>1244966.3871611827</v>
      </c>
      <c r="CN36" s="17">
        <f t="shared" ca="1" si="7"/>
        <v>2635445.6464855177</v>
      </c>
      <c r="CO36" s="17">
        <f t="shared" ca="1" si="7"/>
        <v>1202382.1179103646</v>
      </c>
      <c r="CP36" s="17">
        <f t="shared" ca="1" si="7"/>
        <v>468665.52700507222</v>
      </c>
      <c r="CQ36" s="17">
        <f t="shared" ca="1" si="7"/>
        <v>1702197.0965958806</v>
      </c>
      <c r="CR36" s="17">
        <f t="shared" ca="1" si="7"/>
        <v>686902.20604920946</v>
      </c>
      <c r="CS36" s="17">
        <f t="shared" ca="1" si="7"/>
        <v>341883.52210408193</v>
      </c>
      <c r="CT36" s="17">
        <f t="shared" ca="1" si="7"/>
        <v>1075937.63766577</v>
      </c>
      <c r="CU36" s="17">
        <f t="shared" ca="1" si="7"/>
        <v>1202382.1179103646</v>
      </c>
      <c r="CV36" s="17">
        <f t="shared" ca="1" si="7"/>
        <v>376249.45124404249</v>
      </c>
      <c r="CW36" s="17">
        <f t="shared" ca="1" si="7"/>
        <v>1577480.1926133172</v>
      </c>
      <c r="CX36" s="17">
        <f t="shared" ca="1" si="7"/>
        <v>193088.76953564316</v>
      </c>
    </row>
    <row r="37" spans="2:102" x14ac:dyDescent="0.25">
      <c r="B37" s="16">
        <v>7</v>
      </c>
      <c r="C37" s="17">
        <f t="shared" ca="1" si="9"/>
        <v>189158.28675816802</v>
      </c>
      <c r="D37" s="17">
        <f t="shared" ca="1" si="9"/>
        <v>616901.62566394219</v>
      </c>
      <c r="E37" s="17">
        <f t="shared" ca="1" si="9"/>
        <v>783496.45926941093</v>
      </c>
      <c r="F37" s="17">
        <f t="shared" ca="1" si="9"/>
        <v>616901.62566394219</v>
      </c>
      <c r="G37" s="17">
        <f t="shared" ca="1" si="9"/>
        <v>584381.16310935421</v>
      </c>
      <c r="H37" s="17">
        <f t="shared" ca="1" si="9"/>
        <v>1437769.598391569</v>
      </c>
      <c r="I37" s="17">
        <f t="shared" ca="1" si="9"/>
        <v>1485233.7823610259</v>
      </c>
      <c r="J37" s="17">
        <f t="shared" ca="1" si="9"/>
        <v>1392768.7630838261</v>
      </c>
      <c r="K37" s="17">
        <f t="shared" ca="1" si="9"/>
        <v>550015.23396939388</v>
      </c>
      <c r="L37" s="17">
        <f t="shared" ca="1" si="9"/>
        <v>1521549.9043617621</v>
      </c>
      <c r="M37" s="17">
        <f t="shared" ca="1" si="9"/>
        <v>819812.58127014746</v>
      </c>
      <c r="N37" s="17">
        <f t="shared" ca="1" si="9"/>
        <v>2212830.9431707799</v>
      </c>
      <c r="O37" s="17">
        <f t="shared" ca="1" si="9"/>
        <v>783496.45926941093</v>
      </c>
      <c r="P37" s="17">
        <f t="shared" ca="1" si="9"/>
        <v>783496.45926941093</v>
      </c>
      <c r="Q37" s="17">
        <f t="shared" ca="1" si="9"/>
        <v>985045.67131941183</v>
      </c>
      <c r="R37" s="17">
        <f t="shared" ca="1" si="9"/>
        <v>819812.58127014746</v>
      </c>
      <c r="S37" s="17">
        <f t="shared" ca="1" si="9"/>
        <v>1005293.1691549167</v>
      </c>
      <c r="T37" s="17">
        <f t="shared" ca="1" si="9"/>
        <v>463365.93933430128</v>
      </c>
      <c r="U37" s="17">
        <f t="shared" ca="1" si="9"/>
        <v>383999.17488659814</v>
      </c>
      <c r="V37" s="17">
        <f t="shared" ca="1" si="9"/>
        <v>347683.0528858616</v>
      </c>
      <c r="W37" s="17">
        <f t="shared" ca="1" si="9"/>
        <v>647675.72405823227</v>
      </c>
      <c r="X37" s="17">
        <f t="shared" ca="1" si="9"/>
        <v>1485233.7823610259</v>
      </c>
      <c r="Y37" s="17">
        <f t="shared" ca="1" si="9"/>
        <v>383999.17488659814</v>
      </c>
      <c r="Z37" s="17">
        <f t="shared" ca="1" si="9"/>
        <v>1260719.1907113376</v>
      </c>
      <c r="AA37" s="17">
        <f t="shared" ca="1" si="9"/>
        <v>82719.811643146648</v>
      </c>
      <c r="AB37" s="17">
        <f t="shared" ca="1" si="9"/>
        <v>82719.811643146648</v>
      </c>
      <c r="AC37" s="17">
        <f t="shared" ca="1" si="9"/>
        <v>2128960.2848583595</v>
      </c>
      <c r="AD37" s="17">
        <f t="shared" ca="1" si="9"/>
        <v>609542.24346364592</v>
      </c>
      <c r="AE37" s="17">
        <f t="shared" ca="1" si="9"/>
        <v>189158.28675816802</v>
      </c>
      <c r="AF37" s="17">
        <f t="shared" ca="1" si="9"/>
        <v>1777332.2703647455</v>
      </c>
      <c r="AG37" s="17">
        <f t="shared" ca="1" si="9"/>
        <v>738495.623961668</v>
      </c>
      <c r="AH37" s="17">
        <f t="shared" ca="1" si="9"/>
        <v>392683.88819360413</v>
      </c>
      <c r="AI37" s="17">
        <f t="shared" ca="1" si="9"/>
        <v>1545154.2397055668</v>
      </c>
      <c r="AJ37" s="17">
        <f t="shared" ca="1" si="9"/>
        <v>300128.51657417731</v>
      </c>
      <c r="AK37" s="17">
        <f t="shared" ca="1" si="9"/>
        <v>300128.51657417731</v>
      </c>
      <c r="AL37" s="17">
        <f t="shared" ca="1" si="9"/>
        <v>746703.51675388217</v>
      </c>
      <c r="AM37" s="17">
        <f t="shared" ca="1" si="9"/>
        <v>1045590.6430845649</v>
      </c>
      <c r="AN37" s="17">
        <f t="shared" ca="1" si="9"/>
        <v>343497.96740610118</v>
      </c>
      <c r="AO37" s="17">
        <f t="shared" ca="1" si="9"/>
        <v>578768.14506935608</v>
      </c>
      <c r="AP37" s="17">
        <f t="shared" ca="1" si="9"/>
        <v>909940.93951400602</v>
      </c>
      <c r="AQ37" s="17">
        <f t="shared" ca="1" si="9"/>
        <v>347683.0528858616</v>
      </c>
      <c r="AR37" s="17">
        <f t="shared" ca="1" si="9"/>
        <v>830574.175066303</v>
      </c>
      <c r="AS37" s="17">
        <f t="shared" ca="1" si="9"/>
        <v>538470.67113970709</v>
      </c>
      <c r="AT37" s="17">
        <f t="shared" ca="1" si="9"/>
        <v>152842.1647574316</v>
      </c>
      <c r="AU37" s="17">
        <f t="shared" ca="1" si="9"/>
        <v>223524.21589812858</v>
      </c>
      <c r="AV37" s="17">
        <f t="shared" ca="1" si="9"/>
        <v>286818.7768470064</v>
      </c>
      <c r="AW37" s="17">
        <f t="shared" ca="1" si="9"/>
        <v>1256679.5679104186</v>
      </c>
      <c r="AX37" s="17">
        <f t="shared" ca="1" si="9"/>
        <v>952525.20876482362</v>
      </c>
      <c r="AY37" s="17">
        <f t="shared" ca="1" si="9"/>
        <v>854178.51041010779</v>
      </c>
      <c r="AZ37" s="17">
        <f t="shared" ca="1" si="9"/>
        <v>505950.20858511911</v>
      </c>
      <c r="BA37" s="17">
        <f t="shared" ca="1" si="9"/>
        <v>609542.24346364592</v>
      </c>
      <c r="BB37" s="17">
        <f t="shared" ca="1" si="9"/>
        <v>1429471.3532571285</v>
      </c>
      <c r="BC37" s="17">
        <f t="shared" ca="1" si="9"/>
        <v>881843.15762412676</v>
      </c>
      <c r="BD37" s="17">
        <f t="shared" ca="1" si="9"/>
        <v>1011224.7139446044</v>
      </c>
      <c r="BE37" s="17">
        <f t="shared" ca="1" si="9"/>
        <v>970927.24001495587</v>
      </c>
      <c r="BF37" s="17">
        <f t="shared" ca="1" si="9"/>
        <v>578768.14506935608</v>
      </c>
      <c r="BG37" s="17">
        <f t="shared" ca="1" si="9"/>
        <v>774811.74596240465</v>
      </c>
      <c r="BH37" s="17">
        <f t="shared" ca="1" si="9"/>
        <v>538470.67113970709</v>
      </c>
      <c r="BI37" s="17">
        <f t="shared" ca="1" si="9"/>
        <v>1005293.1691549167</v>
      </c>
      <c r="BJ37" s="17">
        <f t="shared" ca="1" si="9"/>
        <v>550015.23396939388</v>
      </c>
      <c r="BK37" s="17">
        <f t="shared" ca="1" si="9"/>
        <v>347683.0528858616</v>
      </c>
      <c r="BL37" s="17">
        <f t="shared" ca="1" si="9"/>
        <v>609542.24346364592</v>
      </c>
      <c r="BM37" s="17">
        <f t="shared" ca="1" si="9"/>
        <v>1256679.5679104186</v>
      </c>
      <c r="BN37" s="17">
        <f t="shared" ca="1" si="8"/>
        <v>82719.811643146648</v>
      </c>
      <c r="BO37" s="17">
        <f t="shared" ca="1" si="7"/>
        <v>429000.01019434049</v>
      </c>
      <c r="BP37" s="17">
        <f t="shared" ca="1" si="7"/>
        <v>690941.08764998382</v>
      </c>
      <c r="BQ37" s="17">
        <f t="shared" ca="1" si="7"/>
        <v>1011224.7139446044</v>
      </c>
      <c r="BR37" s="17">
        <f t="shared" ca="1" si="7"/>
        <v>875575.01037404547</v>
      </c>
      <c r="BS37" s="17">
        <f t="shared" ca="1" si="7"/>
        <v>300128.51657417731</v>
      </c>
      <c r="BT37" s="17">
        <f t="shared" ca="1" si="7"/>
        <v>1011224.7139446044</v>
      </c>
      <c r="BU37" s="17">
        <f t="shared" ca="1" si="7"/>
        <v>82719.811643146648</v>
      </c>
      <c r="BV37" s="17">
        <f t="shared" ca="1" si="7"/>
        <v>952525.20876482362</v>
      </c>
      <c r="BW37" s="17">
        <f t="shared" ca="1" si="7"/>
        <v>550015.23396939388</v>
      </c>
      <c r="BX37" s="17">
        <f t="shared" ca="1" si="7"/>
        <v>347683.0528858616</v>
      </c>
      <c r="BY37" s="17">
        <f t="shared" ca="1" si="7"/>
        <v>82719.811643146648</v>
      </c>
      <c r="BZ37" s="17">
        <f t="shared" ca="1" si="7"/>
        <v>223524.21589812858</v>
      </c>
      <c r="CA37" s="17">
        <f t="shared" ca="1" si="7"/>
        <v>819812.58127014746</v>
      </c>
      <c r="CB37" s="17">
        <f t="shared" ca="1" si="7"/>
        <v>300128.51657417731</v>
      </c>
      <c r="CC37" s="17">
        <f t="shared" ca="1" si="7"/>
        <v>343497.96740610118</v>
      </c>
      <c r="CD37" s="17">
        <f t="shared" ca="1" si="7"/>
        <v>799471.47714397451</v>
      </c>
      <c r="CE37" s="17">
        <f t="shared" ca="1" si="7"/>
        <v>223524.21589812858</v>
      </c>
      <c r="CF37" s="17">
        <f t="shared" ca="1" si="7"/>
        <v>1370544.5257545998</v>
      </c>
      <c r="CG37" s="17">
        <f t="shared" ca="1" si="7"/>
        <v>383999.17488659814</v>
      </c>
      <c r="CH37" s="17">
        <f t="shared" ca="1" si="7"/>
        <v>1011224.7139446044</v>
      </c>
      <c r="CI37" s="17">
        <f t="shared" ca="1" si="7"/>
        <v>286818.7768470064</v>
      </c>
      <c r="CJ37" s="17">
        <f t="shared" ca="1" si="7"/>
        <v>347683.0528858616</v>
      </c>
      <c r="CK37" s="17">
        <f t="shared" ca="1" si="7"/>
        <v>189158.28675816802</v>
      </c>
      <c r="CL37" s="17">
        <f t="shared" ca="1" si="7"/>
        <v>3398567.1662043938</v>
      </c>
      <c r="CM37" s="17">
        <f t="shared" ca="1" si="7"/>
        <v>1078111.1056391527</v>
      </c>
      <c r="CN37" s="17">
        <f t="shared" ca="1" si="7"/>
        <v>2393920.9736519316</v>
      </c>
      <c r="CO37" s="17">
        <f t="shared" ca="1" si="7"/>
        <v>1037813.6317095039</v>
      </c>
      <c r="CP37" s="17">
        <f t="shared" ca="1" si="7"/>
        <v>343497.96740610118</v>
      </c>
      <c r="CQ37" s="17">
        <f t="shared" ca="1" si="7"/>
        <v>2128960.2848583595</v>
      </c>
      <c r="CR37" s="17">
        <f t="shared" ca="1" si="7"/>
        <v>550015.23396939388</v>
      </c>
      <c r="CS37" s="17">
        <f t="shared" ca="1" si="7"/>
        <v>347683.0528858616</v>
      </c>
      <c r="CT37" s="17">
        <f t="shared" ca="1" si="7"/>
        <v>1308898.1047714055</v>
      </c>
      <c r="CU37" s="17">
        <f t="shared" ca="1" si="7"/>
        <v>1037813.6317095039</v>
      </c>
      <c r="CV37" s="17">
        <f t="shared" ca="1" si="7"/>
        <v>392683.88819360413</v>
      </c>
      <c r="CW37" s="17">
        <f t="shared" ca="1" si="7"/>
        <v>1392768.7630838261</v>
      </c>
      <c r="CX37" s="17">
        <f t="shared" ca="1" si="7"/>
        <v>152842.1647574316</v>
      </c>
    </row>
    <row r="38" spans="2:102" x14ac:dyDescent="0.25">
      <c r="B38" s="16">
        <v>8</v>
      </c>
      <c r="C38" s="17">
        <f t="shared" ca="1" si="9"/>
        <v>147695.35183615927</v>
      </c>
      <c r="D38" s="17">
        <f t="shared" ca="1" si="9"/>
        <v>483773.71772965253</v>
      </c>
      <c r="E38" s="17">
        <f t="shared" ca="1" si="9"/>
        <v>925957.86030368949</v>
      </c>
      <c r="F38" s="17">
        <f t="shared" ca="1" si="9"/>
        <v>707808.46473029605</v>
      </c>
      <c r="G38" s="17">
        <f t="shared" ca="1" si="9"/>
        <v>452999.61933536222</v>
      </c>
      <c r="H38" s="17">
        <f t="shared" ca="1" si="9"/>
        <v>1260560.6935925675</v>
      </c>
      <c r="I38" s="17">
        <f t="shared" ca="1" si="9"/>
        <v>1305476.0285214274</v>
      </c>
      <c r="J38" s="17">
        <f t="shared" ca="1" si="9"/>
        <v>1217976.4243417492</v>
      </c>
      <c r="K38" s="17">
        <f t="shared" ca="1" si="9"/>
        <v>620223.36017173552</v>
      </c>
      <c r="L38" s="17">
        <f t="shared" ca="1" si="9"/>
        <v>1339841.9576613875</v>
      </c>
      <c r="M38" s="17">
        <f t="shared" ca="1" si="9"/>
        <v>973512.3966153739</v>
      </c>
      <c r="N38" s="17">
        <f t="shared" ca="1" si="9"/>
        <v>2797615.2640003692</v>
      </c>
      <c r="O38" s="17">
        <f t="shared" ca="1" si="9"/>
        <v>641422.33028396009</v>
      </c>
      <c r="P38" s="17">
        <f t="shared" ca="1" si="9"/>
        <v>641422.33028396009</v>
      </c>
      <c r="Q38" s="17">
        <f t="shared" ca="1" si="9"/>
        <v>832148.25469254004</v>
      </c>
      <c r="R38" s="17">
        <f t="shared" ca="1" si="9"/>
        <v>675788.25942392077</v>
      </c>
      <c r="S38" s="17">
        <f t="shared" ca="1" si="9"/>
        <v>1216391.9461305987</v>
      </c>
      <c r="T38" s="17">
        <f t="shared" ca="1" si="9"/>
        <v>338482.97009000473</v>
      </c>
      <c r="U38" s="17">
        <f t="shared" ca="1" si="9"/>
        <v>402831.84711823706</v>
      </c>
      <c r="V38" s="17">
        <f t="shared" ca="1" si="9"/>
        <v>229012.30914463819</v>
      </c>
      <c r="W38" s="17">
        <f t="shared" ca="1" si="9"/>
        <v>512895.23254180397</v>
      </c>
      <c r="X38" s="17">
        <f t="shared" ca="1" si="9"/>
        <v>1305476.0285214274</v>
      </c>
      <c r="Y38" s="17">
        <f t="shared" ca="1" si="9"/>
        <v>263378.23828459886</v>
      </c>
      <c r="Z38" s="17">
        <f t="shared" ca="1" si="9"/>
        <v>1550862.2956025926</v>
      </c>
      <c r="AA38" s="17">
        <f t="shared" ca="1" si="9"/>
        <v>-21722.281213241353</v>
      </c>
      <c r="AB38" s="17">
        <f t="shared" ca="1" si="9"/>
        <v>-21722.281213241353</v>
      </c>
      <c r="AC38" s="17">
        <f t="shared" ca="1" si="9"/>
        <v>1914634.1145607196</v>
      </c>
      <c r="AD38" s="17">
        <f t="shared" ca="1" si="9"/>
        <v>476809.53782068146</v>
      </c>
      <c r="AE38" s="17">
        <f t="shared" ca="1" si="9"/>
        <v>147695.35183615927</v>
      </c>
      <c r="AF38" s="17">
        <f t="shared" ca="1" si="9"/>
        <v>1581888.6901052245</v>
      </c>
      <c r="AG38" s="17">
        <f t="shared" ca="1" si="9"/>
        <v>867031.03280116071</v>
      </c>
      <c r="AH38" s="17">
        <f t="shared" ca="1" si="9"/>
        <v>271596.57839545619</v>
      </c>
      <c r="AI38" s="17">
        <f t="shared" ca="1" si="9"/>
        <v>1923318.8278677252</v>
      </c>
      <c r="AJ38" s="17">
        <f t="shared" ca="1" si="9"/>
        <v>184011.47383689566</v>
      </c>
      <c r="AK38" s="17">
        <f t="shared" ca="1" si="9"/>
        <v>184011.47383689566</v>
      </c>
      <c r="AL38" s="17">
        <f t="shared" ca="1" si="9"/>
        <v>606605.18611549237</v>
      </c>
      <c r="AM38" s="17">
        <f t="shared" ca="1" si="9"/>
        <v>1269159.9065206908</v>
      </c>
      <c r="AN38" s="17">
        <f t="shared" ca="1" si="9"/>
        <v>349797.10564007761</v>
      </c>
      <c r="AO38" s="17">
        <f t="shared" ca="1" si="9"/>
        <v>447688.02300853026</v>
      </c>
      <c r="AP38" s="17">
        <f t="shared" ca="1" si="9"/>
        <v>761076.68236860132</v>
      </c>
      <c r="AQ38" s="17">
        <f t="shared" ca="1" si="9"/>
        <v>229012.30914463819</v>
      </c>
      <c r="AR38" s="17">
        <f t="shared" ca="1" si="9"/>
        <v>987604.2812868841</v>
      </c>
      <c r="AS38" s="17">
        <f t="shared" ca="1" si="9"/>
        <v>409554.54241394345</v>
      </c>
      <c r="AT38" s="17">
        <f t="shared" ca="1" si="9"/>
        <v>44634.468502599571</v>
      </c>
      <c r="AU38" s="17">
        <f t="shared" ca="1" si="9"/>
        <v>192696.18714390183</v>
      </c>
      <c r="AV38" s="17">
        <f t="shared" ca="1" si="9"/>
        <v>171416.47340358951</v>
      </c>
      <c r="AW38" s="17">
        <f t="shared" ca="1" si="9"/>
        <v>1545572.5681044883</v>
      </c>
      <c r="AX38" s="17">
        <f t="shared" ca="1" si="9"/>
        <v>801374.15629824949</v>
      </c>
      <c r="AY38" s="17">
        <f t="shared" ca="1" si="9"/>
        <v>1018513.2319231161</v>
      </c>
      <c r="AZ38" s="17">
        <f t="shared" ca="1" si="9"/>
        <v>378780.44401965319</v>
      </c>
      <c r="BA38" s="17">
        <f t="shared" ca="1" si="9"/>
        <v>698171.64260296489</v>
      </c>
      <c r="BB38" s="17">
        <f t="shared" ca="1" si="9"/>
        <v>1252708.0681313351</v>
      </c>
      <c r="BC38" s="17">
        <f t="shared" ca="1" si="9"/>
        <v>734487.76460370119</v>
      </c>
      <c r="BD38" s="17">
        <f t="shared" ca="1" si="9"/>
        <v>856921.47039522789</v>
      </c>
      <c r="BE38" s="17">
        <f t="shared" ca="1" si="9"/>
        <v>818787.98980064155</v>
      </c>
      <c r="BF38" s="17">
        <f t="shared" ca="1" si="9"/>
        <v>657874.16867331672</v>
      </c>
      <c r="BG38" s="17">
        <f t="shared" ca="1" si="9"/>
        <v>914585.56911284523</v>
      </c>
      <c r="BH38" s="17">
        <f t="shared" ca="1" si="9"/>
        <v>409554.54241394345</v>
      </c>
      <c r="BI38" s="17">
        <f t="shared" ca="1" si="9"/>
        <v>1216391.9461305987</v>
      </c>
      <c r="BJ38" s="17">
        <f t="shared" ca="1" si="9"/>
        <v>620223.36017173552</v>
      </c>
      <c r="BK38" s="17">
        <f t="shared" ca="1" si="9"/>
        <v>229012.30914463819</v>
      </c>
      <c r="BL38" s="17">
        <f t="shared" ca="1" si="9"/>
        <v>698171.64260296489</v>
      </c>
      <c r="BM38" s="17">
        <f t="shared" ca="1" si="9"/>
        <v>1089195.2830638133</v>
      </c>
      <c r="BN38" s="17">
        <f t="shared" ca="1" si="8"/>
        <v>8318.3465018631541</v>
      </c>
      <c r="BO38" s="17">
        <f t="shared" ca="1" si="7"/>
        <v>461758.67462076503</v>
      </c>
      <c r="BP38" s="17">
        <f t="shared" ca="1" si="7"/>
        <v>804760.23406958254</v>
      </c>
      <c r="BQ38" s="17">
        <f t="shared" ca="1" si="7"/>
        <v>1224159.0712129483</v>
      </c>
      <c r="BR38" s="17">
        <f t="shared" ref="BR38:CX40" ca="1" si="10">IF(RAND()&gt;$B$22,$B$7*BR37*$B$18+(1-$B$7)*BR37*$B$17-$B$8,$B$7*BR37*$B$19+(1-$B$7)*BR37*$B$17-$B$8)</f>
        <v>728556.21981401346</v>
      </c>
      <c r="BS38" s="17">
        <f t="shared" ca="1" si="10"/>
        <v>293006.51207497425</v>
      </c>
      <c r="BT38" s="17">
        <f t="shared" ca="1" si="10"/>
        <v>1224159.0712129483</v>
      </c>
      <c r="BU38" s="17">
        <f t="shared" ca="1" si="10"/>
        <v>8318.3465018631541</v>
      </c>
      <c r="BV38" s="17">
        <f t="shared" ca="1" si="10"/>
        <v>1147294.3732010522</v>
      </c>
      <c r="BW38" s="17">
        <f t="shared" ca="1" si="10"/>
        <v>420479.15678077459</v>
      </c>
      <c r="BX38" s="17">
        <f t="shared" ca="1" si="10"/>
        <v>229012.30914463819</v>
      </c>
      <c r="BY38" s="17">
        <f t="shared" ca="1" si="10"/>
        <v>-21722.281213241353</v>
      </c>
      <c r="BZ38" s="17">
        <f t="shared" ca="1" si="10"/>
        <v>111520.86019714797</v>
      </c>
      <c r="CA38" s="17">
        <f t="shared" ca="1" si="10"/>
        <v>973512.3966153739</v>
      </c>
      <c r="CB38" s="17">
        <f t="shared" ca="1" si="10"/>
        <v>293006.51207497425</v>
      </c>
      <c r="CC38" s="17">
        <f t="shared" ca="1" si="10"/>
        <v>225051.96472682816</v>
      </c>
      <c r="CD38" s="17">
        <f t="shared" ca="1" si="10"/>
        <v>656539.48217247182</v>
      </c>
      <c r="CE38" s="17">
        <f t="shared" ca="1" si="10"/>
        <v>111520.86019714797</v>
      </c>
      <c r="CF38" s="17">
        <f t="shared" ca="1" si="10"/>
        <v>1196945.639027437</v>
      </c>
      <c r="CG38" s="17">
        <f t="shared" ca="1" si="10"/>
        <v>263378.23828459886</v>
      </c>
      <c r="CH38" s="17">
        <f t="shared" ca="1" si="10"/>
        <v>1224159.0712129483</v>
      </c>
      <c r="CI38" s="17">
        <f t="shared" ca="1" si="10"/>
        <v>171416.47340358951</v>
      </c>
      <c r="CJ38" s="17">
        <f t="shared" ca="1" si="10"/>
        <v>355277.31080655259</v>
      </c>
      <c r="CK38" s="17">
        <f t="shared" ca="1" si="10"/>
        <v>79000.397642560129</v>
      </c>
      <c r="CL38" s="17">
        <f t="shared" ca="1" si="10"/>
        <v>4350290.3065940682</v>
      </c>
      <c r="CM38" s="17">
        <f t="shared" ca="1" si="10"/>
        <v>920216.03134410584</v>
      </c>
      <c r="CN38" s="17">
        <f t="shared" ca="1" si="10"/>
        <v>2165366.2895371774</v>
      </c>
      <c r="CO38" s="17">
        <f t="shared" ca="1" si="10"/>
        <v>882082.55074951937</v>
      </c>
      <c r="CP38" s="17">
        <f t="shared" ca="1" si="10"/>
        <v>349797.10564007761</v>
      </c>
      <c r="CQ38" s="17">
        <f t="shared" ca="1" si="10"/>
        <v>1914634.1145607196</v>
      </c>
      <c r="CR38" s="17">
        <f t="shared" ca="1" si="10"/>
        <v>420479.15678077459</v>
      </c>
      <c r="CS38" s="17">
        <f t="shared" ca="1" si="10"/>
        <v>229012.30914463819</v>
      </c>
      <c r="CT38" s="17">
        <f t="shared" ca="1" si="10"/>
        <v>1138609.6598940461</v>
      </c>
      <c r="CU38" s="17">
        <f t="shared" ca="1" si="10"/>
        <v>1258976.215381416</v>
      </c>
      <c r="CV38" s="17">
        <f t="shared" ca="1" si="10"/>
        <v>271596.57839545619</v>
      </c>
      <c r="CW38" s="17">
        <f t="shared" ca="1" si="10"/>
        <v>1723776.0275314189</v>
      </c>
      <c r="CX38" s="17">
        <f t="shared" ca="1" si="10"/>
        <v>100140.81552447498</v>
      </c>
    </row>
    <row r="39" spans="2:102" x14ac:dyDescent="0.25">
      <c r="B39" s="16">
        <v>9</v>
      </c>
      <c r="C39" s="17">
        <f t="shared" ca="1" si="9"/>
        <v>39764.041859978082</v>
      </c>
      <c r="D39" s="17">
        <f t="shared" ca="1" si="9"/>
        <v>533482.69470916421</v>
      </c>
      <c r="E39" s="17">
        <f t="shared" ca="1" si="9"/>
        <v>776233.48696594953</v>
      </c>
      <c r="F39" s="17">
        <f t="shared" ref="F39:BM40" ca="1" si="11">IF(RAND()&gt;$B$22,$B$7*F38*$B$18+(1-$B$7)*F38*$B$17-$B$8,$B$7*F38*$B$19+(1-$B$7)*F38*$B$17-$B$8)</f>
        <v>569798.81670990062</v>
      </c>
      <c r="G39" s="17">
        <f t="shared" ca="1" si="11"/>
        <v>493185.22077951534</v>
      </c>
      <c r="H39" s="17">
        <f t="shared" ca="1" si="11"/>
        <v>1550654.7498467518</v>
      </c>
      <c r="I39" s="17">
        <f t="shared" ca="1" si="11"/>
        <v>1135371.3507509085</v>
      </c>
      <c r="J39" s="17">
        <f t="shared" ca="1" si="11"/>
        <v>1052570.5165386968</v>
      </c>
      <c r="K39" s="17">
        <f t="shared" ca="1" si="11"/>
        <v>712158.14568646834</v>
      </c>
      <c r="L39" s="17">
        <f t="shared" ca="1" si="11"/>
        <v>1167891.8133054958</v>
      </c>
      <c r="M39" s="17">
        <f t="shared" ca="1" si="11"/>
        <v>821234.32227369223</v>
      </c>
      <c r="N39" s="17">
        <f t="shared" ca="1" si="11"/>
        <v>2547382.0063045062</v>
      </c>
      <c r="O39" s="17">
        <f t="shared" ca="1" si="11"/>
        <v>506977.64895932376</v>
      </c>
      <c r="P39" s="17">
        <f t="shared" ca="1" si="11"/>
        <v>506977.64895932376</v>
      </c>
      <c r="Q39" s="17">
        <f t="shared" ca="1" si="11"/>
        <v>687461.50137191953</v>
      </c>
      <c r="R39" s="17">
        <f t="shared" ca="1" si="11"/>
        <v>539498.11151391163</v>
      </c>
      <c r="S39" s="17">
        <f t="shared" ca="1" si="11"/>
        <v>1051071.1255539684</v>
      </c>
      <c r="T39" s="17">
        <f t="shared" ca="1" si="11"/>
        <v>220306.27512928331</v>
      </c>
      <c r="U39" s="17">
        <f t="shared" ca="1" si="11"/>
        <v>281199.58714490623</v>
      </c>
      <c r="V39" s="17">
        <f t="shared" ca="1" si="11"/>
        <v>199882.62983642711</v>
      </c>
      <c r="W39" s="17">
        <f t="shared" ca="1" si="11"/>
        <v>385352.5169179081</v>
      </c>
      <c r="X39" s="17">
        <f t="shared" ca="1" si="11"/>
        <v>1609469.6179591184</v>
      </c>
      <c r="Y39" s="17">
        <f t="shared" ca="1" si="11"/>
        <v>149234.7028053446</v>
      </c>
      <c r="Z39" s="17">
        <f t="shared" ca="1" si="11"/>
        <v>1930793.3030173222</v>
      </c>
      <c r="AA39" s="17">
        <f t="shared" ca="1" si="11"/>
        <v>-120555.78447823839</v>
      </c>
      <c r="AB39" s="17">
        <f t="shared" ca="1" si="11"/>
        <v>-128444.47462498216</v>
      </c>
      <c r="AC39" s="17">
        <f t="shared" ca="1" si="11"/>
        <v>2407138.2214934994</v>
      </c>
      <c r="AD39" s="17">
        <f t="shared" ca="1" si="11"/>
        <v>351204.64100408682</v>
      </c>
      <c r="AE39" s="17">
        <f t="shared" ca="1" si="11"/>
        <v>39764.041859978082</v>
      </c>
      <c r="AF39" s="17">
        <f t="shared" ca="1" si="11"/>
        <v>1396940.5221834762</v>
      </c>
      <c r="AG39" s="17">
        <f t="shared" ca="1" si="11"/>
        <v>1035343.1055183657</v>
      </c>
      <c r="AH39" s="17">
        <f t="shared" ca="1" si="11"/>
        <v>157011.71418040525</v>
      </c>
      <c r="AI39" s="17">
        <f t="shared" ca="1" si="11"/>
        <v>1720035.7006927661</v>
      </c>
      <c r="AJ39" s="17">
        <f t="shared" ca="1" si="11"/>
        <v>74129.970999938669</v>
      </c>
      <c r="AK39" s="17">
        <f t="shared" ca="1" si="11"/>
        <v>140955.80233389884</v>
      </c>
      <c r="AL39" s="17">
        <f t="shared" ca="1" si="11"/>
        <v>694325.68128833349</v>
      </c>
      <c r="AM39" s="17">
        <f t="shared" ca="1" si="11"/>
        <v>1101005.4216109477</v>
      </c>
      <c r="AN39" s="17">
        <f t="shared" ca="1" si="11"/>
        <v>358045.57990927075</v>
      </c>
      <c r="AO39" s="17">
        <f t="shared" ca="1" si="11"/>
        <v>323646.96525714424</v>
      </c>
      <c r="AP39" s="17">
        <f t="shared" ca="1" si="11"/>
        <v>620206.50596518163</v>
      </c>
      <c r="AQ39" s="17">
        <f t="shared" ca="1" si="11"/>
        <v>116714.24025075667</v>
      </c>
      <c r="AR39" s="17">
        <f t="shared" ca="1" si="11"/>
        <v>1193229.0417759817</v>
      </c>
      <c r="AS39" s="17">
        <f t="shared" ca="1" si="11"/>
        <v>287561.27053602127</v>
      </c>
      <c r="AT39" s="17">
        <f t="shared" ca="1" si="11"/>
        <v>-41552.91544850084</v>
      </c>
      <c r="AU39" s="17">
        <f t="shared" ca="1" si="11"/>
        <v>152328.0935247429</v>
      </c>
      <c r="AV39" s="17">
        <f t="shared" ca="1" si="11"/>
        <v>62211.328023687092</v>
      </c>
      <c r="AW39" s="17">
        <f t="shared" ca="1" si="11"/>
        <v>1362574.5930435159</v>
      </c>
      <c r="AX39" s="17">
        <f t="shared" ca="1" si="11"/>
        <v>658339.98655976763</v>
      </c>
      <c r="AY39" s="17">
        <f t="shared" ca="1" si="11"/>
        <v>1233703.0994233522</v>
      </c>
      <c r="AZ39" s="17">
        <f t="shared" ca="1" si="11"/>
        <v>395998.12388897792</v>
      </c>
      <c r="BA39" s="17">
        <f t="shared" ca="1" si="11"/>
        <v>560679.49647092936</v>
      </c>
      <c r="BB39" s="17">
        <f t="shared" ca="1" si="11"/>
        <v>1085437.0546939289</v>
      </c>
      <c r="BC39" s="17">
        <f t="shared" ca="1" si="11"/>
        <v>861782.89828485157</v>
      </c>
      <c r="BD39" s="17">
        <f t="shared" ca="1" si="11"/>
        <v>710904.3837201579</v>
      </c>
      <c r="BE39" s="17">
        <f t="shared" ca="1" si="11"/>
        <v>674818.68899903528</v>
      </c>
      <c r="BF39" s="17">
        <f t="shared" ca="1" si="11"/>
        <v>522546.01587634336</v>
      </c>
      <c r="BG39" s="17">
        <f t="shared" ca="1" si="11"/>
        <v>765471.893169794</v>
      </c>
      <c r="BH39" s="17">
        <f t="shared" ca="1" si="11"/>
        <v>287561.27053602127</v>
      </c>
      <c r="BI39" s="17">
        <f t="shared" ca="1" si="11"/>
        <v>1492817.5087178885</v>
      </c>
      <c r="BJ39" s="17">
        <f t="shared" ca="1" si="11"/>
        <v>486917.07352943404</v>
      </c>
      <c r="BK39" s="17">
        <f t="shared" ca="1" si="11"/>
        <v>116714.24025075667</v>
      </c>
      <c r="BL39" s="17">
        <f t="shared" ca="1" si="11"/>
        <v>814228.3619731674</v>
      </c>
      <c r="BM39" s="17">
        <f t="shared" ca="1" si="11"/>
        <v>930704.98321905872</v>
      </c>
      <c r="BN39" s="17">
        <f t="shared" ca="1" si="8"/>
        <v>-92128.352624245745</v>
      </c>
      <c r="BO39" s="17">
        <f t="shared" ca="1" si="8"/>
        <v>504654.85987306421</v>
      </c>
      <c r="BP39" s="17">
        <f t="shared" ca="1" si="8"/>
        <v>661544.23035952321</v>
      </c>
      <c r="BQ39" s="17">
        <f t="shared" ca="1" si="8"/>
        <v>1058421.1523601296</v>
      </c>
      <c r="BR39" s="17">
        <f t="shared" ca="1" si="10"/>
        <v>589432.40757089155</v>
      </c>
      <c r="BS39" s="17">
        <f t="shared" ca="1" si="10"/>
        <v>177271.9243346352</v>
      </c>
      <c r="BT39" s="17">
        <f t="shared" ca="1" si="10"/>
        <v>1502988.2541449056</v>
      </c>
      <c r="BU39" s="17">
        <f t="shared" ca="1" si="10"/>
        <v>-92128.352624245745</v>
      </c>
      <c r="BV39" s="17">
        <f t="shared" ca="1" si="10"/>
        <v>1402336.9491234268</v>
      </c>
      <c r="BW39" s="17">
        <f t="shared" ca="1" si="10"/>
        <v>450600.95152869751</v>
      </c>
      <c r="BX39" s="17">
        <f t="shared" ca="1" si="10"/>
        <v>199882.62983642711</v>
      </c>
      <c r="BY39" s="17">
        <f t="shared" ca="1" si="10"/>
        <v>-128444.47462498216</v>
      </c>
      <c r="BZ39" s="17">
        <f t="shared" ca="1" si="10"/>
        <v>5532.1374645927717</v>
      </c>
      <c r="CA39" s="17">
        <f t="shared" ca="1" si="10"/>
        <v>821234.32227369223</v>
      </c>
      <c r="CB39" s="17">
        <f t="shared" ca="1" si="10"/>
        <v>283680.52672988537</v>
      </c>
      <c r="CC39" s="17">
        <f t="shared" ca="1" si="10"/>
        <v>112966.56819398975</v>
      </c>
      <c r="CD39" s="17">
        <f t="shared" ca="1" si="10"/>
        <v>521283.00266939448</v>
      </c>
      <c r="CE39" s="17">
        <f t="shared" ca="1" si="10"/>
        <v>5532.1374645927717</v>
      </c>
      <c r="CF39" s="17">
        <f t="shared" ca="1" si="10"/>
        <v>1467353.332855534</v>
      </c>
      <c r="CG39" s="17">
        <f t="shared" ca="1" si="10"/>
        <v>149234.7028053446</v>
      </c>
      <c r="CH39" s="17">
        <f t="shared" ca="1" si="10"/>
        <v>1058421.1523601296</v>
      </c>
      <c r="CI39" s="17">
        <f t="shared" ca="1" si="10"/>
        <v>62211.328023687092</v>
      </c>
      <c r="CJ39" s="17">
        <f t="shared" ca="1" si="10"/>
        <v>365221.6934706067</v>
      </c>
      <c r="CK39" s="17">
        <f t="shared" ca="1" si="10"/>
        <v>-25241.960929697365</v>
      </c>
      <c r="CL39" s="17">
        <f t="shared" ca="1" si="10"/>
        <v>4016677.6676110281</v>
      </c>
      <c r="CM39" s="17">
        <f t="shared" ca="1" si="10"/>
        <v>1104986.7735398598</v>
      </c>
      <c r="CN39" s="17">
        <f t="shared" ca="1" si="10"/>
        <v>1949085.0996366027</v>
      </c>
      <c r="CO39" s="17">
        <f t="shared" ca="1" si="10"/>
        <v>734714.30220547679</v>
      </c>
      <c r="CP39" s="17">
        <f t="shared" ca="1" si="10"/>
        <v>358045.57990927075</v>
      </c>
      <c r="CQ39" s="17">
        <f t="shared" ca="1" si="10"/>
        <v>1711817.3605819093</v>
      </c>
      <c r="CR39" s="17">
        <f t="shared" ca="1" si="10"/>
        <v>297899.22796452371</v>
      </c>
      <c r="CS39" s="17">
        <f t="shared" ca="1" si="10"/>
        <v>116714.24025075667</v>
      </c>
      <c r="CT39" s="17">
        <f t="shared" ca="1" si="10"/>
        <v>1390964.6579325828</v>
      </c>
      <c r="CU39" s="17">
        <f t="shared" ca="1" si="10"/>
        <v>1548579.9378217855</v>
      </c>
      <c r="CV39" s="17">
        <f t="shared" ca="1" si="10"/>
        <v>157011.71418040525</v>
      </c>
      <c r="CW39" s="17">
        <f t="shared" ca="1" si="10"/>
        <v>1531208.4427435901</v>
      </c>
      <c r="CX39" s="17">
        <f t="shared" ca="1" si="10"/>
        <v>-5236.7934477644303</v>
      </c>
    </row>
    <row r="40" spans="2:102" x14ac:dyDescent="0.25">
      <c r="B40" s="16">
        <v>10</v>
      </c>
      <c r="C40" s="17">
        <f t="shared" ref="C40:E40" ca="1" si="12">IF(RAND()&gt;$B$22,$B$7*C39*$B$18+(1-$B$7)*C39*$B$17-$B$8,$B$7*C39*$B$19+(1-$B$7)*C39*$B$17-$B$8)</f>
        <v>-62371.305921631101</v>
      </c>
      <c r="D40" s="17">
        <f t="shared" ca="1" si="12"/>
        <v>404834.42266766785</v>
      </c>
      <c r="E40" s="17">
        <f t="shared" ca="1" si="12"/>
        <v>634549.3830149431</v>
      </c>
      <c r="F40" s="17">
        <f t="shared" ca="1" si="11"/>
        <v>646129.18524274835</v>
      </c>
      <c r="G40" s="17">
        <f t="shared" ca="1" si="11"/>
        <v>545806.68854097126</v>
      </c>
      <c r="H40" s="17">
        <f t="shared" ca="1" si="11"/>
        <v>1367383.8592318906</v>
      </c>
      <c r="I40" s="17">
        <f t="shared" ca="1" si="11"/>
        <v>1386724.2192168888</v>
      </c>
      <c r="J40" s="17">
        <f t="shared" ca="1" si="11"/>
        <v>1278299.7768410612</v>
      </c>
      <c r="K40" s="17">
        <f t="shared" ca="1" si="11"/>
        <v>832543.13877517462</v>
      </c>
      <c r="L40" s="17">
        <f t="shared" ca="1" si="11"/>
        <v>1005175.4727110695</v>
      </c>
      <c r="M40" s="17">
        <f t="shared" ca="1" si="11"/>
        <v>677133.65226576128</v>
      </c>
      <c r="N40" s="17">
        <f t="shared" ca="1" si="11"/>
        <v>3235696.7496717395</v>
      </c>
      <c r="O40" s="17">
        <f t="shared" ca="1" si="11"/>
        <v>379752.7103617129</v>
      </c>
      <c r="P40" s="17">
        <f t="shared" ca="1" si="11"/>
        <v>563867.33187424613</v>
      </c>
      <c r="Q40" s="17">
        <f t="shared" ca="1" si="11"/>
        <v>550544.49486977782</v>
      </c>
      <c r="R40" s="17">
        <f t="shared" ca="1" si="11"/>
        <v>410526.80875600304</v>
      </c>
      <c r="S40" s="17">
        <f t="shared" ca="1" si="11"/>
        <v>1276336.3831993272</v>
      </c>
      <c r="T40" s="17">
        <f t="shared" ca="1" si="11"/>
        <v>108475.72436363343</v>
      </c>
      <c r="U40" s="17">
        <f t="shared" ca="1" si="11"/>
        <v>268219.82196892914</v>
      </c>
      <c r="V40" s="17">
        <f t="shared" ca="1" si="11"/>
        <v>161738.45815471638</v>
      </c>
      <c r="W40" s="17">
        <f t="shared" ca="1" si="11"/>
        <v>264658.90521123784</v>
      </c>
      <c r="X40" s="17">
        <f t="shared" ca="1" si="11"/>
        <v>1423040.341217625</v>
      </c>
      <c r="Y40" s="17">
        <f t="shared" ca="1" si="11"/>
        <v>41220.728956895531</v>
      </c>
      <c r="Z40" s="17">
        <f t="shared" ca="1" si="11"/>
        <v>2428298.0445112567</v>
      </c>
      <c r="AA40" s="17">
        <f t="shared" ca="1" si="11"/>
        <v>-214081.88205523399</v>
      </c>
      <c r="AB40" s="17">
        <f t="shared" ca="1" si="11"/>
        <v>-268192.99793257291</v>
      </c>
      <c r="AC40" s="17">
        <f t="shared" ca="1" si="11"/>
        <v>2177873.7649427122</v>
      </c>
      <c r="AD40" s="17">
        <f t="shared" ca="1" si="11"/>
        <v>232344.78632181592</v>
      </c>
      <c r="AE40" s="17">
        <f t="shared" ca="1" si="11"/>
        <v>-47930.547967337567</v>
      </c>
      <c r="AF40" s="17">
        <f t="shared" ca="1" si="11"/>
        <v>1729238.7823262149</v>
      </c>
      <c r="AG40" s="17">
        <f t="shared" ca="1" si="11"/>
        <v>879744.69297876535</v>
      </c>
      <c r="AH40" s="17">
        <f t="shared" ca="1" si="11"/>
        <v>48580.111157191655</v>
      </c>
      <c r="AI40" s="17">
        <f t="shared" ca="1" si="11"/>
        <v>2152319.2367381305</v>
      </c>
      <c r="AJ40" s="17">
        <f t="shared" ca="1" si="11"/>
        <v>-29850.843367043271</v>
      </c>
      <c r="AK40" s="17">
        <f t="shared" ca="1" si="11"/>
        <v>84576.090483836946</v>
      </c>
      <c r="AL40" s="17">
        <f t="shared" ca="1" si="11"/>
        <v>557040.06509081193</v>
      </c>
      <c r="AM40" s="17">
        <f t="shared" ca="1" si="11"/>
        <v>941880.9117621918</v>
      </c>
      <c r="AN40" s="17">
        <f t="shared" ca="1" si="11"/>
        <v>238818.36358487234</v>
      </c>
      <c r="AO40" s="17">
        <f t="shared" ca="1" si="11"/>
        <v>323802.9974999862</v>
      </c>
      <c r="AP40" s="17">
        <f t="shared" ca="1" si="11"/>
        <v>712136.07576453243</v>
      </c>
      <c r="AQ40" s="17">
        <f t="shared" ca="1" si="11"/>
        <v>52832.716444302729</v>
      </c>
      <c r="AR40" s="17">
        <f t="shared" ca="1" si="11"/>
        <v>1029152.0800757559</v>
      </c>
      <c r="AS40" s="17">
        <f t="shared" ca="1" si="11"/>
        <v>172119.09483169892</v>
      </c>
      <c r="AT40" s="17">
        <f t="shared" ca="1" si="11"/>
        <v>-154411.91178155009</v>
      </c>
      <c r="AU40" s="17">
        <f t="shared" ca="1" si="11"/>
        <v>44148.003137296706</v>
      </c>
      <c r="AV40" s="17">
        <f t="shared" ca="1" si="11"/>
        <v>-41129.449600331194</v>
      </c>
      <c r="AW40" s="17">
        <f t="shared" ca="1" si="11"/>
        <v>1189403.6954577516</v>
      </c>
      <c r="AX40" s="17">
        <f t="shared" ca="1" si="11"/>
        <v>762070.37182151154</v>
      </c>
      <c r="AY40" s="17">
        <f t="shared" ca="1" si="11"/>
        <v>1067452.6617592298</v>
      </c>
      <c r="AZ40" s="17">
        <f t="shared" ca="1" si="11"/>
        <v>274732.83807257796</v>
      </c>
      <c r="BA40" s="17">
        <f t="shared" ca="1" si="11"/>
        <v>430570.74336180533</v>
      </c>
      <c r="BB40" s="17">
        <f t="shared" ca="1" si="11"/>
        <v>927148.57348322228</v>
      </c>
      <c r="BC40" s="17">
        <f t="shared" ca="1" si="11"/>
        <v>715504.75064178137</v>
      </c>
      <c r="BD40" s="17">
        <f t="shared" ca="1" si="11"/>
        <v>572728.48339145025</v>
      </c>
      <c r="BE40" s="17">
        <f t="shared" ca="1" si="11"/>
        <v>538580.60747762886</v>
      </c>
      <c r="BF40" s="17">
        <f t="shared" ca="1" si="11"/>
        <v>394485.04864068312</v>
      </c>
      <c r="BG40" s="17">
        <f t="shared" ca="1" si="11"/>
        <v>624365.69187566836</v>
      </c>
      <c r="BH40" s="17">
        <f t="shared" ca="1" si="11"/>
        <v>276550.19666642812</v>
      </c>
      <c r="BI40" s="17">
        <f t="shared" ca="1" si="11"/>
        <v>1312652.5052000633</v>
      </c>
      <c r="BJ40" s="17">
        <f t="shared" ca="1" si="11"/>
        <v>360769.39728339348</v>
      </c>
      <c r="BK40" s="17">
        <f t="shared" ca="1" si="11"/>
        <v>10446.630562605336</v>
      </c>
      <c r="BL40" s="17">
        <f t="shared" ca="1" si="11"/>
        <v>670503.91533403902</v>
      </c>
      <c r="BM40" s="17">
        <f t="shared" ca="1" si="11"/>
        <v>780725.68714428786</v>
      </c>
      <c r="BN40" s="17">
        <f t="shared" ca="1" si="8"/>
        <v>-187181.0166845989</v>
      </c>
      <c r="BO40" s="17">
        <f t="shared" ca="1" si="8"/>
        <v>377554.65614370338</v>
      </c>
      <c r="BP40" s="17">
        <f t="shared" ca="1" si="8"/>
        <v>526018.99352095253</v>
      </c>
      <c r="BQ40" s="17">
        <f t="shared" ca="1" si="8"/>
        <v>901583.43783254316</v>
      </c>
      <c r="BR40" s="17">
        <f t="shared" ca="1" si="10"/>
        <v>457779.60958956101</v>
      </c>
      <c r="BS40" s="17">
        <f t="shared" ca="1" si="10"/>
        <v>67752.338481101906</v>
      </c>
      <c r="BT40" s="17">
        <f t="shared" ca="1" si="10"/>
        <v>1322277.0768059844</v>
      </c>
      <c r="BU40" s="17">
        <f t="shared" ca="1" si="10"/>
        <v>-187181.0166845989</v>
      </c>
      <c r="BV40" s="17">
        <f t="shared" ca="1" si="10"/>
        <v>1227030.7942832371</v>
      </c>
      <c r="BW40" s="17">
        <f t="shared" ca="1" si="10"/>
        <v>326403.46814343287</v>
      </c>
      <c r="BX40" s="17">
        <f t="shared" ca="1" si="10"/>
        <v>161738.45815471638</v>
      </c>
      <c r="BY40" s="17">
        <f t="shared" ca="1" si="10"/>
        <v>-221546.94582455949</v>
      </c>
      <c r="BZ40" s="17">
        <f t="shared" ca="1" si="10"/>
        <v>-94764.940923569389</v>
      </c>
      <c r="CA40" s="17">
        <f t="shared" ca="1" si="10"/>
        <v>975374.11065459624</v>
      </c>
      <c r="CB40" s="17">
        <f t="shared" ca="1" si="10"/>
        <v>271468.5149758145</v>
      </c>
      <c r="CC40" s="17">
        <f t="shared" ca="1" si="10"/>
        <v>47925.286986273219</v>
      </c>
      <c r="CD40" s="17">
        <f t="shared" ca="1" si="10"/>
        <v>393289.85983798117</v>
      </c>
      <c r="CE40" s="17">
        <f t="shared" ca="1" si="10"/>
        <v>-94764.940923569389</v>
      </c>
      <c r="CF40" s="17">
        <f t="shared" ca="1" si="10"/>
        <v>1821441.5941199469</v>
      </c>
      <c r="CG40" s="17">
        <f t="shared" ca="1" si="10"/>
        <v>95416.985695120879</v>
      </c>
      <c r="CH40" s="17">
        <f t="shared" ca="1" si="10"/>
        <v>901583.43783254316</v>
      </c>
      <c r="CI40" s="17">
        <f t="shared" ca="1" si="10"/>
        <v>-41129.449600331194</v>
      </c>
      <c r="CJ40" s="17">
        <f t="shared" ca="1" si="10"/>
        <v>245609.11646713712</v>
      </c>
      <c r="CK40" s="17">
        <f t="shared" ca="1" si="10"/>
        <v>-123886.45573572097</v>
      </c>
      <c r="CL40" s="17">
        <f t="shared" ca="1" si="10"/>
        <v>5159681.746659698</v>
      </c>
      <c r="CM40" s="17">
        <f t="shared" ca="1" si="10"/>
        <v>1346936.807987554</v>
      </c>
      <c r="CN40" s="17">
        <f t="shared" ca="1" si="10"/>
        <v>1744418.3115285886</v>
      </c>
      <c r="CO40" s="17">
        <f t="shared" ca="1" si="10"/>
        <v>595259.79803672316</v>
      </c>
      <c r="CP40" s="17">
        <f t="shared" ca="1" si="10"/>
        <v>238818.36358487234</v>
      </c>
      <c r="CQ40" s="17">
        <f t="shared" ca="1" si="10"/>
        <v>1519891.9618432643</v>
      </c>
      <c r="CR40" s="17">
        <f t="shared" ca="1" si="10"/>
        <v>181901.89907584817</v>
      </c>
      <c r="CS40" s="17">
        <f t="shared" ca="1" si="10"/>
        <v>52832.716444302729</v>
      </c>
      <c r="CT40" s="17">
        <f t="shared" ca="1" si="10"/>
        <v>1216269.2004870819</v>
      </c>
      <c r="CU40" s="17">
        <f t="shared" ca="1" si="10"/>
        <v>1365420.4655901552</v>
      </c>
      <c r="CV40" s="17">
        <f t="shared" ca="1" si="10"/>
        <v>48580.111157191655</v>
      </c>
      <c r="CW40" s="17">
        <f t="shared" ca="1" si="10"/>
        <v>1348981.8279817582</v>
      </c>
      <c r="CX40" s="17">
        <f t="shared" ca="1" si="10"/>
        <v>-104955.57517244911</v>
      </c>
    </row>
  </sheetData>
  <mergeCells count="2">
    <mergeCell ref="A1:E1"/>
    <mergeCell ref="E23:H26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607-8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2024-12-09T08:08:35Z</dcterms:modified>
</cp:coreProperties>
</file>