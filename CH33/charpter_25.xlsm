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75E2E62E-FB0D-47CA-801F-18F2A03F932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23" sheetId="5" r:id="rId1"/>
    <sheet name="Page 822" sheetId="4" r:id="rId2"/>
    <sheet name="Page 820" sheetId="3" r:id="rId3"/>
    <sheet name="Page 819, top" sheetId="2" r:id="rId4"/>
    <sheet name="Sheet1" sheetId="1" r:id="rId5"/>
  </sheets>
  <externalReferences>
    <externalReference r:id="rId6"/>
  </externalReferences>
  <definedNames>
    <definedName name="return">'Page 820'!$C$4:$C$27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B8" i="5"/>
  <c r="C9" i="4"/>
  <c r="B9" i="4"/>
  <c r="C8" i="4"/>
  <c r="B8" i="4"/>
  <c r="G16" i="3"/>
  <c r="G14" i="3"/>
  <c r="G12" i="3"/>
  <c r="G11" i="3"/>
  <c r="G5" i="3"/>
  <c r="G4" i="3"/>
  <c r="G3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B9" i="2"/>
  <c r="B7" i="2"/>
  <c r="B6" i="2"/>
  <c r="C9" i="5"/>
  <c r="C8" i="5"/>
  <c r="H16" i="3"/>
  <c r="H14" i="3"/>
  <c r="H12" i="3"/>
  <c r="H11" i="3"/>
  <c r="H5" i="3"/>
  <c r="H4" i="3"/>
  <c r="H3" i="3"/>
  <c r="D4" i="3"/>
  <c r="C9" i="2"/>
  <c r="C7" i="2"/>
  <c r="C6" i="2"/>
</calcChain>
</file>

<file path=xl/sharedStrings.xml><?xml version="1.0" encoding="utf-8"?>
<sst xmlns="http://schemas.openxmlformats.org/spreadsheetml/2006/main" count="38" uniqueCount="30">
  <si>
    <t xml:space="preserve"> BASIC BOOLEAN FUNCTIONS</t>
  </si>
  <si>
    <t>x</t>
  </si>
  <si>
    <t>y</t>
  </si>
  <si>
    <t>Number</t>
  </si>
  <si>
    <t>Is number &lt;= x?</t>
  </si>
  <si>
    <t>Is number &gt; y?</t>
  </si>
  <si>
    <t>Multiplying</t>
    <phoneticPr fontId="1" type="noConversion"/>
  </si>
  <si>
    <t>USING BOOLEAN FUNCTIONS</t>
  </si>
  <si>
    <t>Date</t>
  </si>
  <si>
    <t>Marriott
stock price</t>
  </si>
  <si>
    <t>Return</t>
  </si>
  <si>
    <t>How many data points?</t>
  </si>
  <si>
    <t>Maximal return</t>
  </si>
  <si>
    <t>Minimal return</t>
  </si>
  <si>
    <t>Upper bound</t>
  </si>
  <si>
    <t>Lower bound</t>
  </si>
  <si>
    <t>How many &lt; upper bound?</t>
  </si>
  <si>
    <t>How many &gt; lower bound?</t>
  </si>
  <si>
    <t>How many between upper
and lower bounds?</t>
  </si>
  <si>
    <t>Average of returns
between the bounds</t>
  </si>
  <si>
    <t>USING OFFSET</t>
  </si>
  <si>
    <t>Starting corner</t>
  </si>
  <si>
    <t>Rows down</t>
  </si>
  <si>
    <t>Columns over</t>
  </si>
  <si>
    <t>Range to be summed</t>
  </si>
  <si>
    <t>Number of rows</t>
  </si>
  <si>
    <t>Number of columns</t>
  </si>
  <si>
    <t>Sum</t>
  </si>
  <si>
    <t>Check</t>
  </si>
  <si>
    <r>
      <t xml:space="preserve">USING OFFSET
</t>
    </r>
    <r>
      <rPr>
        <b/>
        <sz val="12"/>
        <rFont val="Arial"/>
        <family val="2"/>
      </rPr>
      <t>with negative value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</si>
</sst>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/>
  </cellStyleXfs>
  <cellXfs count="26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3" fillId="0" borderId="0" xfId="2"/>
    <xf numFmtId="0" fontId="3" fillId="2" borderId="0" xfId="2" applyFill="1"/>
    <xf numFmtId="0" fontId="4" fillId="0" borderId="0" xfId="2" applyFont="1" applyAlignment="1">
      <alignment horizontal="center"/>
    </xf>
    <xf numFmtId="0" fontId="5" fillId="0" borderId="0" xfId="2" applyFont="1" applyAlignment="1">
      <alignment horizontal="center" vertical="center" wrapText="1"/>
    </xf>
    <xf numFmtId="15" fontId="3" fillId="0" borderId="0" xfId="2" applyNumberFormat="1"/>
    <xf numFmtId="10" fontId="0" fillId="0" borderId="0" xfId="3" applyNumberFormat="1" applyFont="1"/>
    <xf numFmtId="10" fontId="3" fillId="0" borderId="0" xfId="2" applyNumberFormat="1"/>
    <xf numFmtId="9" fontId="3" fillId="0" borderId="0" xfId="2" applyNumberFormat="1"/>
    <xf numFmtId="0" fontId="3" fillId="2" borderId="0" xfId="2" applyFill="1" applyAlignment="1">
      <alignment wrapText="1"/>
    </xf>
    <xf numFmtId="0" fontId="3" fillId="0" borderId="0" xfId="2" applyAlignment="1">
      <alignment vertical="center" wrapText="1"/>
    </xf>
    <xf numFmtId="10" fontId="3" fillId="2" borderId="0" xfId="1" applyNumberFormat="1" applyFont="1" applyFill="1" applyAlignment="1"/>
    <xf numFmtId="0" fontId="5" fillId="0" borderId="0" xfId="2" applyFont="1"/>
    <xf numFmtId="0" fontId="3" fillId="0" borderId="0" xfId="2" applyAlignment="1">
      <alignment horizontal="left" indent="1"/>
    </xf>
    <xf numFmtId="0" fontId="5" fillId="0" borderId="0" xfId="2" applyFont="1" applyAlignment="1">
      <alignment horizontal="left"/>
    </xf>
    <xf numFmtId="0" fontId="3" fillId="2" borderId="0" xfId="2" applyFill="1" applyAlignment="1">
      <alignment horizontal="left"/>
    </xf>
    <xf numFmtId="0" fontId="5" fillId="2" borderId="0" xfId="2" applyFont="1" applyFill="1" applyAlignment="1">
      <alignment horizontal="left"/>
    </xf>
    <xf numFmtId="0" fontId="3" fillId="0" borderId="1" xfId="2" applyBorder="1"/>
    <xf numFmtId="0" fontId="3" fillId="0" borderId="2" xfId="2" applyBorder="1"/>
    <xf numFmtId="0" fontId="3" fillId="0" borderId="3" xfId="2" applyBorder="1"/>
    <xf numFmtId="0" fontId="3" fillId="0" borderId="4" xfId="2" applyBorder="1"/>
    <xf numFmtId="0" fontId="3" fillId="0" borderId="5" xfId="2" applyBorder="1"/>
    <xf numFmtId="0" fontId="3" fillId="0" borderId="6" xfId="2" applyBorder="1"/>
    <xf numFmtId="0" fontId="3" fillId="0" borderId="7" xfId="2" applyBorder="1"/>
    <xf numFmtId="0" fontId="3" fillId="0" borderId="8" xfId="2" applyBorder="1"/>
  </cellXfs>
  <cellStyles count="4">
    <cellStyle name="百分比" xfId="1" builtinId="5"/>
    <cellStyle name="百分比 2" xfId="3" xr:uid="{7122E76B-70B9-42EF-8F4C-F5B4200147A5}"/>
    <cellStyle name="常规" xfId="0" builtinId="0"/>
    <cellStyle name="常规 2" xfId="2" xr:uid="{3ECAC70F-25A1-4569-B048-CCBCAB86C7E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485775</xdr:colOff>
      <xdr:row>1</xdr:row>
      <xdr:rowOff>342900</xdr:rowOff>
    </xdr:from>
    <xdr:to>
      <xdr:col>23</xdr:col>
      <xdr:colOff>589852</xdr:colOff>
      <xdr:row>36</xdr:row>
      <xdr:rowOff>92333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B8BF51C-B0BF-EE3F-29FD-71E92D965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82100" y="561975"/>
          <a:ext cx="8646097" cy="63978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BB979-4C88-484F-8B3B-3CBB542CC418}">
  <sheetPr codeName="Sheet63"/>
  <dimension ref="A1:H31"/>
  <sheetViews>
    <sheetView tabSelected="1" workbookViewId="0">
      <selection activeCell="C10" sqref="C10"/>
    </sheetView>
  </sheetViews>
  <sheetFormatPr defaultRowHeight="13.2" x14ac:dyDescent="0.25"/>
  <cols>
    <col min="1" max="1" width="22" style="2" bestFit="1" customWidth="1"/>
    <col min="2" max="8" width="8.88671875" style="2"/>
    <col min="9" max="9" width="3.33203125" style="2" customWidth="1"/>
    <col min="10" max="256" width="8.88671875" style="2"/>
    <col min="257" max="257" width="22" style="2" bestFit="1" customWidth="1"/>
    <col min="258" max="264" width="8.88671875" style="2"/>
    <col min="265" max="265" width="3.33203125" style="2" customWidth="1"/>
    <col min="266" max="512" width="8.88671875" style="2"/>
    <col min="513" max="513" width="22" style="2" bestFit="1" customWidth="1"/>
    <col min="514" max="520" width="8.88671875" style="2"/>
    <col min="521" max="521" width="3.33203125" style="2" customWidth="1"/>
    <col min="522" max="768" width="8.88671875" style="2"/>
    <col min="769" max="769" width="22" style="2" bestFit="1" customWidth="1"/>
    <col min="770" max="776" width="8.88671875" style="2"/>
    <col min="777" max="777" width="3.33203125" style="2" customWidth="1"/>
    <col min="778" max="1024" width="8.88671875" style="2"/>
    <col min="1025" max="1025" width="22" style="2" bestFit="1" customWidth="1"/>
    <col min="1026" max="1032" width="8.88671875" style="2"/>
    <col min="1033" max="1033" width="3.33203125" style="2" customWidth="1"/>
    <col min="1034" max="1280" width="8.88671875" style="2"/>
    <col min="1281" max="1281" width="22" style="2" bestFit="1" customWidth="1"/>
    <col min="1282" max="1288" width="8.88671875" style="2"/>
    <col min="1289" max="1289" width="3.33203125" style="2" customWidth="1"/>
    <col min="1290" max="1536" width="8.88671875" style="2"/>
    <col min="1537" max="1537" width="22" style="2" bestFit="1" customWidth="1"/>
    <col min="1538" max="1544" width="8.88671875" style="2"/>
    <col min="1545" max="1545" width="3.33203125" style="2" customWidth="1"/>
    <col min="1546" max="1792" width="8.88671875" style="2"/>
    <col min="1793" max="1793" width="22" style="2" bestFit="1" customWidth="1"/>
    <col min="1794" max="1800" width="8.88671875" style="2"/>
    <col min="1801" max="1801" width="3.33203125" style="2" customWidth="1"/>
    <col min="1802" max="2048" width="8.88671875" style="2"/>
    <col min="2049" max="2049" width="22" style="2" bestFit="1" customWidth="1"/>
    <col min="2050" max="2056" width="8.88671875" style="2"/>
    <col min="2057" max="2057" width="3.33203125" style="2" customWidth="1"/>
    <col min="2058" max="2304" width="8.88671875" style="2"/>
    <col min="2305" max="2305" width="22" style="2" bestFit="1" customWidth="1"/>
    <col min="2306" max="2312" width="8.88671875" style="2"/>
    <col min="2313" max="2313" width="3.33203125" style="2" customWidth="1"/>
    <col min="2314" max="2560" width="8.88671875" style="2"/>
    <col min="2561" max="2561" width="22" style="2" bestFit="1" customWidth="1"/>
    <col min="2562" max="2568" width="8.88671875" style="2"/>
    <col min="2569" max="2569" width="3.33203125" style="2" customWidth="1"/>
    <col min="2570" max="2816" width="8.88671875" style="2"/>
    <col min="2817" max="2817" width="22" style="2" bestFit="1" customWidth="1"/>
    <col min="2818" max="2824" width="8.88671875" style="2"/>
    <col min="2825" max="2825" width="3.33203125" style="2" customWidth="1"/>
    <col min="2826" max="3072" width="8.88671875" style="2"/>
    <col min="3073" max="3073" width="22" style="2" bestFit="1" customWidth="1"/>
    <col min="3074" max="3080" width="8.88671875" style="2"/>
    <col min="3081" max="3081" width="3.33203125" style="2" customWidth="1"/>
    <col min="3082" max="3328" width="8.88671875" style="2"/>
    <col min="3329" max="3329" width="22" style="2" bestFit="1" customWidth="1"/>
    <col min="3330" max="3336" width="8.88671875" style="2"/>
    <col min="3337" max="3337" width="3.33203125" style="2" customWidth="1"/>
    <col min="3338" max="3584" width="8.88671875" style="2"/>
    <col min="3585" max="3585" width="22" style="2" bestFit="1" customWidth="1"/>
    <col min="3586" max="3592" width="8.88671875" style="2"/>
    <col min="3593" max="3593" width="3.33203125" style="2" customWidth="1"/>
    <col min="3594" max="3840" width="8.88671875" style="2"/>
    <col min="3841" max="3841" width="22" style="2" bestFit="1" customWidth="1"/>
    <col min="3842" max="3848" width="8.88671875" style="2"/>
    <col min="3849" max="3849" width="3.33203125" style="2" customWidth="1"/>
    <col min="3850" max="4096" width="8.88671875" style="2"/>
    <col min="4097" max="4097" width="22" style="2" bestFit="1" customWidth="1"/>
    <col min="4098" max="4104" width="8.88671875" style="2"/>
    <col min="4105" max="4105" width="3.33203125" style="2" customWidth="1"/>
    <col min="4106" max="4352" width="8.88671875" style="2"/>
    <col min="4353" max="4353" width="22" style="2" bestFit="1" customWidth="1"/>
    <col min="4354" max="4360" width="8.88671875" style="2"/>
    <col min="4361" max="4361" width="3.33203125" style="2" customWidth="1"/>
    <col min="4362" max="4608" width="8.88671875" style="2"/>
    <col min="4609" max="4609" width="22" style="2" bestFit="1" customWidth="1"/>
    <col min="4610" max="4616" width="8.88671875" style="2"/>
    <col min="4617" max="4617" width="3.33203125" style="2" customWidth="1"/>
    <col min="4618" max="4864" width="8.88671875" style="2"/>
    <col min="4865" max="4865" width="22" style="2" bestFit="1" customWidth="1"/>
    <col min="4866" max="4872" width="8.88671875" style="2"/>
    <col min="4873" max="4873" width="3.33203125" style="2" customWidth="1"/>
    <col min="4874" max="5120" width="8.88671875" style="2"/>
    <col min="5121" max="5121" width="22" style="2" bestFit="1" customWidth="1"/>
    <col min="5122" max="5128" width="8.88671875" style="2"/>
    <col min="5129" max="5129" width="3.33203125" style="2" customWidth="1"/>
    <col min="5130" max="5376" width="8.88671875" style="2"/>
    <col min="5377" max="5377" width="22" style="2" bestFit="1" customWidth="1"/>
    <col min="5378" max="5384" width="8.88671875" style="2"/>
    <col min="5385" max="5385" width="3.33203125" style="2" customWidth="1"/>
    <col min="5386" max="5632" width="8.88671875" style="2"/>
    <col min="5633" max="5633" width="22" style="2" bestFit="1" customWidth="1"/>
    <col min="5634" max="5640" width="8.88671875" style="2"/>
    <col min="5641" max="5641" width="3.33203125" style="2" customWidth="1"/>
    <col min="5642" max="5888" width="8.88671875" style="2"/>
    <col min="5889" max="5889" width="22" style="2" bestFit="1" customWidth="1"/>
    <col min="5890" max="5896" width="8.88671875" style="2"/>
    <col min="5897" max="5897" width="3.33203125" style="2" customWidth="1"/>
    <col min="5898" max="6144" width="8.88671875" style="2"/>
    <col min="6145" max="6145" width="22" style="2" bestFit="1" customWidth="1"/>
    <col min="6146" max="6152" width="8.88671875" style="2"/>
    <col min="6153" max="6153" width="3.33203125" style="2" customWidth="1"/>
    <col min="6154" max="6400" width="8.88671875" style="2"/>
    <col min="6401" max="6401" width="22" style="2" bestFit="1" customWidth="1"/>
    <col min="6402" max="6408" width="8.88671875" style="2"/>
    <col min="6409" max="6409" width="3.33203125" style="2" customWidth="1"/>
    <col min="6410" max="6656" width="8.88671875" style="2"/>
    <col min="6657" max="6657" width="22" style="2" bestFit="1" customWidth="1"/>
    <col min="6658" max="6664" width="8.88671875" style="2"/>
    <col min="6665" max="6665" width="3.33203125" style="2" customWidth="1"/>
    <col min="6666" max="6912" width="8.88671875" style="2"/>
    <col min="6913" max="6913" width="22" style="2" bestFit="1" customWidth="1"/>
    <col min="6914" max="6920" width="8.88671875" style="2"/>
    <col min="6921" max="6921" width="3.33203125" style="2" customWidth="1"/>
    <col min="6922" max="7168" width="8.88671875" style="2"/>
    <col min="7169" max="7169" width="22" style="2" bestFit="1" customWidth="1"/>
    <col min="7170" max="7176" width="8.88671875" style="2"/>
    <col min="7177" max="7177" width="3.33203125" style="2" customWidth="1"/>
    <col min="7178" max="7424" width="8.88671875" style="2"/>
    <col min="7425" max="7425" width="22" style="2" bestFit="1" customWidth="1"/>
    <col min="7426" max="7432" width="8.88671875" style="2"/>
    <col min="7433" max="7433" width="3.33203125" style="2" customWidth="1"/>
    <col min="7434" max="7680" width="8.88671875" style="2"/>
    <col min="7681" max="7681" width="22" style="2" bestFit="1" customWidth="1"/>
    <col min="7682" max="7688" width="8.88671875" style="2"/>
    <col min="7689" max="7689" width="3.33203125" style="2" customWidth="1"/>
    <col min="7690" max="7936" width="8.88671875" style="2"/>
    <col min="7937" max="7937" width="22" style="2" bestFit="1" customWidth="1"/>
    <col min="7938" max="7944" width="8.88671875" style="2"/>
    <col min="7945" max="7945" width="3.33203125" style="2" customWidth="1"/>
    <col min="7946" max="8192" width="8.88671875" style="2"/>
    <col min="8193" max="8193" width="22" style="2" bestFit="1" customWidth="1"/>
    <col min="8194" max="8200" width="8.88671875" style="2"/>
    <col min="8201" max="8201" width="3.33203125" style="2" customWidth="1"/>
    <col min="8202" max="8448" width="8.88671875" style="2"/>
    <col min="8449" max="8449" width="22" style="2" bestFit="1" customWidth="1"/>
    <col min="8450" max="8456" width="8.88671875" style="2"/>
    <col min="8457" max="8457" width="3.33203125" style="2" customWidth="1"/>
    <col min="8458" max="8704" width="8.88671875" style="2"/>
    <col min="8705" max="8705" width="22" style="2" bestFit="1" customWidth="1"/>
    <col min="8706" max="8712" width="8.88671875" style="2"/>
    <col min="8713" max="8713" width="3.33203125" style="2" customWidth="1"/>
    <col min="8714" max="8960" width="8.88671875" style="2"/>
    <col min="8961" max="8961" width="22" style="2" bestFit="1" customWidth="1"/>
    <col min="8962" max="8968" width="8.88671875" style="2"/>
    <col min="8969" max="8969" width="3.33203125" style="2" customWidth="1"/>
    <col min="8970" max="9216" width="8.88671875" style="2"/>
    <col min="9217" max="9217" width="22" style="2" bestFit="1" customWidth="1"/>
    <col min="9218" max="9224" width="8.88671875" style="2"/>
    <col min="9225" max="9225" width="3.33203125" style="2" customWidth="1"/>
    <col min="9226" max="9472" width="8.88671875" style="2"/>
    <col min="9473" max="9473" width="22" style="2" bestFit="1" customWidth="1"/>
    <col min="9474" max="9480" width="8.88671875" style="2"/>
    <col min="9481" max="9481" width="3.33203125" style="2" customWidth="1"/>
    <col min="9482" max="9728" width="8.88671875" style="2"/>
    <col min="9729" max="9729" width="22" style="2" bestFit="1" customWidth="1"/>
    <col min="9730" max="9736" width="8.88671875" style="2"/>
    <col min="9737" max="9737" width="3.33203125" style="2" customWidth="1"/>
    <col min="9738" max="9984" width="8.88671875" style="2"/>
    <col min="9985" max="9985" width="22" style="2" bestFit="1" customWidth="1"/>
    <col min="9986" max="9992" width="8.88671875" style="2"/>
    <col min="9993" max="9993" width="3.33203125" style="2" customWidth="1"/>
    <col min="9994" max="10240" width="8.88671875" style="2"/>
    <col min="10241" max="10241" width="22" style="2" bestFit="1" customWidth="1"/>
    <col min="10242" max="10248" width="8.88671875" style="2"/>
    <col min="10249" max="10249" width="3.33203125" style="2" customWidth="1"/>
    <col min="10250" max="10496" width="8.88671875" style="2"/>
    <col min="10497" max="10497" width="22" style="2" bestFit="1" customWidth="1"/>
    <col min="10498" max="10504" width="8.88671875" style="2"/>
    <col min="10505" max="10505" width="3.33203125" style="2" customWidth="1"/>
    <col min="10506" max="10752" width="8.88671875" style="2"/>
    <col min="10753" max="10753" width="22" style="2" bestFit="1" customWidth="1"/>
    <col min="10754" max="10760" width="8.88671875" style="2"/>
    <col min="10761" max="10761" width="3.33203125" style="2" customWidth="1"/>
    <col min="10762" max="11008" width="8.88671875" style="2"/>
    <col min="11009" max="11009" width="22" style="2" bestFit="1" customWidth="1"/>
    <col min="11010" max="11016" width="8.88671875" style="2"/>
    <col min="11017" max="11017" width="3.33203125" style="2" customWidth="1"/>
    <col min="11018" max="11264" width="8.88671875" style="2"/>
    <col min="11265" max="11265" width="22" style="2" bestFit="1" customWidth="1"/>
    <col min="11266" max="11272" width="8.88671875" style="2"/>
    <col min="11273" max="11273" width="3.33203125" style="2" customWidth="1"/>
    <col min="11274" max="11520" width="8.88671875" style="2"/>
    <col min="11521" max="11521" width="22" style="2" bestFit="1" customWidth="1"/>
    <col min="11522" max="11528" width="8.88671875" style="2"/>
    <col min="11529" max="11529" width="3.33203125" style="2" customWidth="1"/>
    <col min="11530" max="11776" width="8.88671875" style="2"/>
    <col min="11777" max="11777" width="22" style="2" bestFit="1" customWidth="1"/>
    <col min="11778" max="11784" width="8.88671875" style="2"/>
    <col min="11785" max="11785" width="3.33203125" style="2" customWidth="1"/>
    <col min="11786" max="12032" width="8.88671875" style="2"/>
    <col min="12033" max="12033" width="22" style="2" bestFit="1" customWidth="1"/>
    <col min="12034" max="12040" width="8.88671875" style="2"/>
    <col min="12041" max="12041" width="3.33203125" style="2" customWidth="1"/>
    <col min="12042" max="12288" width="8.88671875" style="2"/>
    <col min="12289" max="12289" width="22" style="2" bestFit="1" customWidth="1"/>
    <col min="12290" max="12296" width="8.88671875" style="2"/>
    <col min="12297" max="12297" width="3.33203125" style="2" customWidth="1"/>
    <col min="12298" max="12544" width="8.88671875" style="2"/>
    <col min="12545" max="12545" width="22" style="2" bestFit="1" customWidth="1"/>
    <col min="12546" max="12552" width="8.88671875" style="2"/>
    <col min="12553" max="12553" width="3.33203125" style="2" customWidth="1"/>
    <col min="12554" max="12800" width="8.88671875" style="2"/>
    <col min="12801" max="12801" width="22" style="2" bestFit="1" customWidth="1"/>
    <col min="12802" max="12808" width="8.88671875" style="2"/>
    <col min="12809" max="12809" width="3.33203125" style="2" customWidth="1"/>
    <col min="12810" max="13056" width="8.88671875" style="2"/>
    <col min="13057" max="13057" width="22" style="2" bestFit="1" customWidth="1"/>
    <col min="13058" max="13064" width="8.88671875" style="2"/>
    <col min="13065" max="13065" width="3.33203125" style="2" customWidth="1"/>
    <col min="13066" max="13312" width="8.88671875" style="2"/>
    <col min="13313" max="13313" width="22" style="2" bestFit="1" customWidth="1"/>
    <col min="13314" max="13320" width="8.88671875" style="2"/>
    <col min="13321" max="13321" width="3.33203125" style="2" customWidth="1"/>
    <col min="13322" max="13568" width="8.88671875" style="2"/>
    <col min="13569" max="13569" width="22" style="2" bestFit="1" customWidth="1"/>
    <col min="13570" max="13576" width="8.88671875" style="2"/>
    <col min="13577" max="13577" width="3.33203125" style="2" customWidth="1"/>
    <col min="13578" max="13824" width="8.88671875" style="2"/>
    <col min="13825" max="13825" width="22" style="2" bestFit="1" customWidth="1"/>
    <col min="13826" max="13832" width="8.88671875" style="2"/>
    <col min="13833" max="13833" width="3.33203125" style="2" customWidth="1"/>
    <col min="13834" max="14080" width="8.88671875" style="2"/>
    <col min="14081" max="14081" width="22" style="2" bestFit="1" customWidth="1"/>
    <col min="14082" max="14088" width="8.88671875" style="2"/>
    <col min="14089" max="14089" width="3.33203125" style="2" customWidth="1"/>
    <col min="14090" max="14336" width="8.88671875" style="2"/>
    <col min="14337" max="14337" width="22" style="2" bestFit="1" customWidth="1"/>
    <col min="14338" max="14344" width="8.88671875" style="2"/>
    <col min="14345" max="14345" width="3.33203125" style="2" customWidth="1"/>
    <col min="14346" max="14592" width="8.88671875" style="2"/>
    <col min="14593" max="14593" width="22" style="2" bestFit="1" customWidth="1"/>
    <col min="14594" max="14600" width="8.88671875" style="2"/>
    <col min="14601" max="14601" width="3.33203125" style="2" customWidth="1"/>
    <col min="14602" max="14848" width="8.88671875" style="2"/>
    <col min="14849" max="14849" width="22" style="2" bestFit="1" customWidth="1"/>
    <col min="14850" max="14856" width="8.88671875" style="2"/>
    <col min="14857" max="14857" width="3.33203125" style="2" customWidth="1"/>
    <col min="14858" max="15104" width="8.88671875" style="2"/>
    <col min="15105" max="15105" width="22" style="2" bestFit="1" customWidth="1"/>
    <col min="15106" max="15112" width="8.88671875" style="2"/>
    <col min="15113" max="15113" width="3.33203125" style="2" customWidth="1"/>
    <col min="15114" max="15360" width="8.88671875" style="2"/>
    <col min="15361" max="15361" width="22" style="2" bestFit="1" customWidth="1"/>
    <col min="15362" max="15368" width="8.88671875" style="2"/>
    <col min="15369" max="15369" width="3.33203125" style="2" customWidth="1"/>
    <col min="15370" max="15616" width="8.88671875" style="2"/>
    <col min="15617" max="15617" width="22" style="2" bestFit="1" customWidth="1"/>
    <col min="15618" max="15624" width="8.88671875" style="2"/>
    <col min="15625" max="15625" width="3.33203125" style="2" customWidth="1"/>
    <col min="15626" max="15872" width="8.88671875" style="2"/>
    <col min="15873" max="15873" width="22" style="2" bestFit="1" customWidth="1"/>
    <col min="15874" max="15880" width="8.88671875" style="2"/>
    <col min="15881" max="15881" width="3.33203125" style="2" customWidth="1"/>
    <col min="15882" max="16128" width="8.88671875" style="2"/>
    <col min="16129" max="16129" width="22" style="2" bestFit="1" customWidth="1"/>
    <col min="16130" max="16136" width="8.88671875" style="2"/>
    <col min="16137" max="16137" width="3.33203125" style="2" customWidth="1"/>
    <col min="16138" max="16384" width="8.88671875" style="2"/>
  </cols>
  <sheetData>
    <row r="1" spans="1:8" ht="36" customHeight="1" x14ac:dyDescent="0.25">
      <c r="A1" s="1" t="s">
        <v>29</v>
      </c>
      <c r="B1" s="1"/>
      <c r="C1" s="1"/>
      <c r="D1" s="1"/>
      <c r="E1" s="1"/>
      <c r="F1" s="1"/>
      <c r="G1" s="1"/>
      <c r="H1" s="1"/>
    </row>
    <row r="2" spans="1:8" x14ac:dyDescent="0.25">
      <c r="A2" s="13" t="s">
        <v>21</v>
      </c>
    </row>
    <row r="3" spans="1:8" x14ac:dyDescent="0.25">
      <c r="A3" s="14" t="s">
        <v>22</v>
      </c>
      <c r="B3" s="2">
        <v>-5</v>
      </c>
    </row>
    <row r="4" spans="1:8" x14ac:dyDescent="0.25">
      <c r="A4" s="14" t="s">
        <v>23</v>
      </c>
      <c r="B4" s="2">
        <v>1</v>
      </c>
    </row>
    <row r="5" spans="1:8" x14ac:dyDescent="0.25">
      <c r="A5" s="15" t="s">
        <v>24</v>
      </c>
    </row>
    <row r="6" spans="1:8" x14ac:dyDescent="0.25">
      <c r="A6" s="14" t="s">
        <v>25</v>
      </c>
      <c r="B6" s="2">
        <v>4</v>
      </c>
    </row>
    <row r="7" spans="1:8" x14ac:dyDescent="0.25">
      <c r="A7" s="14" t="s">
        <v>26</v>
      </c>
      <c r="B7" s="2">
        <v>5</v>
      </c>
    </row>
    <row r="8" spans="1:8" x14ac:dyDescent="0.25">
      <c r="A8" s="16" t="s">
        <v>27</v>
      </c>
      <c r="B8" s="3">
        <f ca="1">SUM(OFFSET(B22:H31,B3,B4,B6,B7))</f>
        <v>899</v>
      </c>
      <c r="C8" s="2" t="str">
        <f ca="1">[1]!getformula(B8)</f>
        <v>&lt;--  =SUM(OFFSET(B22:H31,B3,B4,B6,B7))</v>
      </c>
    </row>
    <row r="9" spans="1:8" s="13" customFormat="1" x14ac:dyDescent="0.25">
      <c r="A9" s="17" t="s">
        <v>28</v>
      </c>
      <c r="B9" s="3">
        <f>SUM(C17:G20)</f>
        <v>899</v>
      </c>
      <c r="C9" s="2" t="str">
        <f ca="1">[1]!getformula(B9)</f>
        <v>&lt;--  =SUM(C17:G20)</v>
      </c>
    </row>
    <row r="10" spans="1:8" x14ac:dyDescent="0.25">
      <c r="A10" s="14"/>
    </row>
    <row r="11" spans="1:8" x14ac:dyDescent="0.25">
      <c r="A11" s="2">
        <v>89</v>
      </c>
      <c r="B11" s="2">
        <v>34</v>
      </c>
      <c r="C11" s="2">
        <v>72</v>
      </c>
      <c r="D11" s="2">
        <v>42</v>
      </c>
      <c r="E11" s="2">
        <v>41</v>
      </c>
      <c r="F11" s="2">
        <v>89</v>
      </c>
      <c r="G11" s="2">
        <v>75</v>
      </c>
      <c r="H11" s="2">
        <v>41</v>
      </c>
    </row>
    <row r="12" spans="1:8" x14ac:dyDescent="0.25">
      <c r="A12" s="2">
        <v>33</v>
      </c>
      <c r="B12" s="2">
        <v>6</v>
      </c>
      <c r="C12" s="2">
        <v>49</v>
      </c>
      <c r="D12" s="2">
        <v>7</v>
      </c>
      <c r="E12" s="2">
        <v>62</v>
      </c>
      <c r="F12" s="2">
        <v>50</v>
      </c>
      <c r="G12" s="2">
        <v>38</v>
      </c>
      <c r="H12" s="2">
        <v>17</v>
      </c>
    </row>
    <row r="13" spans="1:8" x14ac:dyDescent="0.25">
      <c r="A13" s="2">
        <v>71</v>
      </c>
      <c r="B13" s="2">
        <v>69</v>
      </c>
      <c r="C13" s="2">
        <v>42</v>
      </c>
      <c r="D13" s="2">
        <v>68</v>
      </c>
      <c r="E13" s="2">
        <v>39</v>
      </c>
      <c r="F13" s="2">
        <v>75</v>
      </c>
      <c r="G13" s="2">
        <v>32</v>
      </c>
      <c r="H13" s="2">
        <v>77</v>
      </c>
    </row>
    <row r="14" spans="1:8" x14ac:dyDescent="0.25">
      <c r="A14" s="2">
        <v>1</v>
      </c>
      <c r="B14" s="2">
        <v>69</v>
      </c>
      <c r="C14" s="2">
        <v>8</v>
      </c>
      <c r="D14" s="2">
        <v>79</v>
      </c>
      <c r="E14" s="2">
        <v>40</v>
      </c>
      <c r="F14" s="2">
        <v>8</v>
      </c>
      <c r="G14" s="2">
        <v>67</v>
      </c>
      <c r="H14" s="2">
        <v>46</v>
      </c>
    </row>
    <row r="15" spans="1:8" x14ac:dyDescent="0.25">
      <c r="A15" s="2">
        <v>70</v>
      </c>
      <c r="B15" s="2">
        <v>12</v>
      </c>
      <c r="C15" s="2">
        <v>44</v>
      </c>
      <c r="D15" s="2">
        <v>48</v>
      </c>
      <c r="E15" s="2">
        <v>88</v>
      </c>
      <c r="F15" s="2">
        <v>27</v>
      </c>
      <c r="G15" s="2">
        <v>38</v>
      </c>
      <c r="H15" s="2">
        <v>51</v>
      </c>
    </row>
    <row r="16" spans="1:8" x14ac:dyDescent="0.25">
      <c r="A16" s="2">
        <v>85</v>
      </c>
      <c r="B16" s="2">
        <v>0</v>
      </c>
      <c r="C16" s="2">
        <v>23</v>
      </c>
      <c r="D16" s="2">
        <v>35</v>
      </c>
      <c r="E16" s="2">
        <v>83</v>
      </c>
      <c r="F16" s="2">
        <v>30</v>
      </c>
      <c r="G16" s="2">
        <v>17</v>
      </c>
      <c r="H16" s="2">
        <v>52</v>
      </c>
    </row>
    <row r="17" spans="1:8" x14ac:dyDescent="0.25">
      <c r="A17" s="2">
        <v>30</v>
      </c>
      <c r="B17" s="2">
        <v>50</v>
      </c>
      <c r="C17" s="3">
        <v>16</v>
      </c>
      <c r="D17" s="3">
        <v>28</v>
      </c>
      <c r="E17" s="3">
        <v>73</v>
      </c>
      <c r="F17" s="3">
        <v>4</v>
      </c>
      <c r="G17" s="3">
        <v>55</v>
      </c>
      <c r="H17" s="2">
        <v>68</v>
      </c>
    </row>
    <row r="18" spans="1:8" x14ac:dyDescent="0.25">
      <c r="A18" s="2">
        <v>35</v>
      </c>
      <c r="B18" s="2">
        <v>56</v>
      </c>
      <c r="C18" s="3">
        <v>31</v>
      </c>
      <c r="D18" s="3">
        <v>24</v>
      </c>
      <c r="E18" s="3">
        <v>15</v>
      </c>
      <c r="F18" s="3">
        <v>47</v>
      </c>
      <c r="G18" s="3">
        <v>89</v>
      </c>
      <c r="H18" s="2">
        <v>88</v>
      </c>
    </row>
    <row r="19" spans="1:8" x14ac:dyDescent="0.25">
      <c r="A19" s="2">
        <v>99</v>
      </c>
      <c r="B19" s="2">
        <v>31</v>
      </c>
      <c r="C19" s="3">
        <v>55</v>
      </c>
      <c r="D19" s="3">
        <v>60</v>
      </c>
      <c r="E19" s="3">
        <v>45</v>
      </c>
      <c r="F19" s="3">
        <v>24</v>
      </c>
      <c r="G19" s="3">
        <v>28</v>
      </c>
      <c r="H19" s="2">
        <v>3</v>
      </c>
    </row>
    <row r="20" spans="1:8" x14ac:dyDescent="0.25">
      <c r="A20" s="2">
        <v>93</v>
      </c>
      <c r="B20" s="2">
        <v>72</v>
      </c>
      <c r="C20" s="3">
        <v>7</v>
      </c>
      <c r="D20" s="3">
        <v>75</v>
      </c>
      <c r="E20" s="3">
        <v>90</v>
      </c>
      <c r="F20" s="3">
        <v>81</v>
      </c>
      <c r="G20" s="3">
        <v>52</v>
      </c>
      <c r="H20" s="2">
        <v>71</v>
      </c>
    </row>
    <row r="21" spans="1:8" ht="13.8" thickBot="1" x14ac:dyDescent="0.3">
      <c r="A21" s="2">
        <v>62</v>
      </c>
      <c r="B21" s="2">
        <v>56</v>
      </c>
      <c r="C21" s="2">
        <v>55</v>
      </c>
      <c r="D21" s="2">
        <v>19</v>
      </c>
      <c r="E21" s="2">
        <v>73</v>
      </c>
      <c r="F21" s="2">
        <v>81</v>
      </c>
      <c r="G21" s="2">
        <v>33</v>
      </c>
      <c r="H21" s="2">
        <v>76</v>
      </c>
    </row>
    <row r="22" spans="1:8" x14ac:dyDescent="0.25">
      <c r="A22" s="2">
        <v>87</v>
      </c>
      <c r="B22" s="18">
        <v>27</v>
      </c>
      <c r="C22" s="19">
        <v>80</v>
      </c>
      <c r="D22" s="19">
        <v>38</v>
      </c>
      <c r="E22" s="19">
        <v>65</v>
      </c>
      <c r="F22" s="19">
        <v>61</v>
      </c>
      <c r="G22" s="19">
        <v>38</v>
      </c>
      <c r="H22" s="20">
        <v>68</v>
      </c>
    </row>
    <row r="23" spans="1:8" x14ac:dyDescent="0.25">
      <c r="A23" s="2">
        <v>10</v>
      </c>
      <c r="B23" s="21">
        <v>59</v>
      </c>
      <c r="C23" s="2">
        <v>27</v>
      </c>
      <c r="D23" s="2">
        <v>81</v>
      </c>
      <c r="E23" s="2">
        <v>6</v>
      </c>
      <c r="F23" s="2">
        <v>83</v>
      </c>
      <c r="G23" s="2">
        <v>51</v>
      </c>
      <c r="H23" s="22">
        <v>1</v>
      </c>
    </row>
    <row r="24" spans="1:8" x14ac:dyDescent="0.25">
      <c r="A24" s="2">
        <v>70</v>
      </c>
      <c r="B24" s="21">
        <v>88</v>
      </c>
      <c r="C24" s="2">
        <v>44</v>
      </c>
      <c r="D24" s="2">
        <v>35</v>
      </c>
      <c r="E24" s="2">
        <v>70</v>
      </c>
      <c r="F24" s="2">
        <v>35</v>
      </c>
      <c r="G24" s="2">
        <v>0</v>
      </c>
      <c r="H24" s="22">
        <v>82</v>
      </c>
    </row>
    <row r="25" spans="1:8" x14ac:dyDescent="0.25">
      <c r="A25" s="2">
        <v>98</v>
      </c>
      <c r="B25" s="21">
        <v>45</v>
      </c>
      <c r="C25" s="2">
        <v>17</v>
      </c>
      <c r="D25" s="2">
        <v>45</v>
      </c>
      <c r="E25" s="2">
        <v>89</v>
      </c>
      <c r="F25" s="2">
        <v>19</v>
      </c>
      <c r="G25" s="2">
        <v>58</v>
      </c>
      <c r="H25" s="22">
        <v>42</v>
      </c>
    </row>
    <row r="26" spans="1:8" x14ac:dyDescent="0.25">
      <c r="A26" s="2">
        <v>83</v>
      </c>
      <c r="B26" s="21">
        <v>75</v>
      </c>
      <c r="C26" s="2">
        <v>21</v>
      </c>
      <c r="D26" s="2">
        <v>13</v>
      </c>
      <c r="E26" s="2">
        <v>80</v>
      </c>
      <c r="F26" s="2">
        <v>9</v>
      </c>
      <c r="G26" s="2">
        <v>18</v>
      </c>
      <c r="H26" s="22">
        <v>64</v>
      </c>
    </row>
    <row r="27" spans="1:8" x14ac:dyDescent="0.25">
      <c r="A27" s="2">
        <v>32</v>
      </c>
      <c r="B27" s="21">
        <v>23</v>
      </c>
      <c r="C27" s="2">
        <v>4</v>
      </c>
      <c r="D27" s="2">
        <v>86</v>
      </c>
      <c r="E27" s="2">
        <v>88</v>
      </c>
      <c r="F27" s="2">
        <v>52</v>
      </c>
      <c r="G27" s="2">
        <v>52</v>
      </c>
      <c r="H27" s="22">
        <v>69</v>
      </c>
    </row>
    <row r="28" spans="1:8" x14ac:dyDescent="0.25">
      <c r="A28" s="2">
        <v>76</v>
      </c>
      <c r="B28" s="21">
        <v>61</v>
      </c>
      <c r="C28" s="2">
        <v>72</v>
      </c>
      <c r="D28" s="2">
        <v>28</v>
      </c>
      <c r="E28" s="2">
        <v>83</v>
      </c>
      <c r="F28" s="2">
        <v>1</v>
      </c>
      <c r="G28" s="2">
        <v>32</v>
      </c>
      <c r="H28" s="22">
        <v>38</v>
      </c>
    </row>
    <row r="29" spans="1:8" x14ac:dyDescent="0.25">
      <c r="A29" s="2">
        <v>64</v>
      </c>
      <c r="B29" s="21">
        <v>87</v>
      </c>
      <c r="C29" s="2">
        <v>32</v>
      </c>
      <c r="D29" s="2">
        <v>67</v>
      </c>
      <c r="E29" s="2">
        <v>50</v>
      </c>
      <c r="F29" s="2">
        <v>73</v>
      </c>
      <c r="G29" s="2">
        <v>19</v>
      </c>
      <c r="H29" s="22">
        <v>83</v>
      </c>
    </row>
    <row r="30" spans="1:8" x14ac:dyDescent="0.25">
      <c r="A30" s="2">
        <v>54</v>
      </c>
      <c r="B30" s="21">
        <v>55</v>
      </c>
      <c r="C30" s="2">
        <v>57</v>
      </c>
      <c r="D30" s="2">
        <v>64</v>
      </c>
      <c r="E30" s="2">
        <v>80</v>
      </c>
      <c r="F30" s="2">
        <v>29</v>
      </c>
      <c r="G30" s="2">
        <v>17</v>
      </c>
      <c r="H30" s="22">
        <v>92</v>
      </c>
    </row>
    <row r="31" spans="1:8" ht="13.8" thickBot="1" x14ac:dyDescent="0.3">
      <c r="A31" s="2">
        <v>12</v>
      </c>
      <c r="B31" s="23">
        <v>95</v>
      </c>
      <c r="C31" s="24">
        <v>66</v>
      </c>
      <c r="D31" s="24">
        <v>59</v>
      </c>
      <c r="E31" s="24">
        <v>48</v>
      </c>
      <c r="F31" s="24">
        <v>78</v>
      </c>
      <c r="G31" s="24">
        <v>87</v>
      </c>
      <c r="H31" s="25">
        <v>23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5BDAD-3514-4353-B7DA-51E07EF82087}">
  <sheetPr codeName="Sheet61"/>
  <dimension ref="A1:H31"/>
  <sheetViews>
    <sheetView workbookViewId="0">
      <selection activeCell="K29" sqref="K29"/>
    </sheetView>
  </sheetViews>
  <sheetFormatPr defaultRowHeight="13.2" x14ac:dyDescent="0.25"/>
  <cols>
    <col min="1" max="1" width="22" style="2" bestFit="1" customWidth="1"/>
    <col min="2" max="256" width="8.88671875" style="2"/>
    <col min="257" max="257" width="22" style="2" bestFit="1" customWidth="1"/>
    <col min="258" max="512" width="8.88671875" style="2"/>
    <col min="513" max="513" width="22" style="2" bestFit="1" customWidth="1"/>
    <col min="514" max="768" width="8.88671875" style="2"/>
    <col min="769" max="769" width="22" style="2" bestFit="1" customWidth="1"/>
    <col min="770" max="1024" width="8.88671875" style="2"/>
    <col min="1025" max="1025" width="22" style="2" bestFit="1" customWidth="1"/>
    <col min="1026" max="1280" width="8.88671875" style="2"/>
    <col min="1281" max="1281" width="22" style="2" bestFit="1" customWidth="1"/>
    <col min="1282" max="1536" width="8.88671875" style="2"/>
    <col min="1537" max="1537" width="22" style="2" bestFit="1" customWidth="1"/>
    <col min="1538" max="1792" width="8.88671875" style="2"/>
    <col min="1793" max="1793" width="22" style="2" bestFit="1" customWidth="1"/>
    <col min="1794" max="2048" width="8.88671875" style="2"/>
    <col min="2049" max="2049" width="22" style="2" bestFit="1" customWidth="1"/>
    <col min="2050" max="2304" width="8.88671875" style="2"/>
    <col min="2305" max="2305" width="22" style="2" bestFit="1" customWidth="1"/>
    <col min="2306" max="2560" width="8.88671875" style="2"/>
    <col min="2561" max="2561" width="22" style="2" bestFit="1" customWidth="1"/>
    <col min="2562" max="2816" width="8.88671875" style="2"/>
    <col min="2817" max="2817" width="22" style="2" bestFit="1" customWidth="1"/>
    <col min="2818" max="3072" width="8.88671875" style="2"/>
    <col min="3073" max="3073" width="22" style="2" bestFit="1" customWidth="1"/>
    <col min="3074" max="3328" width="8.88671875" style="2"/>
    <col min="3329" max="3329" width="22" style="2" bestFit="1" customWidth="1"/>
    <col min="3330" max="3584" width="8.88671875" style="2"/>
    <col min="3585" max="3585" width="22" style="2" bestFit="1" customWidth="1"/>
    <col min="3586" max="3840" width="8.88671875" style="2"/>
    <col min="3841" max="3841" width="22" style="2" bestFit="1" customWidth="1"/>
    <col min="3842" max="4096" width="8.88671875" style="2"/>
    <col min="4097" max="4097" width="22" style="2" bestFit="1" customWidth="1"/>
    <col min="4098" max="4352" width="8.88671875" style="2"/>
    <col min="4353" max="4353" width="22" style="2" bestFit="1" customWidth="1"/>
    <col min="4354" max="4608" width="8.88671875" style="2"/>
    <col min="4609" max="4609" width="22" style="2" bestFit="1" customWidth="1"/>
    <col min="4610" max="4864" width="8.88671875" style="2"/>
    <col min="4865" max="4865" width="22" style="2" bestFit="1" customWidth="1"/>
    <col min="4866" max="5120" width="8.88671875" style="2"/>
    <col min="5121" max="5121" width="22" style="2" bestFit="1" customWidth="1"/>
    <col min="5122" max="5376" width="8.88671875" style="2"/>
    <col min="5377" max="5377" width="22" style="2" bestFit="1" customWidth="1"/>
    <col min="5378" max="5632" width="8.88671875" style="2"/>
    <col min="5633" max="5633" width="22" style="2" bestFit="1" customWidth="1"/>
    <col min="5634" max="5888" width="8.88671875" style="2"/>
    <col min="5889" max="5889" width="22" style="2" bestFit="1" customWidth="1"/>
    <col min="5890" max="6144" width="8.88671875" style="2"/>
    <col min="6145" max="6145" width="22" style="2" bestFit="1" customWidth="1"/>
    <col min="6146" max="6400" width="8.88671875" style="2"/>
    <col min="6401" max="6401" width="22" style="2" bestFit="1" customWidth="1"/>
    <col min="6402" max="6656" width="8.88671875" style="2"/>
    <col min="6657" max="6657" width="22" style="2" bestFit="1" customWidth="1"/>
    <col min="6658" max="6912" width="8.88671875" style="2"/>
    <col min="6913" max="6913" width="22" style="2" bestFit="1" customWidth="1"/>
    <col min="6914" max="7168" width="8.88671875" style="2"/>
    <col min="7169" max="7169" width="22" style="2" bestFit="1" customWidth="1"/>
    <col min="7170" max="7424" width="8.88671875" style="2"/>
    <col min="7425" max="7425" width="22" style="2" bestFit="1" customWidth="1"/>
    <col min="7426" max="7680" width="8.88671875" style="2"/>
    <col min="7681" max="7681" width="22" style="2" bestFit="1" customWidth="1"/>
    <col min="7682" max="7936" width="8.88671875" style="2"/>
    <col min="7937" max="7937" width="22" style="2" bestFit="1" customWidth="1"/>
    <col min="7938" max="8192" width="8.88671875" style="2"/>
    <col min="8193" max="8193" width="22" style="2" bestFit="1" customWidth="1"/>
    <col min="8194" max="8448" width="8.88671875" style="2"/>
    <col min="8449" max="8449" width="22" style="2" bestFit="1" customWidth="1"/>
    <col min="8450" max="8704" width="8.88671875" style="2"/>
    <col min="8705" max="8705" width="22" style="2" bestFit="1" customWidth="1"/>
    <col min="8706" max="8960" width="8.88671875" style="2"/>
    <col min="8961" max="8961" width="22" style="2" bestFit="1" customWidth="1"/>
    <col min="8962" max="9216" width="8.88671875" style="2"/>
    <col min="9217" max="9217" width="22" style="2" bestFit="1" customWidth="1"/>
    <col min="9218" max="9472" width="8.88671875" style="2"/>
    <col min="9473" max="9473" width="22" style="2" bestFit="1" customWidth="1"/>
    <col min="9474" max="9728" width="8.88671875" style="2"/>
    <col min="9729" max="9729" width="22" style="2" bestFit="1" customWidth="1"/>
    <col min="9730" max="9984" width="8.88671875" style="2"/>
    <col min="9985" max="9985" width="22" style="2" bestFit="1" customWidth="1"/>
    <col min="9986" max="10240" width="8.88671875" style="2"/>
    <col min="10241" max="10241" width="22" style="2" bestFit="1" customWidth="1"/>
    <col min="10242" max="10496" width="8.88671875" style="2"/>
    <col min="10497" max="10497" width="22" style="2" bestFit="1" customWidth="1"/>
    <col min="10498" max="10752" width="8.88671875" style="2"/>
    <col min="10753" max="10753" width="22" style="2" bestFit="1" customWidth="1"/>
    <col min="10754" max="11008" width="8.88671875" style="2"/>
    <col min="11009" max="11009" width="22" style="2" bestFit="1" customWidth="1"/>
    <col min="11010" max="11264" width="8.88671875" style="2"/>
    <col min="11265" max="11265" width="22" style="2" bestFit="1" customWidth="1"/>
    <col min="11266" max="11520" width="8.88671875" style="2"/>
    <col min="11521" max="11521" width="22" style="2" bestFit="1" customWidth="1"/>
    <col min="11522" max="11776" width="8.88671875" style="2"/>
    <col min="11777" max="11777" width="22" style="2" bestFit="1" customWidth="1"/>
    <col min="11778" max="12032" width="8.88671875" style="2"/>
    <col min="12033" max="12033" width="22" style="2" bestFit="1" customWidth="1"/>
    <col min="12034" max="12288" width="8.88671875" style="2"/>
    <col min="12289" max="12289" width="22" style="2" bestFit="1" customWidth="1"/>
    <col min="12290" max="12544" width="8.88671875" style="2"/>
    <col min="12545" max="12545" width="22" style="2" bestFit="1" customWidth="1"/>
    <col min="12546" max="12800" width="8.88671875" style="2"/>
    <col min="12801" max="12801" width="22" style="2" bestFit="1" customWidth="1"/>
    <col min="12802" max="13056" width="8.88671875" style="2"/>
    <col min="13057" max="13057" width="22" style="2" bestFit="1" customWidth="1"/>
    <col min="13058" max="13312" width="8.88671875" style="2"/>
    <col min="13313" max="13313" width="22" style="2" bestFit="1" customWidth="1"/>
    <col min="13314" max="13568" width="8.88671875" style="2"/>
    <col min="13569" max="13569" width="22" style="2" bestFit="1" customWidth="1"/>
    <col min="13570" max="13824" width="8.88671875" style="2"/>
    <col min="13825" max="13825" width="22" style="2" bestFit="1" customWidth="1"/>
    <col min="13826" max="14080" width="8.88671875" style="2"/>
    <col min="14081" max="14081" width="22" style="2" bestFit="1" customWidth="1"/>
    <col min="14082" max="14336" width="8.88671875" style="2"/>
    <col min="14337" max="14337" width="22" style="2" bestFit="1" customWidth="1"/>
    <col min="14338" max="14592" width="8.88671875" style="2"/>
    <col min="14593" max="14593" width="22" style="2" bestFit="1" customWidth="1"/>
    <col min="14594" max="14848" width="8.88671875" style="2"/>
    <col min="14849" max="14849" width="22" style="2" bestFit="1" customWidth="1"/>
    <col min="14850" max="15104" width="8.88671875" style="2"/>
    <col min="15105" max="15105" width="22" style="2" bestFit="1" customWidth="1"/>
    <col min="15106" max="15360" width="8.88671875" style="2"/>
    <col min="15361" max="15361" width="22" style="2" bestFit="1" customWidth="1"/>
    <col min="15362" max="15616" width="8.88671875" style="2"/>
    <col min="15617" max="15617" width="22" style="2" bestFit="1" customWidth="1"/>
    <col min="15618" max="15872" width="8.88671875" style="2"/>
    <col min="15873" max="15873" width="22" style="2" bestFit="1" customWidth="1"/>
    <col min="15874" max="16128" width="8.88671875" style="2"/>
    <col min="16129" max="16129" width="22" style="2" bestFit="1" customWidth="1"/>
    <col min="16130" max="16384" width="8.88671875" style="2"/>
  </cols>
  <sheetData>
    <row r="1" spans="1:8" ht="17.399999999999999" x14ac:dyDescent="0.3">
      <c r="A1" s="4" t="s">
        <v>20</v>
      </c>
      <c r="B1" s="4"/>
      <c r="C1" s="4"/>
      <c r="D1" s="4"/>
      <c r="E1" s="4"/>
      <c r="F1" s="4"/>
      <c r="G1" s="4"/>
      <c r="H1" s="4"/>
    </row>
    <row r="2" spans="1:8" x14ac:dyDescent="0.25">
      <c r="A2" s="13" t="s">
        <v>21</v>
      </c>
    </row>
    <row r="3" spans="1:8" x14ac:dyDescent="0.25">
      <c r="A3" s="14" t="s">
        <v>22</v>
      </c>
      <c r="B3" s="2">
        <v>3</v>
      </c>
    </row>
    <row r="4" spans="1:8" x14ac:dyDescent="0.25">
      <c r="A4" s="14" t="s">
        <v>23</v>
      </c>
      <c r="B4" s="2">
        <v>2</v>
      </c>
    </row>
    <row r="5" spans="1:8" x14ac:dyDescent="0.25">
      <c r="A5" s="15" t="s">
        <v>24</v>
      </c>
    </row>
    <row r="6" spans="1:8" x14ac:dyDescent="0.25">
      <c r="A6" s="14" t="s">
        <v>25</v>
      </c>
      <c r="B6" s="2">
        <v>4</v>
      </c>
    </row>
    <row r="7" spans="1:8" x14ac:dyDescent="0.25">
      <c r="A7" s="14" t="s">
        <v>26</v>
      </c>
      <c r="B7" s="2">
        <v>5</v>
      </c>
    </row>
    <row r="8" spans="1:8" x14ac:dyDescent="0.25">
      <c r="A8" s="16" t="s">
        <v>27</v>
      </c>
      <c r="B8" s="3">
        <f ca="1">SUM(OFFSET(A11:H31,B3,B4,B6,B7))</f>
        <v>811</v>
      </c>
      <c r="C8" s="2" t="e">
        <f ca="1">getformula(B8)</f>
        <v>#NAME?</v>
      </c>
    </row>
    <row r="9" spans="1:8" s="13" customFormat="1" x14ac:dyDescent="0.25">
      <c r="A9" s="17" t="s">
        <v>28</v>
      </c>
      <c r="B9" s="3">
        <f>SUM(C14:G17)</f>
        <v>811</v>
      </c>
      <c r="C9" s="2" t="e">
        <f ca="1">getformula(B9)</f>
        <v>#NAME?</v>
      </c>
    </row>
    <row r="10" spans="1:8" x14ac:dyDescent="0.25">
      <c r="A10" s="14"/>
    </row>
    <row r="11" spans="1:8" x14ac:dyDescent="0.25">
      <c r="A11" s="2">
        <v>89</v>
      </c>
      <c r="B11" s="2">
        <v>34</v>
      </c>
      <c r="C11" s="2">
        <v>72</v>
      </c>
      <c r="D11" s="2">
        <v>42</v>
      </c>
      <c r="E11" s="2">
        <v>41</v>
      </c>
      <c r="F11" s="2">
        <v>89</v>
      </c>
      <c r="G11" s="2">
        <v>75</v>
      </c>
      <c r="H11" s="2">
        <v>41</v>
      </c>
    </row>
    <row r="12" spans="1:8" x14ac:dyDescent="0.25">
      <c r="A12" s="2">
        <v>33</v>
      </c>
      <c r="B12" s="2">
        <v>6</v>
      </c>
      <c r="C12" s="2">
        <v>49</v>
      </c>
      <c r="D12" s="2">
        <v>7</v>
      </c>
      <c r="E12" s="2">
        <v>62</v>
      </c>
      <c r="F12" s="2">
        <v>50</v>
      </c>
      <c r="G12" s="2">
        <v>38</v>
      </c>
      <c r="H12" s="2">
        <v>17</v>
      </c>
    </row>
    <row r="13" spans="1:8" x14ac:dyDescent="0.25">
      <c r="A13" s="2">
        <v>71</v>
      </c>
      <c r="B13" s="2">
        <v>69</v>
      </c>
      <c r="C13" s="2">
        <v>42</v>
      </c>
      <c r="D13" s="2">
        <v>68</v>
      </c>
      <c r="E13" s="2">
        <v>39</v>
      </c>
      <c r="F13" s="2">
        <v>75</v>
      </c>
      <c r="G13" s="2">
        <v>32</v>
      </c>
      <c r="H13" s="2">
        <v>77</v>
      </c>
    </row>
    <row r="14" spans="1:8" x14ac:dyDescent="0.25">
      <c r="A14" s="2">
        <v>1</v>
      </c>
      <c r="B14" s="2">
        <v>69</v>
      </c>
      <c r="C14" s="3">
        <v>8</v>
      </c>
      <c r="D14" s="3">
        <v>79</v>
      </c>
      <c r="E14" s="3">
        <v>40</v>
      </c>
      <c r="F14" s="3">
        <v>8</v>
      </c>
      <c r="G14" s="3">
        <v>67</v>
      </c>
      <c r="H14" s="2">
        <v>46</v>
      </c>
    </row>
    <row r="15" spans="1:8" x14ac:dyDescent="0.25">
      <c r="A15" s="2">
        <v>70</v>
      </c>
      <c r="B15" s="2">
        <v>12</v>
      </c>
      <c r="C15" s="3">
        <v>44</v>
      </c>
      <c r="D15" s="3">
        <v>48</v>
      </c>
      <c r="E15" s="3">
        <v>88</v>
      </c>
      <c r="F15" s="3">
        <v>27</v>
      </c>
      <c r="G15" s="3">
        <v>38</v>
      </c>
      <c r="H15" s="2">
        <v>51</v>
      </c>
    </row>
    <row r="16" spans="1:8" x14ac:dyDescent="0.25">
      <c r="A16" s="2">
        <v>85</v>
      </c>
      <c r="B16" s="2">
        <v>0</v>
      </c>
      <c r="C16" s="3">
        <v>23</v>
      </c>
      <c r="D16" s="3">
        <v>35</v>
      </c>
      <c r="E16" s="3">
        <v>83</v>
      </c>
      <c r="F16" s="3">
        <v>30</v>
      </c>
      <c r="G16" s="3">
        <v>17</v>
      </c>
      <c r="H16" s="2">
        <v>52</v>
      </c>
    </row>
    <row r="17" spans="1:8" x14ac:dyDescent="0.25">
      <c r="A17" s="2">
        <v>30</v>
      </c>
      <c r="B17" s="2">
        <v>50</v>
      </c>
      <c r="C17" s="3">
        <v>16</v>
      </c>
      <c r="D17" s="3">
        <v>28</v>
      </c>
      <c r="E17" s="3">
        <v>73</v>
      </c>
      <c r="F17" s="3">
        <v>4</v>
      </c>
      <c r="G17" s="3">
        <v>55</v>
      </c>
      <c r="H17" s="2">
        <v>68</v>
      </c>
    </row>
    <row r="18" spans="1:8" x14ac:dyDescent="0.25">
      <c r="A18" s="2">
        <v>35</v>
      </c>
      <c r="B18" s="2">
        <v>56</v>
      </c>
      <c r="C18" s="2">
        <v>31</v>
      </c>
      <c r="D18" s="2">
        <v>24</v>
      </c>
      <c r="E18" s="2">
        <v>15</v>
      </c>
      <c r="F18" s="2">
        <v>47</v>
      </c>
      <c r="G18" s="2">
        <v>89</v>
      </c>
      <c r="H18" s="2">
        <v>88</v>
      </c>
    </row>
    <row r="19" spans="1:8" x14ac:dyDescent="0.25">
      <c r="A19" s="2">
        <v>99</v>
      </c>
      <c r="B19" s="2">
        <v>31</v>
      </c>
      <c r="C19" s="2">
        <v>55</v>
      </c>
      <c r="D19" s="2">
        <v>60</v>
      </c>
      <c r="E19" s="2">
        <v>45</v>
      </c>
      <c r="F19" s="2">
        <v>24</v>
      </c>
      <c r="G19" s="2">
        <v>28</v>
      </c>
      <c r="H19" s="2">
        <v>3</v>
      </c>
    </row>
    <row r="20" spans="1:8" x14ac:dyDescent="0.25">
      <c r="A20" s="2">
        <v>93</v>
      </c>
      <c r="B20" s="2">
        <v>72</v>
      </c>
      <c r="C20" s="2">
        <v>7</v>
      </c>
      <c r="D20" s="2">
        <v>75</v>
      </c>
      <c r="E20" s="2">
        <v>90</v>
      </c>
      <c r="F20" s="2">
        <v>81</v>
      </c>
      <c r="G20" s="2">
        <v>52</v>
      </c>
      <c r="H20" s="2">
        <v>71</v>
      </c>
    </row>
    <row r="21" spans="1:8" x14ac:dyDescent="0.25">
      <c r="A21" s="2">
        <v>62</v>
      </c>
      <c r="B21" s="2">
        <v>56</v>
      </c>
      <c r="C21" s="2">
        <v>55</v>
      </c>
      <c r="D21" s="2">
        <v>19</v>
      </c>
      <c r="E21" s="2">
        <v>73</v>
      </c>
      <c r="F21" s="2">
        <v>81</v>
      </c>
      <c r="G21" s="2">
        <v>33</v>
      </c>
      <c r="H21" s="2">
        <v>76</v>
      </c>
    </row>
    <row r="22" spans="1:8" x14ac:dyDescent="0.25">
      <c r="A22" s="2">
        <v>87</v>
      </c>
      <c r="B22" s="2">
        <v>27</v>
      </c>
      <c r="C22" s="2">
        <v>80</v>
      </c>
      <c r="D22" s="2">
        <v>38</v>
      </c>
      <c r="E22" s="2">
        <v>65</v>
      </c>
      <c r="F22" s="2">
        <v>61</v>
      </c>
      <c r="G22" s="2">
        <v>38</v>
      </c>
      <c r="H22" s="2">
        <v>68</v>
      </c>
    </row>
    <row r="23" spans="1:8" x14ac:dyDescent="0.25">
      <c r="A23" s="2">
        <v>10</v>
      </c>
      <c r="B23" s="2">
        <v>59</v>
      </c>
      <c r="C23" s="2">
        <v>27</v>
      </c>
      <c r="D23" s="2">
        <v>81</v>
      </c>
      <c r="E23" s="2">
        <v>6</v>
      </c>
      <c r="F23" s="2">
        <v>83</v>
      </c>
      <c r="G23" s="2">
        <v>51</v>
      </c>
      <c r="H23" s="2">
        <v>1</v>
      </c>
    </row>
    <row r="24" spans="1:8" x14ac:dyDescent="0.25">
      <c r="A24" s="2">
        <v>70</v>
      </c>
      <c r="B24" s="2">
        <v>88</v>
      </c>
      <c r="C24" s="2">
        <v>44</v>
      </c>
      <c r="D24" s="2">
        <v>35</v>
      </c>
      <c r="E24" s="2">
        <v>70</v>
      </c>
      <c r="F24" s="2">
        <v>35</v>
      </c>
      <c r="G24" s="2">
        <v>0</v>
      </c>
      <c r="H24" s="2">
        <v>82</v>
      </c>
    </row>
    <row r="25" spans="1:8" x14ac:dyDescent="0.25">
      <c r="A25" s="2">
        <v>98</v>
      </c>
      <c r="B25" s="2">
        <v>45</v>
      </c>
      <c r="C25" s="2">
        <v>17</v>
      </c>
      <c r="D25" s="2">
        <v>45</v>
      </c>
      <c r="E25" s="2">
        <v>89</v>
      </c>
      <c r="F25" s="2">
        <v>19</v>
      </c>
      <c r="G25" s="2">
        <v>58</v>
      </c>
      <c r="H25" s="2">
        <v>42</v>
      </c>
    </row>
    <row r="26" spans="1:8" x14ac:dyDescent="0.25">
      <c r="A26" s="2">
        <v>83</v>
      </c>
      <c r="B26" s="2">
        <v>75</v>
      </c>
      <c r="C26" s="2">
        <v>21</v>
      </c>
      <c r="D26" s="2">
        <v>13</v>
      </c>
      <c r="E26" s="2">
        <v>80</v>
      </c>
      <c r="F26" s="2">
        <v>9</v>
      </c>
      <c r="G26" s="2">
        <v>18</v>
      </c>
      <c r="H26" s="2">
        <v>64</v>
      </c>
    </row>
    <row r="27" spans="1:8" x14ac:dyDescent="0.25">
      <c r="A27" s="2">
        <v>32</v>
      </c>
      <c r="B27" s="2">
        <v>23</v>
      </c>
      <c r="C27" s="2">
        <v>4</v>
      </c>
      <c r="D27" s="2">
        <v>86</v>
      </c>
      <c r="E27" s="2">
        <v>88</v>
      </c>
      <c r="F27" s="2">
        <v>52</v>
      </c>
      <c r="G27" s="2">
        <v>52</v>
      </c>
      <c r="H27" s="2">
        <v>69</v>
      </c>
    </row>
    <row r="28" spans="1:8" x14ac:dyDescent="0.25">
      <c r="A28" s="2">
        <v>76</v>
      </c>
      <c r="B28" s="2">
        <v>61</v>
      </c>
      <c r="C28" s="2">
        <v>72</v>
      </c>
      <c r="D28" s="2">
        <v>28</v>
      </c>
      <c r="E28" s="2">
        <v>83</v>
      </c>
      <c r="F28" s="2">
        <v>1</v>
      </c>
      <c r="G28" s="2">
        <v>32</v>
      </c>
      <c r="H28" s="2">
        <v>38</v>
      </c>
    </row>
    <row r="29" spans="1:8" x14ac:dyDescent="0.25">
      <c r="A29" s="2">
        <v>64</v>
      </c>
      <c r="B29" s="2">
        <v>87</v>
      </c>
      <c r="C29" s="2">
        <v>32</v>
      </c>
      <c r="D29" s="2">
        <v>67</v>
      </c>
      <c r="E29" s="2">
        <v>50</v>
      </c>
      <c r="F29" s="2">
        <v>73</v>
      </c>
      <c r="G29" s="2">
        <v>19</v>
      </c>
      <c r="H29" s="2">
        <v>83</v>
      </c>
    </row>
    <row r="30" spans="1:8" x14ac:dyDescent="0.25">
      <c r="A30" s="2">
        <v>54</v>
      </c>
      <c r="B30" s="2">
        <v>55</v>
      </c>
      <c r="C30" s="2">
        <v>57</v>
      </c>
      <c r="D30" s="2">
        <v>64</v>
      </c>
      <c r="E30" s="2">
        <v>80</v>
      </c>
      <c r="F30" s="2">
        <v>29</v>
      </c>
      <c r="G30" s="2">
        <v>17</v>
      </c>
      <c r="H30" s="2">
        <v>92</v>
      </c>
    </row>
    <row r="31" spans="1:8" x14ac:dyDescent="0.25">
      <c r="A31" s="2">
        <v>12</v>
      </c>
      <c r="B31" s="2">
        <v>95</v>
      </c>
      <c r="C31" s="2">
        <v>66</v>
      </c>
      <c r="D31" s="2">
        <v>59</v>
      </c>
      <c r="E31" s="2">
        <v>48</v>
      </c>
      <c r="F31" s="2">
        <v>78</v>
      </c>
      <c r="G31" s="2">
        <v>87</v>
      </c>
      <c r="H31" s="2">
        <v>23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ABE03-D8A2-4A6A-B134-323EBCD85744}">
  <sheetPr codeName="Sheet59"/>
  <dimension ref="A1:H27"/>
  <sheetViews>
    <sheetView workbookViewId="0">
      <selection activeCell="H21" sqref="H21"/>
    </sheetView>
  </sheetViews>
  <sheetFormatPr defaultRowHeight="13.2" x14ac:dyDescent="0.25"/>
  <cols>
    <col min="1" max="3" width="8.88671875" style="2"/>
    <col min="4" max="4" width="14.33203125" style="2" bestFit="1" customWidth="1"/>
    <col min="5" max="5" width="3" style="2" customWidth="1"/>
    <col min="6" max="6" width="23.5546875" style="2" bestFit="1" customWidth="1"/>
    <col min="7" max="7" width="8.88671875" style="2"/>
    <col min="8" max="8" width="41.33203125" style="2" customWidth="1"/>
    <col min="9" max="259" width="8.88671875" style="2"/>
    <col min="260" max="260" width="14.33203125" style="2" bestFit="1" customWidth="1"/>
    <col min="261" max="261" width="3" style="2" customWidth="1"/>
    <col min="262" max="262" width="23.5546875" style="2" bestFit="1" customWidth="1"/>
    <col min="263" max="263" width="8.88671875" style="2"/>
    <col min="264" max="264" width="41.33203125" style="2" customWidth="1"/>
    <col min="265" max="515" width="8.88671875" style="2"/>
    <col min="516" max="516" width="14.33203125" style="2" bestFit="1" customWidth="1"/>
    <col min="517" max="517" width="3" style="2" customWidth="1"/>
    <col min="518" max="518" width="23.5546875" style="2" bestFit="1" customWidth="1"/>
    <col min="519" max="519" width="8.88671875" style="2"/>
    <col min="520" max="520" width="41.33203125" style="2" customWidth="1"/>
    <col min="521" max="771" width="8.88671875" style="2"/>
    <col min="772" max="772" width="14.33203125" style="2" bestFit="1" customWidth="1"/>
    <col min="773" max="773" width="3" style="2" customWidth="1"/>
    <col min="774" max="774" width="23.5546875" style="2" bestFit="1" customWidth="1"/>
    <col min="775" max="775" width="8.88671875" style="2"/>
    <col min="776" max="776" width="41.33203125" style="2" customWidth="1"/>
    <col min="777" max="1027" width="8.88671875" style="2"/>
    <col min="1028" max="1028" width="14.33203125" style="2" bestFit="1" customWidth="1"/>
    <col min="1029" max="1029" width="3" style="2" customWidth="1"/>
    <col min="1030" max="1030" width="23.5546875" style="2" bestFit="1" customWidth="1"/>
    <col min="1031" max="1031" width="8.88671875" style="2"/>
    <col min="1032" max="1032" width="41.33203125" style="2" customWidth="1"/>
    <col min="1033" max="1283" width="8.88671875" style="2"/>
    <col min="1284" max="1284" width="14.33203125" style="2" bestFit="1" customWidth="1"/>
    <col min="1285" max="1285" width="3" style="2" customWidth="1"/>
    <col min="1286" max="1286" width="23.5546875" style="2" bestFit="1" customWidth="1"/>
    <col min="1287" max="1287" width="8.88671875" style="2"/>
    <col min="1288" max="1288" width="41.33203125" style="2" customWidth="1"/>
    <col min="1289" max="1539" width="8.88671875" style="2"/>
    <col min="1540" max="1540" width="14.33203125" style="2" bestFit="1" customWidth="1"/>
    <col min="1541" max="1541" width="3" style="2" customWidth="1"/>
    <col min="1542" max="1542" width="23.5546875" style="2" bestFit="1" customWidth="1"/>
    <col min="1543" max="1543" width="8.88671875" style="2"/>
    <col min="1544" max="1544" width="41.33203125" style="2" customWidth="1"/>
    <col min="1545" max="1795" width="8.88671875" style="2"/>
    <col min="1796" max="1796" width="14.33203125" style="2" bestFit="1" customWidth="1"/>
    <col min="1797" max="1797" width="3" style="2" customWidth="1"/>
    <col min="1798" max="1798" width="23.5546875" style="2" bestFit="1" customWidth="1"/>
    <col min="1799" max="1799" width="8.88671875" style="2"/>
    <col min="1800" max="1800" width="41.33203125" style="2" customWidth="1"/>
    <col min="1801" max="2051" width="8.88671875" style="2"/>
    <col min="2052" max="2052" width="14.33203125" style="2" bestFit="1" customWidth="1"/>
    <col min="2053" max="2053" width="3" style="2" customWidth="1"/>
    <col min="2054" max="2054" width="23.5546875" style="2" bestFit="1" customWidth="1"/>
    <col min="2055" max="2055" width="8.88671875" style="2"/>
    <col min="2056" max="2056" width="41.33203125" style="2" customWidth="1"/>
    <col min="2057" max="2307" width="8.88671875" style="2"/>
    <col min="2308" max="2308" width="14.33203125" style="2" bestFit="1" customWidth="1"/>
    <col min="2309" max="2309" width="3" style="2" customWidth="1"/>
    <col min="2310" max="2310" width="23.5546875" style="2" bestFit="1" customWidth="1"/>
    <col min="2311" max="2311" width="8.88671875" style="2"/>
    <col min="2312" max="2312" width="41.33203125" style="2" customWidth="1"/>
    <col min="2313" max="2563" width="8.88671875" style="2"/>
    <col min="2564" max="2564" width="14.33203125" style="2" bestFit="1" customWidth="1"/>
    <col min="2565" max="2565" width="3" style="2" customWidth="1"/>
    <col min="2566" max="2566" width="23.5546875" style="2" bestFit="1" customWidth="1"/>
    <col min="2567" max="2567" width="8.88671875" style="2"/>
    <col min="2568" max="2568" width="41.33203125" style="2" customWidth="1"/>
    <col min="2569" max="2819" width="8.88671875" style="2"/>
    <col min="2820" max="2820" width="14.33203125" style="2" bestFit="1" customWidth="1"/>
    <col min="2821" max="2821" width="3" style="2" customWidth="1"/>
    <col min="2822" max="2822" width="23.5546875" style="2" bestFit="1" customWidth="1"/>
    <col min="2823" max="2823" width="8.88671875" style="2"/>
    <col min="2824" max="2824" width="41.33203125" style="2" customWidth="1"/>
    <col min="2825" max="3075" width="8.88671875" style="2"/>
    <col min="3076" max="3076" width="14.33203125" style="2" bestFit="1" customWidth="1"/>
    <col min="3077" max="3077" width="3" style="2" customWidth="1"/>
    <col min="3078" max="3078" width="23.5546875" style="2" bestFit="1" customWidth="1"/>
    <col min="3079" max="3079" width="8.88671875" style="2"/>
    <col min="3080" max="3080" width="41.33203125" style="2" customWidth="1"/>
    <col min="3081" max="3331" width="8.88671875" style="2"/>
    <col min="3332" max="3332" width="14.33203125" style="2" bestFit="1" customWidth="1"/>
    <col min="3333" max="3333" width="3" style="2" customWidth="1"/>
    <col min="3334" max="3334" width="23.5546875" style="2" bestFit="1" customWidth="1"/>
    <col min="3335" max="3335" width="8.88671875" style="2"/>
    <col min="3336" max="3336" width="41.33203125" style="2" customWidth="1"/>
    <col min="3337" max="3587" width="8.88671875" style="2"/>
    <col min="3588" max="3588" width="14.33203125" style="2" bestFit="1" customWidth="1"/>
    <col min="3589" max="3589" width="3" style="2" customWidth="1"/>
    <col min="3590" max="3590" width="23.5546875" style="2" bestFit="1" customWidth="1"/>
    <col min="3591" max="3591" width="8.88671875" style="2"/>
    <col min="3592" max="3592" width="41.33203125" style="2" customWidth="1"/>
    <col min="3593" max="3843" width="8.88671875" style="2"/>
    <col min="3844" max="3844" width="14.33203125" style="2" bestFit="1" customWidth="1"/>
    <col min="3845" max="3845" width="3" style="2" customWidth="1"/>
    <col min="3846" max="3846" width="23.5546875" style="2" bestFit="1" customWidth="1"/>
    <col min="3847" max="3847" width="8.88671875" style="2"/>
    <col min="3848" max="3848" width="41.33203125" style="2" customWidth="1"/>
    <col min="3849" max="4099" width="8.88671875" style="2"/>
    <col min="4100" max="4100" width="14.33203125" style="2" bestFit="1" customWidth="1"/>
    <col min="4101" max="4101" width="3" style="2" customWidth="1"/>
    <col min="4102" max="4102" width="23.5546875" style="2" bestFit="1" customWidth="1"/>
    <col min="4103" max="4103" width="8.88671875" style="2"/>
    <col min="4104" max="4104" width="41.33203125" style="2" customWidth="1"/>
    <col min="4105" max="4355" width="8.88671875" style="2"/>
    <col min="4356" max="4356" width="14.33203125" style="2" bestFit="1" customWidth="1"/>
    <col min="4357" max="4357" width="3" style="2" customWidth="1"/>
    <col min="4358" max="4358" width="23.5546875" style="2" bestFit="1" customWidth="1"/>
    <col min="4359" max="4359" width="8.88671875" style="2"/>
    <col min="4360" max="4360" width="41.33203125" style="2" customWidth="1"/>
    <col min="4361" max="4611" width="8.88671875" style="2"/>
    <col min="4612" max="4612" width="14.33203125" style="2" bestFit="1" customWidth="1"/>
    <col min="4613" max="4613" width="3" style="2" customWidth="1"/>
    <col min="4614" max="4614" width="23.5546875" style="2" bestFit="1" customWidth="1"/>
    <col min="4615" max="4615" width="8.88671875" style="2"/>
    <col min="4616" max="4616" width="41.33203125" style="2" customWidth="1"/>
    <col min="4617" max="4867" width="8.88671875" style="2"/>
    <col min="4868" max="4868" width="14.33203125" style="2" bestFit="1" customWidth="1"/>
    <col min="4869" max="4869" width="3" style="2" customWidth="1"/>
    <col min="4870" max="4870" width="23.5546875" style="2" bestFit="1" customWidth="1"/>
    <col min="4871" max="4871" width="8.88671875" style="2"/>
    <col min="4872" max="4872" width="41.33203125" style="2" customWidth="1"/>
    <col min="4873" max="5123" width="8.88671875" style="2"/>
    <col min="5124" max="5124" width="14.33203125" style="2" bestFit="1" customWidth="1"/>
    <col min="5125" max="5125" width="3" style="2" customWidth="1"/>
    <col min="5126" max="5126" width="23.5546875" style="2" bestFit="1" customWidth="1"/>
    <col min="5127" max="5127" width="8.88671875" style="2"/>
    <col min="5128" max="5128" width="41.33203125" style="2" customWidth="1"/>
    <col min="5129" max="5379" width="8.88671875" style="2"/>
    <col min="5380" max="5380" width="14.33203125" style="2" bestFit="1" customWidth="1"/>
    <col min="5381" max="5381" width="3" style="2" customWidth="1"/>
    <col min="5382" max="5382" width="23.5546875" style="2" bestFit="1" customWidth="1"/>
    <col min="5383" max="5383" width="8.88671875" style="2"/>
    <col min="5384" max="5384" width="41.33203125" style="2" customWidth="1"/>
    <col min="5385" max="5635" width="8.88671875" style="2"/>
    <col min="5636" max="5636" width="14.33203125" style="2" bestFit="1" customWidth="1"/>
    <col min="5637" max="5637" width="3" style="2" customWidth="1"/>
    <col min="5638" max="5638" width="23.5546875" style="2" bestFit="1" customWidth="1"/>
    <col min="5639" max="5639" width="8.88671875" style="2"/>
    <col min="5640" max="5640" width="41.33203125" style="2" customWidth="1"/>
    <col min="5641" max="5891" width="8.88671875" style="2"/>
    <col min="5892" max="5892" width="14.33203125" style="2" bestFit="1" customWidth="1"/>
    <col min="5893" max="5893" width="3" style="2" customWidth="1"/>
    <col min="5894" max="5894" width="23.5546875" style="2" bestFit="1" customWidth="1"/>
    <col min="5895" max="5895" width="8.88671875" style="2"/>
    <col min="5896" max="5896" width="41.33203125" style="2" customWidth="1"/>
    <col min="5897" max="6147" width="8.88671875" style="2"/>
    <col min="6148" max="6148" width="14.33203125" style="2" bestFit="1" customWidth="1"/>
    <col min="6149" max="6149" width="3" style="2" customWidth="1"/>
    <col min="6150" max="6150" width="23.5546875" style="2" bestFit="1" customWidth="1"/>
    <col min="6151" max="6151" width="8.88671875" style="2"/>
    <col min="6152" max="6152" width="41.33203125" style="2" customWidth="1"/>
    <col min="6153" max="6403" width="8.88671875" style="2"/>
    <col min="6404" max="6404" width="14.33203125" style="2" bestFit="1" customWidth="1"/>
    <col min="6405" max="6405" width="3" style="2" customWidth="1"/>
    <col min="6406" max="6406" width="23.5546875" style="2" bestFit="1" customWidth="1"/>
    <col min="6407" max="6407" width="8.88671875" style="2"/>
    <col min="6408" max="6408" width="41.33203125" style="2" customWidth="1"/>
    <col min="6409" max="6659" width="8.88671875" style="2"/>
    <col min="6660" max="6660" width="14.33203125" style="2" bestFit="1" customWidth="1"/>
    <col min="6661" max="6661" width="3" style="2" customWidth="1"/>
    <col min="6662" max="6662" width="23.5546875" style="2" bestFit="1" customWidth="1"/>
    <col min="6663" max="6663" width="8.88671875" style="2"/>
    <col min="6664" max="6664" width="41.33203125" style="2" customWidth="1"/>
    <col min="6665" max="6915" width="8.88671875" style="2"/>
    <col min="6916" max="6916" width="14.33203125" style="2" bestFit="1" customWidth="1"/>
    <col min="6917" max="6917" width="3" style="2" customWidth="1"/>
    <col min="6918" max="6918" width="23.5546875" style="2" bestFit="1" customWidth="1"/>
    <col min="6919" max="6919" width="8.88671875" style="2"/>
    <col min="6920" max="6920" width="41.33203125" style="2" customWidth="1"/>
    <col min="6921" max="7171" width="8.88671875" style="2"/>
    <col min="7172" max="7172" width="14.33203125" style="2" bestFit="1" customWidth="1"/>
    <col min="7173" max="7173" width="3" style="2" customWidth="1"/>
    <col min="7174" max="7174" width="23.5546875" style="2" bestFit="1" customWidth="1"/>
    <col min="7175" max="7175" width="8.88671875" style="2"/>
    <col min="7176" max="7176" width="41.33203125" style="2" customWidth="1"/>
    <col min="7177" max="7427" width="8.88671875" style="2"/>
    <col min="7428" max="7428" width="14.33203125" style="2" bestFit="1" customWidth="1"/>
    <col min="7429" max="7429" width="3" style="2" customWidth="1"/>
    <col min="7430" max="7430" width="23.5546875" style="2" bestFit="1" customWidth="1"/>
    <col min="7431" max="7431" width="8.88671875" style="2"/>
    <col min="7432" max="7432" width="41.33203125" style="2" customWidth="1"/>
    <col min="7433" max="7683" width="8.88671875" style="2"/>
    <col min="7684" max="7684" width="14.33203125" style="2" bestFit="1" customWidth="1"/>
    <col min="7685" max="7685" width="3" style="2" customWidth="1"/>
    <col min="7686" max="7686" width="23.5546875" style="2" bestFit="1" customWidth="1"/>
    <col min="7687" max="7687" width="8.88671875" style="2"/>
    <col min="7688" max="7688" width="41.33203125" style="2" customWidth="1"/>
    <col min="7689" max="7939" width="8.88671875" style="2"/>
    <col min="7940" max="7940" width="14.33203125" style="2" bestFit="1" customWidth="1"/>
    <col min="7941" max="7941" width="3" style="2" customWidth="1"/>
    <col min="7942" max="7942" width="23.5546875" style="2" bestFit="1" customWidth="1"/>
    <col min="7943" max="7943" width="8.88671875" style="2"/>
    <col min="7944" max="7944" width="41.33203125" style="2" customWidth="1"/>
    <col min="7945" max="8195" width="8.88671875" style="2"/>
    <col min="8196" max="8196" width="14.33203125" style="2" bestFit="1" customWidth="1"/>
    <col min="8197" max="8197" width="3" style="2" customWidth="1"/>
    <col min="8198" max="8198" width="23.5546875" style="2" bestFit="1" customWidth="1"/>
    <col min="8199" max="8199" width="8.88671875" style="2"/>
    <col min="8200" max="8200" width="41.33203125" style="2" customWidth="1"/>
    <col min="8201" max="8451" width="8.88671875" style="2"/>
    <col min="8452" max="8452" width="14.33203125" style="2" bestFit="1" customWidth="1"/>
    <col min="8453" max="8453" width="3" style="2" customWidth="1"/>
    <col min="8454" max="8454" width="23.5546875" style="2" bestFit="1" customWidth="1"/>
    <col min="8455" max="8455" width="8.88671875" style="2"/>
    <col min="8456" max="8456" width="41.33203125" style="2" customWidth="1"/>
    <col min="8457" max="8707" width="8.88671875" style="2"/>
    <col min="8708" max="8708" width="14.33203125" style="2" bestFit="1" customWidth="1"/>
    <col min="8709" max="8709" width="3" style="2" customWidth="1"/>
    <col min="8710" max="8710" width="23.5546875" style="2" bestFit="1" customWidth="1"/>
    <col min="8711" max="8711" width="8.88671875" style="2"/>
    <col min="8712" max="8712" width="41.33203125" style="2" customWidth="1"/>
    <col min="8713" max="8963" width="8.88671875" style="2"/>
    <col min="8964" max="8964" width="14.33203125" style="2" bestFit="1" customWidth="1"/>
    <col min="8965" max="8965" width="3" style="2" customWidth="1"/>
    <col min="8966" max="8966" width="23.5546875" style="2" bestFit="1" customWidth="1"/>
    <col min="8967" max="8967" width="8.88671875" style="2"/>
    <col min="8968" max="8968" width="41.33203125" style="2" customWidth="1"/>
    <col min="8969" max="9219" width="8.88671875" style="2"/>
    <col min="9220" max="9220" width="14.33203125" style="2" bestFit="1" customWidth="1"/>
    <col min="9221" max="9221" width="3" style="2" customWidth="1"/>
    <col min="9222" max="9222" width="23.5546875" style="2" bestFit="1" customWidth="1"/>
    <col min="9223" max="9223" width="8.88671875" style="2"/>
    <col min="9224" max="9224" width="41.33203125" style="2" customWidth="1"/>
    <col min="9225" max="9475" width="8.88671875" style="2"/>
    <col min="9476" max="9476" width="14.33203125" style="2" bestFit="1" customWidth="1"/>
    <col min="9477" max="9477" width="3" style="2" customWidth="1"/>
    <col min="9478" max="9478" width="23.5546875" style="2" bestFit="1" customWidth="1"/>
    <col min="9479" max="9479" width="8.88671875" style="2"/>
    <col min="9480" max="9480" width="41.33203125" style="2" customWidth="1"/>
    <col min="9481" max="9731" width="8.88671875" style="2"/>
    <col min="9732" max="9732" width="14.33203125" style="2" bestFit="1" customWidth="1"/>
    <col min="9733" max="9733" width="3" style="2" customWidth="1"/>
    <col min="9734" max="9734" width="23.5546875" style="2" bestFit="1" customWidth="1"/>
    <col min="9735" max="9735" width="8.88671875" style="2"/>
    <col min="9736" max="9736" width="41.33203125" style="2" customWidth="1"/>
    <col min="9737" max="9987" width="8.88671875" style="2"/>
    <col min="9988" max="9988" width="14.33203125" style="2" bestFit="1" customWidth="1"/>
    <col min="9989" max="9989" width="3" style="2" customWidth="1"/>
    <col min="9990" max="9990" width="23.5546875" style="2" bestFit="1" customWidth="1"/>
    <col min="9991" max="9991" width="8.88671875" style="2"/>
    <col min="9992" max="9992" width="41.33203125" style="2" customWidth="1"/>
    <col min="9993" max="10243" width="8.88671875" style="2"/>
    <col min="10244" max="10244" width="14.33203125" style="2" bestFit="1" customWidth="1"/>
    <col min="10245" max="10245" width="3" style="2" customWidth="1"/>
    <col min="10246" max="10246" width="23.5546875" style="2" bestFit="1" customWidth="1"/>
    <col min="10247" max="10247" width="8.88671875" style="2"/>
    <col min="10248" max="10248" width="41.33203125" style="2" customWidth="1"/>
    <col min="10249" max="10499" width="8.88671875" style="2"/>
    <col min="10500" max="10500" width="14.33203125" style="2" bestFit="1" customWidth="1"/>
    <col min="10501" max="10501" width="3" style="2" customWidth="1"/>
    <col min="10502" max="10502" width="23.5546875" style="2" bestFit="1" customWidth="1"/>
    <col min="10503" max="10503" width="8.88671875" style="2"/>
    <col min="10504" max="10504" width="41.33203125" style="2" customWidth="1"/>
    <col min="10505" max="10755" width="8.88671875" style="2"/>
    <col min="10756" max="10756" width="14.33203125" style="2" bestFit="1" customWidth="1"/>
    <col min="10757" max="10757" width="3" style="2" customWidth="1"/>
    <col min="10758" max="10758" width="23.5546875" style="2" bestFit="1" customWidth="1"/>
    <col min="10759" max="10759" width="8.88671875" style="2"/>
    <col min="10760" max="10760" width="41.33203125" style="2" customWidth="1"/>
    <col min="10761" max="11011" width="8.88671875" style="2"/>
    <col min="11012" max="11012" width="14.33203125" style="2" bestFit="1" customWidth="1"/>
    <col min="11013" max="11013" width="3" style="2" customWidth="1"/>
    <col min="11014" max="11014" width="23.5546875" style="2" bestFit="1" customWidth="1"/>
    <col min="11015" max="11015" width="8.88671875" style="2"/>
    <col min="11016" max="11016" width="41.33203125" style="2" customWidth="1"/>
    <col min="11017" max="11267" width="8.88671875" style="2"/>
    <col min="11268" max="11268" width="14.33203125" style="2" bestFit="1" customWidth="1"/>
    <col min="11269" max="11269" width="3" style="2" customWidth="1"/>
    <col min="11270" max="11270" width="23.5546875" style="2" bestFit="1" customWidth="1"/>
    <col min="11271" max="11271" width="8.88671875" style="2"/>
    <col min="11272" max="11272" width="41.33203125" style="2" customWidth="1"/>
    <col min="11273" max="11523" width="8.88671875" style="2"/>
    <col min="11524" max="11524" width="14.33203125" style="2" bestFit="1" customWidth="1"/>
    <col min="11525" max="11525" width="3" style="2" customWidth="1"/>
    <col min="11526" max="11526" width="23.5546875" style="2" bestFit="1" customWidth="1"/>
    <col min="11527" max="11527" width="8.88671875" style="2"/>
    <col min="11528" max="11528" width="41.33203125" style="2" customWidth="1"/>
    <col min="11529" max="11779" width="8.88671875" style="2"/>
    <col min="11780" max="11780" width="14.33203125" style="2" bestFit="1" customWidth="1"/>
    <col min="11781" max="11781" width="3" style="2" customWidth="1"/>
    <col min="11782" max="11782" width="23.5546875" style="2" bestFit="1" customWidth="1"/>
    <col min="11783" max="11783" width="8.88671875" style="2"/>
    <col min="11784" max="11784" width="41.33203125" style="2" customWidth="1"/>
    <col min="11785" max="12035" width="8.88671875" style="2"/>
    <col min="12036" max="12036" width="14.33203125" style="2" bestFit="1" customWidth="1"/>
    <col min="12037" max="12037" width="3" style="2" customWidth="1"/>
    <col min="12038" max="12038" width="23.5546875" style="2" bestFit="1" customWidth="1"/>
    <col min="12039" max="12039" width="8.88671875" style="2"/>
    <col min="12040" max="12040" width="41.33203125" style="2" customWidth="1"/>
    <col min="12041" max="12291" width="8.88671875" style="2"/>
    <col min="12292" max="12292" width="14.33203125" style="2" bestFit="1" customWidth="1"/>
    <col min="12293" max="12293" width="3" style="2" customWidth="1"/>
    <col min="12294" max="12294" width="23.5546875" style="2" bestFit="1" customWidth="1"/>
    <col min="12295" max="12295" width="8.88671875" style="2"/>
    <col min="12296" max="12296" width="41.33203125" style="2" customWidth="1"/>
    <col min="12297" max="12547" width="8.88671875" style="2"/>
    <col min="12548" max="12548" width="14.33203125" style="2" bestFit="1" customWidth="1"/>
    <col min="12549" max="12549" width="3" style="2" customWidth="1"/>
    <col min="12550" max="12550" width="23.5546875" style="2" bestFit="1" customWidth="1"/>
    <col min="12551" max="12551" width="8.88671875" style="2"/>
    <col min="12552" max="12552" width="41.33203125" style="2" customWidth="1"/>
    <col min="12553" max="12803" width="8.88671875" style="2"/>
    <col min="12804" max="12804" width="14.33203125" style="2" bestFit="1" customWidth="1"/>
    <col min="12805" max="12805" width="3" style="2" customWidth="1"/>
    <col min="12806" max="12806" width="23.5546875" style="2" bestFit="1" customWidth="1"/>
    <col min="12807" max="12807" width="8.88671875" style="2"/>
    <col min="12808" max="12808" width="41.33203125" style="2" customWidth="1"/>
    <col min="12809" max="13059" width="8.88671875" style="2"/>
    <col min="13060" max="13060" width="14.33203125" style="2" bestFit="1" customWidth="1"/>
    <col min="13061" max="13061" width="3" style="2" customWidth="1"/>
    <col min="13062" max="13062" width="23.5546875" style="2" bestFit="1" customWidth="1"/>
    <col min="13063" max="13063" width="8.88671875" style="2"/>
    <col min="13064" max="13064" width="41.33203125" style="2" customWidth="1"/>
    <col min="13065" max="13315" width="8.88671875" style="2"/>
    <col min="13316" max="13316" width="14.33203125" style="2" bestFit="1" customWidth="1"/>
    <col min="13317" max="13317" width="3" style="2" customWidth="1"/>
    <col min="13318" max="13318" width="23.5546875" style="2" bestFit="1" customWidth="1"/>
    <col min="13319" max="13319" width="8.88671875" style="2"/>
    <col min="13320" max="13320" width="41.33203125" style="2" customWidth="1"/>
    <col min="13321" max="13571" width="8.88671875" style="2"/>
    <col min="13572" max="13572" width="14.33203125" style="2" bestFit="1" customWidth="1"/>
    <col min="13573" max="13573" width="3" style="2" customWidth="1"/>
    <col min="13574" max="13574" width="23.5546875" style="2" bestFit="1" customWidth="1"/>
    <col min="13575" max="13575" width="8.88671875" style="2"/>
    <col min="13576" max="13576" width="41.33203125" style="2" customWidth="1"/>
    <col min="13577" max="13827" width="8.88671875" style="2"/>
    <col min="13828" max="13828" width="14.33203125" style="2" bestFit="1" customWidth="1"/>
    <col min="13829" max="13829" width="3" style="2" customWidth="1"/>
    <col min="13830" max="13830" width="23.5546875" style="2" bestFit="1" customWidth="1"/>
    <col min="13831" max="13831" width="8.88671875" style="2"/>
    <col min="13832" max="13832" width="41.33203125" style="2" customWidth="1"/>
    <col min="13833" max="14083" width="8.88671875" style="2"/>
    <col min="14084" max="14084" width="14.33203125" style="2" bestFit="1" customWidth="1"/>
    <col min="14085" max="14085" width="3" style="2" customWidth="1"/>
    <col min="14086" max="14086" width="23.5546875" style="2" bestFit="1" customWidth="1"/>
    <col min="14087" max="14087" width="8.88671875" style="2"/>
    <col min="14088" max="14088" width="41.33203125" style="2" customWidth="1"/>
    <col min="14089" max="14339" width="8.88671875" style="2"/>
    <col min="14340" max="14340" width="14.33203125" style="2" bestFit="1" customWidth="1"/>
    <col min="14341" max="14341" width="3" style="2" customWidth="1"/>
    <col min="14342" max="14342" width="23.5546875" style="2" bestFit="1" customWidth="1"/>
    <col min="14343" max="14343" width="8.88671875" style="2"/>
    <col min="14344" max="14344" width="41.33203125" style="2" customWidth="1"/>
    <col min="14345" max="14595" width="8.88671875" style="2"/>
    <col min="14596" max="14596" width="14.33203125" style="2" bestFit="1" customWidth="1"/>
    <col min="14597" max="14597" width="3" style="2" customWidth="1"/>
    <col min="14598" max="14598" width="23.5546875" style="2" bestFit="1" customWidth="1"/>
    <col min="14599" max="14599" width="8.88671875" style="2"/>
    <col min="14600" max="14600" width="41.33203125" style="2" customWidth="1"/>
    <col min="14601" max="14851" width="8.88671875" style="2"/>
    <col min="14852" max="14852" width="14.33203125" style="2" bestFit="1" customWidth="1"/>
    <col min="14853" max="14853" width="3" style="2" customWidth="1"/>
    <col min="14854" max="14854" width="23.5546875" style="2" bestFit="1" customWidth="1"/>
    <col min="14855" max="14855" width="8.88671875" style="2"/>
    <col min="14856" max="14856" width="41.33203125" style="2" customWidth="1"/>
    <col min="14857" max="15107" width="8.88671875" style="2"/>
    <col min="15108" max="15108" width="14.33203125" style="2" bestFit="1" customWidth="1"/>
    <col min="15109" max="15109" width="3" style="2" customWidth="1"/>
    <col min="15110" max="15110" width="23.5546875" style="2" bestFit="1" customWidth="1"/>
    <col min="15111" max="15111" width="8.88671875" style="2"/>
    <col min="15112" max="15112" width="41.33203125" style="2" customWidth="1"/>
    <col min="15113" max="15363" width="8.88671875" style="2"/>
    <col min="15364" max="15364" width="14.33203125" style="2" bestFit="1" customWidth="1"/>
    <col min="15365" max="15365" width="3" style="2" customWidth="1"/>
    <col min="15366" max="15366" width="23.5546875" style="2" bestFit="1" customWidth="1"/>
    <col min="15367" max="15367" width="8.88671875" style="2"/>
    <col min="15368" max="15368" width="41.33203125" style="2" customWidth="1"/>
    <col min="15369" max="15619" width="8.88671875" style="2"/>
    <col min="15620" max="15620" width="14.33203125" style="2" bestFit="1" customWidth="1"/>
    <col min="15621" max="15621" width="3" style="2" customWidth="1"/>
    <col min="15622" max="15622" width="23.5546875" style="2" bestFit="1" customWidth="1"/>
    <col min="15623" max="15623" width="8.88671875" style="2"/>
    <col min="15624" max="15624" width="41.33203125" style="2" customWidth="1"/>
    <col min="15625" max="15875" width="8.88671875" style="2"/>
    <col min="15876" max="15876" width="14.33203125" style="2" bestFit="1" customWidth="1"/>
    <col min="15877" max="15877" width="3" style="2" customWidth="1"/>
    <col min="15878" max="15878" width="23.5546875" style="2" bestFit="1" customWidth="1"/>
    <col min="15879" max="15879" width="8.88671875" style="2"/>
    <col min="15880" max="15880" width="41.33203125" style="2" customWidth="1"/>
    <col min="15881" max="16131" width="8.88671875" style="2"/>
    <col min="16132" max="16132" width="14.33203125" style="2" bestFit="1" customWidth="1"/>
    <col min="16133" max="16133" width="3" style="2" customWidth="1"/>
    <col min="16134" max="16134" width="23.5546875" style="2" bestFit="1" customWidth="1"/>
    <col min="16135" max="16135" width="8.88671875" style="2"/>
    <col min="16136" max="16136" width="41.33203125" style="2" customWidth="1"/>
    <col min="16137" max="16384" width="8.88671875" style="2"/>
  </cols>
  <sheetData>
    <row r="1" spans="1:8" ht="17.399999999999999" x14ac:dyDescent="0.3">
      <c r="A1" s="4" t="s">
        <v>7</v>
      </c>
      <c r="B1" s="4"/>
      <c r="C1" s="4"/>
      <c r="D1" s="4"/>
      <c r="E1" s="4"/>
      <c r="F1" s="4"/>
      <c r="G1" s="4"/>
      <c r="H1" s="4"/>
    </row>
    <row r="2" spans="1:8" ht="39.6" x14ac:dyDescent="0.25">
      <c r="A2" s="5" t="s">
        <v>8</v>
      </c>
      <c r="B2" s="5" t="s">
        <v>9</v>
      </c>
      <c r="C2" s="5" t="s">
        <v>10</v>
      </c>
    </row>
    <row r="3" spans="1:8" x14ac:dyDescent="0.25">
      <c r="A3" s="6">
        <v>38359</v>
      </c>
      <c r="B3" s="2">
        <v>31.2</v>
      </c>
      <c r="F3" s="2" t="s">
        <v>11</v>
      </c>
      <c r="G3" s="2">
        <f>COUNT(C4:C27)</f>
        <v>24</v>
      </c>
      <c r="H3" s="2" t="str">
        <f ca="1">[1]!getformula(G3)</f>
        <v>&lt;--  =COUNT(C4:C27)</v>
      </c>
    </row>
    <row r="4" spans="1:8" ht="13.8" x14ac:dyDescent="0.25">
      <c r="A4" s="6">
        <v>38384</v>
      </c>
      <c r="B4" s="2">
        <v>31.65</v>
      </c>
      <c r="C4" s="7">
        <f>LN(B4/B3)</f>
        <v>1.4320053774748471E-2</v>
      </c>
      <c r="D4" s="2" t="str">
        <f ca="1">[1]!getformula(C4)</f>
        <v>&lt;--  =LN(B4/B3)</v>
      </c>
      <c r="F4" s="2" t="s">
        <v>12</v>
      </c>
      <c r="G4" s="8">
        <f>MAX(C4:C27)</f>
        <v>8.0198726084025215E-2</v>
      </c>
      <c r="H4" s="2" t="str">
        <f ca="1">[1]!getformula(G4)</f>
        <v>&lt;--  =MAX(C4:C27)</v>
      </c>
    </row>
    <row r="5" spans="1:8" ht="13.8" x14ac:dyDescent="0.25">
      <c r="A5" s="6">
        <v>38412</v>
      </c>
      <c r="B5" s="2">
        <v>33.06</v>
      </c>
      <c r="C5" s="7">
        <f t="shared" ref="C5:C27" si="0">LN(B5/B4)</f>
        <v>4.3585943802693046E-2</v>
      </c>
      <c r="F5" s="2" t="s">
        <v>13</v>
      </c>
      <c r="G5" s="8">
        <f>MIN(C4:C27)</f>
        <v>-8.0240095574298967E-2</v>
      </c>
      <c r="H5" s="2" t="str">
        <f ca="1">[1]!getformula(G5)</f>
        <v>&lt;--  =MIN(C4:C27)</v>
      </c>
    </row>
    <row r="6" spans="1:8" ht="13.8" x14ac:dyDescent="0.25">
      <c r="A6" s="6">
        <v>38443</v>
      </c>
      <c r="B6" s="2">
        <v>31.03</v>
      </c>
      <c r="C6" s="7">
        <f t="shared" si="0"/>
        <v>-6.3369613932589372E-2</v>
      </c>
    </row>
    <row r="7" spans="1:8" ht="13.8" x14ac:dyDescent="0.25">
      <c r="A7" s="6">
        <v>38474</v>
      </c>
      <c r="B7" s="2">
        <v>33.4</v>
      </c>
      <c r="C7" s="7">
        <f t="shared" si="0"/>
        <v>7.3601421522365901E-2</v>
      </c>
    </row>
    <row r="8" spans="1:8" ht="13.8" x14ac:dyDescent="0.25">
      <c r="A8" s="6">
        <v>38504</v>
      </c>
      <c r="B8" s="2">
        <v>33.78</v>
      </c>
      <c r="C8" s="7">
        <f t="shared" si="0"/>
        <v>1.1313011396999251E-2</v>
      </c>
      <c r="F8" s="2" t="s">
        <v>14</v>
      </c>
      <c r="G8" s="9">
        <v>0.05</v>
      </c>
    </row>
    <row r="9" spans="1:8" ht="13.8" x14ac:dyDescent="0.25">
      <c r="A9" s="6">
        <v>38534</v>
      </c>
      <c r="B9" s="2">
        <v>33.909999999999997</v>
      </c>
      <c r="C9" s="7">
        <f t="shared" si="0"/>
        <v>3.8410447578930799E-3</v>
      </c>
      <c r="F9" s="2" t="s">
        <v>15</v>
      </c>
      <c r="G9" s="9">
        <v>-0.02</v>
      </c>
    </row>
    <row r="10" spans="1:8" ht="13.8" x14ac:dyDescent="0.25">
      <c r="A10" s="6">
        <v>38565</v>
      </c>
      <c r="B10" s="2">
        <v>31.3</v>
      </c>
      <c r="C10" s="7">
        <f t="shared" si="0"/>
        <v>-8.0091858591439566E-2</v>
      </c>
    </row>
    <row r="11" spans="1:8" ht="13.8" x14ac:dyDescent="0.25">
      <c r="A11" s="6">
        <v>38596</v>
      </c>
      <c r="B11" s="2">
        <v>31.25</v>
      </c>
      <c r="C11" s="7">
        <f t="shared" si="0"/>
        <v>-1.5987213636971041E-3</v>
      </c>
      <c r="F11" s="2" t="s">
        <v>16</v>
      </c>
      <c r="G11" s="2">
        <f>COUNTIF($C$4:$C$27,"&lt;" &amp; G8)</f>
        <v>16</v>
      </c>
      <c r="H11" s="2" t="str">
        <f ca="1">[1]!getformula(G11)</f>
        <v>&lt;--  =COUNTIF($C$4:$C$27,"&lt;" &amp; G8)</v>
      </c>
    </row>
    <row r="12" spans="1:8" ht="13.8" x14ac:dyDescent="0.25">
      <c r="A12" s="6">
        <v>38628</v>
      </c>
      <c r="B12" s="2">
        <v>29.58</v>
      </c>
      <c r="C12" s="7">
        <f t="shared" si="0"/>
        <v>-5.492091889975681E-2</v>
      </c>
      <c r="F12" s="2" t="s">
        <v>17</v>
      </c>
      <c r="G12" s="2">
        <f>COUNTIF($C$4:$C$27,"&gt;" &amp; G9)</f>
        <v>19</v>
      </c>
      <c r="H12" s="2" t="str">
        <f ca="1">[1]!getformula(G12)</f>
        <v>&lt;--  =COUNTIF($C$4:$C$27,"&gt;" &amp; G9)</v>
      </c>
    </row>
    <row r="13" spans="1:8" ht="13.8" x14ac:dyDescent="0.25">
      <c r="A13" s="6">
        <v>38657</v>
      </c>
      <c r="B13" s="2">
        <v>32.049999999999997</v>
      </c>
      <c r="C13" s="7">
        <f t="shared" si="0"/>
        <v>8.0198726084025215E-2</v>
      </c>
    </row>
    <row r="14" spans="1:8" ht="26.4" x14ac:dyDescent="0.25">
      <c r="A14" s="6">
        <v>38687</v>
      </c>
      <c r="B14" s="2">
        <v>33.270000000000003</v>
      </c>
      <c r="C14" s="7">
        <f t="shared" si="0"/>
        <v>3.7358906663706483E-2</v>
      </c>
      <c r="F14" s="10" t="s">
        <v>18</v>
      </c>
      <c r="G14" s="3">
        <f>SUMPRODUCT((return&gt;G9)*(return&lt;G8),(return&gt;G9)*(return&lt;G8))</f>
        <v>11</v>
      </c>
      <c r="H14" s="11" t="str">
        <f ca="1">[1]!GGETFORMULA(G14)</f>
        <v>=SUMPRODUCT((return&gt;G9)*(return&lt;G8),(return&gt;G9)*(return&lt;G8))</v>
      </c>
    </row>
    <row r="15" spans="1:8" ht="13.8" x14ac:dyDescent="0.25">
      <c r="A15" s="6">
        <v>38720</v>
      </c>
      <c r="B15" s="2">
        <v>33.11</v>
      </c>
      <c r="C15" s="7">
        <f t="shared" si="0"/>
        <v>-4.820738471230563E-3</v>
      </c>
    </row>
    <row r="16" spans="1:8" ht="26.4" x14ac:dyDescent="0.25">
      <c r="A16" s="6">
        <v>38749</v>
      </c>
      <c r="B16" s="2">
        <v>33.979999999999997</v>
      </c>
      <c r="C16" s="7">
        <f t="shared" si="0"/>
        <v>2.593676468463104E-2</v>
      </c>
      <c r="F16" s="10" t="s">
        <v>19</v>
      </c>
      <c r="G16" s="12">
        <f>SUMPRODUCT((return&gt;G9)*(return&lt;G8),(return&gt;G9)*(return&lt;G8),return)/G14</f>
        <v>1.3648083837926922E-2</v>
      </c>
      <c r="H16" s="11" t="str">
        <f ca="1">[1]!GGETFORMULA(G16)</f>
        <v>=SUMPRODUCT((return&gt;G9)*(return&lt;G8),(return&gt;G9)*(return&lt;G8),return)/G14</v>
      </c>
    </row>
    <row r="17" spans="1:3" ht="13.8" x14ac:dyDescent="0.25">
      <c r="A17" s="6">
        <v>38777</v>
      </c>
      <c r="B17" s="2">
        <v>34.14</v>
      </c>
      <c r="C17" s="7">
        <f t="shared" si="0"/>
        <v>4.6976011225086578E-3</v>
      </c>
    </row>
    <row r="18" spans="1:3" ht="13.8" x14ac:dyDescent="0.25">
      <c r="A18" s="6">
        <v>38810</v>
      </c>
      <c r="B18" s="2">
        <v>36.36</v>
      </c>
      <c r="C18" s="7">
        <f t="shared" si="0"/>
        <v>6.2999551942983401E-2</v>
      </c>
    </row>
    <row r="19" spans="1:3" ht="13.8" x14ac:dyDescent="0.25">
      <c r="A19" s="6">
        <v>38838</v>
      </c>
      <c r="B19" s="2">
        <v>35.99</v>
      </c>
      <c r="C19" s="7">
        <f t="shared" si="0"/>
        <v>-1.0228147218338699E-2</v>
      </c>
    </row>
    <row r="20" spans="1:3" ht="13.8" x14ac:dyDescent="0.25">
      <c r="A20" s="6">
        <v>38869</v>
      </c>
      <c r="B20" s="2">
        <v>38</v>
      </c>
      <c r="C20" s="7">
        <f t="shared" si="0"/>
        <v>5.4345037635446403E-2</v>
      </c>
    </row>
    <row r="21" spans="1:3" ht="13.8" x14ac:dyDescent="0.25">
      <c r="A21" s="6">
        <v>38901</v>
      </c>
      <c r="B21" s="2">
        <v>35.07</v>
      </c>
      <c r="C21" s="7">
        <f t="shared" si="0"/>
        <v>-8.0240095574298967E-2</v>
      </c>
    </row>
    <row r="22" spans="1:3" ht="13.8" x14ac:dyDescent="0.25">
      <c r="A22" s="6">
        <v>38930</v>
      </c>
      <c r="B22" s="2">
        <v>37.61</v>
      </c>
      <c r="C22" s="7">
        <f t="shared" si="0"/>
        <v>6.9923908330158185E-2</v>
      </c>
    </row>
    <row r="23" spans="1:3" ht="13.8" x14ac:dyDescent="0.25">
      <c r="A23" s="6">
        <v>38961</v>
      </c>
      <c r="B23" s="2">
        <v>38.590000000000003</v>
      </c>
      <c r="C23" s="7">
        <f t="shared" si="0"/>
        <v>2.5723203067282444E-2</v>
      </c>
    </row>
    <row r="24" spans="1:3" ht="13.8" x14ac:dyDescent="0.25">
      <c r="A24" s="6">
        <v>38992</v>
      </c>
      <c r="B24" s="2">
        <v>41.71</v>
      </c>
      <c r="C24" s="7">
        <f t="shared" si="0"/>
        <v>7.7747732659326454E-2</v>
      </c>
    </row>
    <row r="25" spans="1:3" ht="13.8" x14ac:dyDescent="0.25">
      <c r="A25" s="6">
        <v>39022</v>
      </c>
      <c r="B25" s="2">
        <v>45.09</v>
      </c>
      <c r="C25" s="7">
        <f t="shared" si="0"/>
        <v>7.7919584224138999E-2</v>
      </c>
    </row>
    <row r="26" spans="1:3" ht="13.8" x14ac:dyDescent="0.25">
      <c r="A26" s="6">
        <v>39052</v>
      </c>
      <c r="B26" s="2">
        <v>47.72</v>
      </c>
      <c r="C26" s="7">
        <f t="shared" si="0"/>
        <v>5.6690104796722401E-2</v>
      </c>
    </row>
    <row r="27" spans="1:3" ht="13.8" x14ac:dyDescent="0.25">
      <c r="A27" s="6">
        <v>39085</v>
      </c>
      <c r="B27" s="2">
        <v>45.1</v>
      </c>
      <c r="C27" s="7">
        <f t="shared" si="0"/>
        <v>-5.6468350721082673E-2</v>
      </c>
    </row>
  </sheetData>
  <mergeCells count="1">
    <mergeCell ref="A1:H1"/>
  </mergeCells>
  <phoneticPr fontId="1" type="noConversion"/>
  <pageMargins left="0.75" right="0.75" top="1" bottom="1" header="0.5" footer="0.5"/>
  <pageSetup paperSize="9" orientation="portrait" verticalDpi="4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BF34-3534-45BC-AD1E-C20712BBF1CD}">
  <sheetPr codeName="Sheet55"/>
  <dimension ref="A1:C9"/>
  <sheetViews>
    <sheetView workbookViewId="0">
      <selection activeCell="L26" sqref="L26"/>
    </sheetView>
  </sheetViews>
  <sheetFormatPr defaultRowHeight="13.2" x14ac:dyDescent="0.25"/>
  <cols>
    <col min="1" max="1" width="14.6640625" style="2" bestFit="1" customWidth="1"/>
    <col min="2" max="2" width="8.88671875" style="2"/>
    <col min="3" max="3" width="13.6640625" style="2" bestFit="1" customWidth="1"/>
    <col min="4" max="256" width="8.88671875" style="2"/>
    <col min="257" max="257" width="14.6640625" style="2" bestFit="1" customWidth="1"/>
    <col min="258" max="258" width="8.88671875" style="2"/>
    <col min="259" max="259" width="13.6640625" style="2" bestFit="1" customWidth="1"/>
    <col min="260" max="512" width="8.88671875" style="2"/>
    <col min="513" max="513" width="14.6640625" style="2" bestFit="1" customWidth="1"/>
    <col min="514" max="514" width="8.88671875" style="2"/>
    <col min="515" max="515" width="13.6640625" style="2" bestFit="1" customWidth="1"/>
    <col min="516" max="768" width="8.88671875" style="2"/>
    <col min="769" max="769" width="14.6640625" style="2" bestFit="1" customWidth="1"/>
    <col min="770" max="770" width="8.88671875" style="2"/>
    <col min="771" max="771" width="13.6640625" style="2" bestFit="1" customWidth="1"/>
    <col min="772" max="1024" width="8.88671875" style="2"/>
    <col min="1025" max="1025" width="14.6640625" style="2" bestFit="1" customWidth="1"/>
    <col min="1026" max="1026" width="8.88671875" style="2"/>
    <col min="1027" max="1027" width="13.6640625" style="2" bestFit="1" customWidth="1"/>
    <col min="1028" max="1280" width="8.88671875" style="2"/>
    <col min="1281" max="1281" width="14.6640625" style="2" bestFit="1" customWidth="1"/>
    <col min="1282" max="1282" width="8.88671875" style="2"/>
    <col min="1283" max="1283" width="13.6640625" style="2" bestFit="1" customWidth="1"/>
    <col min="1284" max="1536" width="8.88671875" style="2"/>
    <col min="1537" max="1537" width="14.6640625" style="2" bestFit="1" customWidth="1"/>
    <col min="1538" max="1538" width="8.88671875" style="2"/>
    <col min="1539" max="1539" width="13.6640625" style="2" bestFit="1" customWidth="1"/>
    <col min="1540" max="1792" width="8.88671875" style="2"/>
    <col min="1793" max="1793" width="14.6640625" style="2" bestFit="1" customWidth="1"/>
    <col min="1794" max="1794" width="8.88671875" style="2"/>
    <col min="1795" max="1795" width="13.6640625" style="2" bestFit="1" customWidth="1"/>
    <col min="1796" max="2048" width="8.88671875" style="2"/>
    <col min="2049" max="2049" width="14.6640625" style="2" bestFit="1" customWidth="1"/>
    <col min="2050" max="2050" width="8.88671875" style="2"/>
    <col min="2051" max="2051" width="13.6640625" style="2" bestFit="1" customWidth="1"/>
    <col min="2052" max="2304" width="8.88671875" style="2"/>
    <col min="2305" max="2305" width="14.6640625" style="2" bestFit="1" customWidth="1"/>
    <col min="2306" max="2306" width="8.88671875" style="2"/>
    <col min="2307" max="2307" width="13.6640625" style="2" bestFit="1" customWidth="1"/>
    <col min="2308" max="2560" width="8.88671875" style="2"/>
    <col min="2561" max="2561" width="14.6640625" style="2" bestFit="1" customWidth="1"/>
    <col min="2562" max="2562" width="8.88671875" style="2"/>
    <col min="2563" max="2563" width="13.6640625" style="2" bestFit="1" customWidth="1"/>
    <col min="2564" max="2816" width="8.88671875" style="2"/>
    <col min="2817" max="2817" width="14.6640625" style="2" bestFit="1" customWidth="1"/>
    <col min="2818" max="2818" width="8.88671875" style="2"/>
    <col min="2819" max="2819" width="13.6640625" style="2" bestFit="1" customWidth="1"/>
    <col min="2820" max="3072" width="8.88671875" style="2"/>
    <col min="3073" max="3073" width="14.6640625" style="2" bestFit="1" customWidth="1"/>
    <col min="3074" max="3074" width="8.88671875" style="2"/>
    <col min="3075" max="3075" width="13.6640625" style="2" bestFit="1" customWidth="1"/>
    <col min="3076" max="3328" width="8.88671875" style="2"/>
    <col min="3329" max="3329" width="14.6640625" style="2" bestFit="1" customWidth="1"/>
    <col min="3330" max="3330" width="8.88671875" style="2"/>
    <col min="3331" max="3331" width="13.6640625" style="2" bestFit="1" customWidth="1"/>
    <col min="3332" max="3584" width="8.88671875" style="2"/>
    <col min="3585" max="3585" width="14.6640625" style="2" bestFit="1" customWidth="1"/>
    <col min="3586" max="3586" width="8.88671875" style="2"/>
    <col min="3587" max="3587" width="13.6640625" style="2" bestFit="1" customWidth="1"/>
    <col min="3588" max="3840" width="8.88671875" style="2"/>
    <col min="3841" max="3841" width="14.6640625" style="2" bestFit="1" customWidth="1"/>
    <col min="3842" max="3842" width="8.88671875" style="2"/>
    <col min="3843" max="3843" width="13.6640625" style="2" bestFit="1" customWidth="1"/>
    <col min="3844" max="4096" width="8.88671875" style="2"/>
    <col min="4097" max="4097" width="14.6640625" style="2" bestFit="1" customWidth="1"/>
    <col min="4098" max="4098" width="8.88671875" style="2"/>
    <col min="4099" max="4099" width="13.6640625" style="2" bestFit="1" customWidth="1"/>
    <col min="4100" max="4352" width="8.88671875" style="2"/>
    <col min="4353" max="4353" width="14.6640625" style="2" bestFit="1" customWidth="1"/>
    <col min="4354" max="4354" width="8.88671875" style="2"/>
    <col min="4355" max="4355" width="13.6640625" style="2" bestFit="1" customWidth="1"/>
    <col min="4356" max="4608" width="8.88671875" style="2"/>
    <col min="4609" max="4609" width="14.6640625" style="2" bestFit="1" customWidth="1"/>
    <col min="4610" max="4610" width="8.88671875" style="2"/>
    <col min="4611" max="4611" width="13.6640625" style="2" bestFit="1" customWidth="1"/>
    <col min="4612" max="4864" width="8.88671875" style="2"/>
    <col min="4865" max="4865" width="14.6640625" style="2" bestFit="1" customWidth="1"/>
    <col min="4866" max="4866" width="8.88671875" style="2"/>
    <col min="4867" max="4867" width="13.6640625" style="2" bestFit="1" customWidth="1"/>
    <col min="4868" max="5120" width="8.88671875" style="2"/>
    <col min="5121" max="5121" width="14.6640625" style="2" bestFit="1" customWidth="1"/>
    <col min="5122" max="5122" width="8.88671875" style="2"/>
    <col min="5123" max="5123" width="13.6640625" style="2" bestFit="1" customWidth="1"/>
    <col min="5124" max="5376" width="8.88671875" style="2"/>
    <col min="5377" max="5377" width="14.6640625" style="2" bestFit="1" customWidth="1"/>
    <col min="5378" max="5378" width="8.88671875" style="2"/>
    <col min="5379" max="5379" width="13.6640625" style="2" bestFit="1" customWidth="1"/>
    <col min="5380" max="5632" width="8.88671875" style="2"/>
    <col min="5633" max="5633" width="14.6640625" style="2" bestFit="1" customWidth="1"/>
    <col min="5634" max="5634" width="8.88671875" style="2"/>
    <col min="5635" max="5635" width="13.6640625" style="2" bestFit="1" customWidth="1"/>
    <col min="5636" max="5888" width="8.88671875" style="2"/>
    <col min="5889" max="5889" width="14.6640625" style="2" bestFit="1" customWidth="1"/>
    <col min="5890" max="5890" width="8.88671875" style="2"/>
    <col min="5891" max="5891" width="13.6640625" style="2" bestFit="1" customWidth="1"/>
    <col min="5892" max="6144" width="8.88671875" style="2"/>
    <col min="6145" max="6145" width="14.6640625" style="2" bestFit="1" customWidth="1"/>
    <col min="6146" max="6146" width="8.88671875" style="2"/>
    <col min="6147" max="6147" width="13.6640625" style="2" bestFit="1" customWidth="1"/>
    <col min="6148" max="6400" width="8.88671875" style="2"/>
    <col min="6401" max="6401" width="14.6640625" style="2" bestFit="1" customWidth="1"/>
    <col min="6402" max="6402" width="8.88671875" style="2"/>
    <col min="6403" max="6403" width="13.6640625" style="2" bestFit="1" customWidth="1"/>
    <col min="6404" max="6656" width="8.88671875" style="2"/>
    <col min="6657" max="6657" width="14.6640625" style="2" bestFit="1" customWidth="1"/>
    <col min="6658" max="6658" width="8.88671875" style="2"/>
    <col min="6659" max="6659" width="13.6640625" style="2" bestFit="1" customWidth="1"/>
    <col min="6660" max="6912" width="8.88671875" style="2"/>
    <col min="6913" max="6913" width="14.6640625" style="2" bestFit="1" customWidth="1"/>
    <col min="6914" max="6914" width="8.88671875" style="2"/>
    <col min="6915" max="6915" width="13.6640625" style="2" bestFit="1" customWidth="1"/>
    <col min="6916" max="7168" width="8.88671875" style="2"/>
    <col min="7169" max="7169" width="14.6640625" style="2" bestFit="1" customWidth="1"/>
    <col min="7170" max="7170" width="8.88671875" style="2"/>
    <col min="7171" max="7171" width="13.6640625" style="2" bestFit="1" customWidth="1"/>
    <col min="7172" max="7424" width="8.88671875" style="2"/>
    <col min="7425" max="7425" width="14.6640625" style="2" bestFit="1" customWidth="1"/>
    <col min="7426" max="7426" width="8.88671875" style="2"/>
    <col min="7427" max="7427" width="13.6640625" style="2" bestFit="1" customWidth="1"/>
    <col min="7428" max="7680" width="8.88671875" style="2"/>
    <col min="7681" max="7681" width="14.6640625" style="2" bestFit="1" customWidth="1"/>
    <col min="7682" max="7682" width="8.88671875" style="2"/>
    <col min="7683" max="7683" width="13.6640625" style="2" bestFit="1" customWidth="1"/>
    <col min="7684" max="7936" width="8.88671875" style="2"/>
    <col min="7937" max="7937" width="14.6640625" style="2" bestFit="1" customWidth="1"/>
    <col min="7938" max="7938" width="8.88671875" style="2"/>
    <col min="7939" max="7939" width="13.6640625" style="2" bestFit="1" customWidth="1"/>
    <col min="7940" max="8192" width="8.88671875" style="2"/>
    <col min="8193" max="8193" width="14.6640625" style="2" bestFit="1" customWidth="1"/>
    <col min="8194" max="8194" width="8.88671875" style="2"/>
    <col min="8195" max="8195" width="13.6640625" style="2" bestFit="1" customWidth="1"/>
    <col min="8196" max="8448" width="8.88671875" style="2"/>
    <col min="8449" max="8449" width="14.6640625" style="2" bestFit="1" customWidth="1"/>
    <col min="8450" max="8450" width="8.88671875" style="2"/>
    <col min="8451" max="8451" width="13.6640625" style="2" bestFit="1" customWidth="1"/>
    <col min="8452" max="8704" width="8.88671875" style="2"/>
    <col min="8705" max="8705" width="14.6640625" style="2" bestFit="1" customWidth="1"/>
    <col min="8706" max="8706" width="8.88671875" style="2"/>
    <col min="8707" max="8707" width="13.6640625" style="2" bestFit="1" customWidth="1"/>
    <col min="8708" max="8960" width="8.88671875" style="2"/>
    <col min="8961" max="8961" width="14.6640625" style="2" bestFit="1" customWidth="1"/>
    <col min="8962" max="8962" width="8.88671875" style="2"/>
    <col min="8963" max="8963" width="13.6640625" style="2" bestFit="1" customWidth="1"/>
    <col min="8964" max="9216" width="8.88671875" style="2"/>
    <col min="9217" max="9217" width="14.6640625" style="2" bestFit="1" customWidth="1"/>
    <col min="9218" max="9218" width="8.88671875" style="2"/>
    <col min="9219" max="9219" width="13.6640625" style="2" bestFit="1" customWidth="1"/>
    <col min="9220" max="9472" width="8.88671875" style="2"/>
    <col min="9473" max="9473" width="14.6640625" style="2" bestFit="1" customWidth="1"/>
    <col min="9474" max="9474" width="8.88671875" style="2"/>
    <col min="9475" max="9475" width="13.6640625" style="2" bestFit="1" customWidth="1"/>
    <col min="9476" max="9728" width="8.88671875" style="2"/>
    <col min="9729" max="9729" width="14.6640625" style="2" bestFit="1" customWidth="1"/>
    <col min="9730" max="9730" width="8.88671875" style="2"/>
    <col min="9731" max="9731" width="13.6640625" style="2" bestFit="1" customWidth="1"/>
    <col min="9732" max="9984" width="8.88671875" style="2"/>
    <col min="9985" max="9985" width="14.6640625" style="2" bestFit="1" customWidth="1"/>
    <col min="9986" max="9986" width="8.88671875" style="2"/>
    <col min="9987" max="9987" width="13.6640625" style="2" bestFit="1" customWidth="1"/>
    <col min="9988" max="10240" width="8.88671875" style="2"/>
    <col min="10241" max="10241" width="14.6640625" style="2" bestFit="1" customWidth="1"/>
    <col min="10242" max="10242" width="8.88671875" style="2"/>
    <col min="10243" max="10243" width="13.6640625" style="2" bestFit="1" customWidth="1"/>
    <col min="10244" max="10496" width="8.88671875" style="2"/>
    <col min="10497" max="10497" width="14.6640625" style="2" bestFit="1" customWidth="1"/>
    <col min="10498" max="10498" width="8.88671875" style="2"/>
    <col min="10499" max="10499" width="13.6640625" style="2" bestFit="1" customWidth="1"/>
    <col min="10500" max="10752" width="8.88671875" style="2"/>
    <col min="10753" max="10753" width="14.6640625" style="2" bestFit="1" customWidth="1"/>
    <col min="10754" max="10754" width="8.88671875" style="2"/>
    <col min="10755" max="10755" width="13.6640625" style="2" bestFit="1" customWidth="1"/>
    <col min="10756" max="11008" width="8.88671875" style="2"/>
    <col min="11009" max="11009" width="14.6640625" style="2" bestFit="1" customWidth="1"/>
    <col min="11010" max="11010" width="8.88671875" style="2"/>
    <col min="11011" max="11011" width="13.6640625" style="2" bestFit="1" customWidth="1"/>
    <col min="11012" max="11264" width="8.88671875" style="2"/>
    <col min="11265" max="11265" width="14.6640625" style="2" bestFit="1" customWidth="1"/>
    <col min="11266" max="11266" width="8.88671875" style="2"/>
    <col min="11267" max="11267" width="13.6640625" style="2" bestFit="1" customWidth="1"/>
    <col min="11268" max="11520" width="8.88671875" style="2"/>
    <col min="11521" max="11521" width="14.6640625" style="2" bestFit="1" customWidth="1"/>
    <col min="11522" max="11522" width="8.88671875" style="2"/>
    <col min="11523" max="11523" width="13.6640625" style="2" bestFit="1" customWidth="1"/>
    <col min="11524" max="11776" width="8.88671875" style="2"/>
    <col min="11777" max="11777" width="14.6640625" style="2" bestFit="1" customWidth="1"/>
    <col min="11778" max="11778" width="8.88671875" style="2"/>
    <col min="11779" max="11779" width="13.6640625" style="2" bestFit="1" customWidth="1"/>
    <col min="11780" max="12032" width="8.88671875" style="2"/>
    <col min="12033" max="12033" width="14.6640625" style="2" bestFit="1" customWidth="1"/>
    <col min="12034" max="12034" width="8.88671875" style="2"/>
    <col min="12035" max="12035" width="13.6640625" style="2" bestFit="1" customWidth="1"/>
    <col min="12036" max="12288" width="8.88671875" style="2"/>
    <col min="12289" max="12289" width="14.6640625" style="2" bestFit="1" customWidth="1"/>
    <col min="12290" max="12290" width="8.88671875" style="2"/>
    <col min="12291" max="12291" width="13.6640625" style="2" bestFit="1" customWidth="1"/>
    <col min="12292" max="12544" width="8.88671875" style="2"/>
    <col min="12545" max="12545" width="14.6640625" style="2" bestFit="1" customWidth="1"/>
    <col min="12546" max="12546" width="8.88671875" style="2"/>
    <col min="12547" max="12547" width="13.6640625" style="2" bestFit="1" customWidth="1"/>
    <col min="12548" max="12800" width="8.88671875" style="2"/>
    <col min="12801" max="12801" width="14.6640625" style="2" bestFit="1" customWidth="1"/>
    <col min="12802" max="12802" width="8.88671875" style="2"/>
    <col min="12803" max="12803" width="13.6640625" style="2" bestFit="1" customWidth="1"/>
    <col min="12804" max="13056" width="8.88671875" style="2"/>
    <col min="13057" max="13057" width="14.6640625" style="2" bestFit="1" customWidth="1"/>
    <col min="13058" max="13058" width="8.88671875" style="2"/>
    <col min="13059" max="13059" width="13.6640625" style="2" bestFit="1" customWidth="1"/>
    <col min="13060" max="13312" width="8.88671875" style="2"/>
    <col min="13313" max="13313" width="14.6640625" style="2" bestFit="1" customWidth="1"/>
    <col min="13314" max="13314" width="8.88671875" style="2"/>
    <col min="13315" max="13315" width="13.6640625" style="2" bestFit="1" customWidth="1"/>
    <col min="13316" max="13568" width="8.88671875" style="2"/>
    <col min="13569" max="13569" width="14.6640625" style="2" bestFit="1" customWidth="1"/>
    <col min="13570" max="13570" width="8.88671875" style="2"/>
    <col min="13571" max="13571" width="13.6640625" style="2" bestFit="1" customWidth="1"/>
    <col min="13572" max="13824" width="8.88671875" style="2"/>
    <col min="13825" max="13825" width="14.6640625" style="2" bestFit="1" customWidth="1"/>
    <col min="13826" max="13826" width="8.88671875" style="2"/>
    <col min="13827" max="13827" width="13.6640625" style="2" bestFit="1" customWidth="1"/>
    <col min="13828" max="14080" width="8.88671875" style="2"/>
    <col min="14081" max="14081" width="14.6640625" style="2" bestFit="1" customWidth="1"/>
    <col min="14082" max="14082" width="8.88671875" style="2"/>
    <col min="14083" max="14083" width="13.6640625" style="2" bestFit="1" customWidth="1"/>
    <col min="14084" max="14336" width="8.88671875" style="2"/>
    <col min="14337" max="14337" width="14.6640625" style="2" bestFit="1" customWidth="1"/>
    <col min="14338" max="14338" width="8.88671875" style="2"/>
    <col min="14339" max="14339" width="13.6640625" style="2" bestFit="1" customWidth="1"/>
    <col min="14340" max="14592" width="8.88671875" style="2"/>
    <col min="14593" max="14593" width="14.6640625" style="2" bestFit="1" customWidth="1"/>
    <col min="14594" max="14594" width="8.88671875" style="2"/>
    <col min="14595" max="14595" width="13.6640625" style="2" bestFit="1" customWidth="1"/>
    <col min="14596" max="14848" width="8.88671875" style="2"/>
    <col min="14849" max="14849" width="14.6640625" style="2" bestFit="1" customWidth="1"/>
    <col min="14850" max="14850" width="8.88671875" style="2"/>
    <col min="14851" max="14851" width="13.6640625" style="2" bestFit="1" customWidth="1"/>
    <col min="14852" max="15104" width="8.88671875" style="2"/>
    <col min="15105" max="15105" width="14.6640625" style="2" bestFit="1" customWidth="1"/>
    <col min="15106" max="15106" width="8.88671875" style="2"/>
    <col min="15107" max="15107" width="13.6640625" style="2" bestFit="1" customWidth="1"/>
    <col min="15108" max="15360" width="8.88671875" style="2"/>
    <col min="15361" max="15361" width="14.6640625" style="2" bestFit="1" customWidth="1"/>
    <col min="15362" max="15362" width="8.88671875" style="2"/>
    <col min="15363" max="15363" width="13.6640625" style="2" bestFit="1" customWidth="1"/>
    <col min="15364" max="15616" width="8.88671875" style="2"/>
    <col min="15617" max="15617" width="14.6640625" style="2" bestFit="1" customWidth="1"/>
    <col min="15618" max="15618" width="8.88671875" style="2"/>
    <col min="15619" max="15619" width="13.6640625" style="2" bestFit="1" customWidth="1"/>
    <col min="15620" max="15872" width="8.88671875" style="2"/>
    <col min="15873" max="15873" width="14.6640625" style="2" bestFit="1" customWidth="1"/>
    <col min="15874" max="15874" width="8.88671875" style="2"/>
    <col min="15875" max="15875" width="13.6640625" style="2" bestFit="1" customWidth="1"/>
    <col min="15876" max="16128" width="8.88671875" style="2"/>
    <col min="16129" max="16129" width="14.6640625" style="2" bestFit="1" customWidth="1"/>
    <col min="16130" max="16130" width="8.88671875" style="2"/>
    <col min="16131" max="16131" width="13.6640625" style="2" bestFit="1" customWidth="1"/>
    <col min="16132" max="16384" width="8.88671875" style="2"/>
  </cols>
  <sheetData>
    <row r="1" spans="1:3" ht="36.75" customHeight="1" x14ac:dyDescent="0.25">
      <c r="A1" s="1" t="s">
        <v>0</v>
      </c>
      <c r="B1" s="1"/>
      <c r="C1" s="1"/>
    </row>
    <row r="2" spans="1:3" x14ac:dyDescent="0.25">
      <c r="A2" s="2" t="s">
        <v>1</v>
      </c>
      <c r="B2" s="2">
        <v>22</v>
      </c>
    </row>
    <row r="3" spans="1:3" x14ac:dyDescent="0.25">
      <c r="A3" s="2" t="s">
        <v>2</v>
      </c>
      <c r="B3" s="2">
        <v>-15</v>
      </c>
    </row>
    <row r="5" spans="1:3" x14ac:dyDescent="0.25">
      <c r="A5" s="2" t="s">
        <v>3</v>
      </c>
      <c r="B5" s="2">
        <v>25</v>
      </c>
    </row>
    <row r="6" spans="1:3" x14ac:dyDescent="0.25">
      <c r="A6" s="3" t="s">
        <v>4</v>
      </c>
      <c r="B6" s="3" t="b">
        <f>(B5&lt;=B2)</f>
        <v>0</v>
      </c>
      <c r="C6" s="2" t="str">
        <f ca="1">[1]!getformula(B6)</f>
        <v>&lt;--  =(B5&lt;=B2)</v>
      </c>
    </row>
    <row r="7" spans="1:3" x14ac:dyDescent="0.25">
      <c r="A7" s="3" t="s">
        <v>5</v>
      </c>
      <c r="B7" s="3" t="b">
        <f>(B5&gt;B3)</f>
        <v>1</v>
      </c>
      <c r="C7" s="2" t="str">
        <f ca="1">[1]!getformula(B7)</f>
        <v>&lt;--  =(B5&gt;B3)</v>
      </c>
    </row>
    <row r="9" spans="1:3" x14ac:dyDescent="0.25">
      <c r="A9" s="3" t="s">
        <v>6</v>
      </c>
      <c r="B9" s="3">
        <f>B6*B7</f>
        <v>0</v>
      </c>
      <c r="C9" s="2" t="str">
        <f ca="1">[1]!getformula(B9)</f>
        <v>&lt;--  =B6*B7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Page 823</vt:lpstr>
      <vt:lpstr>Page 822</vt:lpstr>
      <vt:lpstr>Page 820</vt:lpstr>
      <vt:lpstr>Page 819, top</vt:lpstr>
      <vt:lpstr>Sheet1</vt:lpstr>
      <vt:lpstr>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2024-12-30T05:45:04Z</dcterms:modified>
</cp:coreProperties>
</file>