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62506A11-85A8-47B5-A9DC-FB0AEDF6264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1 bottom; page 792 top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E23" i="2" s="1"/>
  <c r="B16" i="2"/>
  <c r="B15" i="2"/>
  <c r="D26" i="2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25" i="2"/>
  <c r="B23" i="2"/>
  <c r="C16" i="2"/>
  <c r="C15" i="2"/>
</calcChain>
</file>

<file path=xl/sharedStrings.xml><?xml version="1.0" encoding="utf-8"?>
<sst xmlns="http://schemas.openxmlformats.org/spreadsheetml/2006/main" count="11" uniqueCount="10">
  <si>
    <t>MULTIPLE IRRs</t>
  </si>
  <si>
    <t>Year</t>
  </si>
  <si>
    <t>Cash
flow</t>
  </si>
  <si>
    <t>IRR</t>
  </si>
  <si>
    <t>Data table--NPV as function of discount rate</t>
  </si>
  <si>
    <t>Discount rate</t>
  </si>
  <si>
    <t>NPV</t>
  </si>
  <si>
    <t>Data table</t>
  </si>
  <si>
    <t>&lt;-- Header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</si>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</sst>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_(* #,##0_);_(* \(#,##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3" fontId="2" fillId="0" borderId="0" xfId="1" applyNumberFormat="1"/>
    <xf numFmtId="0" fontId="2" fillId="2" borderId="0" xfId="1" applyFill="1"/>
    <xf numFmtId="10" fontId="2" fillId="2" borderId="0" xfId="1" applyNumberFormat="1" applyFill="1"/>
    <xf numFmtId="0" fontId="4" fillId="0" borderId="0" xfId="1" applyFont="1"/>
    <xf numFmtId="9" fontId="2" fillId="0" borderId="0" xfId="1" applyNumberFormat="1"/>
    <xf numFmtId="38" fontId="2" fillId="0" borderId="0" xfId="1" applyNumberFormat="1"/>
    <xf numFmtId="177" fontId="0" fillId="0" borderId="0" xfId="2" applyNumberFormat="1" applyFont="1"/>
  </cellXfs>
  <cellStyles count="3">
    <cellStyle name="常规" xfId="0" builtinId="0"/>
    <cellStyle name="常规 2" xfId="1" xr:uid="{F50ED6E8-900C-4D14-8238-013DDDAD4F2C}"/>
    <cellStyle name="千位分隔 2" xfId="2" xr:uid="{228B89B2-A0D1-4432-BED5-0374D95D633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NPV of Cash Flows</a:t>
            </a:r>
          </a:p>
        </c:rich>
      </c:tx>
      <c:layout>
        <c:manualLayout>
          <c:xMode val="edge"/>
          <c:yMode val="edge"/>
          <c:x val="0.32471355489391074"/>
          <c:y val="5.00001942035241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563284514425384"/>
          <c:y val="0.2681828598189025"/>
          <c:w val="0.68103639389253856"/>
          <c:h val="0.4818200532339602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791 bottom; page 792 top'!$D$24:$D$39</c:f>
              <c:numCache>
                <c:formatCode>0%</c:formatCode>
                <c:ptCount val="16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</c:numCache>
            </c:numRef>
          </c:cat>
          <c:val>
            <c:numRef>
              <c:f>'Page 791 bottom; page 792 top'!$E$24:$E$39</c:f>
              <c:numCache>
                <c:formatCode>_(* #,##0_);_(* \(#,##0\);_(* "-"??_);_(@_)</c:formatCode>
                <c:ptCount val="16"/>
                <c:pt idx="0">
                  <c:v>-11000</c:v>
                </c:pt>
                <c:pt idx="1">
                  <c:v>25457.359937558562</c:v>
                </c:pt>
                <c:pt idx="2">
                  <c:v>26774.670792191057</c:v>
                </c:pt>
                <c:pt idx="3">
                  <c:v>21812.299923383827</c:v>
                </c:pt>
                <c:pt idx="4">
                  <c:v>16655.314819053103</c:v>
                </c:pt>
                <c:pt idx="5">
                  <c:v>12408.384271897376</c:v>
                </c:pt>
                <c:pt idx="6">
                  <c:v>9079.4777669989307</c:v>
                </c:pt>
                <c:pt idx="7">
                  <c:v>6479.7778754598075</c:v>
                </c:pt>
                <c:pt idx="8">
                  <c:v>4427.0455916546489</c:v>
                </c:pt>
                <c:pt idx="9">
                  <c:v>2780.7663683791125</c:v>
                </c:pt>
                <c:pt idx="10">
                  <c:v>1438.8175932301729</c:v>
                </c:pt>
                <c:pt idx="11">
                  <c:v>327.91518145258306</c:v>
                </c:pt>
                <c:pt idx="12">
                  <c:v>-604.77957642655929</c:v>
                </c:pt>
                <c:pt idx="13">
                  <c:v>-1397.8184597772906</c:v>
                </c:pt>
                <c:pt idx="14">
                  <c:v>-2079.7434141609374</c:v>
                </c:pt>
                <c:pt idx="15">
                  <c:v>-2672.01221230175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0-443F-A23A-14844592F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7558888"/>
        <c:axId val="1"/>
      </c:lineChart>
      <c:catAx>
        <c:axId val="957558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Discount rate</a:t>
                </a:r>
              </a:p>
            </c:rich>
          </c:tx>
          <c:layout>
            <c:manualLayout>
              <c:xMode val="edge"/>
              <c:yMode val="edge"/>
              <c:x val="0.46551854772401369"/>
              <c:y val="0.80000310725638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NPV ($)</a:t>
                </a:r>
              </a:p>
            </c:rich>
          </c:tx>
          <c:layout>
            <c:manualLayout>
              <c:xMode val="edge"/>
              <c:yMode val="edge"/>
              <c:x val="2.0114998975728986E-2"/>
              <c:y val="0.41363797022915461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7558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1</xdr:row>
      <xdr:rowOff>45720</xdr:rowOff>
    </xdr:from>
    <xdr:to>
      <xdr:col>7</xdr:col>
      <xdr:colOff>434340</xdr:colOff>
      <xdr:row>12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40F3FB1-0196-41AD-8301-E6D16DDF26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342900</xdr:colOff>
      <xdr:row>2</xdr:row>
      <xdr:rowOff>66675</xdr:rowOff>
    </xdr:from>
    <xdr:to>
      <xdr:col>23</xdr:col>
      <xdr:colOff>344006</xdr:colOff>
      <xdr:row>45</xdr:row>
      <xdr:rowOff>130577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7463F5E-0AAE-444D-AF20-00B6734E7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53225" y="619125"/>
          <a:ext cx="7925906" cy="74267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90, top"/>
      <sheetName val="Page 790, top (中文)"/>
      <sheetName val="Page 790, bottom"/>
      <sheetName val="Page 790, bottom (中文)"/>
      <sheetName val="Page 791, top"/>
      <sheetName val="Page 791, top (中文)"/>
      <sheetName val="Page 791 bottom; page 792 top"/>
      <sheetName val="Page 791 bottom; page 792 t (中)"/>
      <sheetName val="Page 792 bottom; page 793 top"/>
      <sheetName val="792页下；793页上（中文）"/>
      <sheetName val="Page 794"/>
      <sheetName val="794页（中文）"/>
      <sheetName val="Page 795"/>
      <sheetName val="795页（中文）"/>
      <sheetName val="Page 796"/>
      <sheetName val="Page 796 (中文)"/>
      <sheetName val="Page 801, top"/>
      <sheetName val="Page 801, top (中文)"/>
      <sheetName val="Page 801, bottom"/>
      <sheetName val="801页下（中文）"/>
      <sheetName val="Page 802"/>
      <sheetName val="802页（中文）"/>
      <sheetName val="Page 803"/>
      <sheetName val="Page 803 (中文)"/>
      <sheetName val="Page 804"/>
      <sheetName val="Page 804 (中文)"/>
      <sheetName val="Page 805"/>
      <sheetName val="Page 805 (中文)"/>
      <sheetName val="Page 806"/>
      <sheetName val="806页（中文）"/>
      <sheetName val="Page 807"/>
      <sheetName val="Page 807 (中文)"/>
      <sheetName val="Page 808"/>
      <sheetName val="Page 808 (中文)"/>
      <sheetName val="Page 809"/>
      <sheetName val="809页（中文）"/>
      <sheetName val="Page 810"/>
      <sheetName val="810页（中文）"/>
      <sheetName val="Page 811"/>
      <sheetName val="811页（中文）"/>
      <sheetName val="Page 812-13"/>
      <sheetName val="Page 812-13 (中文)"/>
      <sheetName val="Page 814"/>
      <sheetName val="814页（中文）"/>
      <sheetName val="Page 815, top"/>
      <sheetName val="815页上（中文）"/>
      <sheetName val="Page 815, bottom"/>
      <sheetName val="815页下（中文）"/>
      <sheetName val="Page 816"/>
      <sheetName val="816页（中文）"/>
      <sheetName val="Page 817, top"/>
      <sheetName val="Page 817, top (中文)"/>
      <sheetName val="Page 817-18"/>
      <sheetName val="817-818页（中文）"/>
      <sheetName val="Page 819, top"/>
      <sheetName val="819上（中文）"/>
      <sheetName val="Page 819, bottom"/>
      <sheetName val="819页下（中文）"/>
      <sheetName val="Page 820"/>
      <sheetName val="820页（中文）"/>
      <sheetName val="Page 822"/>
      <sheetName val="822页（中文）"/>
      <sheetName val="Page 823"/>
      <sheetName val="823页（中文）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0</v>
          </cell>
          <cell r="E24">
            <v>-11000</v>
          </cell>
        </row>
        <row r="25">
          <cell r="D25">
            <v>0.12</v>
          </cell>
          <cell r="E25">
            <v>25457.359937558562</v>
          </cell>
        </row>
        <row r="26">
          <cell r="D26">
            <v>0.24</v>
          </cell>
          <cell r="E26">
            <v>26774.670792191057</v>
          </cell>
        </row>
        <row r="27">
          <cell r="D27">
            <v>0.36</v>
          </cell>
          <cell r="E27">
            <v>21812.299923383827</v>
          </cell>
        </row>
        <row r="28">
          <cell r="D28">
            <v>0.48</v>
          </cell>
          <cell r="E28">
            <v>16655.314819053103</v>
          </cell>
        </row>
        <row r="29">
          <cell r="D29">
            <v>0.6</v>
          </cell>
          <cell r="E29">
            <v>12408.384271897376</v>
          </cell>
        </row>
        <row r="30">
          <cell r="D30">
            <v>0.72</v>
          </cell>
          <cell r="E30">
            <v>9079.4777669989307</v>
          </cell>
        </row>
        <row r="31">
          <cell r="D31">
            <v>0.84</v>
          </cell>
          <cell r="E31">
            <v>6479.7778754598075</v>
          </cell>
        </row>
        <row r="32">
          <cell r="D32">
            <v>0.96</v>
          </cell>
          <cell r="E32">
            <v>4427.0455916546489</v>
          </cell>
        </row>
        <row r="33">
          <cell r="D33">
            <v>1.08</v>
          </cell>
          <cell r="E33">
            <v>2780.7663683791125</v>
          </cell>
        </row>
        <row r="34">
          <cell r="D34">
            <v>1.2000000000000002</v>
          </cell>
          <cell r="E34">
            <v>1438.8175932301729</v>
          </cell>
        </row>
        <row r="35">
          <cell r="D35">
            <v>1.3200000000000003</v>
          </cell>
          <cell r="E35">
            <v>327.91518145258306</v>
          </cell>
        </row>
        <row r="36">
          <cell r="D36">
            <v>1.4400000000000004</v>
          </cell>
          <cell r="E36">
            <v>-604.77957642655929</v>
          </cell>
        </row>
        <row r="37">
          <cell r="D37">
            <v>1.5600000000000005</v>
          </cell>
          <cell r="E37">
            <v>-1397.8184597772906</v>
          </cell>
        </row>
        <row r="38">
          <cell r="D38">
            <v>1.6800000000000006</v>
          </cell>
          <cell r="E38">
            <v>-2079.7434141609374</v>
          </cell>
        </row>
        <row r="39">
          <cell r="D39">
            <v>1.8000000000000007</v>
          </cell>
          <cell r="E39">
            <v>-2672.01221230175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468F-BB80-44BB-AF7F-F3FFD65CA644}">
  <sheetPr codeName="Sheet2">
    <pageSetUpPr fitToPage="1"/>
  </sheetPr>
  <dimension ref="A1:H39"/>
  <sheetViews>
    <sheetView tabSelected="1" zoomScale="130" zoomScaleNormal="130" workbookViewId="0">
      <selection activeCell="H20" sqref="H20"/>
    </sheetView>
  </sheetViews>
  <sheetFormatPr defaultRowHeight="13.2" x14ac:dyDescent="0.25"/>
  <cols>
    <col min="1" max="1" width="13.44140625" style="2" customWidth="1"/>
    <col min="2" max="256" width="8.88671875" style="2"/>
    <col min="257" max="257" width="13.44140625" style="2" customWidth="1"/>
    <col min="258" max="512" width="8.88671875" style="2"/>
    <col min="513" max="513" width="13.44140625" style="2" customWidth="1"/>
    <col min="514" max="768" width="8.88671875" style="2"/>
    <col min="769" max="769" width="13.44140625" style="2" customWidth="1"/>
    <col min="770" max="1024" width="8.88671875" style="2"/>
    <col min="1025" max="1025" width="13.44140625" style="2" customWidth="1"/>
    <col min="1026" max="1280" width="8.88671875" style="2"/>
    <col min="1281" max="1281" width="13.44140625" style="2" customWidth="1"/>
    <col min="1282" max="1536" width="8.88671875" style="2"/>
    <col min="1537" max="1537" width="13.44140625" style="2" customWidth="1"/>
    <col min="1538" max="1792" width="8.88671875" style="2"/>
    <col min="1793" max="1793" width="13.44140625" style="2" customWidth="1"/>
    <col min="1794" max="2048" width="8.88671875" style="2"/>
    <col min="2049" max="2049" width="13.44140625" style="2" customWidth="1"/>
    <col min="2050" max="2304" width="8.88671875" style="2"/>
    <col min="2305" max="2305" width="13.44140625" style="2" customWidth="1"/>
    <col min="2306" max="2560" width="8.88671875" style="2"/>
    <col min="2561" max="2561" width="13.44140625" style="2" customWidth="1"/>
    <col min="2562" max="2816" width="8.88671875" style="2"/>
    <col min="2817" max="2817" width="13.44140625" style="2" customWidth="1"/>
    <col min="2818" max="3072" width="8.88671875" style="2"/>
    <col min="3073" max="3073" width="13.44140625" style="2" customWidth="1"/>
    <col min="3074" max="3328" width="8.88671875" style="2"/>
    <col min="3329" max="3329" width="13.44140625" style="2" customWidth="1"/>
    <col min="3330" max="3584" width="8.88671875" style="2"/>
    <col min="3585" max="3585" width="13.44140625" style="2" customWidth="1"/>
    <col min="3586" max="3840" width="8.88671875" style="2"/>
    <col min="3841" max="3841" width="13.44140625" style="2" customWidth="1"/>
    <col min="3842" max="4096" width="8.88671875" style="2"/>
    <col min="4097" max="4097" width="13.44140625" style="2" customWidth="1"/>
    <col min="4098" max="4352" width="8.88671875" style="2"/>
    <col min="4353" max="4353" width="13.44140625" style="2" customWidth="1"/>
    <col min="4354" max="4608" width="8.88671875" style="2"/>
    <col min="4609" max="4609" width="13.44140625" style="2" customWidth="1"/>
    <col min="4610" max="4864" width="8.88671875" style="2"/>
    <col min="4865" max="4865" width="13.44140625" style="2" customWidth="1"/>
    <col min="4866" max="5120" width="8.88671875" style="2"/>
    <col min="5121" max="5121" width="13.44140625" style="2" customWidth="1"/>
    <col min="5122" max="5376" width="8.88671875" style="2"/>
    <col min="5377" max="5377" width="13.44140625" style="2" customWidth="1"/>
    <col min="5378" max="5632" width="8.88671875" style="2"/>
    <col min="5633" max="5633" width="13.44140625" style="2" customWidth="1"/>
    <col min="5634" max="5888" width="8.88671875" style="2"/>
    <col min="5889" max="5889" width="13.44140625" style="2" customWidth="1"/>
    <col min="5890" max="6144" width="8.88671875" style="2"/>
    <col min="6145" max="6145" width="13.44140625" style="2" customWidth="1"/>
    <col min="6146" max="6400" width="8.88671875" style="2"/>
    <col min="6401" max="6401" width="13.44140625" style="2" customWidth="1"/>
    <col min="6402" max="6656" width="8.88671875" style="2"/>
    <col min="6657" max="6657" width="13.44140625" style="2" customWidth="1"/>
    <col min="6658" max="6912" width="8.88671875" style="2"/>
    <col min="6913" max="6913" width="13.44140625" style="2" customWidth="1"/>
    <col min="6914" max="7168" width="8.88671875" style="2"/>
    <col min="7169" max="7169" width="13.44140625" style="2" customWidth="1"/>
    <col min="7170" max="7424" width="8.88671875" style="2"/>
    <col min="7425" max="7425" width="13.44140625" style="2" customWidth="1"/>
    <col min="7426" max="7680" width="8.88671875" style="2"/>
    <col min="7681" max="7681" width="13.44140625" style="2" customWidth="1"/>
    <col min="7682" max="7936" width="8.88671875" style="2"/>
    <col min="7937" max="7937" width="13.44140625" style="2" customWidth="1"/>
    <col min="7938" max="8192" width="8.88671875" style="2"/>
    <col min="8193" max="8193" width="13.44140625" style="2" customWidth="1"/>
    <col min="8194" max="8448" width="8.88671875" style="2"/>
    <col min="8449" max="8449" width="13.44140625" style="2" customWidth="1"/>
    <col min="8450" max="8704" width="8.88671875" style="2"/>
    <col min="8705" max="8705" width="13.44140625" style="2" customWidth="1"/>
    <col min="8706" max="8960" width="8.88671875" style="2"/>
    <col min="8961" max="8961" width="13.44140625" style="2" customWidth="1"/>
    <col min="8962" max="9216" width="8.88671875" style="2"/>
    <col min="9217" max="9217" width="13.44140625" style="2" customWidth="1"/>
    <col min="9218" max="9472" width="8.88671875" style="2"/>
    <col min="9473" max="9473" width="13.44140625" style="2" customWidth="1"/>
    <col min="9474" max="9728" width="8.88671875" style="2"/>
    <col min="9729" max="9729" width="13.44140625" style="2" customWidth="1"/>
    <col min="9730" max="9984" width="8.88671875" style="2"/>
    <col min="9985" max="9985" width="13.44140625" style="2" customWidth="1"/>
    <col min="9986" max="10240" width="8.88671875" style="2"/>
    <col min="10241" max="10241" width="13.44140625" style="2" customWidth="1"/>
    <col min="10242" max="10496" width="8.88671875" style="2"/>
    <col min="10497" max="10497" width="13.44140625" style="2" customWidth="1"/>
    <col min="10498" max="10752" width="8.88671875" style="2"/>
    <col min="10753" max="10753" width="13.44140625" style="2" customWidth="1"/>
    <col min="10754" max="11008" width="8.88671875" style="2"/>
    <col min="11009" max="11009" width="13.44140625" style="2" customWidth="1"/>
    <col min="11010" max="11264" width="8.88671875" style="2"/>
    <col min="11265" max="11265" width="13.44140625" style="2" customWidth="1"/>
    <col min="11266" max="11520" width="8.88671875" style="2"/>
    <col min="11521" max="11521" width="13.44140625" style="2" customWidth="1"/>
    <col min="11522" max="11776" width="8.88671875" style="2"/>
    <col min="11777" max="11777" width="13.44140625" style="2" customWidth="1"/>
    <col min="11778" max="12032" width="8.88671875" style="2"/>
    <col min="12033" max="12033" width="13.44140625" style="2" customWidth="1"/>
    <col min="12034" max="12288" width="8.88671875" style="2"/>
    <col min="12289" max="12289" width="13.44140625" style="2" customWidth="1"/>
    <col min="12290" max="12544" width="8.88671875" style="2"/>
    <col min="12545" max="12545" width="13.44140625" style="2" customWidth="1"/>
    <col min="12546" max="12800" width="8.88671875" style="2"/>
    <col min="12801" max="12801" width="13.44140625" style="2" customWidth="1"/>
    <col min="12802" max="13056" width="8.88671875" style="2"/>
    <col min="13057" max="13057" width="13.44140625" style="2" customWidth="1"/>
    <col min="13058" max="13312" width="8.88671875" style="2"/>
    <col min="13313" max="13313" width="13.44140625" style="2" customWidth="1"/>
    <col min="13314" max="13568" width="8.88671875" style="2"/>
    <col min="13569" max="13569" width="13.44140625" style="2" customWidth="1"/>
    <col min="13570" max="13824" width="8.88671875" style="2"/>
    <col min="13825" max="13825" width="13.44140625" style="2" customWidth="1"/>
    <col min="13826" max="14080" width="8.88671875" style="2"/>
    <col min="14081" max="14081" width="13.44140625" style="2" customWidth="1"/>
    <col min="14082" max="14336" width="8.88671875" style="2"/>
    <col min="14337" max="14337" width="13.44140625" style="2" customWidth="1"/>
    <col min="14338" max="14592" width="8.88671875" style="2"/>
    <col min="14593" max="14593" width="13.44140625" style="2" customWidth="1"/>
    <col min="14594" max="14848" width="8.88671875" style="2"/>
    <col min="14849" max="14849" width="13.44140625" style="2" customWidth="1"/>
    <col min="14850" max="15104" width="8.88671875" style="2"/>
    <col min="15105" max="15105" width="13.44140625" style="2" customWidth="1"/>
    <col min="15106" max="15360" width="8.88671875" style="2"/>
    <col min="15361" max="15361" width="13.44140625" style="2" customWidth="1"/>
    <col min="15362" max="15616" width="8.88671875" style="2"/>
    <col min="15617" max="15617" width="13.44140625" style="2" customWidth="1"/>
    <col min="15618" max="15872" width="8.88671875" style="2"/>
    <col min="15873" max="15873" width="13.44140625" style="2" customWidth="1"/>
    <col min="15874" max="16128" width="8.88671875" style="2"/>
    <col min="16129" max="16129" width="13.44140625" style="2" customWidth="1"/>
    <col min="16130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ht="26.4" x14ac:dyDescent="0.25">
      <c r="A2" s="3" t="s">
        <v>1</v>
      </c>
      <c r="B2" s="4" t="s">
        <v>2</v>
      </c>
    </row>
    <row r="3" spans="1:8" x14ac:dyDescent="0.25">
      <c r="A3" s="2">
        <v>0</v>
      </c>
      <c r="B3" s="5">
        <v>-11000</v>
      </c>
    </row>
    <row r="4" spans="1:8" x14ac:dyDescent="0.25">
      <c r="A4" s="2">
        <v>1</v>
      </c>
      <c r="B4" s="5">
        <v>15000</v>
      </c>
    </row>
    <row r="5" spans="1:8" x14ac:dyDescent="0.25">
      <c r="A5" s="2">
        <v>2</v>
      </c>
      <c r="B5" s="5">
        <v>15000</v>
      </c>
    </row>
    <row r="6" spans="1:8" x14ac:dyDescent="0.25">
      <c r="A6" s="2">
        <v>3</v>
      </c>
      <c r="B6" s="5">
        <v>15000</v>
      </c>
    </row>
    <row r="7" spans="1:8" x14ac:dyDescent="0.25">
      <c r="A7" s="2">
        <v>4</v>
      </c>
      <c r="B7" s="5">
        <v>15000</v>
      </c>
    </row>
    <row r="8" spans="1:8" x14ac:dyDescent="0.25">
      <c r="A8" s="2">
        <v>5</v>
      </c>
      <c r="B8" s="5">
        <v>15000</v>
      </c>
    </row>
    <row r="9" spans="1:8" x14ac:dyDescent="0.25">
      <c r="A9" s="2">
        <v>6</v>
      </c>
      <c r="B9" s="5">
        <v>15000</v>
      </c>
    </row>
    <row r="10" spans="1:8" x14ac:dyDescent="0.25">
      <c r="A10" s="2">
        <v>7</v>
      </c>
      <c r="B10" s="5">
        <v>15000</v>
      </c>
    </row>
    <row r="11" spans="1:8" x14ac:dyDescent="0.25">
      <c r="A11" s="2">
        <v>8</v>
      </c>
      <c r="B11" s="5">
        <v>15000</v>
      </c>
    </row>
    <row r="12" spans="1:8" x14ac:dyDescent="0.25">
      <c r="A12" s="2">
        <v>9</v>
      </c>
      <c r="B12" s="5">
        <v>15000</v>
      </c>
    </row>
    <row r="13" spans="1:8" x14ac:dyDescent="0.25">
      <c r="A13" s="2">
        <v>10</v>
      </c>
      <c r="B13" s="5">
        <v>-135000</v>
      </c>
    </row>
    <row r="15" spans="1:8" x14ac:dyDescent="0.25">
      <c r="A15" s="6" t="s">
        <v>3</v>
      </c>
      <c r="B15" s="7">
        <f>IRR(B3:B13,0)</f>
        <v>1.8644788898824149E-2</v>
      </c>
      <c r="C15" s="2" t="str">
        <f ca="1">[2]!getformula(B15)</f>
        <v>&lt;--  =IRR(B3:B13,0)</v>
      </c>
    </row>
    <row r="16" spans="1:8" x14ac:dyDescent="0.25">
      <c r="A16" s="6" t="s">
        <v>3</v>
      </c>
      <c r="B16" s="7">
        <f>IRR(B3:B13,2)</f>
        <v>1.3599205495612048</v>
      </c>
      <c r="C16" s="2" t="str">
        <f ca="1">[2]!getformula(B16)</f>
        <v>&lt;--  =IRR(B3:B13,2)</v>
      </c>
    </row>
    <row r="20" spans="1:6" x14ac:dyDescent="0.25">
      <c r="A20" s="8" t="s">
        <v>4</v>
      </c>
    </row>
    <row r="21" spans="1:6" x14ac:dyDescent="0.25">
      <c r="A21" s="2" t="s">
        <v>5</v>
      </c>
      <c r="B21" s="9">
        <v>0.1</v>
      </c>
    </row>
    <row r="22" spans="1:6" x14ac:dyDescent="0.25">
      <c r="A22" s="2" t="s">
        <v>6</v>
      </c>
      <c r="B22" s="10">
        <f>NPV(B21,B4:B13)+B3</f>
        <v>23337.013171140497</v>
      </c>
      <c r="D22" s="8" t="s">
        <v>7</v>
      </c>
    </row>
    <row r="23" spans="1:6" x14ac:dyDescent="0.25">
      <c r="B23" s="2" t="str">
        <f ca="1">_xlfn.FORMULATEXT(B22)</f>
        <v>=NPV(B21,B4:B13)+B3</v>
      </c>
      <c r="E23" s="10">
        <f>B22</f>
        <v>23337.013171140497</v>
      </c>
      <c r="F23" s="2" t="s">
        <v>8</v>
      </c>
    </row>
    <row r="24" spans="1:6" ht="13.8" x14ac:dyDescent="0.25">
      <c r="D24" s="9">
        <v>0</v>
      </c>
      <c r="E24" s="11">
        <f t="dataTable" ref="E24:E39" dt2D="0" dtr="0" r1="B21"/>
        <v>-11000</v>
      </c>
    </row>
    <row r="25" spans="1:6" ht="13.8" x14ac:dyDescent="0.25">
      <c r="A25" s="2" t="s">
        <v>9</v>
      </c>
      <c r="B25" s="9">
        <v>0.12</v>
      </c>
      <c r="D25" s="9">
        <f>D24+$B$25</f>
        <v>0.12</v>
      </c>
      <c r="E25" s="11">
        <v>25457.359937558562</v>
      </c>
    </row>
    <row r="26" spans="1:6" ht="13.8" x14ac:dyDescent="0.25">
      <c r="D26" s="9">
        <f t="shared" ref="D26:D39" si="0">D25+$B$25</f>
        <v>0.24</v>
      </c>
      <c r="E26" s="11">
        <v>26774.670792191057</v>
      </c>
    </row>
    <row r="27" spans="1:6" ht="13.8" x14ac:dyDescent="0.25">
      <c r="D27" s="9">
        <f t="shared" si="0"/>
        <v>0.36</v>
      </c>
      <c r="E27" s="11">
        <v>21812.299923383827</v>
      </c>
    </row>
    <row r="28" spans="1:6" ht="13.8" x14ac:dyDescent="0.25">
      <c r="D28" s="9">
        <f t="shared" si="0"/>
        <v>0.48</v>
      </c>
      <c r="E28" s="11">
        <v>16655.314819053103</v>
      </c>
    </row>
    <row r="29" spans="1:6" ht="13.8" x14ac:dyDescent="0.25">
      <c r="D29" s="9">
        <f t="shared" si="0"/>
        <v>0.6</v>
      </c>
      <c r="E29" s="11">
        <v>12408.384271897376</v>
      </c>
    </row>
    <row r="30" spans="1:6" ht="13.8" x14ac:dyDescent="0.25">
      <c r="D30" s="9">
        <f t="shared" si="0"/>
        <v>0.72</v>
      </c>
      <c r="E30" s="11">
        <v>9079.4777669989307</v>
      </c>
    </row>
    <row r="31" spans="1:6" ht="13.8" x14ac:dyDescent="0.25">
      <c r="D31" s="9">
        <f t="shared" si="0"/>
        <v>0.84</v>
      </c>
      <c r="E31" s="11">
        <v>6479.7778754598075</v>
      </c>
    </row>
    <row r="32" spans="1:6" ht="13.8" x14ac:dyDescent="0.25">
      <c r="D32" s="9">
        <f t="shared" si="0"/>
        <v>0.96</v>
      </c>
      <c r="E32" s="11">
        <v>4427.0455916546489</v>
      </c>
    </row>
    <row r="33" spans="4:5" ht="13.8" x14ac:dyDescent="0.25">
      <c r="D33" s="9">
        <f t="shared" si="0"/>
        <v>1.08</v>
      </c>
      <c r="E33" s="11">
        <v>2780.7663683791125</v>
      </c>
    </row>
    <row r="34" spans="4:5" ht="13.8" x14ac:dyDescent="0.25">
      <c r="D34" s="9">
        <f t="shared" si="0"/>
        <v>1.2000000000000002</v>
      </c>
      <c r="E34" s="11">
        <v>1438.8175932301729</v>
      </c>
    </row>
    <row r="35" spans="4:5" ht="13.8" x14ac:dyDescent="0.25">
      <c r="D35" s="9">
        <f t="shared" si="0"/>
        <v>1.3200000000000003</v>
      </c>
      <c r="E35" s="11">
        <v>327.91518145258306</v>
      </c>
    </row>
    <row r="36" spans="4:5" ht="13.8" x14ac:dyDescent="0.25">
      <c r="D36" s="9">
        <f t="shared" si="0"/>
        <v>1.4400000000000004</v>
      </c>
      <c r="E36" s="11">
        <v>-604.77957642655929</v>
      </c>
    </row>
    <row r="37" spans="4:5" ht="13.8" x14ac:dyDescent="0.25">
      <c r="D37" s="9">
        <f t="shared" si="0"/>
        <v>1.5600000000000005</v>
      </c>
      <c r="E37" s="11">
        <v>-1397.8184597772906</v>
      </c>
    </row>
    <row r="38" spans="4:5" ht="13.8" x14ac:dyDescent="0.25">
      <c r="D38" s="9">
        <f t="shared" si="0"/>
        <v>1.6800000000000006</v>
      </c>
      <c r="E38" s="11">
        <v>-2079.7434141609374</v>
      </c>
    </row>
    <row r="39" spans="4:5" ht="13.8" x14ac:dyDescent="0.25">
      <c r="D39" s="9">
        <f t="shared" si="0"/>
        <v>1.8000000000000007</v>
      </c>
      <c r="E39" s="11">
        <v>-2672.01221230175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791 bottom; page 792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2024-12-27T06:44:20Z</dcterms:modified>
</cp:coreProperties>
</file>