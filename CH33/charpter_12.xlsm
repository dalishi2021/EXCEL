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294C397A-3320-4D0A-8B7E-F071DCEE467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4" sheetId="3" r:id="rId1"/>
    <sheet name="Page 803" sheetId="2" r:id="rId2"/>
    <sheet name="Sheet1" sheetId="1" r:id="rId3"/>
  </sheets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3" l="1"/>
  <c r="D8" i="3" s="1"/>
  <c r="C14" i="3"/>
  <c r="C13" i="3"/>
  <c r="C12" i="3"/>
  <c r="C11" i="3"/>
  <c r="C10" i="3"/>
  <c r="C9" i="3"/>
  <c r="C8" i="3"/>
  <c r="C7" i="3"/>
  <c r="C6" i="3"/>
  <c r="C5" i="3"/>
  <c r="C4" i="3"/>
  <c r="D3" i="3"/>
  <c r="B16" i="2"/>
  <c r="C14" i="2"/>
  <c r="C5" i="2"/>
  <c r="C4" i="2"/>
  <c r="A18" i="3"/>
  <c r="C16" i="3"/>
  <c r="E16" i="3"/>
  <c r="E4" i="3"/>
  <c r="E5" i="3"/>
  <c r="E6" i="3"/>
  <c r="D14" i="2"/>
  <c r="D5" i="2"/>
  <c r="D4" i="2"/>
  <c r="C16" i="2"/>
  <c r="D9" i="3" l="1"/>
  <c r="D10" i="3"/>
  <c r="D4" i="3"/>
  <c r="D16" i="3" s="1"/>
  <c r="D11" i="3"/>
  <c r="D5" i="3"/>
  <c r="D12" i="3"/>
  <c r="D13" i="3"/>
  <c r="D6" i="3"/>
  <c r="D14" i="3"/>
  <c r="D7" i="3"/>
</calcChain>
</file>

<file path=xl/sharedStrings.xml><?xml version="1.0" encoding="utf-8"?>
<sst xmlns="http://schemas.openxmlformats.org/spreadsheetml/2006/main" count="10" uniqueCount="7">
  <si>
    <t>THE EXCEL FUNCTION XIRR</t>
  </si>
  <si>
    <t>Date</t>
  </si>
  <si>
    <t>Payment</t>
  </si>
  <si>
    <t>XIRR</t>
  </si>
  <si>
    <r>
      <t xml:space="preserve">HOW DOES XIRR WORK?
</t>
    </r>
    <r>
      <rPr>
        <b/>
        <sz val="12"/>
        <rFont val="Arial"/>
        <family val="2"/>
      </rPr>
      <t>XIRR computes the daily internal rate of return</t>
    </r>
  </si>
  <si>
    <t>Days from initial date</t>
  </si>
  <si>
    <t>Present
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</si>
</sst>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/>
    <xf numFmtId="0" fontId="4" fillId="2" borderId="0" xfId="1" applyFont="1" applyFill="1"/>
    <xf numFmtId="10" fontId="0" fillId="2" borderId="0" xfId="2" applyNumberFormat="1" applyFont="1" applyFill="1"/>
    <xf numFmtId="14" fontId="2" fillId="0" borderId="0" xfId="1" applyNumberFormat="1" applyAlignment="1">
      <alignment horizontal="center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wrapText="1"/>
    </xf>
    <xf numFmtId="15" fontId="2" fillId="0" borderId="0" xfId="1" applyNumberFormat="1" applyAlignment="1">
      <alignment horizontal="center"/>
    </xf>
    <xf numFmtId="2" fontId="2" fillId="0" borderId="0" xfId="1" applyNumberFormat="1"/>
    <xf numFmtId="3" fontId="2" fillId="0" borderId="0" xfId="1" applyNumberFormat="1" applyAlignment="1">
      <alignment horizontal="center"/>
    </xf>
    <xf numFmtId="10" fontId="2" fillId="2" borderId="0" xfId="2" applyNumberFormat="1" applyFill="1"/>
    <xf numFmtId="2" fontId="2" fillId="2" borderId="0" xfId="1" applyNumberFormat="1" applyFill="1"/>
    <xf numFmtId="0" fontId="2" fillId="3" borderId="0" xfId="1" applyFill="1" applyAlignment="1">
      <alignment horizontal="center" vertical="center" wrapText="1"/>
    </xf>
  </cellXfs>
  <cellStyles count="3">
    <cellStyle name="百分比 2" xfId="2" xr:uid="{FC0454B9-2A5A-425B-93C3-898CD780E808}"/>
    <cellStyle name="常规" xfId="0" builtinId="0"/>
    <cellStyle name="常规 2" xfId="1" xr:uid="{B9EAD4DE-C3EC-4623-B4A5-81610F20594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289560</xdr:colOff>
      <xdr:row>3</xdr:row>
      <xdr:rowOff>91440</xdr:rowOff>
    </xdr:from>
    <xdr:to>
      <xdr:col>2</xdr:col>
      <xdr:colOff>609600</xdr:colOff>
      <xdr:row>17</xdr:row>
      <xdr:rowOff>7620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AB7AB1B-BF67-462E-A58D-B1D65F064117}"/>
            </a:ext>
          </a:extLst>
        </xdr:cNvPr>
        <xdr:cNvSpPr>
          <a:spLocks noChangeShapeType="1"/>
        </xdr:cNvSpPr>
      </xdr:nvSpPr>
      <xdr:spPr bwMode="auto">
        <a:xfrm flipV="1">
          <a:off x="1200150" y="1104900"/>
          <a:ext cx="933450" cy="2314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7</xdr:row>
      <xdr:rowOff>66675</xdr:rowOff>
    </xdr:from>
    <xdr:to>
      <xdr:col>18</xdr:col>
      <xdr:colOff>172377</xdr:colOff>
      <xdr:row>34</xdr:row>
      <xdr:rowOff>53983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D66E232-DCDB-4FA3-A364-861C99F25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38825" y="1314450"/>
          <a:ext cx="6641757" cy="46107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2BA57-538C-400D-90A0-319E7F1593DD}">
  <sheetPr codeName="Sheet22"/>
  <dimension ref="A1:E19"/>
  <sheetViews>
    <sheetView tabSelected="1" workbookViewId="0">
      <selection activeCell="C5" sqref="C5"/>
    </sheetView>
  </sheetViews>
  <sheetFormatPr defaultRowHeight="13.2" x14ac:dyDescent="0.25"/>
  <cols>
    <col min="1" max="1" width="13.33203125" style="1" customWidth="1"/>
    <col min="2" max="2" width="8.88671875" style="1"/>
    <col min="3" max="3" width="24" style="1" customWidth="1"/>
    <col min="4" max="4" width="8.88671875" style="1"/>
    <col min="5" max="5" width="25.109375" style="1" bestFit="1" customWidth="1"/>
    <col min="6" max="256" width="8.88671875" style="1"/>
    <col min="257" max="257" width="13.33203125" style="1" customWidth="1"/>
    <col min="258" max="258" width="8.88671875" style="1"/>
    <col min="259" max="259" width="24" style="1" customWidth="1"/>
    <col min="260" max="260" width="8.88671875" style="1"/>
    <col min="261" max="261" width="25.109375" style="1" bestFit="1" customWidth="1"/>
    <col min="262" max="512" width="8.88671875" style="1"/>
    <col min="513" max="513" width="13.33203125" style="1" customWidth="1"/>
    <col min="514" max="514" width="8.88671875" style="1"/>
    <col min="515" max="515" width="24" style="1" customWidth="1"/>
    <col min="516" max="516" width="8.88671875" style="1"/>
    <col min="517" max="517" width="25.109375" style="1" bestFit="1" customWidth="1"/>
    <col min="518" max="768" width="8.88671875" style="1"/>
    <col min="769" max="769" width="13.33203125" style="1" customWidth="1"/>
    <col min="770" max="770" width="8.88671875" style="1"/>
    <col min="771" max="771" width="24" style="1" customWidth="1"/>
    <col min="772" max="772" width="8.88671875" style="1"/>
    <col min="773" max="773" width="25.109375" style="1" bestFit="1" customWidth="1"/>
    <col min="774" max="1024" width="8.88671875" style="1"/>
    <col min="1025" max="1025" width="13.33203125" style="1" customWidth="1"/>
    <col min="1026" max="1026" width="8.88671875" style="1"/>
    <col min="1027" max="1027" width="24" style="1" customWidth="1"/>
    <col min="1028" max="1028" width="8.88671875" style="1"/>
    <col min="1029" max="1029" width="25.109375" style="1" bestFit="1" customWidth="1"/>
    <col min="1030" max="1280" width="8.88671875" style="1"/>
    <col min="1281" max="1281" width="13.33203125" style="1" customWidth="1"/>
    <col min="1282" max="1282" width="8.88671875" style="1"/>
    <col min="1283" max="1283" width="24" style="1" customWidth="1"/>
    <col min="1284" max="1284" width="8.88671875" style="1"/>
    <col min="1285" max="1285" width="25.109375" style="1" bestFit="1" customWidth="1"/>
    <col min="1286" max="1536" width="8.88671875" style="1"/>
    <col min="1537" max="1537" width="13.33203125" style="1" customWidth="1"/>
    <col min="1538" max="1538" width="8.88671875" style="1"/>
    <col min="1539" max="1539" width="24" style="1" customWidth="1"/>
    <col min="1540" max="1540" width="8.88671875" style="1"/>
    <col min="1541" max="1541" width="25.109375" style="1" bestFit="1" customWidth="1"/>
    <col min="1542" max="1792" width="8.88671875" style="1"/>
    <col min="1793" max="1793" width="13.33203125" style="1" customWidth="1"/>
    <col min="1794" max="1794" width="8.88671875" style="1"/>
    <col min="1795" max="1795" width="24" style="1" customWidth="1"/>
    <col min="1796" max="1796" width="8.88671875" style="1"/>
    <col min="1797" max="1797" width="25.109375" style="1" bestFit="1" customWidth="1"/>
    <col min="1798" max="2048" width="8.88671875" style="1"/>
    <col min="2049" max="2049" width="13.33203125" style="1" customWidth="1"/>
    <col min="2050" max="2050" width="8.88671875" style="1"/>
    <col min="2051" max="2051" width="24" style="1" customWidth="1"/>
    <col min="2052" max="2052" width="8.88671875" style="1"/>
    <col min="2053" max="2053" width="25.109375" style="1" bestFit="1" customWidth="1"/>
    <col min="2054" max="2304" width="8.88671875" style="1"/>
    <col min="2305" max="2305" width="13.33203125" style="1" customWidth="1"/>
    <col min="2306" max="2306" width="8.88671875" style="1"/>
    <col min="2307" max="2307" width="24" style="1" customWidth="1"/>
    <col min="2308" max="2308" width="8.88671875" style="1"/>
    <col min="2309" max="2309" width="25.109375" style="1" bestFit="1" customWidth="1"/>
    <col min="2310" max="2560" width="8.88671875" style="1"/>
    <col min="2561" max="2561" width="13.33203125" style="1" customWidth="1"/>
    <col min="2562" max="2562" width="8.88671875" style="1"/>
    <col min="2563" max="2563" width="24" style="1" customWidth="1"/>
    <col min="2564" max="2564" width="8.88671875" style="1"/>
    <col min="2565" max="2565" width="25.109375" style="1" bestFit="1" customWidth="1"/>
    <col min="2566" max="2816" width="8.88671875" style="1"/>
    <col min="2817" max="2817" width="13.33203125" style="1" customWidth="1"/>
    <col min="2818" max="2818" width="8.88671875" style="1"/>
    <col min="2819" max="2819" width="24" style="1" customWidth="1"/>
    <col min="2820" max="2820" width="8.88671875" style="1"/>
    <col min="2821" max="2821" width="25.109375" style="1" bestFit="1" customWidth="1"/>
    <col min="2822" max="3072" width="8.88671875" style="1"/>
    <col min="3073" max="3073" width="13.33203125" style="1" customWidth="1"/>
    <col min="3074" max="3074" width="8.88671875" style="1"/>
    <col min="3075" max="3075" width="24" style="1" customWidth="1"/>
    <col min="3076" max="3076" width="8.88671875" style="1"/>
    <col min="3077" max="3077" width="25.109375" style="1" bestFit="1" customWidth="1"/>
    <col min="3078" max="3328" width="8.88671875" style="1"/>
    <col min="3329" max="3329" width="13.33203125" style="1" customWidth="1"/>
    <col min="3330" max="3330" width="8.88671875" style="1"/>
    <col min="3331" max="3331" width="24" style="1" customWidth="1"/>
    <col min="3332" max="3332" width="8.88671875" style="1"/>
    <col min="3333" max="3333" width="25.109375" style="1" bestFit="1" customWidth="1"/>
    <col min="3334" max="3584" width="8.88671875" style="1"/>
    <col min="3585" max="3585" width="13.33203125" style="1" customWidth="1"/>
    <col min="3586" max="3586" width="8.88671875" style="1"/>
    <col min="3587" max="3587" width="24" style="1" customWidth="1"/>
    <col min="3588" max="3588" width="8.88671875" style="1"/>
    <col min="3589" max="3589" width="25.109375" style="1" bestFit="1" customWidth="1"/>
    <col min="3590" max="3840" width="8.88671875" style="1"/>
    <col min="3841" max="3841" width="13.33203125" style="1" customWidth="1"/>
    <col min="3842" max="3842" width="8.88671875" style="1"/>
    <col min="3843" max="3843" width="24" style="1" customWidth="1"/>
    <col min="3844" max="3844" width="8.88671875" style="1"/>
    <col min="3845" max="3845" width="25.109375" style="1" bestFit="1" customWidth="1"/>
    <col min="3846" max="4096" width="8.88671875" style="1"/>
    <col min="4097" max="4097" width="13.33203125" style="1" customWidth="1"/>
    <col min="4098" max="4098" width="8.88671875" style="1"/>
    <col min="4099" max="4099" width="24" style="1" customWidth="1"/>
    <col min="4100" max="4100" width="8.88671875" style="1"/>
    <col min="4101" max="4101" width="25.109375" style="1" bestFit="1" customWidth="1"/>
    <col min="4102" max="4352" width="8.88671875" style="1"/>
    <col min="4353" max="4353" width="13.33203125" style="1" customWidth="1"/>
    <col min="4354" max="4354" width="8.88671875" style="1"/>
    <col min="4355" max="4355" width="24" style="1" customWidth="1"/>
    <col min="4356" max="4356" width="8.88671875" style="1"/>
    <col min="4357" max="4357" width="25.109375" style="1" bestFit="1" customWidth="1"/>
    <col min="4358" max="4608" width="8.88671875" style="1"/>
    <col min="4609" max="4609" width="13.33203125" style="1" customWidth="1"/>
    <col min="4610" max="4610" width="8.88671875" style="1"/>
    <col min="4611" max="4611" width="24" style="1" customWidth="1"/>
    <col min="4612" max="4612" width="8.88671875" style="1"/>
    <col min="4613" max="4613" width="25.109375" style="1" bestFit="1" customWidth="1"/>
    <col min="4614" max="4864" width="8.88671875" style="1"/>
    <col min="4865" max="4865" width="13.33203125" style="1" customWidth="1"/>
    <col min="4866" max="4866" width="8.88671875" style="1"/>
    <col min="4867" max="4867" width="24" style="1" customWidth="1"/>
    <col min="4868" max="4868" width="8.88671875" style="1"/>
    <col min="4869" max="4869" width="25.109375" style="1" bestFit="1" customWidth="1"/>
    <col min="4870" max="5120" width="8.88671875" style="1"/>
    <col min="5121" max="5121" width="13.33203125" style="1" customWidth="1"/>
    <col min="5122" max="5122" width="8.88671875" style="1"/>
    <col min="5123" max="5123" width="24" style="1" customWidth="1"/>
    <col min="5124" max="5124" width="8.88671875" style="1"/>
    <col min="5125" max="5125" width="25.109375" style="1" bestFit="1" customWidth="1"/>
    <col min="5126" max="5376" width="8.88671875" style="1"/>
    <col min="5377" max="5377" width="13.33203125" style="1" customWidth="1"/>
    <col min="5378" max="5378" width="8.88671875" style="1"/>
    <col min="5379" max="5379" width="24" style="1" customWidth="1"/>
    <col min="5380" max="5380" width="8.88671875" style="1"/>
    <col min="5381" max="5381" width="25.109375" style="1" bestFit="1" customWidth="1"/>
    <col min="5382" max="5632" width="8.88671875" style="1"/>
    <col min="5633" max="5633" width="13.33203125" style="1" customWidth="1"/>
    <col min="5634" max="5634" width="8.88671875" style="1"/>
    <col min="5635" max="5635" width="24" style="1" customWidth="1"/>
    <col min="5636" max="5636" width="8.88671875" style="1"/>
    <col min="5637" max="5637" width="25.109375" style="1" bestFit="1" customWidth="1"/>
    <col min="5638" max="5888" width="8.88671875" style="1"/>
    <col min="5889" max="5889" width="13.33203125" style="1" customWidth="1"/>
    <col min="5890" max="5890" width="8.88671875" style="1"/>
    <col min="5891" max="5891" width="24" style="1" customWidth="1"/>
    <col min="5892" max="5892" width="8.88671875" style="1"/>
    <col min="5893" max="5893" width="25.109375" style="1" bestFit="1" customWidth="1"/>
    <col min="5894" max="6144" width="8.88671875" style="1"/>
    <col min="6145" max="6145" width="13.33203125" style="1" customWidth="1"/>
    <col min="6146" max="6146" width="8.88671875" style="1"/>
    <col min="6147" max="6147" width="24" style="1" customWidth="1"/>
    <col min="6148" max="6148" width="8.88671875" style="1"/>
    <col min="6149" max="6149" width="25.109375" style="1" bestFit="1" customWidth="1"/>
    <col min="6150" max="6400" width="8.88671875" style="1"/>
    <col min="6401" max="6401" width="13.33203125" style="1" customWidth="1"/>
    <col min="6402" max="6402" width="8.88671875" style="1"/>
    <col min="6403" max="6403" width="24" style="1" customWidth="1"/>
    <col min="6404" max="6404" width="8.88671875" style="1"/>
    <col min="6405" max="6405" width="25.109375" style="1" bestFit="1" customWidth="1"/>
    <col min="6406" max="6656" width="8.88671875" style="1"/>
    <col min="6657" max="6657" width="13.33203125" style="1" customWidth="1"/>
    <col min="6658" max="6658" width="8.88671875" style="1"/>
    <col min="6659" max="6659" width="24" style="1" customWidth="1"/>
    <col min="6660" max="6660" width="8.88671875" style="1"/>
    <col min="6661" max="6661" width="25.109375" style="1" bestFit="1" customWidth="1"/>
    <col min="6662" max="6912" width="8.88671875" style="1"/>
    <col min="6913" max="6913" width="13.33203125" style="1" customWidth="1"/>
    <col min="6914" max="6914" width="8.88671875" style="1"/>
    <col min="6915" max="6915" width="24" style="1" customWidth="1"/>
    <col min="6916" max="6916" width="8.88671875" style="1"/>
    <col min="6917" max="6917" width="25.109375" style="1" bestFit="1" customWidth="1"/>
    <col min="6918" max="7168" width="8.88671875" style="1"/>
    <col min="7169" max="7169" width="13.33203125" style="1" customWidth="1"/>
    <col min="7170" max="7170" width="8.88671875" style="1"/>
    <col min="7171" max="7171" width="24" style="1" customWidth="1"/>
    <col min="7172" max="7172" width="8.88671875" style="1"/>
    <col min="7173" max="7173" width="25.109375" style="1" bestFit="1" customWidth="1"/>
    <col min="7174" max="7424" width="8.88671875" style="1"/>
    <col min="7425" max="7425" width="13.33203125" style="1" customWidth="1"/>
    <col min="7426" max="7426" width="8.88671875" style="1"/>
    <col min="7427" max="7427" width="24" style="1" customWidth="1"/>
    <col min="7428" max="7428" width="8.88671875" style="1"/>
    <col min="7429" max="7429" width="25.109375" style="1" bestFit="1" customWidth="1"/>
    <col min="7430" max="7680" width="8.88671875" style="1"/>
    <col min="7681" max="7681" width="13.33203125" style="1" customWidth="1"/>
    <col min="7682" max="7682" width="8.88671875" style="1"/>
    <col min="7683" max="7683" width="24" style="1" customWidth="1"/>
    <col min="7684" max="7684" width="8.88671875" style="1"/>
    <col min="7685" max="7685" width="25.109375" style="1" bestFit="1" customWidth="1"/>
    <col min="7686" max="7936" width="8.88671875" style="1"/>
    <col min="7937" max="7937" width="13.33203125" style="1" customWidth="1"/>
    <col min="7938" max="7938" width="8.88671875" style="1"/>
    <col min="7939" max="7939" width="24" style="1" customWidth="1"/>
    <col min="7940" max="7940" width="8.88671875" style="1"/>
    <col min="7941" max="7941" width="25.109375" style="1" bestFit="1" customWidth="1"/>
    <col min="7942" max="8192" width="8.88671875" style="1"/>
    <col min="8193" max="8193" width="13.33203125" style="1" customWidth="1"/>
    <col min="8194" max="8194" width="8.88671875" style="1"/>
    <col min="8195" max="8195" width="24" style="1" customWidth="1"/>
    <col min="8196" max="8196" width="8.88671875" style="1"/>
    <col min="8197" max="8197" width="25.109375" style="1" bestFit="1" customWidth="1"/>
    <col min="8198" max="8448" width="8.88671875" style="1"/>
    <col min="8449" max="8449" width="13.33203125" style="1" customWidth="1"/>
    <col min="8450" max="8450" width="8.88671875" style="1"/>
    <col min="8451" max="8451" width="24" style="1" customWidth="1"/>
    <col min="8452" max="8452" width="8.88671875" style="1"/>
    <col min="8453" max="8453" width="25.109375" style="1" bestFit="1" customWidth="1"/>
    <col min="8454" max="8704" width="8.88671875" style="1"/>
    <col min="8705" max="8705" width="13.33203125" style="1" customWidth="1"/>
    <col min="8706" max="8706" width="8.88671875" style="1"/>
    <col min="8707" max="8707" width="24" style="1" customWidth="1"/>
    <col min="8708" max="8708" width="8.88671875" style="1"/>
    <col min="8709" max="8709" width="25.109375" style="1" bestFit="1" customWidth="1"/>
    <col min="8710" max="8960" width="8.88671875" style="1"/>
    <col min="8961" max="8961" width="13.33203125" style="1" customWidth="1"/>
    <col min="8962" max="8962" width="8.88671875" style="1"/>
    <col min="8963" max="8963" width="24" style="1" customWidth="1"/>
    <col min="8964" max="8964" width="8.88671875" style="1"/>
    <col min="8965" max="8965" width="25.109375" style="1" bestFit="1" customWidth="1"/>
    <col min="8966" max="9216" width="8.88671875" style="1"/>
    <col min="9217" max="9217" width="13.33203125" style="1" customWidth="1"/>
    <col min="9218" max="9218" width="8.88671875" style="1"/>
    <col min="9219" max="9219" width="24" style="1" customWidth="1"/>
    <col min="9220" max="9220" width="8.88671875" style="1"/>
    <col min="9221" max="9221" width="25.109375" style="1" bestFit="1" customWidth="1"/>
    <col min="9222" max="9472" width="8.88671875" style="1"/>
    <col min="9473" max="9473" width="13.33203125" style="1" customWidth="1"/>
    <col min="9474" max="9474" width="8.88671875" style="1"/>
    <col min="9475" max="9475" width="24" style="1" customWidth="1"/>
    <col min="9476" max="9476" width="8.88671875" style="1"/>
    <col min="9477" max="9477" width="25.109375" style="1" bestFit="1" customWidth="1"/>
    <col min="9478" max="9728" width="8.88671875" style="1"/>
    <col min="9729" max="9729" width="13.33203125" style="1" customWidth="1"/>
    <col min="9730" max="9730" width="8.88671875" style="1"/>
    <col min="9731" max="9731" width="24" style="1" customWidth="1"/>
    <col min="9732" max="9732" width="8.88671875" style="1"/>
    <col min="9733" max="9733" width="25.109375" style="1" bestFit="1" customWidth="1"/>
    <col min="9734" max="9984" width="8.88671875" style="1"/>
    <col min="9985" max="9985" width="13.33203125" style="1" customWidth="1"/>
    <col min="9986" max="9986" width="8.88671875" style="1"/>
    <col min="9987" max="9987" width="24" style="1" customWidth="1"/>
    <col min="9988" max="9988" width="8.88671875" style="1"/>
    <col min="9989" max="9989" width="25.109375" style="1" bestFit="1" customWidth="1"/>
    <col min="9990" max="10240" width="8.88671875" style="1"/>
    <col min="10241" max="10241" width="13.33203125" style="1" customWidth="1"/>
    <col min="10242" max="10242" width="8.88671875" style="1"/>
    <col min="10243" max="10243" width="24" style="1" customWidth="1"/>
    <col min="10244" max="10244" width="8.88671875" style="1"/>
    <col min="10245" max="10245" width="25.109375" style="1" bestFit="1" customWidth="1"/>
    <col min="10246" max="10496" width="8.88671875" style="1"/>
    <col min="10497" max="10497" width="13.33203125" style="1" customWidth="1"/>
    <col min="10498" max="10498" width="8.88671875" style="1"/>
    <col min="10499" max="10499" width="24" style="1" customWidth="1"/>
    <col min="10500" max="10500" width="8.88671875" style="1"/>
    <col min="10501" max="10501" width="25.109375" style="1" bestFit="1" customWidth="1"/>
    <col min="10502" max="10752" width="8.88671875" style="1"/>
    <col min="10753" max="10753" width="13.33203125" style="1" customWidth="1"/>
    <col min="10754" max="10754" width="8.88671875" style="1"/>
    <col min="10755" max="10755" width="24" style="1" customWidth="1"/>
    <col min="10756" max="10756" width="8.88671875" style="1"/>
    <col min="10757" max="10757" width="25.109375" style="1" bestFit="1" customWidth="1"/>
    <col min="10758" max="11008" width="8.88671875" style="1"/>
    <col min="11009" max="11009" width="13.33203125" style="1" customWidth="1"/>
    <col min="11010" max="11010" width="8.88671875" style="1"/>
    <col min="11011" max="11011" width="24" style="1" customWidth="1"/>
    <col min="11012" max="11012" width="8.88671875" style="1"/>
    <col min="11013" max="11013" width="25.109375" style="1" bestFit="1" customWidth="1"/>
    <col min="11014" max="11264" width="8.88671875" style="1"/>
    <col min="11265" max="11265" width="13.33203125" style="1" customWidth="1"/>
    <col min="11266" max="11266" width="8.88671875" style="1"/>
    <col min="11267" max="11267" width="24" style="1" customWidth="1"/>
    <col min="11268" max="11268" width="8.88671875" style="1"/>
    <col min="11269" max="11269" width="25.109375" style="1" bestFit="1" customWidth="1"/>
    <col min="11270" max="11520" width="8.88671875" style="1"/>
    <col min="11521" max="11521" width="13.33203125" style="1" customWidth="1"/>
    <col min="11522" max="11522" width="8.88671875" style="1"/>
    <col min="11523" max="11523" width="24" style="1" customWidth="1"/>
    <col min="11524" max="11524" width="8.88671875" style="1"/>
    <col min="11525" max="11525" width="25.109375" style="1" bestFit="1" customWidth="1"/>
    <col min="11526" max="11776" width="8.88671875" style="1"/>
    <col min="11777" max="11777" width="13.33203125" style="1" customWidth="1"/>
    <col min="11778" max="11778" width="8.88671875" style="1"/>
    <col min="11779" max="11779" width="24" style="1" customWidth="1"/>
    <col min="11780" max="11780" width="8.88671875" style="1"/>
    <col min="11781" max="11781" width="25.109375" style="1" bestFit="1" customWidth="1"/>
    <col min="11782" max="12032" width="8.88671875" style="1"/>
    <col min="12033" max="12033" width="13.33203125" style="1" customWidth="1"/>
    <col min="12034" max="12034" width="8.88671875" style="1"/>
    <col min="12035" max="12035" width="24" style="1" customWidth="1"/>
    <col min="12036" max="12036" width="8.88671875" style="1"/>
    <col min="12037" max="12037" width="25.109375" style="1" bestFit="1" customWidth="1"/>
    <col min="12038" max="12288" width="8.88671875" style="1"/>
    <col min="12289" max="12289" width="13.33203125" style="1" customWidth="1"/>
    <col min="12290" max="12290" width="8.88671875" style="1"/>
    <col min="12291" max="12291" width="24" style="1" customWidth="1"/>
    <col min="12292" max="12292" width="8.88671875" style="1"/>
    <col min="12293" max="12293" width="25.109375" style="1" bestFit="1" customWidth="1"/>
    <col min="12294" max="12544" width="8.88671875" style="1"/>
    <col min="12545" max="12545" width="13.33203125" style="1" customWidth="1"/>
    <col min="12546" max="12546" width="8.88671875" style="1"/>
    <col min="12547" max="12547" width="24" style="1" customWidth="1"/>
    <col min="12548" max="12548" width="8.88671875" style="1"/>
    <col min="12549" max="12549" width="25.109375" style="1" bestFit="1" customWidth="1"/>
    <col min="12550" max="12800" width="8.88671875" style="1"/>
    <col min="12801" max="12801" width="13.33203125" style="1" customWidth="1"/>
    <col min="12802" max="12802" width="8.88671875" style="1"/>
    <col min="12803" max="12803" width="24" style="1" customWidth="1"/>
    <col min="12804" max="12804" width="8.88671875" style="1"/>
    <col min="12805" max="12805" width="25.109375" style="1" bestFit="1" customWidth="1"/>
    <col min="12806" max="13056" width="8.88671875" style="1"/>
    <col min="13057" max="13057" width="13.33203125" style="1" customWidth="1"/>
    <col min="13058" max="13058" width="8.88671875" style="1"/>
    <col min="13059" max="13059" width="24" style="1" customWidth="1"/>
    <col min="13060" max="13060" width="8.88671875" style="1"/>
    <col min="13061" max="13061" width="25.109375" style="1" bestFit="1" customWidth="1"/>
    <col min="13062" max="13312" width="8.88671875" style="1"/>
    <col min="13313" max="13313" width="13.33203125" style="1" customWidth="1"/>
    <col min="13314" max="13314" width="8.88671875" style="1"/>
    <col min="13315" max="13315" width="24" style="1" customWidth="1"/>
    <col min="13316" max="13316" width="8.88671875" style="1"/>
    <col min="13317" max="13317" width="25.109375" style="1" bestFit="1" customWidth="1"/>
    <col min="13318" max="13568" width="8.88671875" style="1"/>
    <col min="13569" max="13569" width="13.33203125" style="1" customWidth="1"/>
    <col min="13570" max="13570" width="8.88671875" style="1"/>
    <col min="13571" max="13571" width="24" style="1" customWidth="1"/>
    <col min="13572" max="13572" width="8.88671875" style="1"/>
    <col min="13573" max="13573" width="25.109375" style="1" bestFit="1" customWidth="1"/>
    <col min="13574" max="13824" width="8.88671875" style="1"/>
    <col min="13825" max="13825" width="13.33203125" style="1" customWidth="1"/>
    <col min="13826" max="13826" width="8.88671875" style="1"/>
    <col min="13827" max="13827" width="24" style="1" customWidth="1"/>
    <col min="13828" max="13828" width="8.88671875" style="1"/>
    <col min="13829" max="13829" width="25.109375" style="1" bestFit="1" customWidth="1"/>
    <col min="13830" max="14080" width="8.88671875" style="1"/>
    <col min="14081" max="14081" width="13.33203125" style="1" customWidth="1"/>
    <col min="14082" max="14082" width="8.88671875" style="1"/>
    <col min="14083" max="14083" width="24" style="1" customWidth="1"/>
    <col min="14084" max="14084" width="8.88671875" style="1"/>
    <col min="14085" max="14085" width="25.109375" style="1" bestFit="1" customWidth="1"/>
    <col min="14086" max="14336" width="8.88671875" style="1"/>
    <col min="14337" max="14337" width="13.33203125" style="1" customWidth="1"/>
    <col min="14338" max="14338" width="8.88671875" style="1"/>
    <col min="14339" max="14339" width="24" style="1" customWidth="1"/>
    <col min="14340" max="14340" width="8.88671875" style="1"/>
    <col min="14341" max="14341" width="25.109375" style="1" bestFit="1" customWidth="1"/>
    <col min="14342" max="14592" width="8.88671875" style="1"/>
    <col min="14593" max="14593" width="13.33203125" style="1" customWidth="1"/>
    <col min="14594" max="14594" width="8.88671875" style="1"/>
    <col min="14595" max="14595" width="24" style="1" customWidth="1"/>
    <col min="14596" max="14596" width="8.88671875" style="1"/>
    <col min="14597" max="14597" width="25.109375" style="1" bestFit="1" customWidth="1"/>
    <col min="14598" max="14848" width="8.88671875" style="1"/>
    <col min="14849" max="14849" width="13.33203125" style="1" customWidth="1"/>
    <col min="14850" max="14850" width="8.88671875" style="1"/>
    <col min="14851" max="14851" width="24" style="1" customWidth="1"/>
    <col min="14852" max="14852" width="8.88671875" style="1"/>
    <col min="14853" max="14853" width="25.109375" style="1" bestFit="1" customWidth="1"/>
    <col min="14854" max="15104" width="8.88671875" style="1"/>
    <col min="15105" max="15105" width="13.33203125" style="1" customWidth="1"/>
    <col min="15106" max="15106" width="8.88671875" style="1"/>
    <col min="15107" max="15107" width="24" style="1" customWidth="1"/>
    <col min="15108" max="15108" width="8.88671875" style="1"/>
    <col min="15109" max="15109" width="25.109375" style="1" bestFit="1" customWidth="1"/>
    <col min="15110" max="15360" width="8.88671875" style="1"/>
    <col min="15361" max="15361" width="13.33203125" style="1" customWidth="1"/>
    <col min="15362" max="15362" width="8.88671875" style="1"/>
    <col min="15363" max="15363" width="24" style="1" customWidth="1"/>
    <col min="15364" max="15364" width="8.88671875" style="1"/>
    <col min="15365" max="15365" width="25.109375" style="1" bestFit="1" customWidth="1"/>
    <col min="15366" max="15616" width="8.88671875" style="1"/>
    <col min="15617" max="15617" width="13.33203125" style="1" customWidth="1"/>
    <col min="15618" max="15618" width="8.88671875" style="1"/>
    <col min="15619" max="15619" width="24" style="1" customWidth="1"/>
    <col min="15620" max="15620" width="8.88671875" style="1"/>
    <col min="15621" max="15621" width="25.109375" style="1" bestFit="1" customWidth="1"/>
    <col min="15622" max="15872" width="8.88671875" style="1"/>
    <col min="15873" max="15873" width="13.33203125" style="1" customWidth="1"/>
    <col min="15874" max="15874" width="8.88671875" style="1"/>
    <col min="15875" max="15875" width="24" style="1" customWidth="1"/>
    <col min="15876" max="15876" width="8.88671875" style="1"/>
    <col min="15877" max="15877" width="25.109375" style="1" bestFit="1" customWidth="1"/>
    <col min="15878" max="16128" width="8.88671875" style="1"/>
    <col min="16129" max="16129" width="13.33203125" style="1" customWidth="1"/>
    <col min="16130" max="16130" width="8.88671875" style="1"/>
    <col min="16131" max="16131" width="24" style="1" customWidth="1"/>
    <col min="16132" max="16132" width="8.88671875" style="1"/>
    <col min="16133" max="16133" width="25.109375" style="1" bestFit="1" customWidth="1"/>
    <col min="16134" max="16384" width="8.88671875" style="1"/>
  </cols>
  <sheetData>
    <row r="1" spans="1:5" ht="39.75" customHeight="1" x14ac:dyDescent="0.25">
      <c r="A1" s="9" t="s">
        <v>4</v>
      </c>
      <c r="B1" s="9"/>
      <c r="C1" s="9"/>
      <c r="D1" s="9"/>
      <c r="E1" s="9"/>
    </row>
    <row r="2" spans="1:5" ht="26.4" x14ac:dyDescent="0.25">
      <c r="A2" s="2" t="s">
        <v>1</v>
      </c>
      <c r="B2" s="2" t="s">
        <v>2</v>
      </c>
      <c r="C2" s="2" t="s">
        <v>5</v>
      </c>
      <c r="D2" s="10" t="s">
        <v>6</v>
      </c>
    </row>
    <row r="3" spans="1:5" x14ac:dyDescent="0.25">
      <c r="A3" s="11">
        <v>36938</v>
      </c>
      <c r="B3" s="1">
        <v>-600</v>
      </c>
      <c r="C3" s="7"/>
      <c r="D3" s="12">
        <f>B3</f>
        <v>-600</v>
      </c>
    </row>
    <row r="4" spans="1:5" x14ac:dyDescent="0.25">
      <c r="A4" s="11">
        <v>36986</v>
      </c>
      <c r="B4" s="1">
        <v>100</v>
      </c>
      <c r="C4" s="13">
        <f>A4-$A$3</f>
        <v>48</v>
      </c>
      <c r="D4" s="12">
        <f>B4/(1+$B$16)^(C4/365)</f>
        <v>97.421616144412823</v>
      </c>
      <c r="E4" s="1" t="str">
        <f ca="1">[1]!getformula(D4)</f>
        <v>&lt;--  =B4/(1+$B$16)^(C4/365)</v>
      </c>
    </row>
    <row r="5" spans="1:5" x14ac:dyDescent="0.25">
      <c r="A5" s="11">
        <v>37087</v>
      </c>
      <c r="B5" s="1">
        <v>100</v>
      </c>
      <c r="C5" s="13">
        <f t="shared" ref="C5:C14" si="0">A5-$A$3</f>
        <v>149</v>
      </c>
      <c r="D5" s="12">
        <f t="shared" ref="D5:D14" si="1">B5/(1+$B$16)^(C5/365)</f>
        <v>92.2113230173955</v>
      </c>
      <c r="E5" s="1" t="str">
        <f ca="1">[1]!getformula(D5)</f>
        <v>&lt;--  =B5/(1+$B$16)^(C5/365)</v>
      </c>
    </row>
    <row r="6" spans="1:5" x14ac:dyDescent="0.25">
      <c r="A6" s="11">
        <v>37156</v>
      </c>
      <c r="B6" s="1">
        <v>100</v>
      </c>
      <c r="C6" s="13">
        <f t="shared" si="0"/>
        <v>218</v>
      </c>
      <c r="D6" s="12">
        <f t="shared" si="1"/>
        <v>88.812948796414645</v>
      </c>
      <c r="E6" s="1" t="str">
        <f ca="1">[1]!getformula(D6)</f>
        <v>&lt;--  =B6/(1+$B$16)^(C6/365)</v>
      </c>
    </row>
    <row r="7" spans="1:5" x14ac:dyDescent="0.25">
      <c r="A7" s="11">
        <v>37521</v>
      </c>
      <c r="B7" s="1">
        <v>100</v>
      </c>
      <c r="C7" s="13">
        <f t="shared" si="0"/>
        <v>583</v>
      </c>
      <c r="D7" s="12">
        <f t="shared" si="1"/>
        <v>72.813101025347208</v>
      </c>
    </row>
    <row r="8" spans="1:5" x14ac:dyDescent="0.25">
      <c r="A8" s="11">
        <v>37886</v>
      </c>
      <c r="B8" s="1">
        <v>100</v>
      </c>
      <c r="C8" s="13">
        <f t="shared" si="0"/>
        <v>948</v>
      </c>
      <c r="D8" s="12">
        <f t="shared" si="1"/>
        <v>59.695660968093534</v>
      </c>
    </row>
    <row r="9" spans="1:5" x14ac:dyDescent="0.25">
      <c r="A9" s="11">
        <v>38252</v>
      </c>
      <c r="B9" s="1">
        <v>100</v>
      </c>
      <c r="C9" s="13">
        <f t="shared" si="0"/>
        <v>1314</v>
      </c>
      <c r="D9" s="12">
        <f t="shared" si="1"/>
        <v>48.914729427162897</v>
      </c>
    </row>
    <row r="10" spans="1:5" x14ac:dyDescent="0.25">
      <c r="A10" s="11">
        <v>38617</v>
      </c>
      <c r="B10" s="1">
        <v>100</v>
      </c>
      <c r="C10" s="13">
        <f t="shared" si="0"/>
        <v>1679</v>
      </c>
      <c r="D10" s="12">
        <f t="shared" si="1"/>
        <v>40.102633497417656</v>
      </c>
    </row>
    <row r="11" spans="1:5" x14ac:dyDescent="0.25">
      <c r="A11" s="11">
        <v>38982</v>
      </c>
      <c r="B11" s="1">
        <v>100</v>
      </c>
      <c r="C11" s="13">
        <f t="shared" si="0"/>
        <v>2044</v>
      </c>
      <c r="D11" s="12">
        <f t="shared" si="1"/>
        <v>32.87805600198498</v>
      </c>
    </row>
    <row r="12" spans="1:5" x14ac:dyDescent="0.25">
      <c r="A12" s="11">
        <v>39347</v>
      </c>
      <c r="B12" s="1">
        <v>100</v>
      </c>
      <c r="C12" s="13">
        <f t="shared" si="0"/>
        <v>2409</v>
      </c>
      <c r="D12" s="12">
        <f t="shared" si="1"/>
        <v>26.955002008515663</v>
      </c>
    </row>
    <row r="13" spans="1:5" x14ac:dyDescent="0.25">
      <c r="A13" s="11">
        <v>39713</v>
      </c>
      <c r="B13" s="1">
        <v>100</v>
      </c>
      <c r="C13" s="13">
        <f t="shared" si="0"/>
        <v>2775</v>
      </c>
      <c r="D13" s="12">
        <f t="shared" si="1"/>
        <v>22.086975980714801</v>
      </c>
    </row>
    <row r="14" spans="1:5" x14ac:dyDescent="0.25">
      <c r="A14" s="11">
        <v>40078</v>
      </c>
      <c r="B14" s="1">
        <v>100</v>
      </c>
      <c r="C14" s="13">
        <f t="shared" si="0"/>
        <v>3140</v>
      </c>
      <c r="D14" s="12">
        <f t="shared" si="1"/>
        <v>18.107958751766247</v>
      </c>
    </row>
    <row r="16" spans="1:5" x14ac:dyDescent="0.25">
      <c r="A16" s="4" t="s">
        <v>3</v>
      </c>
      <c r="B16" s="14">
        <f>XIRR(B3:B14,A3:A14)</f>
        <v>0.21973858475685118</v>
      </c>
      <c r="C16" s="1" t="str">
        <f ca="1">[1]!getformula(B16)</f>
        <v>&lt;--  =XIRR(B3:B14,A3:A14)</v>
      </c>
      <c r="D16" s="15">
        <f>SUM(D3:D14)</f>
        <v>5.6192259911824749E-6</v>
      </c>
      <c r="E16" s="1" t="str">
        <f ca="1">[1]!getformula(D16)</f>
        <v>&lt;--  =SUM(D3:D14)</v>
      </c>
    </row>
    <row r="18" spans="1:2" x14ac:dyDescent="0.25">
      <c r="A18" s="16" t="str">
        <f ca="1">"Cell "&amp;CHAR(COLUMN(C4)+64)&amp;ROW(C4)&amp;" contains the formula"&amp;[1]!GGETFORMULA(C4)</f>
        <v>Cell C4 contains the formula=A4-$A$3</v>
      </c>
      <c r="B18" s="16"/>
    </row>
    <row r="19" spans="1:2" x14ac:dyDescent="0.25">
      <c r="A19" s="16"/>
      <c r="B19" s="16"/>
    </row>
  </sheetData>
  <mergeCells count="2">
    <mergeCell ref="A1:E1"/>
    <mergeCell ref="A18:B19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F9C39-6EDC-4E6D-90CB-25A217656FD5}">
  <sheetPr codeName="Sheet6"/>
  <dimension ref="A1:D16"/>
  <sheetViews>
    <sheetView zoomScale="160" zoomScaleNormal="160" workbookViewId="0">
      <selection activeCell="E21" sqref="E21"/>
    </sheetView>
  </sheetViews>
  <sheetFormatPr defaultRowHeight="13.2" x14ac:dyDescent="0.25"/>
  <cols>
    <col min="1" max="1" width="13.33203125" style="1" customWidth="1"/>
    <col min="2" max="2" width="8.88671875" style="1"/>
    <col min="3" max="3" width="24" style="1" bestFit="1" customWidth="1"/>
    <col min="4" max="256" width="8.88671875" style="1"/>
    <col min="257" max="257" width="13.33203125" style="1" customWidth="1"/>
    <col min="258" max="258" width="8.88671875" style="1"/>
    <col min="259" max="259" width="24" style="1" bestFit="1" customWidth="1"/>
    <col min="260" max="512" width="8.88671875" style="1"/>
    <col min="513" max="513" width="13.33203125" style="1" customWidth="1"/>
    <col min="514" max="514" width="8.88671875" style="1"/>
    <col min="515" max="515" width="24" style="1" bestFit="1" customWidth="1"/>
    <col min="516" max="768" width="8.88671875" style="1"/>
    <col min="769" max="769" width="13.33203125" style="1" customWidth="1"/>
    <col min="770" max="770" width="8.88671875" style="1"/>
    <col min="771" max="771" width="24" style="1" bestFit="1" customWidth="1"/>
    <col min="772" max="1024" width="8.88671875" style="1"/>
    <col min="1025" max="1025" width="13.33203125" style="1" customWidth="1"/>
    <col min="1026" max="1026" width="8.88671875" style="1"/>
    <col min="1027" max="1027" width="24" style="1" bestFit="1" customWidth="1"/>
    <col min="1028" max="1280" width="8.88671875" style="1"/>
    <col min="1281" max="1281" width="13.33203125" style="1" customWidth="1"/>
    <col min="1282" max="1282" width="8.88671875" style="1"/>
    <col min="1283" max="1283" width="24" style="1" bestFit="1" customWidth="1"/>
    <col min="1284" max="1536" width="8.88671875" style="1"/>
    <col min="1537" max="1537" width="13.33203125" style="1" customWidth="1"/>
    <col min="1538" max="1538" width="8.88671875" style="1"/>
    <col min="1539" max="1539" width="24" style="1" bestFit="1" customWidth="1"/>
    <col min="1540" max="1792" width="8.88671875" style="1"/>
    <col min="1793" max="1793" width="13.33203125" style="1" customWidth="1"/>
    <col min="1794" max="1794" width="8.88671875" style="1"/>
    <col min="1795" max="1795" width="24" style="1" bestFit="1" customWidth="1"/>
    <col min="1796" max="2048" width="8.88671875" style="1"/>
    <col min="2049" max="2049" width="13.33203125" style="1" customWidth="1"/>
    <col min="2050" max="2050" width="8.88671875" style="1"/>
    <col min="2051" max="2051" width="24" style="1" bestFit="1" customWidth="1"/>
    <col min="2052" max="2304" width="8.88671875" style="1"/>
    <col min="2305" max="2305" width="13.33203125" style="1" customWidth="1"/>
    <col min="2306" max="2306" width="8.88671875" style="1"/>
    <col min="2307" max="2307" width="24" style="1" bestFit="1" customWidth="1"/>
    <col min="2308" max="2560" width="8.88671875" style="1"/>
    <col min="2561" max="2561" width="13.33203125" style="1" customWidth="1"/>
    <col min="2562" max="2562" width="8.88671875" style="1"/>
    <col min="2563" max="2563" width="24" style="1" bestFit="1" customWidth="1"/>
    <col min="2564" max="2816" width="8.88671875" style="1"/>
    <col min="2817" max="2817" width="13.33203125" style="1" customWidth="1"/>
    <col min="2818" max="2818" width="8.88671875" style="1"/>
    <col min="2819" max="2819" width="24" style="1" bestFit="1" customWidth="1"/>
    <col min="2820" max="3072" width="8.88671875" style="1"/>
    <col min="3073" max="3073" width="13.33203125" style="1" customWidth="1"/>
    <col min="3074" max="3074" width="8.88671875" style="1"/>
    <col min="3075" max="3075" width="24" style="1" bestFit="1" customWidth="1"/>
    <col min="3076" max="3328" width="8.88671875" style="1"/>
    <col min="3329" max="3329" width="13.33203125" style="1" customWidth="1"/>
    <col min="3330" max="3330" width="8.88671875" style="1"/>
    <col min="3331" max="3331" width="24" style="1" bestFit="1" customWidth="1"/>
    <col min="3332" max="3584" width="8.88671875" style="1"/>
    <col min="3585" max="3585" width="13.33203125" style="1" customWidth="1"/>
    <col min="3586" max="3586" width="8.88671875" style="1"/>
    <col min="3587" max="3587" width="24" style="1" bestFit="1" customWidth="1"/>
    <col min="3588" max="3840" width="8.88671875" style="1"/>
    <col min="3841" max="3841" width="13.33203125" style="1" customWidth="1"/>
    <col min="3842" max="3842" width="8.88671875" style="1"/>
    <col min="3843" max="3843" width="24" style="1" bestFit="1" customWidth="1"/>
    <col min="3844" max="4096" width="8.88671875" style="1"/>
    <col min="4097" max="4097" width="13.33203125" style="1" customWidth="1"/>
    <col min="4098" max="4098" width="8.88671875" style="1"/>
    <col min="4099" max="4099" width="24" style="1" bestFit="1" customWidth="1"/>
    <col min="4100" max="4352" width="8.88671875" style="1"/>
    <col min="4353" max="4353" width="13.33203125" style="1" customWidth="1"/>
    <col min="4354" max="4354" width="8.88671875" style="1"/>
    <col min="4355" max="4355" width="24" style="1" bestFit="1" customWidth="1"/>
    <col min="4356" max="4608" width="8.88671875" style="1"/>
    <col min="4609" max="4609" width="13.33203125" style="1" customWidth="1"/>
    <col min="4610" max="4610" width="8.88671875" style="1"/>
    <col min="4611" max="4611" width="24" style="1" bestFit="1" customWidth="1"/>
    <col min="4612" max="4864" width="8.88671875" style="1"/>
    <col min="4865" max="4865" width="13.33203125" style="1" customWidth="1"/>
    <col min="4866" max="4866" width="8.88671875" style="1"/>
    <col min="4867" max="4867" width="24" style="1" bestFit="1" customWidth="1"/>
    <col min="4868" max="5120" width="8.88671875" style="1"/>
    <col min="5121" max="5121" width="13.33203125" style="1" customWidth="1"/>
    <col min="5122" max="5122" width="8.88671875" style="1"/>
    <col min="5123" max="5123" width="24" style="1" bestFit="1" customWidth="1"/>
    <col min="5124" max="5376" width="8.88671875" style="1"/>
    <col min="5377" max="5377" width="13.33203125" style="1" customWidth="1"/>
    <col min="5378" max="5378" width="8.88671875" style="1"/>
    <col min="5379" max="5379" width="24" style="1" bestFit="1" customWidth="1"/>
    <col min="5380" max="5632" width="8.88671875" style="1"/>
    <col min="5633" max="5633" width="13.33203125" style="1" customWidth="1"/>
    <col min="5634" max="5634" width="8.88671875" style="1"/>
    <col min="5635" max="5635" width="24" style="1" bestFit="1" customWidth="1"/>
    <col min="5636" max="5888" width="8.88671875" style="1"/>
    <col min="5889" max="5889" width="13.33203125" style="1" customWidth="1"/>
    <col min="5890" max="5890" width="8.88671875" style="1"/>
    <col min="5891" max="5891" width="24" style="1" bestFit="1" customWidth="1"/>
    <col min="5892" max="6144" width="8.88671875" style="1"/>
    <col min="6145" max="6145" width="13.33203125" style="1" customWidth="1"/>
    <col min="6146" max="6146" width="8.88671875" style="1"/>
    <col min="6147" max="6147" width="24" style="1" bestFit="1" customWidth="1"/>
    <col min="6148" max="6400" width="8.88671875" style="1"/>
    <col min="6401" max="6401" width="13.33203125" style="1" customWidth="1"/>
    <col min="6402" max="6402" width="8.88671875" style="1"/>
    <col min="6403" max="6403" width="24" style="1" bestFit="1" customWidth="1"/>
    <col min="6404" max="6656" width="8.88671875" style="1"/>
    <col min="6657" max="6657" width="13.33203125" style="1" customWidth="1"/>
    <col min="6658" max="6658" width="8.88671875" style="1"/>
    <col min="6659" max="6659" width="24" style="1" bestFit="1" customWidth="1"/>
    <col min="6660" max="6912" width="8.88671875" style="1"/>
    <col min="6913" max="6913" width="13.33203125" style="1" customWidth="1"/>
    <col min="6914" max="6914" width="8.88671875" style="1"/>
    <col min="6915" max="6915" width="24" style="1" bestFit="1" customWidth="1"/>
    <col min="6916" max="7168" width="8.88671875" style="1"/>
    <col min="7169" max="7169" width="13.33203125" style="1" customWidth="1"/>
    <col min="7170" max="7170" width="8.88671875" style="1"/>
    <col min="7171" max="7171" width="24" style="1" bestFit="1" customWidth="1"/>
    <col min="7172" max="7424" width="8.88671875" style="1"/>
    <col min="7425" max="7425" width="13.33203125" style="1" customWidth="1"/>
    <col min="7426" max="7426" width="8.88671875" style="1"/>
    <col min="7427" max="7427" width="24" style="1" bestFit="1" customWidth="1"/>
    <col min="7428" max="7680" width="8.88671875" style="1"/>
    <col min="7681" max="7681" width="13.33203125" style="1" customWidth="1"/>
    <col min="7682" max="7682" width="8.88671875" style="1"/>
    <col min="7683" max="7683" width="24" style="1" bestFit="1" customWidth="1"/>
    <col min="7684" max="7936" width="8.88671875" style="1"/>
    <col min="7937" max="7937" width="13.33203125" style="1" customWidth="1"/>
    <col min="7938" max="7938" width="8.88671875" style="1"/>
    <col min="7939" max="7939" width="24" style="1" bestFit="1" customWidth="1"/>
    <col min="7940" max="8192" width="8.88671875" style="1"/>
    <col min="8193" max="8193" width="13.33203125" style="1" customWidth="1"/>
    <col min="8194" max="8194" width="8.88671875" style="1"/>
    <col min="8195" max="8195" width="24" style="1" bestFit="1" customWidth="1"/>
    <col min="8196" max="8448" width="8.88671875" style="1"/>
    <col min="8449" max="8449" width="13.33203125" style="1" customWidth="1"/>
    <col min="8450" max="8450" width="8.88671875" style="1"/>
    <col min="8451" max="8451" width="24" style="1" bestFit="1" customWidth="1"/>
    <col min="8452" max="8704" width="8.88671875" style="1"/>
    <col min="8705" max="8705" width="13.33203125" style="1" customWidth="1"/>
    <col min="8706" max="8706" width="8.88671875" style="1"/>
    <col min="8707" max="8707" width="24" style="1" bestFit="1" customWidth="1"/>
    <col min="8708" max="8960" width="8.88671875" style="1"/>
    <col min="8961" max="8961" width="13.33203125" style="1" customWidth="1"/>
    <col min="8962" max="8962" width="8.88671875" style="1"/>
    <col min="8963" max="8963" width="24" style="1" bestFit="1" customWidth="1"/>
    <col min="8964" max="9216" width="8.88671875" style="1"/>
    <col min="9217" max="9217" width="13.33203125" style="1" customWidth="1"/>
    <col min="9218" max="9218" width="8.88671875" style="1"/>
    <col min="9219" max="9219" width="24" style="1" bestFit="1" customWidth="1"/>
    <col min="9220" max="9472" width="8.88671875" style="1"/>
    <col min="9473" max="9473" width="13.33203125" style="1" customWidth="1"/>
    <col min="9474" max="9474" width="8.88671875" style="1"/>
    <col min="9475" max="9475" width="24" style="1" bestFit="1" customWidth="1"/>
    <col min="9476" max="9728" width="8.88671875" style="1"/>
    <col min="9729" max="9729" width="13.33203125" style="1" customWidth="1"/>
    <col min="9730" max="9730" width="8.88671875" style="1"/>
    <col min="9731" max="9731" width="24" style="1" bestFit="1" customWidth="1"/>
    <col min="9732" max="9984" width="8.88671875" style="1"/>
    <col min="9985" max="9985" width="13.33203125" style="1" customWidth="1"/>
    <col min="9986" max="9986" width="8.88671875" style="1"/>
    <col min="9987" max="9987" width="24" style="1" bestFit="1" customWidth="1"/>
    <col min="9988" max="10240" width="8.88671875" style="1"/>
    <col min="10241" max="10241" width="13.33203125" style="1" customWidth="1"/>
    <col min="10242" max="10242" width="8.88671875" style="1"/>
    <col min="10243" max="10243" width="24" style="1" bestFit="1" customWidth="1"/>
    <col min="10244" max="10496" width="8.88671875" style="1"/>
    <col min="10497" max="10497" width="13.33203125" style="1" customWidth="1"/>
    <col min="10498" max="10498" width="8.88671875" style="1"/>
    <col min="10499" max="10499" width="24" style="1" bestFit="1" customWidth="1"/>
    <col min="10500" max="10752" width="8.88671875" style="1"/>
    <col min="10753" max="10753" width="13.33203125" style="1" customWidth="1"/>
    <col min="10754" max="10754" width="8.88671875" style="1"/>
    <col min="10755" max="10755" width="24" style="1" bestFit="1" customWidth="1"/>
    <col min="10756" max="11008" width="8.88671875" style="1"/>
    <col min="11009" max="11009" width="13.33203125" style="1" customWidth="1"/>
    <col min="11010" max="11010" width="8.88671875" style="1"/>
    <col min="11011" max="11011" width="24" style="1" bestFit="1" customWidth="1"/>
    <col min="11012" max="11264" width="8.88671875" style="1"/>
    <col min="11265" max="11265" width="13.33203125" style="1" customWidth="1"/>
    <col min="11266" max="11266" width="8.88671875" style="1"/>
    <col min="11267" max="11267" width="24" style="1" bestFit="1" customWidth="1"/>
    <col min="11268" max="11520" width="8.88671875" style="1"/>
    <col min="11521" max="11521" width="13.33203125" style="1" customWidth="1"/>
    <col min="11522" max="11522" width="8.88671875" style="1"/>
    <col min="11523" max="11523" width="24" style="1" bestFit="1" customWidth="1"/>
    <col min="11524" max="11776" width="8.88671875" style="1"/>
    <col min="11777" max="11777" width="13.33203125" style="1" customWidth="1"/>
    <col min="11778" max="11778" width="8.88671875" style="1"/>
    <col min="11779" max="11779" width="24" style="1" bestFit="1" customWidth="1"/>
    <col min="11780" max="12032" width="8.88671875" style="1"/>
    <col min="12033" max="12033" width="13.33203125" style="1" customWidth="1"/>
    <col min="12034" max="12034" width="8.88671875" style="1"/>
    <col min="12035" max="12035" width="24" style="1" bestFit="1" customWidth="1"/>
    <col min="12036" max="12288" width="8.88671875" style="1"/>
    <col min="12289" max="12289" width="13.33203125" style="1" customWidth="1"/>
    <col min="12290" max="12290" width="8.88671875" style="1"/>
    <col min="12291" max="12291" width="24" style="1" bestFit="1" customWidth="1"/>
    <col min="12292" max="12544" width="8.88671875" style="1"/>
    <col min="12545" max="12545" width="13.33203125" style="1" customWidth="1"/>
    <col min="12546" max="12546" width="8.88671875" style="1"/>
    <col min="12547" max="12547" width="24" style="1" bestFit="1" customWidth="1"/>
    <col min="12548" max="12800" width="8.88671875" style="1"/>
    <col min="12801" max="12801" width="13.33203125" style="1" customWidth="1"/>
    <col min="12802" max="12802" width="8.88671875" style="1"/>
    <col min="12803" max="12803" width="24" style="1" bestFit="1" customWidth="1"/>
    <col min="12804" max="13056" width="8.88671875" style="1"/>
    <col min="13057" max="13057" width="13.33203125" style="1" customWidth="1"/>
    <col min="13058" max="13058" width="8.88671875" style="1"/>
    <col min="13059" max="13059" width="24" style="1" bestFit="1" customWidth="1"/>
    <col min="13060" max="13312" width="8.88671875" style="1"/>
    <col min="13313" max="13313" width="13.33203125" style="1" customWidth="1"/>
    <col min="13314" max="13314" width="8.88671875" style="1"/>
    <col min="13315" max="13315" width="24" style="1" bestFit="1" customWidth="1"/>
    <col min="13316" max="13568" width="8.88671875" style="1"/>
    <col min="13569" max="13569" width="13.33203125" style="1" customWidth="1"/>
    <col min="13570" max="13570" width="8.88671875" style="1"/>
    <col min="13571" max="13571" width="24" style="1" bestFit="1" customWidth="1"/>
    <col min="13572" max="13824" width="8.88671875" style="1"/>
    <col min="13825" max="13825" width="13.33203125" style="1" customWidth="1"/>
    <col min="13826" max="13826" width="8.88671875" style="1"/>
    <col min="13827" max="13827" width="24" style="1" bestFit="1" customWidth="1"/>
    <col min="13828" max="14080" width="8.88671875" style="1"/>
    <col min="14081" max="14081" width="13.33203125" style="1" customWidth="1"/>
    <col min="14082" max="14082" width="8.88671875" style="1"/>
    <col min="14083" max="14083" width="24" style="1" bestFit="1" customWidth="1"/>
    <col min="14084" max="14336" width="8.88671875" style="1"/>
    <col min="14337" max="14337" width="13.33203125" style="1" customWidth="1"/>
    <col min="14338" max="14338" width="8.88671875" style="1"/>
    <col min="14339" max="14339" width="24" style="1" bestFit="1" customWidth="1"/>
    <col min="14340" max="14592" width="8.88671875" style="1"/>
    <col min="14593" max="14593" width="13.33203125" style="1" customWidth="1"/>
    <col min="14594" max="14594" width="8.88671875" style="1"/>
    <col min="14595" max="14595" width="24" style="1" bestFit="1" customWidth="1"/>
    <col min="14596" max="14848" width="8.88671875" style="1"/>
    <col min="14849" max="14849" width="13.33203125" style="1" customWidth="1"/>
    <col min="14850" max="14850" width="8.88671875" style="1"/>
    <col min="14851" max="14851" width="24" style="1" bestFit="1" customWidth="1"/>
    <col min="14852" max="15104" width="8.88671875" style="1"/>
    <col min="15105" max="15105" width="13.33203125" style="1" customWidth="1"/>
    <col min="15106" max="15106" width="8.88671875" style="1"/>
    <col min="15107" max="15107" width="24" style="1" bestFit="1" customWidth="1"/>
    <col min="15108" max="15360" width="8.88671875" style="1"/>
    <col min="15361" max="15361" width="13.33203125" style="1" customWidth="1"/>
    <col min="15362" max="15362" width="8.88671875" style="1"/>
    <col min="15363" max="15363" width="24" style="1" bestFit="1" customWidth="1"/>
    <col min="15364" max="15616" width="8.88671875" style="1"/>
    <col min="15617" max="15617" width="13.33203125" style="1" customWidth="1"/>
    <col min="15618" max="15618" width="8.88671875" style="1"/>
    <col min="15619" max="15619" width="24" style="1" bestFit="1" customWidth="1"/>
    <col min="15620" max="15872" width="8.88671875" style="1"/>
    <col min="15873" max="15873" width="13.33203125" style="1" customWidth="1"/>
    <col min="15874" max="15874" width="8.88671875" style="1"/>
    <col min="15875" max="15875" width="24" style="1" bestFit="1" customWidth="1"/>
    <col min="15876" max="16128" width="8.88671875" style="1"/>
    <col min="16129" max="16129" width="13.33203125" style="1" customWidth="1"/>
    <col min="16130" max="16130" width="8.88671875" style="1"/>
    <col min="16131" max="16131" width="24" style="1" bestFit="1" customWidth="1"/>
    <col min="16132" max="16384" width="8.88671875" style="1"/>
  </cols>
  <sheetData>
    <row r="1" spans="1:4" ht="17.399999999999999" x14ac:dyDescent="0.3">
      <c r="A1" s="8" t="s">
        <v>0</v>
      </c>
      <c r="B1" s="8"/>
      <c r="C1" s="8"/>
    </row>
    <row r="2" spans="1:4" x14ac:dyDescent="0.25">
      <c r="A2" s="2" t="s">
        <v>1</v>
      </c>
      <c r="B2" s="3" t="s">
        <v>2</v>
      </c>
    </row>
    <row r="3" spans="1:4" x14ac:dyDescent="0.25">
      <c r="A3" s="6">
        <v>36938</v>
      </c>
      <c r="B3" s="1">
        <v>-600</v>
      </c>
    </row>
    <row r="4" spans="1:4" x14ac:dyDescent="0.25">
      <c r="A4" s="6">
        <v>36986</v>
      </c>
      <c r="B4" s="1">
        <v>100</v>
      </c>
      <c r="C4" s="7">
        <f>DATEDIF($A$3,A4,"d")</f>
        <v>48</v>
      </c>
      <c r="D4" s="1" t="str">
        <f ca="1">_xlfn.FORMULATEXT(C4)</f>
        <v>=DATEDIF($A$3,A4,"d")</v>
      </c>
    </row>
    <row r="5" spans="1:4" x14ac:dyDescent="0.25">
      <c r="A5" s="6">
        <v>37087</v>
      </c>
      <c r="B5" s="1">
        <v>100</v>
      </c>
      <c r="C5" s="7">
        <f>DATEDIF($A$3,A5,"d")</f>
        <v>149</v>
      </c>
      <c r="D5" s="1" t="str">
        <f ca="1">_xlfn.FORMULATEXT(C5)</f>
        <v>=DATEDIF($A$3,A5,"d")</v>
      </c>
    </row>
    <row r="6" spans="1:4" x14ac:dyDescent="0.25">
      <c r="A6" s="6">
        <v>37156</v>
      </c>
      <c r="B6" s="1">
        <v>100</v>
      </c>
    </row>
    <row r="7" spans="1:4" x14ac:dyDescent="0.25">
      <c r="A7" s="6">
        <v>37521</v>
      </c>
      <c r="B7" s="1">
        <v>100</v>
      </c>
    </row>
    <row r="8" spans="1:4" x14ac:dyDescent="0.25">
      <c r="A8" s="6">
        <v>37886</v>
      </c>
      <c r="B8" s="1">
        <v>100</v>
      </c>
    </row>
    <row r="9" spans="1:4" x14ac:dyDescent="0.25">
      <c r="A9" s="6">
        <v>38252</v>
      </c>
      <c r="B9" s="1">
        <v>100</v>
      </c>
    </row>
    <row r="10" spans="1:4" x14ac:dyDescent="0.25">
      <c r="A10" s="6">
        <v>38617</v>
      </c>
      <c r="B10" s="1">
        <v>100</v>
      </c>
    </row>
    <row r="11" spans="1:4" x14ac:dyDescent="0.25">
      <c r="A11" s="6">
        <v>38982</v>
      </c>
      <c r="B11" s="1">
        <v>100</v>
      </c>
    </row>
    <row r="12" spans="1:4" x14ac:dyDescent="0.25">
      <c r="A12" s="6">
        <v>39347</v>
      </c>
      <c r="B12" s="1">
        <v>100</v>
      </c>
    </row>
    <row r="13" spans="1:4" x14ac:dyDescent="0.25">
      <c r="A13" s="6">
        <v>39713</v>
      </c>
      <c r="B13" s="1">
        <v>100</v>
      </c>
    </row>
    <row r="14" spans="1:4" x14ac:dyDescent="0.25">
      <c r="A14" s="6">
        <v>40078</v>
      </c>
      <c r="B14" s="1">
        <v>100</v>
      </c>
      <c r="C14" s="7">
        <f>DATEDIF($A$3,A14,"d")</f>
        <v>3140</v>
      </c>
      <c r="D14" s="1" t="str">
        <f ca="1">_xlfn.FORMULATEXT(C14)</f>
        <v>=DATEDIF($A$3,A14,"d")</v>
      </c>
    </row>
    <row r="16" spans="1:4" ht="13.8" x14ac:dyDescent="0.25">
      <c r="A16" s="4" t="s">
        <v>3</v>
      </c>
      <c r="B16" s="5">
        <f>XIRR(B3:B14,A3:A14)</f>
        <v>0.21973858475685118</v>
      </c>
      <c r="C16" s="1" t="str">
        <f ca="1">[1]!getformula(B16)</f>
        <v>&lt;--  =XIRR(B3:B14,A3:A14)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Page 804</vt:lpstr>
      <vt:lpstr>Page 803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2024-12-27T08:40:57Z</dcterms:modified>
</cp:coreProperties>
</file>