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8F650EF1-BF6A-44A6-ABE2-FDBB888DB76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14" sheetId="2" r:id="rId1"/>
    <sheet name="Sheet1" sheetId="1" r:id="rId2"/>
  </sheets>
  <externalReferences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2" l="1" a="1"/>
  <c r="C15" i="2" s="1"/>
  <c r="C19" i="2"/>
  <c r="I3" i="2"/>
  <c r="C20" i="2"/>
  <c r="E19" i="2" l="1"/>
  <c r="D19" i="2"/>
  <c r="E18" i="2"/>
  <c r="D18" i="2"/>
  <c r="C18" i="2"/>
  <c r="E17" i="2"/>
  <c r="D17" i="2"/>
  <c r="C17" i="2"/>
  <c r="E16" i="2"/>
  <c r="D16" i="2"/>
  <c r="C16" i="2"/>
  <c r="E15" i="2"/>
  <c r="H11" i="2" s="1"/>
  <c r="D15" i="2"/>
  <c r="H12" i="2"/>
  <c r="H3" i="2"/>
  <c r="H4" i="2"/>
  <c r="H5" i="2"/>
  <c r="H6" i="2"/>
  <c r="H7" i="2"/>
  <c r="H8" i="2"/>
  <c r="H9" i="2"/>
  <c r="H10" i="2"/>
</calcChain>
</file>

<file path=xl/sharedStrings.xml><?xml version="1.0" encoding="utf-8"?>
<sst xmlns="http://schemas.openxmlformats.org/spreadsheetml/2006/main" count="16" uniqueCount="16">
  <si>
    <t>USING LINEST TO DO A MULTIPLE REGRESSION</t>
  </si>
  <si>
    <t>Observation</t>
  </si>
  <si>
    <r>
      <t>X</t>
    </r>
    <r>
      <rPr>
        <b/>
        <vertAlign val="subscript"/>
        <sz val="10"/>
        <rFont val="Arial"/>
        <family val="2"/>
      </rPr>
      <t>1</t>
    </r>
  </si>
  <si>
    <r>
      <t>X</t>
    </r>
    <r>
      <rPr>
        <b/>
        <vertAlign val="subscript"/>
        <sz val="10"/>
        <rFont val="Arial"/>
        <family val="2"/>
      </rPr>
      <t>2</t>
    </r>
  </si>
  <si>
    <t>Y</t>
  </si>
  <si>
    <t>Predicted Y</t>
  </si>
  <si>
    <r>
      <t>x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coeff.</t>
    </r>
  </si>
  <si>
    <r>
      <t>x</t>
    </r>
    <r>
      <rPr>
        <b/>
        <vertAlign val="sub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coeff.</t>
    </r>
  </si>
  <si>
    <t>intercept</t>
  </si>
  <si>
    <t>Slope --&gt;</t>
  </si>
  <si>
    <t>&lt;-- Intercept</t>
  </si>
  <si>
    <t>Standard error  --&gt;</t>
  </si>
  <si>
    <r>
      <t>R</t>
    </r>
    <r>
      <rPr>
        <vertAlign val="superscript"/>
        <sz val="10"/>
        <rFont val="Arial"/>
        <family val="2"/>
      </rPr>
      <t xml:space="preserve">2 </t>
    </r>
    <r>
      <rPr>
        <sz val="11"/>
        <color theme="1"/>
        <rFont val="等线"/>
        <family val="2"/>
        <charset val="134"/>
        <scheme val="minor"/>
      </rPr>
      <t xml:space="preserve"> --&gt;</t>
    </r>
  </si>
  <si>
    <t>F statistic --&gt;</t>
  </si>
  <si>
    <r>
      <t>SS</t>
    </r>
    <r>
      <rPr>
        <vertAlign val="subscript"/>
        <sz val="10"/>
        <rFont val="Arial"/>
        <family val="2"/>
      </rPr>
      <t>xy</t>
    </r>
    <r>
      <rPr>
        <sz val="11"/>
        <color theme="1"/>
        <rFont val="等线"/>
        <family val="2"/>
        <charset val="134"/>
        <scheme val="minor"/>
      </rPr>
      <t xml:space="preserve">  --&gt;</t>
    </r>
  </si>
  <si>
    <r>
      <t>The regression equation is
Y = 14.1705 - 0.0987*x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 xml:space="preserve"> + 0.0089*x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 xml:space="preserve">
The chart shows the predicted versus the actual Y.  If all the predictions were exact (i.e., R2 = 100%), then the predicted points would all fall on the45-degree line (the dark line).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</si>
</sst>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8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2" fillId="0" borderId="0" xfId="1"/>
    <xf numFmtId="0" fontId="4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0" borderId="0" xfId="1" applyAlignment="1">
      <alignment horizontal="right"/>
    </xf>
    <xf numFmtId="176" fontId="2" fillId="0" borderId="0" xfId="1" applyNumberFormat="1"/>
    <xf numFmtId="176" fontId="2" fillId="0" borderId="1" xfId="1" applyNumberFormat="1" applyBorder="1"/>
    <xf numFmtId="176" fontId="2" fillId="0" borderId="2" xfId="1" applyNumberFormat="1" applyBorder="1"/>
    <xf numFmtId="176" fontId="2" fillId="0" borderId="3" xfId="1" applyNumberFormat="1" applyBorder="1"/>
    <xf numFmtId="176" fontId="2" fillId="0" borderId="4" xfId="1" applyNumberFormat="1" applyBorder="1"/>
    <xf numFmtId="176" fontId="2" fillId="0" borderId="5" xfId="1" applyNumberFormat="1" applyBorder="1"/>
    <xf numFmtId="176" fontId="2" fillId="0" borderId="6" xfId="1" applyNumberFormat="1" applyBorder="1"/>
    <xf numFmtId="176" fontId="2" fillId="0" borderId="7" xfId="1" applyNumberFormat="1" applyBorder="1"/>
    <xf numFmtId="176" fontId="2" fillId="0" borderId="8" xfId="1" applyNumberFormat="1" applyBorder="1"/>
    <xf numFmtId="0" fontId="2" fillId="0" borderId="0" xfId="1" applyAlignment="1">
      <alignment vertical="center"/>
    </xf>
    <xf numFmtId="0" fontId="2" fillId="0" borderId="0" xfId="1" applyAlignment="1">
      <alignment vertical="center" wrapText="1"/>
    </xf>
  </cellXfs>
  <cellStyles count="2">
    <cellStyle name="常规" xfId="0" builtinId="0"/>
    <cellStyle name="常规 2" xfId="1" xr:uid="{EDD1C5AF-9C17-4AAB-8C67-6A17D0A2A1FD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20964702212725"/>
          <c:y val="9.4339926840492278E-2"/>
          <c:w val="0.77612279671232232"/>
          <c:h val="0.6905682644724034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814'!$E$3:$E$12</c:f>
              <c:numCache>
                <c:formatCode>General</c:formatCode>
                <c:ptCount val="10"/>
                <c:pt idx="0">
                  <c:v>10.98</c:v>
                </c:pt>
                <c:pt idx="1">
                  <c:v>11.13</c:v>
                </c:pt>
                <c:pt idx="2">
                  <c:v>12.51</c:v>
                </c:pt>
                <c:pt idx="3">
                  <c:v>8.4</c:v>
                </c:pt>
                <c:pt idx="4">
                  <c:v>9.27</c:v>
                </c:pt>
                <c:pt idx="5">
                  <c:v>8.73</c:v>
                </c:pt>
                <c:pt idx="6">
                  <c:v>6.36</c:v>
                </c:pt>
                <c:pt idx="7">
                  <c:v>8.5</c:v>
                </c:pt>
                <c:pt idx="8">
                  <c:v>7.82</c:v>
                </c:pt>
                <c:pt idx="9">
                  <c:v>9.14</c:v>
                </c:pt>
              </c:numCache>
            </c:numRef>
          </c:xVal>
          <c:yVal>
            <c:numRef>
              <c:f>'Page 814'!$H$3:$H$12</c:f>
              <c:numCache>
                <c:formatCode>0.0000</c:formatCode>
                <c:ptCount val="10"/>
                <c:pt idx="0">
                  <c:v>11.407106083996563</c:v>
                </c:pt>
                <c:pt idx="1">
                  <c:v>11.439360384282692</c:v>
                </c:pt>
                <c:pt idx="2">
                  <c:v>11.816570412707684</c:v>
                </c:pt>
                <c:pt idx="3">
                  <c:v>8.6769671095758376</c:v>
                </c:pt>
                <c:pt idx="4">
                  <c:v>8.6003548662253859</c:v>
                </c:pt>
                <c:pt idx="5">
                  <c:v>8.241306080322758</c:v>
                </c:pt>
                <c:pt idx="6">
                  <c:v>6.9931638226429662</c:v>
                </c:pt>
                <c:pt idx="7">
                  <c:v>8.6817412638302169</c:v>
                </c:pt>
                <c:pt idx="8">
                  <c:v>7.3937149825522503</c:v>
                </c:pt>
                <c:pt idx="9">
                  <c:v>9.5897149938636339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42-43BE-80A5-EC909A9A3AEF}"/>
            </c:ext>
          </c:extLst>
        </c:ser>
        <c:ser>
          <c:idx val="1"/>
          <c:order val="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'Page 814'!$E$3:$E$12</c:f>
              <c:numCache>
                <c:formatCode>General</c:formatCode>
                <c:ptCount val="10"/>
                <c:pt idx="0">
                  <c:v>10.98</c:v>
                </c:pt>
                <c:pt idx="1">
                  <c:v>11.13</c:v>
                </c:pt>
                <c:pt idx="2">
                  <c:v>12.51</c:v>
                </c:pt>
                <c:pt idx="3">
                  <c:v>8.4</c:v>
                </c:pt>
                <c:pt idx="4">
                  <c:v>9.27</c:v>
                </c:pt>
                <c:pt idx="5">
                  <c:v>8.73</c:v>
                </c:pt>
                <c:pt idx="6">
                  <c:v>6.36</c:v>
                </c:pt>
                <c:pt idx="7">
                  <c:v>8.5</c:v>
                </c:pt>
                <c:pt idx="8">
                  <c:v>7.82</c:v>
                </c:pt>
                <c:pt idx="9">
                  <c:v>9.14</c:v>
                </c:pt>
              </c:numCache>
            </c:numRef>
          </c:xVal>
          <c:yVal>
            <c:numRef>
              <c:f>'Page 814'!$E$3:$E$12</c:f>
              <c:numCache>
                <c:formatCode>General</c:formatCode>
                <c:ptCount val="10"/>
                <c:pt idx="0">
                  <c:v>10.98</c:v>
                </c:pt>
                <c:pt idx="1">
                  <c:v>11.13</c:v>
                </c:pt>
                <c:pt idx="2">
                  <c:v>12.51</c:v>
                </c:pt>
                <c:pt idx="3">
                  <c:v>8.4</c:v>
                </c:pt>
                <c:pt idx="4">
                  <c:v>9.27</c:v>
                </c:pt>
                <c:pt idx="5">
                  <c:v>8.73</c:v>
                </c:pt>
                <c:pt idx="6">
                  <c:v>6.36</c:v>
                </c:pt>
                <c:pt idx="7">
                  <c:v>8.5</c:v>
                </c:pt>
                <c:pt idx="8">
                  <c:v>7.82</c:v>
                </c:pt>
                <c:pt idx="9">
                  <c:v>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42-43BE-80A5-EC909A9A3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381264"/>
        <c:axId val="1"/>
      </c:scatterChart>
      <c:valAx>
        <c:axId val="980381264"/>
        <c:scaling>
          <c:orientation val="minMax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Actual Y</a:t>
                </a:r>
              </a:p>
            </c:rich>
          </c:tx>
          <c:layout>
            <c:manualLayout>
              <c:xMode val="edge"/>
              <c:yMode val="edge"/>
              <c:x val="0.47462890404249702"/>
              <c:y val="0.856606346646428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2"/>
          <c:min val="6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Predicted Y</a:t>
                </a:r>
              </a:p>
            </c:rich>
          </c:tx>
          <c:layout>
            <c:manualLayout>
              <c:xMode val="edge"/>
              <c:yMode val="edge"/>
              <c:x val="5.6716774039608689E-2"/>
              <c:y val="0.313208740473705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803812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19</xdr:row>
      <xdr:rowOff>342900</xdr:rowOff>
    </xdr:from>
    <xdr:to>
      <xdr:col>5</xdr:col>
      <xdr:colOff>209550</xdr:colOff>
      <xdr:row>19</xdr:row>
      <xdr:rowOff>933450</xdr:rowOff>
    </xdr:to>
    <xdr:sp macro="" textlink="">
      <xdr:nvSpPr>
        <xdr:cNvPr id="2" name="Oval 2">
          <a:extLst>
            <a:ext uri="{FF2B5EF4-FFF2-40B4-BE49-F238E27FC236}">
              <a16:creationId xmlns:a16="http://schemas.microsoft.com/office/drawing/2014/main" id="{5248C41A-456C-460D-A2B4-3D7FCFC15D47}"/>
            </a:ext>
          </a:extLst>
        </xdr:cNvPr>
        <xdr:cNvSpPr>
          <a:spLocks noChangeArrowheads="1"/>
        </xdr:cNvSpPr>
      </xdr:nvSpPr>
      <xdr:spPr bwMode="auto">
        <a:xfrm>
          <a:off x="1257300" y="4067175"/>
          <a:ext cx="2400300" cy="590550"/>
        </a:xfrm>
        <a:prstGeom prst="ellips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335280</xdr:colOff>
      <xdr:row>19</xdr:row>
      <xdr:rowOff>45720</xdr:rowOff>
    </xdr:from>
    <xdr:to>
      <xdr:col>2</xdr:col>
      <xdr:colOff>381000</xdr:colOff>
      <xdr:row>19</xdr:row>
      <xdr:rowOff>396240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A65EA7B3-4743-4581-8B9A-C40FEBFF28ED}"/>
            </a:ext>
          </a:extLst>
        </xdr:cNvPr>
        <xdr:cNvSpPr>
          <a:spLocks noChangeShapeType="1"/>
        </xdr:cNvSpPr>
      </xdr:nvSpPr>
      <xdr:spPr bwMode="auto">
        <a:xfrm flipV="1">
          <a:off x="1952625" y="3771900"/>
          <a:ext cx="47625" cy="352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167640</xdr:colOff>
      <xdr:row>3</xdr:row>
      <xdr:rowOff>68580</xdr:rowOff>
    </xdr:from>
    <xdr:to>
      <xdr:col>13</xdr:col>
      <xdr:colOff>312420</xdr:colOff>
      <xdr:row>17</xdr:row>
      <xdr:rowOff>121920</xdr:rowOff>
    </xdr:to>
    <xdr:graphicFrame macro="">
      <xdr:nvGraphicFramePr>
        <xdr:cNvPr id="4" name="图表 5">
          <a:extLst>
            <a:ext uri="{FF2B5EF4-FFF2-40B4-BE49-F238E27FC236}">
              <a16:creationId xmlns:a16="http://schemas.microsoft.com/office/drawing/2014/main" id="{06503B02-14EC-4B72-99F3-D503E8DEA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268605</xdr:colOff>
      <xdr:row>4</xdr:row>
      <xdr:rowOff>104775</xdr:rowOff>
    </xdr:from>
    <xdr:to>
      <xdr:col>33</xdr:col>
      <xdr:colOff>308157</xdr:colOff>
      <xdr:row>28</xdr:row>
      <xdr:rowOff>711420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9E6C67D6-0E6B-267A-3623-4D0EE7CFD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46055" y="1152525"/>
          <a:ext cx="10402752" cy="612543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3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90, top"/>
      <sheetName val="Page 790, top (中文)"/>
      <sheetName val="Page 790, bottom"/>
      <sheetName val="Page 790, bottom (中文)"/>
      <sheetName val="Page 791, top"/>
      <sheetName val="Page 791, top (中文)"/>
      <sheetName val="Page 791 bottom; page 792 top"/>
      <sheetName val="Page 791 bottom; page 792 t (中)"/>
      <sheetName val="Page 792 bottom; page 793 top"/>
      <sheetName val="792页下；793页上（中文）"/>
      <sheetName val="Page 794"/>
      <sheetName val="794页（中文）"/>
      <sheetName val="Page 795"/>
      <sheetName val="795页（中文）"/>
      <sheetName val="Page 796"/>
      <sheetName val="Page 796 (中文)"/>
      <sheetName val="Page 801, top"/>
      <sheetName val="Page 801, top (中文)"/>
      <sheetName val="Page 801, bottom"/>
      <sheetName val="801页下（中文）"/>
      <sheetName val="Page 802"/>
      <sheetName val="802页（中文）"/>
      <sheetName val="Page 803"/>
      <sheetName val="Page 803 (中文)"/>
      <sheetName val="Page 804"/>
      <sheetName val="Page 804 (中文)"/>
      <sheetName val="Page 805"/>
      <sheetName val="Page 805 (中文)"/>
      <sheetName val="Page 806"/>
      <sheetName val="806页（中文）"/>
      <sheetName val="Page 807"/>
      <sheetName val="Page 807 (中文)"/>
      <sheetName val="Page 808"/>
      <sheetName val="Page 808 (中文)"/>
      <sheetName val="Page 809"/>
      <sheetName val="809页（中文）"/>
      <sheetName val="Page 810"/>
      <sheetName val="810页（中文）"/>
      <sheetName val="Page 811"/>
      <sheetName val="811页（中文）"/>
      <sheetName val="Page 812-13"/>
      <sheetName val="Page 812-13 (中文)"/>
      <sheetName val="Page 814"/>
      <sheetName val="814页（中文）"/>
      <sheetName val="Page 815, top"/>
      <sheetName val="815页上（中文）"/>
      <sheetName val="Page 815, bottom"/>
      <sheetName val="815页下（中文）"/>
      <sheetName val="Page 816"/>
      <sheetName val="816页（中文）"/>
      <sheetName val="Page 817, top"/>
      <sheetName val="Page 817, top (中文)"/>
      <sheetName val="Page 817-18"/>
      <sheetName val="817-818页（中文）"/>
      <sheetName val="Page 819, top"/>
      <sheetName val="819上（中文）"/>
      <sheetName val="Page 819, bottom"/>
      <sheetName val="819页下（中文）"/>
      <sheetName val="Page 820"/>
      <sheetName val="820页（中文）"/>
      <sheetName val="Page 822"/>
      <sheetName val="822页（中文）"/>
      <sheetName val="Page 823"/>
      <sheetName val="823页（中文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E3">
            <v>10.98</v>
          </cell>
          <cell r="H3">
            <v>11.407106083996563</v>
          </cell>
        </row>
        <row r="4">
          <cell r="E4">
            <v>11.13</v>
          </cell>
          <cell r="H4">
            <v>11.439360384282692</v>
          </cell>
        </row>
        <row r="5">
          <cell r="E5">
            <v>12.51</v>
          </cell>
          <cell r="H5">
            <v>11.816570412707684</v>
          </cell>
        </row>
        <row r="6">
          <cell r="E6">
            <v>8.4</v>
          </cell>
          <cell r="H6">
            <v>8.6769671095758376</v>
          </cell>
        </row>
        <row r="7">
          <cell r="E7">
            <v>9.27</v>
          </cell>
          <cell r="H7">
            <v>8.6003548662253859</v>
          </cell>
        </row>
        <row r="8">
          <cell r="E8">
            <v>8.73</v>
          </cell>
          <cell r="H8">
            <v>8.241306080322758</v>
          </cell>
        </row>
        <row r="9">
          <cell r="E9">
            <v>6.36</v>
          </cell>
          <cell r="H9">
            <v>6.9931638226429662</v>
          </cell>
        </row>
        <row r="10">
          <cell r="E10">
            <v>8.5</v>
          </cell>
          <cell r="H10">
            <v>8.6817412638302169</v>
          </cell>
        </row>
        <row r="11">
          <cell r="E11">
            <v>7.82</v>
          </cell>
          <cell r="H11">
            <v>7.3937149825522503</v>
          </cell>
        </row>
        <row r="12">
          <cell r="E12">
            <v>9.14</v>
          </cell>
          <cell r="H12">
            <v>9.5897149938636339</v>
          </cell>
        </row>
      </sheetData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78813-69B1-4974-8118-30CB765FC512}">
  <sheetPr codeName="Sheet10">
    <pageSetUpPr fitToPage="1"/>
  </sheetPr>
  <dimension ref="A1:N29"/>
  <sheetViews>
    <sheetView tabSelected="1" workbookViewId="0">
      <selection activeCell="J26" sqref="J26"/>
    </sheetView>
  </sheetViews>
  <sheetFormatPr defaultRowHeight="13.2" x14ac:dyDescent="0.25"/>
  <cols>
    <col min="1" max="1" width="12.6640625" style="3" customWidth="1"/>
    <col min="2" max="2" width="11" style="3" customWidth="1"/>
    <col min="3" max="5" width="8.88671875" style="3"/>
    <col min="6" max="6" width="11" style="3" bestFit="1" customWidth="1"/>
    <col min="7" max="7" width="4.109375" style="3" customWidth="1"/>
    <col min="8" max="8" width="10.44140625" style="3" customWidth="1"/>
    <col min="9" max="256" width="8.88671875" style="3"/>
    <col min="257" max="257" width="12.6640625" style="3" customWidth="1"/>
    <col min="258" max="258" width="11" style="3" customWidth="1"/>
    <col min="259" max="261" width="8.88671875" style="3"/>
    <col min="262" max="262" width="11" style="3" bestFit="1" customWidth="1"/>
    <col min="263" max="263" width="4.109375" style="3" customWidth="1"/>
    <col min="264" max="264" width="10.44140625" style="3" customWidth="1"/>
    <col min="265" max="512" width="8.88671875" style="3"/>
    <col min="513" max="513" width="12.6640625" style="3" customWidth="1"/>
    <col min="514" max="514" width="11" style="3" customWidth="1"/>
    <col min="515" max="517" width="8.88671875" style="3"/>
    <col min="518" max="518" width="11" style="3" bestFit="1" customWidth="1"/>
    <col min="519" max="519" width="4.109375" style="3" customWidth="1"/>
    <col min="520" max="520" width="10.44140625" style="3" customWidth="1"/>
    <col min="521" max="768" width="8.88671875" style="3"/>
    <col min="769" max="769" width="12.6640625" style="3" customWidth="1"/>
    <col min="770" max="770" width="11" style="3" customWidth="1"/>
    <col min="771" max="773" width="8.88671875" style="3"/>
    <col min="774" max="774" width="11" style="3" bestFit="1" customWidth="1"/>
    <col min="775" max="775" width="4.109375" style="3" customWidth="1"/>
    <col min="776" max="776" width="10.44140625" style="3" customWidth="1"/>
    <col min="777" max="1024" width="8.88671875" style="3"/>
    <col min="1025" max="1025" width="12.6640625" style="3" customWidth="1"/>
    <col min="1026" max="1026" width="11" style="3" customWidth="1"/>
    <col min="1027" max="1029" width="8.88671875" style="3"/>
    <col min="1030" max="1030" width="11" style="3" bestFit="1" customWidth="1"/>
    <col min="1031" max="1031" width="4.109375" style="3" customWidth="1"/>
    <col min="1032" max="1032" width="10.44140625" style="3" customWidth="1"/>
    <col min="1033" max="1280" width="8.88671875" style="3"/>
    <col min="1281" max="1281" width="12.6640625" style="3" customWidth="1"/>
    <col min="1282" max="1282" width="11" style="3" customWidth="1"/>
    <col min="1283" max="1285" width="8.88671875" style="3"/>
    <col min="1286" max="1286" width="11" style="3" bestFit="1" customWidth="1"/>
    <col min="1287" max="1287" width="4.109375" style="3" customWidth="1"/>
    <col min="1288" max="1288" width="10.44140625" style="3" customWidth="1"/>
    <col min="1289" max="1536" width="8.88671875" style="3"/>
    <col min="1537" max="1537" width="12.6640625" style="3" customWidth="1"/>
    <col min="1538" max="1538" width="11" style="3" customWidth="1"/>
    <col min="1539" max="1541" width="8.88671875" style="3"/>
    <col min="1542" max="1542" width="11" style="3" bestFit="1" customWidth="1"/>
    <col min="1543" max="1543" width="4.109375" style="3" customWidth="1"/>
    <col min="1544" max="1544" width="10.44140625" style="3" customWidth="1"/>
    <col min="1545" max="1792" width="8.88671875" style="3"/>
    <col min="1793" max="1793" width="12.6640625" style="3" customWidth="1"/>
    <col min="1794" max="1794" width="11" style="3" customWidth="1"/>
    <col min="1795" max="1797" width="8.88671875" style="3"/>
    <col min="1798" max="1798" width="11" style="3" bestFit="1" customWidth="1"/>
    <col min="1799" max="1799" width="4.109375" style="3" customWidth="1"/>
    <col min="1800" max="1800" width="10.44140625" style="3" customWidth="1"/>
    <col min="1801" max="2048" width="8.88671875" style="3"/>
    <col min="2049" max="2049" width="12.6640625" style="3" customWidth="1"/>
    <col min="2050" max="2050" width="11" style="3" customWidth="1"/>
    <col min="2051" max="2053" width="8.88671875" style="3"/>
    <col min="2054" max="2054" width="11" style="3" bestFit="1" customWidth="1"/>
    <col min="2055" max="2055" width="4.109375" style="3" customWidth="1"/>
    <col min="2056" max="2056" width="10.44140625" style="3" customWidth="1"/>
    <col min="2057" max="2304" width="8.88671875" style="3"/>
    <col min="2305" max="2305" width="12.6640625" style="3" customWidth="1"/>
    <col min="2306" max="2306" width="11" style="3" customWidth="1"/>
    <col min="2307" max="2309" width="8.88671875" style="3"/>
    <col min="2310" max="2310" width="11" style="3" bestFit="1" customWidth="1"/>
    <col min="2311" max="2311" width="4.109375" style="3" customWidth="1"/>
    <col min="2312" max="2312" width="10.44140625" style="3" customWidth="1"/>
    <col min="2313" max="2560" width="8.88671875" style="3"/>
    <col min="2561" max="2561" width="12.6640625" style="3" customWidth="1"/>
    <col min="2562" max="2562" width="11" style="3" customWidth="1"/>
    <col min="2563" max="2565" width="8.88671875" style="3"/>
    <col min="2566" max="2566" width="11" style="3" bestFit="1" customWidth="1"/>
    <col min="2567" max="2567" width="4.109375" style="3" customWidth="1"/>
    <col min="2568" max="2568" width="10.44140625" style="3" customWidth="1"/>
    <col min="2569" max="2816" width="8.88671875" style="3"/>
    <col min="2817" max="2817" width="12.6640625" style="3" customWidth="1"/>
    <col min="2818" max="2818" width="11" style="3" customWidth="1"/>
    <col min="2819" max="2821" width="8.88671875" style="3"/>
    <col min="2822" max="2822" width="11" style="3" bestFit="1" customWidth="1"/>
    <col min="2823" max="2823" width="4.109375" style="3" customWidth="1"/>
    <col min="2824" max="2824" width="10.44140625" style="3" customWidth="1"/>
    <col min="2825" max="3072" width="8.88671875" style="3"/>
    <col min="3073" max="3073" width="12.6640625" style="3" customWidth="1"/>
    <col min="3074" max="3074" width="11" style="3" customWidth="1"/>
    <col min="3075" max="3077" width="8.88671875" style="3"/>
    <col min="3078" max="3078" width="11" style="3" bestFit="1" customWidth="1"/>
    <col min="3079" max="3079" width="4.109375" style="3" customWidth="1"/>
    <col min="3080" max="3080" width="10.44140625" style="3" customWidth="1"/>
    <col min="3081" max="3328" width="8.88671875" style="3"/>
    <col min="3329" max="3329" width="12.6640625" style="3" customWidth="1"/>
    <col min="3330" max="3330" width="11" style="3" customWidth="1"/>
    <col min="3331" max="3333" width="8.88671875" style="3"/>
    <col min="3334" max="3334" width="11" style="3" bestFit="1" customWidth="1"/>
    <col min="3335" max="3335" width="4.109375" style="3" customWidth="1"/>
    <col min="3336" max="3336" width="10.44140625" style="3" customWidth="1"/>
    <col min="3337" max="3584" width="8.88671875" style="3"/>
    <col min="3585" max="3585" width="12.6640625" style="3" customWidth="1"/>
    <col min="3586" max="3586" width="11" style="3" customWidth="1"/>
    <col min="3587" max="3589" width="8.88671875" style="3"/>
    <col min="3590" max="3590" width="11" style="3" bestFit="1" customWidth="1"/>
    <col min="3591" max="3591" width="4.109375" style="3" customWidth="1"/>
    <col min="3592" max="3592" width="10.44140625" style="3" customWidth="1"/>
    <col min="3593" max="3840" width="8.88671875" style="3"/>
    <col min="3841" max="3841" width="12.6640625" style="3" customWidth="1"/>
    <col min="3842" max="3842" width="11" style="3" customWidth="1"/>
    <col min="3843" max="3845" width="8.88671875" style="3"/>
    <col min="3846" max="3846" width="11" style="3" bestFit="1" customWidth="1"/>
    <col min="3847" max="3847" width="4.109375" style="3" customWidth="1"/>
    <col min="3848" max="3848" width="10.44140625" style="3" customWidth="1"/>
    <col min="3849" max="4096" width="8.88671875" style="3"/>
    <col min="4097" max="4097" width="12.6640625" style="3" customWidth="1"/>
    <col min="4098" max="4098" width="11" style="3" customWidth="1"/>
    <col min="4099" max="4101" width="8.88671875" style="3"/>
    <col min="4102" max="4102" width="11" style="3" bestFit="1" customWidth="1"/>
    <col min="4103" max="4103" width="4.109375" style="3" customWidth="1"/>
    <col min="4104" max="4104" width="10.44140625" style="3" customWidth="1"/>
    <col min="4105" max="4352" width="8.88671875" style="3"/>
    <col min="4353" max="4353" width="12.6640625" style="3" customWidth="1"/>
    <col min="4354" max="4354" width="11" style="3" customWidth="1"/>
    <col min="4355" max="4357" width="8.88671875" style="3"/>
    <col min="4358" max="4358" width="11" style="3" bestFit="1" customWidth="1"/>
    <col min="4359" max="4359" width="4.109375" style="3" customWidth="1"/>
    <col min="4360" max="4360" width="10.44140625" style="3" customWidth="1"/>
    <col min="4361" max="4608" width="8.88671875" style="3"/>
    <col min="4609" max="4609" width="12.6640625" style="3" customWidth="1"/>
    <col min="4610" max="4610" width="11" style="3" customWidth="1"/>
    <col min="4611" max="4613" width="8.88671875" style="3"/>
    <col min="4614" max="4614" width="11" style="3" bestFit="1" customWidth="1"/>
    <col min="4615" max="4615" width="4.109375" style="3" customWidth="1"/>
    <col min="4616" max="4616" width="10.44140625" style="3" customWidth="1"/>
    <col min="4617" max="4864" width="8.88671875" style="3"/>
    <col min="4865" max="4865" width="12.6640625" style="3" customWidth="1"/>
    <col min="4866" max="4866" width="11" style="3" customWidth="1"/>
    <col min="4867" max="4869" width="8.88671875" style="3"/>
    <col min="4870" max="4870" width="11" style="3" bestFit="1" customWidth="1"/>
    <col min="4871" max="4871" width="4.109375" style="3" customWidth="1"/>
    <col min="4872" max="4872" width="10.44140625" style="3" customWidth="1"/>
    <col min="4873" max="5120" width="8.88671875" style="3"/>
    <col min="5121" max="5121" width="12.6640625" style="3" customWidth="1"/>
    <col min="5122" max="5122" width="11" style="3" customWidth="1"/>
    <col min="5123" max="5125" width="8.88671875" style="3"/>
    <col min="5126" max="5126" width="11" style="3" bestFit="1" customWidth="1"/>
    <col min="5127" max="5127" width="4.109375" style="3" customWidth="1"/>
    <col min="5128" max="5128" width="10.44140625" style="3" customWidth="1"/>
    <col min="5129" max="5376" width="8.88671875" style="3"/>
    <col min="5377" max="5377" width="12.6640625" style="3" customWidth="1"/>
    <col min="5378" max="5378" width="11" style="3" customWidth="1"/>
    <col min="5379" max="5381" width="8.88671875" style="3"/>
    <col min="5382" max="5382" width="11" style="3" bestFit="1" customWidth="1"/>
    <col min="5383" max="5383" width="4.109375" style="3" customWidth="1"/>
    <col min="5384" max="5384" width="10.44140625" style="3" customWidth="1"/>
    <col min="5385" max="5632" width="8.88671875" style="3"/>
    <col min="5633" max="5633" width="12.6640625" style="3" customWidth="1"/>
    <col min="5634" max="5634" width="11" style="3" customWidth="1"/>
    <col min="5635" max="5637" width="8.88671875" style="3"/>
    <col min="5638" max="5638" width="11" style="3" bestFit="1" customWidth="1"/>
    <col min="5639" max="5639" width="4.109375" style="3" customWidth="1"/>
    <col min="5640" max="5640" width="10.44140625" style="3" customWidth="1"/>
    <col min="5641" max="5888" width="8.88671875" style="3"/>
    <col min="5889" max="5889" width="12.6640625" style="3" customWidth="1"/>
    <col min="5890" max="5890" width="11" style="3" customWidth="1"/>
    <col min="5891" max="5893" width="8.88671875" style="3"/>
    <col min="5894" max="5894" width="11" style="3" bestFit="1" customWidth="1"/>
    <col min="5895" max="5895" width="4.109375" style="3" customWidth="1"/>
    <col min="5896" max="5896" width="10.44140625" style="3" customWidth="1"/>
    <col min="5897" max="6144" width="8.88671875" style="3"/>
    <col min="6145" max="6145" width="12.6640625" style="3" customWidth="1"/>
    <col min="6146" max="6146" width="11" style="3" customWidth="1"/>
    <col min="6147" max="6149" width="8.88671875" style="3"/>
    <col min="6150" max="6150" width="11" style="3" bestFit="1" customWidth="1"/>
    <col min="6151" max="6151" width="4.109375" style="3" customWidth="1"/>
    <col min="6152" max="6152" width="10.44140625" style="3" customWidth="1"/>
    <col min="6153" max="6400" width="8.88671875" style="3"/>
    <col min="6401" max="6401" width="12.6640625" style="3" customWidth="1"/>
    <col min="6402" max="6402" width="11" style="3" customWidth="1"/>
    <col min="6403" max="6405" width="8.88671875" style="3"/>
    <col min="6406" max="6406" width="11" style="3" bestFit="1" customWidth="1"/>
    <col min="6407" max="6407" width="4.109375" style="3" customWidth="1"/>
    <col min="6408" max="6408" width="10.44140625" style="3" customWidth="1"/>
    <col min="6409" max="6656" width="8.88671875" style="3"/>
    <col min="6657" max="6657" width="12.6640625" style="3" customWidth="1"/>
    <col min="6658" max="6658" width="11" style="3" customWidth="1"/>
    <col min="6659" max="6661" width="8.88671875" style="3"/>
    <col min="6662" max="6662" width="11" style="3" bestFit="1" customWidth="1"/>
    <col min="6663" max="6663" width="4.109375" style="3" customWidth="1"/>
    <col min="6664" max="6664" width="10.44140625" style="3" customWidth="1"/>
    <col min="6665" max="6912" width="8.88671875" style="3"/>
    <col min="6913" max="6913" width="12.6640625" style="3" customWidth="1"/>
    <col min="6914" max="6914" width="11" style="3" customWidth="1"/>
    <col min="6915" max="6917" width="8.88671875" style="3"/>
    <col min="6918" max="6918" width="11" style="3" bestFit="1" customWidth="1"/>
    <col min="6919" max="6919" width="4.109375" style="3" customWidth="1"/>
    <col min="6920" max="6920" width="10.44140625" style="3" customWidth="1"/>
    <col min="6921" max="7168" width="8.88671875" style="3"/>
    <col min="7169" max="7169" width="12.6640625" style="3" customWidth="1"/>
    <col min="7170" max="7170" width="11" style="3" customWidth="1"/>
    <col min="7171" max="7173" width="8.88671875" style="3"/>
    <col min="7174" max="7174" width="11" style="3" bestFit="1" customWidth="1"/>
    <col min="7175" max="7175" width="4.109375" style="3" customWidth="1"/>
    <col min="7176" max="7176" width="10.44140625" style="3" customWidth="1"/>
    <col min="7177" max="7424" width="8.88671875" style="3"/>
    <col min="7425" max="7425" width="12.6640625" style="3" customWidth="1"/>
    <col min="7426" max="7426" width="11" style="3" customWidth="1"/>
    <col min="7427" max="7429" width="8.88671875" style="3"/>
    <col min="7430" max="7430" width="11" style="3" bestFit="1" customWidth="1"/>
    <col min="7431" max="7431" width="4.109375" style="3" customWidth="1"/>
    <col min="7432" max="7432" width="10.44140625" style="3" customWidth="1"/>
    <col min="7433" max="7680" width="8.88671875" style="3"/>
    <col min="7681" max="7681" width="12.6640625" style="3" customWidth="1"/>
    <col min="7682" max="7682" width="11" style="3" customWidth="1"/>
    <col min="7683" max="7685" width="8.88671875" style="3"/>
    <col min="7686" max="7686" width="11" style="3" bestFit="1" customWidth="1"/>
    <col min="7687" max="7687" width="4.109375" style="3" customWidth="1"/>
    <col min="7688" max="7688" width="10.44140625" style="3" customWidth="1"/>
    <col min="7689" max="7936" width="8.88671875" style="3"/>
    <col min="7937" max="7937" width="12.6640625" style="3" customWidth="1"/>
    <col min="7938" max="7938" width="11" style="3" customWidth="1"/>
    <col min="7939" max="7941" width="8.88671875" style="3"/>
    <col min="7942" max="7942" width="11" style="3" bestFit="1" customWidth="1"/>
    <col min="7943" max="7943" width="4.109375" style="3" customWidth="1"/>
    <col min="7944" max="7944" width="10.44140625" style="3" customWidth="1"/>
    <col min="7945" max="8192" width="8.88671875" style="3"/>
    <col min="8193" max="8193" width="12.6640625" style="3" customWidth="1"/>
    <col min="8194" max="8194" width="11" style="3" customWidth="1"/>
    <col min="8195" max="8197" width="8.88671875" style="3"/>
    <col min="8198" max="8198" width="11" style="3" bestFit="1" customWidth="1"/>
    <col min="8199" max="8199" width="4.109375" style="3" customWidth="1"/>
    <col min="8200" max="8200" width="10.44140625" style="3" customWidth="1"/>
    <col min="8201" max="8448" width="8.88671875" style="3"/>
    <col min="8449" max="8449" width="12.6640625" style="3" customWidth="1"/>
    <col min="8450" max="8450" width="11" style="3" customWidth="1"/>
    <col min="8451" max="8453" width="8.88671875" style="3"/>
    <col min="8454" max="8454" width="11" style="3" bestFit="1" customWidth="1"/>
    <col min="8455" max="8455" width="4.109375" style="3" customWidth="1"/>
    <col min="8456" max="8456" width="10.44140625" style="3" customWidth="1"/>
    <col min="8457" max="8704" width="8.88671875" style="3"/>
    <col min="8705" max="8705" width="12.6640625" style="3" customWidth="1"/>
    <col min="8706" max="8706" width="11" style="3" customWidth="1"/>
    <col min="8707" max="8709" width="8.88671875" style="3"/>
    <col min="8710" max="8710" width="11" style="3" bestFit="1" customWidth="1"/>
    <col min="8711" max="8711" width="4.109375" style="3" customWidth="1"/>
    <col min="8712" max="8712" width="10.44140625" style="3" customWidth="1"/>
    <col min="8713" max="8960" width="8.88671875" style="3"/>
    <col min="8961" max="8961" width="12.6640625" style="3" customWidth="1"/>
    <col min="8962" max="8962" width="11" style="3" customWidth="1"/>
    <col min="8963" max="8965" width="8.88671875" style="3"/>
    <col min="8966" max="8966" width="11" style="3" bestFit="1" customWidth="1"/>
    <col min="8967" max="8967" width="4.109375" style="3" customWidth="1"/>
    <col min="8968" max="8968" width="10.44140625" style="3" customWidth="1"/>
    <col min="8969" max="9216" width="8.88671875" style="3"/>
    <col min="9217" max="9217" width="12.6640625" style="3" customWidth="1"/>
    <col min="9218" max="9218" width="11" style="3" customWidth="1"/>
    <col min="9219" max="9221" width="8.88671875" style="3"/>
    <col min="9222" max="9222" width="11" style="3" bestFit="1" customWidth="1"/>
    <col min="9223" max="9223" width="4.109375" style="3" customWidth="1"/>
    <col min="9224" max="9224" width="10.44140625" style="3" customWidth="1"/>
    <col min="9225" max="9472" width="8.88671875" style="3"/>
    <col min="9473" max="9473" width="12.6640625" style="3" customWidth="1"/>
    <col min="9474" max="9474" width="11" style="3" customWidth="1"/>
    <col min="9475" max="9477" width="8.88671875" style="3"/>
    <col min="9478" max="9478" width="11" style="3" bestFit="1" customWidth="1"/>
    <col min="9479" max="9479" width="4.109375" style="3" customWidth="1"/>
    <col min="9480" max="9480" width="10.44140625" style="3" customWidth="1"/>
    <col min="9481" max="9728" width="8.88671875" style="3"/>
    <col min="9729" max="9729" width="12.6640625" style="3" customWidth="1"/>
    <col min="9730" max="9730" width="11" style="3" customWidth="1"/>
    <col min="9731" max="9733" width="8.88671875" style="3"/>
    <col min="9734" max="9734" width="11" style="3" bestFit="1" customWidth="1"/>
    <col min="9735" max="9735" width="4.109375" style="3" customWidth="1"/>
    <col min="9736" max="9736" width="10.44140625" style="3" customWidth="1"/>
    <col min="9737" max="9984" width="8.88671875" style="3"/>
    <col min="9985" max="9985" width="12.6640625" style="3" customWidth="1"/>
    <col min="9986" max="9986" width="11" style="3" customWidth="1"/>
    <col min="9987" max="9989" width="8.88671875" style="3"/>
    <col min="9990" max="9990" width="11" style="3" bestFit="1" customWidth="1"/>
    <col min="9991" max="9991" width="4.109375" style="3" customWidth="1"/>
    <col min="9992" max="9992" width="10.44140625" style="3" customWidth="1"/>
    <col min="9993" max="10240" width="8.88671875" style="3"/>
    <col min="10241" max="10241" width="12.6640625" style="3" customWidth="1"/>
    <col min="10242" max="10242" width="11" style="3" customWidth="1"/>
    <col min="10243" max="10245" width="8.88671875" style="3"/>
    <col min="10246" max="10246" width="11" style="3" bestFit="1" customWidth="1"/>
    <col min="10247" max="10247" width="4.109375" style="3" customWidth="1"/>
    <col min="10248" max="10248" width="10.44140625" style="3" customWidth="1"/>
    <col min="10249" max="10496" width="8.88671875" style="3"/>
    <col min="10497" max="10497" width="12.6640625" style="3" customWidth="1"/>
    <col min="10498" max="10498" width="11" style="3" customWidth="1"/>
    <col min="10499" max="10501" width="8.88671875" style="3"/>
    <col min="10502" max="10502" width="11" style="3" bestFit="1" customWidth="1"/>
    <col min="10503" max="10503" width="4.109375" style="3" customWidth="1"/>
    <col min="10504" max="10504" width="10.44140625" style="3" customWidth="1"/>
    <col min="10505" max="10752" width="8.88671875" style="3"/>
    <col min="10753" max="10753" width="12.6640625" style="3" customWidth="1"/>
    <col min="10754" max="10754" width="11" style="3" customWidth="1"/>
    <col min="10755" max="10757" width="8.88671875" style="3"/>
    <col min="10758" max="10758" width="11" style="3" bestFit="1" customWidth="1"/>
    <col min="10759" max="10759" width="4.109375" style="3" customWidth="1"/>
    <col min="10760" max="10760" width="10.44140625" style="3" customWidth="1"/>
    <col min="10761" max="11008" width="8.88671875" style="3"/>
    <col min="11009" max="11009" width="12.6640625" style="3" customWidth="1"/>
    <col min="11010" max="11010" width="11" style="3" customWidth="1"/>
    <col min="11011" max="11013" width="8.88671875" style="3"/>
    <col min="11014" max="11014" width="11" style="3" bestFit="1" customWidth="1"/>
    <col min="11015" max="11015" width="4.109375" style="3" customWidth="1"/>
    <col min="11016" max="11016" width="10.44140625" style="3" customWidth="1"/>
    <col min="11017" max="11264" width="8.88671875" style="3"/>
    <col min="11265" max="11265" width="12.6640625" style="3" customWidth="1"/>
    <col min="11266" max="11266" width="11" style="3" customWidth="1"/>
    <col min="11267" max="11269" width="8.88671875" style="3"/>
    <col min="11270" max="11270" width="11" style="3" bestFit="1" customWidth="1"/>
    <col min="11271" max="11271" width="4.109375" style="3" customWidth="1"/>
    <col min="11272" max="11272" width="10.44140625" style="3" customWidth="1"/>
    <col min="11273" max="11520" width="8.88671875" style="3"/>
    <col min="11521" max="11521" width="12.6640625" style="3" customWidth="1"/>
    <col min="11522" max="11522" width="11" style="3" customWidth="1"/>
    <col min="11523" max="11525" width="8.88671875" style="3"/>
    <col min="11526" max="11526" width="11" style="3" bestFit="1" customWidth="1"/>
    <col min="11527" max="11527" width="4.109375" style="3" customWidth="1"/>
    <col min="11528" max="11528" width="10.44140625" style="3" customWidth="1"/>
    <col min="11529" max="11776" width="8.88671875" style="3"/>
    <col min="11777" max="11777" width="12.6640625" style="3" customWidth="1"/>
    <col min="11778" max="11778" width="11" style="3" customWidth="1"/>
    <col min="11779" max="11781" width="8.88671875" style="3"/>
    <col min="11782" max="11782" width="11" style="3" bestFit="1" customWidth="1"/>
    <col min="11783" max="11783" width="4.109375" style="3" customWidth="1"/>
    <col min="11784" max="11784" width="10.44140625" style="3" customWidth="1"/>
    <col min="11785" max="12032" width="8.88671875" style="3"/>
    <col min="12033" max="12033" width="12.6640625" style="3" customWidth="1"/>
    <col min="12034" max="12034" width="11" style="3" customWidth="1"/>
    <col min="12035" max="12037" width="8.88671875" style="3"/>
    <col min="12038" max="12038" width="11" style="3" bestFit="1" customWidth="1"/>
    <col min="12039" max="12039" width="4.109375" style="3" customWidth="1"/>
    <col min="12040" max="12040" width="10.44140625" style="3" customWidth="1"/>
    <col min="12041" max="12288" width="8.88671875" style="3"/>
    <col min="12289" max="12289" width="12.6640625" style="3" customWidth="1"/>
    <col min="12290" max="12290" width="11" style="3" customWidth="1"/>
    <col min="12291" max="12293" width="8.88671875" style="3"/>
    <col min="12294" max="12294" width="11" style="3" bestFit="1" customWidth="1"/>
    <col min="12295" max="12295" width="4.109375" style="3" customWidth="1"/>
    <col min="12296" max="12296" width="10.44140625" style="3" customWidth="1"/>
    <col min="12297" max="12544" width="8.88671875" style="3"/>
    <col min="12545" max="12545" width="12.6640625" style="3" customWidth="1"/>
    <col min="12546" max="12546" width="11" style="3" customWidth="1"/>
    <col min="12547" max="12549" width="8.88671875" style="3"/>
    <col min="12550" max="12550" width="11" style="3" bestFit="1" customWidth="1"/>
    <col min="12551" max="12551" width="4.109375" style="3" customWidth="1"/>
    <col min="12552" max="12552" width="10.44140625" style="3" customWidth="1"/>
    <col min="12553" max="12800" width="8.88671875" style="3"/>
    <col min="12801" max="12801" width="12.6640625" style="3" customWidth="1"/>
    <col min="12802" max="12802" width="11" style="3" customWidth="1"/>
    <col min="12803" max="12805" width="8.88671875" style="3"/>
    <col min="12806" max="12806" width="11" style="3" bestFit="1" customWidth="1"/>
    <col min="12807" max="12807" width="4.109375" style="3" customWidth="1"/>
    <col min="12808" max="12808" width="10.44140625" style="3" customWidth="1"/>
    <col min="12809" max="13056" width="8.88671875" style="3"/>
    <col min="13057" max="13057" width="12.6640625" style="3" customWidth="1"/>
    <col min="13058" max="13058" width="11" style="3" customWidth="1"/>
    <col min="13059" max="13061" width="8.88671875" style="3"/>
    <col min="13062" max="13062" width="11" style="3" bestFit="1" customWidth="1"/>
    <col min="13063" max="13063" width="4.109375" style="3" customWidth="1"/>
    <col min="13064" max="13064" width="10.44140625" style="3" customWidth="1"/>
    <col min="13065" max="13312" width="8.88671875" style="3"/>
    <col min="13313" max="13313" width="12.6640625" style="3" customWidth="1"/>
    <col min="13314" max="13314" width="11" style="3" customWidth="1"/>
    <col min="13315" max="13317" width="8.88671875" style="3"/>
    <col min="13318" max="13318" width="11" style="3" bestFit="1" customWidth="1"/>
    <col min="13319" max="13319" width="4.109375" style="3" customWidth="1"/>
    <col min="13320" max="13320" width="10.44140625" style="3" customWidth="1"/>
    <col min="13321" max="13568" width="8.88671875" style="3"/>
    <col min="13569" max="13569" width="12.6640625" style="3" customWidth="1"/>
    <col min="13570" max="13570" width="11" style="3" customWidth="1"/>
    <col min="13571" max="13573" width="8.88671875" style="3"/>
    <col min="13574" max="13574" width="11" style="3" bestFit="1" customWidth="1"/>
    <col min="13575" max="13575" width="4.109375" style="3" customWidth="1"/>
    <col min="13576" max="13576" width="10.44140625" style="3" customWidth="1"/>
    <col min="13577" max="13824" width="8.88671875" style="3"/>
    <col min="13825" max="13825" width="12.6640625" style="3" customWidth="1"/>
    <col min="13826" max="13826" width="11" style="3" customWidth="1"/>
    <col min="13827" max="13829" width="8.88671875" style="3"/>
    <col min="13830" max="13830" width="11" style="3" bestFit="1" customWidth="1"/>
    <col min="13831" max="13831" width="4.109375" style="3" customWidth="1"/>
    <col min="13832" max="13832" width="10.44140625" style="3" customWidth="1"/>
    <col min="13833" max="14080" width="8.88671875" style="3"/>
    <col min="14081" max="14081" width="12.6640625" style="3" customWidth="1"/>
    <col min="14082" max="14082" width="11" style="3" customWidth="1"/>
    <col min="14083" max="14085" width="8.88671875" style="3"/>
    <col min="14086" max="14086" width="11" style="3" bestFit="1" customWidth="1"/>
    <col min="14087" max="14087" width="4.109375" style="3" customWidth="1"/>
    <col min="14088" max="14088" width="10.44140625" style="3" customWidth="1"/>
    <col min="14089" max="14336" width="8.88671875" style="3"/>
    <col min="14337" max="14337" width="12.6640625" style="3" customWidth="1"/>
    <col min="14338" max="14338" width="11" style="3" customWidth="1"/>
    <col min="14339" max="14341" width="8.88671875" style="3"/>
    <col min="14342" max="14342" width="11" style="3" bestFit="1" customWidth="1"/>
    <col min="14343" max="14343" width="4.109375" style="3" customWidth="1"/>
    <col min="14344" max="14344" width="10.44140625" style="3" customWidth="1"/>
    <col min="14345" max="14592" width="8.88671875" style="3"/>
    <col min="14593" max="14593" width="12.6640625" style="3" customWidth="1"/>
    <col min="14594" max="14594" width="11" style="3" customWidth="1"/>
    <col min="14595" max="14597" width="8.88671875" style="3"/>
    <col min="14598" max="14598" width="11" style="3" bestFit="1" customWidth="1"/>
    <col min="14599" max="14599" width="4.109375" style="3" customWidth="1"/>
    <col min="14600" max="14600" width="10.44140625" style="3" customWidth="1"/>
    <col min="14601" max="14848" width="8.88671875" style="3"/>
    <col min="14849" max="14849" width="12.6640625" style="3" customWidth="1"/>
    <col min="14850" max="14850" width="11" style="3" customWidth="1"/>
    <col min="14851" max="14853" width="8.88671875" style="3"/>
    <col min="14854" max="14854" width="11" style="3" bestFit="1" customWidth="1"/>
    <col min="14855" max="14855" width="4.109375" style="3" customWidth="1"/>
    <col min="14856" max="14856" width="10.44140625" style="3" customWidth="1"/>
    <col min="14857" max="15104" width="8.88671875" style="3"/>
    <col min="15105" max="15105" width="12.6640625" style="3" customWidth="1"/>
    <col min="15106" max="15106" width="11" style="3" customWidth="1"/>
    <col min="15107" max="15109" width="8.88671875" style="3"/>
    <col min="15110" max="15110" width="11" style="3" bestFit="1" customWidth="1"/>
    <col min="15111" max="15111" width="4.109375" style="3" customWidth="1"/>
    <col min="15112" max="15112" width="10.44140625" style="3" customWidth="1"/>
    <col min="15113" max="15360" width="8.88671875" style="3"/>
    <col min="15361" max="15361" width="12.6640625" style="3" customWidth="1"/>
    <col min="15362" max="15362" width="11" style="3" customWidth="1"/>
    <col min="15363" max="15365" width="8.88671875" style="3"/>
    <col min="15366" max="15366" width="11" style="3" bestFit="1" customWidth="1"/>
    <col min="15367" max="15367" width="4.109375" style="3" customWidth="1"/>
    <col min="15368" max="15368" width="10.44140625" style="3" customWidth="1"/>
    <col min="15369" max="15616" width="8.88671875" style="3"/>
    <col min="15617" max="15617" width="12.6640625" style="3" customWidth="1"/>
    <col min="15618" max="15618" width="11" style="3" customWidth="1"/>
    <col min="15619" max="15621" width="8.88671875" style="3"/>
    <col min="15622" max="15622" width="11" style="3" bestFit="1" customWidth="1"/>
    <col min="15623" max="15623" width="4.109375" style="3" customWidth="1"/>
    <col min="15624" max="15624" width="10.44140625" style="3" customWidth="1"/>
    <col min="15625" max="15872" width="8.88671875" style="3"/>
    <col min="15873" max="15873" width="12.6640625" style="3" customWidth="1"/>
    <col min="15874" max="15874" width="11" style="3" customWidth="1"/>
    <col min="15875" max="15877" width="8.88671875" style="3"/>
    <col min="15878" max="15878" width="11" style="3" bestFit="1" customWidth="1"/>
    <col min="15879" max="15879" width="4.109375" style="3" customWidth="1"/>
    <col min="15880" max="15880" width="10.44140625" style="3" customWidth="1"/>
    <col min="15881" max="16128" width="8.88671875" style="3"/>
    <col min="16129" max="16129" width="12.6640625" style="3" customWidth="1"/>
    <col min="16130" max="16130" width="11" style="3" customWidth="1"/>
    <col min="16131" max="16133" width="8.88671875" style="3"/>
    <col min="16134" max="16134" width="11" style="3" bestFit="1" customWidth="1"/>
    <col min="16135" max="16135" width="4.109375" style="3" customWidth="1"/>
    <col min="16136" max="16136" width="10.44140625" style="3" customWidth="1"/>
    <col min="16137" max="16384" width="8.88671875" style="3"/>
  </cols>
  <sheetData>
    <row r="1" spans="1:9" ht="39.75" customHeight="1" x14ac:dyDescent="0.25">
      <c r="A1" s="1" t="s">
        <v>0</v>
      </c>
      <c r="B1" s="2"/>
      <c r="C1" s="2"/>
      <c r="D1" s="2"/>
      <c r="E1" s="2"/>
      <c r="F1" s="2"/>
    </row>
    <row r="2" spans="1:9" ht="15.6" x14ac:dyDescent="0.35">
      <c r="B2" s="4" t="s">
        <v>1</v>
      </c>
      <c r="C2" s="4" t="s">
        <v>2</v>
      </c>
      <c r="D2" s="4" t="s">
        <v>3</v>
      </c>
      <c r="E2" s="4" t="s">
        <v>4</v>
      </c>
      <c r="H2" s="4" t="s">
        <v>5</v>
      </c>
    </row>
    <row r="3" spans="1:9" x14ac:dyDescent="0.25">
      <c r="B3" s="5">
        <v>1</v>
      </c>
      <c r="C3" s="6">
        <v>35.299999999999997</v>
      </c>
      <c r="D3" s="6">
        <v>81.2</v>
      </c>
      <c r="E3" s="6">
        <v>10.98</v>
      </c>
      <c r="H3" s="7">
        <f>$E$15+$C$15*D3+$D$15*C3</f>
        <v>11.407106083996563</v>
      </c>
      <c r="I3" s="3" t="str">
        <f ca="1">[2]!getformula(H3)</f>
        <v>&lt;--  =$E$15+$C$15*D3+$D$15*C3</v>
      </c>
    </row>
    <row r="4" spans="1:9" x14ac:dyDescent="0.25">
      <c r="B4" s="5">
        <v>2</v>
      </c>
      <c r="C4" s="6">
        <v>29.7</v>
      </c>
      <c r="D4" s="6">
        <v>22.5</v>
      </c>
      <c r="E4" s="6">
        <v>11.13</v>
      </c>
      <c r="H4" s="7">
        <f t="shared" ref="H4:H12" si="0">$E$15+$C$15*D4+$D$15*C4</f>
        <v>11.439360384282692</v>
      </c>
    </row>
    <row r="5" spans="1:9" x14ac:dyDescent="0.25">
      <c r="B5" s="5">
        <v>3</v>
      </c>
      <c r="C5" s="6">
        <v>30.8</v>
      </c>
      <c r="D5" s="6">
        <v>77.3</v>
      </c>
      <c r="E5" s="6">
        <v>12.51</v>
      </c>
      <c r="H5" s="7">
        <f t="shared" si="0"/>
        <v>11.816570412707684</v>
      </c>
    </row>
    <row r="6" spans="1:9" x14ac:dyDescent="0.25">
      <c r="B6" s="5">
        <v>4</v>
      </c>
      <c r="C6" s="6">
        <v>58.8</v>
      </c>
      <c r="D6" s="6">
        <v>34.799999999999997</v>
      </c>
      <c r="E6" s="6">
        <v>8.4</v>
      </c>
      <c r="H6" s="7">
        <f t="shared" si="0"/>
        <v>8.6769671095758376</v>
      </c>
    </row>
    <row r="7" spans="1:9" x14ac:dyDescent="0.25">
      <c r="B7" s="5">
        <v>5</v>
      </c>
      <c r="C7" s="6">
        <v>61.4</v>
      </c>
      <c r="D7" s="6">
        <v>55.1</v>
      </c>
      <c r="E7" s="6">
        <v>9.27</v>
      </c>
      <c r="H7" s="7">
        <f t="shared" si="0"/>
        <v>8.6003548662253859</v>
      </c>
    </row>
    <row r="8" spans="1:9" x14ac:dyDescent="0.25">
      <c r="B8" s="5">
        <v>6</v>
      </c>
      <c r="C8" s="6">
        <v>71.3</v>
      </c>
      <c r="D8" s="6">
        <v>124.8</v>
      </c>
      <c r="E8" s="6">
        <v>8.73</v>
      </c>
      <c r="H8" s="7">
        <f t="shared" si="0"/>
        <v>8.241306080322758</v>
      </c>
    </row>
    <row r="9" spans="1:9" x14ac:dyDescent="0.25">
      <c r="B9" s="5">
        <v>7</v>
      </c>
      <c r="C9" s="6">
        <v>74.400000000000006</v>
      </c>
      <c r="D9" s="6">
        <v>18.5</v>
      </c>
      <c r="E9" s="6">
        <v>6.36</v>
      </c>
      <c r="H9" s="7">
        <f t="shared" si="0"/>
        <v>6.9931638226429662</v>
      </c>
    </row>
    <row r="10" spans="1:9" x14ac:dyDescent="0.25">
      <c r="B10" s="5">
        <v>8</v>
      </c>
      <c r="C10" s="6">
        <v>76.7</v>
      </c>
      <c r="D10" s="6">
        <v>234.6</v>
      </c>
      <c r="E10" s="6">
        <v>8.5</v>
      </c>
      <c r="H10" s="7">
        <f t="shared" si="0"/>
        <v>8.6817412638302169</v>
      </c>
    </row>
    <row r="11" spans="1:9" x14ac:dyDescent="0.25">
      <c r="B11" s="5">
        <v>9</v>
      </c>
      <c r="C11" s="6">
        <v>70.7</v>
      </c>
      <c r="D11" s="6">
        <v>22.5</v>
      </c>
      <c r="E11" s="6">
        <v>7.82</v>
      </c>
      <c r="H11" s="7">
        <f t="shared" si="0"/>
        <v>7.3937149825522503</v>
      </c>
    </row>
    <row r="12" spans="1:9" x14ac:dyDescent="0.25">
      <c r="B12" s="5">
        <v>10</v>
      </c>
      <c r="C12" s="6">
        <v>57.5</v>
      </c>
      <c r="D12" s="6">
        <v>123.3</v>
      </c>
      <c r="E12" s="6">
        <v>9.14</v>
      </c>
      <c r="H12" s="7">
        <f t="shared" si="0"/>
        <v>9.5897149938636339</v>
      </c>
    </row>
    <row r="14" spans="1:9" ht="16.2" thickBot="1" x14ac:dyDescent="0.4">
      <c r="C14" s="4" t="s">
        <v>6</v>
      </c>
      <c r="D14" s="4" t="s">
        <v>7</v>
      </c>
      <c r="E14" s="4" t="s">
        <v>8</v>
      </c>
    </row>
    <row r="15" spans="1:9" ht="13.8" thickTop="1" x14ac:dyDescent="0.25">
      <c r="B15" s="6" t="s">
        <v>9</v>
      </c>
      <c r="C15" s="8">
        <f t="array" ref="C15:E19">LINEST(E3:E12,C3:D12,,TRUE)</f>
        <v>8.8640827431583479E-3</v>
      </c>
      <c r="D15" s="9">
        <v>-9.8674278090986361E-2</v>
      </c>
      <c r="E15" s="10">
        <v>14.170544581863924</v>
      </c>
      <c r="F15" s="3" t="s">
        <v>10</v>
      </c>
    </row>
    <row r="16" spans="1:9" x14ac:dyDescent="0.25">
      <c r="B16" s="6" t="s">
        <v>11</v>
      </c>
      <c r="C16" s="11">
        <v>2.9947047105115141E-3</v>
      </c>
      <c r="D16" s="7">
        <v>1.1036743784232701E-2</v>
      </c>
      <c r="E16" s="12">
        <v>0.62710722284305487</v>
      </c>
    </row>
    <row r="17" spans="2:14" ht="15.6" x14ac:dyDescent="0.25">
      <c r="B17" s="6" t="s">
        <v>12</v>
      </c>
      <c r="C17" s="11">
        <v>0.91958242806587487</v>
      </c>
      <c r="D17" s="7">
        <v>0.57827501910865142</v>
      </c>
      <c r="E17" s="12" t="e">
        <v>#N/A</v>
      </c>
    </row>
    <row r="18" spans="2:14" x14ac:dyDescent="0.25">
      <c r="B18" s="6" t="s">
        <v>13</v>
      </c>
      <c r="C18" s="11">
        <v>40.022826116499267</v>
      </c>
      <c r="D18" s="7">
        <v>7</v>
      </c>
      <c r="E18" s="12" t="e">
        <v>#N/A</v>
      </c>
    </row>
    <row r="19" spans="2:14" ht="16.2" thickBot="1" x14ac:dyDescent="0.4">
      <c r="B19" s="6" t="s">
        <v>14</v>
      </c>
      <c r="C19" s="13">
        <v>26.767426015924219</v>
      </c>
      <c r="D19" s="14">
        <v>2.3408139840757785</v>
      </c>
      <c r="E19" s="15" t="e">
        <v>#N/A</v>
      </c>
    </row>
    <row r="20" spans="2:14" ht="116.4" customHeight="1" thickTop="1" x14ac:dyDescent="0.25">
      <c r="C20" s="16" t="str">
        <f ca="1">[2]!GGETFORMULA(C19)</f>
        <v xml:space="preserve"> {=LINEST(E3:E12,C3:D12,,TRUE)}</v>
      </c>
      <c r="I20" s="17" t="s">
        <v>15</v>
      </c>
      <c r="J20" s="17"/>
      <c r="K20" s="17"/>
      <c r="L20" s="17"/>
      <c r="M20" s="17"/>
      <c r="N20" s="17"/>
    </row>
    <row r="29" spans="2:14" ht="103.5" customHeight="1" x14ac:dyDescent="0.25"/>
  </sheetData>
  <mergeCells count="2">
    <mergeCell ref="A1:F1"/>
    <mergeCell ref="I20:N20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>
    <oddHeader>&amp;CUN-22T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O25" sqref="O25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814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2024-12-30T03:02:14Z</dcterms:modified>
</cp:coreProperties>
</file>