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006CD108-5E4E-410B-A1D0-21D01A89555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17-18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B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D10" i="2"/>
  <c r="C10" i="2"/>
  <c r="B6" i="2"/>
  <c r="G5" i="2" s="1"/>
  <c r="H5" i="2"/>
  <c r="C6" i="2"/>
  <c r="C3" i="2"/>
  <c r="C2" i="2"/>
</calcChain>
</file>

<file path=xl/sharedStrings.xml><?xml version="1.0" encoding="utf-8"?>
<sst xmlns="http://schemas.openxmlformats.org/spreadsheetml/2006/main" count="10" uniqueCount="9">
  <si>
    <t>USING COUNTIF ON MERCK'S WEEKLY STOCK RETURNS</t>
  </si>
  <si>
    <t>Number of returns</t>
  </si>
  <si>
    <t>Returns over 2%</t>
  </si>
  <si>
    <t>Data table:  number of returns above cutoff</t>
  </si>
  <si>
    <t>Cutoff</t>
  </si>
  <si>
    <t>Returns over cutoff</t>
  </si>
  <si>
    <t>Date</t>
  </si>
  <si>
    <t>Merck
price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</si>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</sst>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4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2" fillId="2" borderId="0" xfId="1" applyFill="1"/>
    <xf numFmtId="0" fontId="4" fillId="0" borderId="0" xfId="1" applyFont="1"/>
    <xf numFmtId="9" fontId="2" fillId="2" borderId="0" xfId="1" applyNumberFormat="1" applyFill="1"/>
    <xf numFmtId="0" fontId="2" fillId="0" borderId="0" xfId="1" applyAlignment="1">
      <alignment horizontal="right"/>
    </xf>
    <xf numFmtId="9" fontId="2" fillId="0" borderId="0" xfId="1" applyNumberFormat="1" applyAlignment="1">
      <alignment horizontal="center"/>
    </xf>
    <xf numFmtId="0" fontId="4" fillId="0" borderId="0" xfId="1" applyFont="1" applyAlignment="1">
      <alignment horizontal="center"/>
    </xf>
    <xf numFmtId="0" fontId="4" fillId="0" borderId="0" xfId="1" applyFont="1" applyAlignment="1">
      <alignment horizontal="center" wrapText="1"/>
    </xf>
    <xf numFmtId="15" fontId="2" fillId="0" borderId="0" xfId="1" applyNumberFormat="1" applyAlignment="1">
      <alignment horizontal="center"/>
    </xf>
    <xf numFmtId="0" fontId="2" fillId="0" borderId="0" xfId="1" applyAlignment="1">
      <alignment horizontal="center"/>
    </xf>
    <xf numFmtId="10" fontId="0" fillId="0" borderId="0" xfId="2" applyNumberFormat="1" applyFont="1" applyAlignment="1">
      <alignment horizontal="center"/>
    </xf>
    <xf numFmtId="9" fontId="2" fillId="0" borderId="0" xfId="1" applyNumberFormat="1"/>
  </cellXfs>
  <cellStyles count="3">
    <cellStyle name="百分比 2" xfId="2" xr:uid="{7A9DCDF5-0F80-4110-89E1-37E4B69950B8}"/>
    <cellStyle name="常规" xfId="0" builtinId="0"/>
    <cellStyle name="常规 2" xfId="1" xr:uid="{542401A5-A3A7-4F7A-BCDB-05ECC860F238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295275</xdr:colOff>
      <xdr:row>2</xdr:row>
      <xdr:rowOff>123825</xdr:rowOff>
    </xdr:from>
    <xdr:to>
      <xdr:col>28</xdr:col>
      <xdr:colOff>441693</xdr:colOff>
      <xdr:row>43</xdr:row>
      <xdr:rowOff>16228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2829754-E383-A897-DFCD-4075A2574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4000" y="866775"/>
          <a:ext cx="11738343" cy="70742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B9DA-1487-4C96-BE87-5CBF65AA13DA}">
  <sheetPr codeName="Sheet53"/>
  <dimension ref="A1:H61"/>
  <sheetViews>
    <sheetView tabSelected="1" workbookViewId="0">
      <selection activeCell="G15" sqref="G15"/>
    </sheetView>
  </sheetViews>
  <sheetFormatPr defaultRowHeight="13.2" x14ac:dyDescent="0.25"/>
  <cols>
    <col min="1" max="1" width="17.5546875" style="2" customWidth="1"/>
    <col min="2" max="2" width="8.88671875" style="2"/>
    <col min="3" max="3" width="27.109375" style="2" bestFit="1" customWidth="1"/>
    <col min="4" max="4" width="16.33203125" style="2" bestFit="1" customWidth="1"/>
    <col min="5" max="7" width="8.88671875" style="2"/>
    <col min="8" max="8" width="23.6640625" style="2" bestFit="1" customWidth="1"/>
    <col min="9" max="256" width="8.88671875" style="2"/>
    <col min="257" max="257" width="17.5546875" style="2" customWidth="1"/>
    <col min="258" max="258" width="8.88671875" style="2"/>
    <col min="259" max="259" width="27.109375" style="2" bestFit="1" customWidth="1"/>
    <col min="260" max="260" width="16.33203125" style="2" bestFit="1" customWidth="1"/>
    <col min="261" max="263" width="8.88671875" style="2"/>
    <col min="264" max="264" width="23.6640625" style="2" bestFit="1" customWidth="1"/>
    <col min="265" max="512" width="8.88671875" style="2"/>
    <col min="513" max="513" width="17.5546875" style="2" customWidth="1"/>
    <col min="514" max="514" width="8.88671875" style="2"/>
    <col min="515" max="515" width="27.109375" style="2" bestFit="1" customWidth="1"/>
    <col min="516" max="516" width="16.33203125" style="2" bestFit="1" customWidth="1"/>
    <col min="517" max="519" width="8.88671875" style="2"/>
    <col min="520" max="520" width="23.6640625" style="2" bestFit="1" customWidth="1"/>
    <col min="521" max="768" width="8.88671875" style="2"/>
    <col min="769" max="769" width="17.5546875" style="2" customWidth="1"/>
    <col min="770" max="770" width="8.88671875" style="2"/>
    <col min="771" max="771" width="27.109375" style="2" bestFit="1" customWidth="1"/>
    <col min="772" max="772" width="16.33203125" style="2" bestFit="1" customWidth="1"/>
    <col min="773" max="775" width="8.88671875" style="2"/>
    <col min="776" max="776" width="23.6640625" style="2" bestFit="1" customWidth="1"/>
    <col min="777" max="1024" width="8.88671875" style="2"/>
    <col min="1025" max="1025" width="17.5546875" style="2" customWidth="1"/>
    <col min="1026" max="1026" width="8.88671875" style="2"/>
    <col min="1027" max="1027" width="27.109375" style="2" bestFit="1" customWidth="1"/>
    <col min="1028" max="1028" width="16.33203125" style="2" bestFit="1" customWidth="1"/>
    <col min="1029" max="1031" width="8.88671875" style="2"/>
    <col min="1032" max="1032" width="23.6640625" style="2" bestFit="1" customWidth="1"/>
    <col min="1033" max="1280" width="8.88671875" style="2"/>
    <col min="1281" max="1281" width="17.5546875" style="2" customWidth="1"/>
    <col min="1282" max="1282" width="8.88671875" style="2"/>
    <col min="1283" max="1283" width="27.109375" style="2" bestFit="1" customWidth="1"/>
    <col min="1284" max="1284" width="16.33203125" style="2" bestFit="1" customWidth="1"/>
    <col min="1285" max="1287" width="8.88671875" style="2"/>
    <col min="1288" max="1288" width="23.6640625" style="2" bestFit="1" customWidth="1"/>
    <col min="1289" max="1536" width="8.88671875" style="2"/>
    <col min="1537" max="1537" width="17.5546875" style="2" customWidth="1"/>
    <col min="1538" max="1538" width="8.88671875" style="2"/>
    <col min="1539" max="1539" width="27.109375" style="2" bestFit="1" customWidth="1"/>
    <col min="1540" max="1540" width="16.33203125" style="2" bestFit="1" customWidth="1"/>
    <col min="1541" max="1543" width="8.88671875" style="2"/>
    <col min="1544" max="1544" width="23.6640625" style="2" bestFit="1" customWidth="1"/>
    <col min="1545" max="1792" width="8.88671875" style="2"/>
    <col min="1793" max="1793" width="17.5546875" style="2" customWidth="1"/>
    <col min="1794" max="1794" width="8.88671875" style="2"/>
    <col min="1795" max="1795" width="27.109375" style="2" bestFit="1" customWidth="1"/>
    <col min="1796" max="1796" width="16.33203125" style="2" bestFit="1" customWidth="1"/>
    <col min="1797" max="1799" width="8.88671875" style="2"/>
    <col min="1800" max="1800" width="23.6640625" style="2" bestFit="1" customWidth="1"/>
    <col min="1801" max="2048" width="8.88671875" style="2"/>
    <col min="2049" max="2049" width="17.5546875" style="2" customWidth="1"/>
    <col min="2050" max="2050" width="8.88671875" style="2"/>
    <col min="2051" max="2051" width="27.109375" style="2" bestFit="1" customWidth="1"/>
    <col min="2052" max="2052" width="16.33203125" style="2" bestFit="1" customWidth="1"/>
    <col min="2053" max="2055" width="8.88671875" style="2"/>
    <col min="2056" max="2056" width="23.6640625" style="2" bestFit="1" customWidth="1"/>
    <col min="2057" max="2304" width="8.88671875" style="2"/>
    <col min="2305" max="2305" width="17.5546875" style="2" customWidth="1"/>
    <col min="2306" max="2306" width="8.88671875" style="2"/>
    <col min="2307" max="2307" width="27.109375" style="2" bestFit="1" customWidth="1"/>
    <col min="2308" max="2308" width="16.33203125" style="2" bestFit="1" customWidth="1"/>
    <col min="2309" max="2311" width="8.88671875" style="2"/>
    <col min="2312" max="2312" width="23.6640625" style="2" bestFit="1" customWidth="1"/>
    <col min="2313" max="2560" width="8.88671875" style="2"/>
    <col min="2561" max="2561" width="17.5546875" style="2" customWidth="1"/>
    <col min="2562" max="2562" width="8.88671875" style="2"/>
    <col min="2563" max="2563" width="27.109375" style="2" bestFit="1" customWidth="1"/>
    <col min="2564" max="2564" width="16.33203125" style="2" bestFit="1" customWidth="1"/>
    <col min="2565" max="2567" width="8.88671875" style="2"/>
    <col min="2568" max="2568" width="23.6640625" style="2" bestFit="1" customWidth="1"/>
    <col min="2569" max="2816" width="8.88671875" style="2"/>
    <col min="2817" max="2817" width="17.5546875" style="2" customWidth="1"/>
    <col min="2818" max="2818" width="8.88671875" style="2"/>
    <col min="2819" max="2819" width="27.109375" style="2" bestFit="1" customWidth="1"/>
    <col min="2820" max="2820" width="16.33203125" style="2" bestFit="1" customWidth="1"/>
    <col min="2821" max="2823" width="8.88671875" style="2"/>
    <col min="2824" max="2824" width="23.6640625" style="2" bestFit="1" customWidth="1"/>
    <col min="2825" max="3072" width="8.88671875" style="2"/>
    <col min="3073" max="3073" width="17.5546875" style="2" customWidth="1"/>
    <col min="3074" max="3074" width="8.88671875" style="2"/>
    <col min="3075" max="3075" width="27.109375" style="2" bestFit="1" customWidth="1"/>
    <col min="3076" max="3076" width="16.33203125" style="2" bestFit="1" customWidth="1"/>
    <col min="3077" max="3079" width="8.88671875" style="2"/>
    <col min="3080" max="3080" width="23.6640625" style="2" bestFit="1" customWidth="1"/>
    <col min="3081" max="3328" width="8.88671875" style="2"/>
    <col min="3329" max="3329" width="17.5546875" style="2" customWidth="1"/>
    <col min="3330" max="3330" width="8.88671875" style="2"/>
    <col min="3331" max="3331" width="27.109375" style="2" bestFit="1" customWidth="1"/>
    <col min="3332" max="3332" width="16.33203125" style="2" bestFit="1" customWidth="1"/>
    <col min="3333" max="3335" width="8.88671875" style="2"/>
    <col min="3336" max="3336" width="23.6640625" style="2" bestFit="1" customWidth="1"/>
    <col min="3337" max="3584" width="8.88671875" style="2"/>
    <col min="3585" max="3585" width="17.5546875" style="2" customWidth="1"/>
    <col min="3586" max="3586" width="8.88671875" style="2"/>
    <col min="3587" max="3587" width="27.109375" style="2" bestFit="1" customWidth="1"/>
    <col min="3588" max="3588" width="16.33203125" style="2" bestFit="1" customWidth="1"/>
    <col min="3589" max="3591" width="8.88671875" style="2"/>
    <col min="3592" max="3592" width="23.6640625" style="2" bestFit="1" customWidth="1"/>
    <col min="3593" max="3840" width="8.88671875" style="2"/>
    <col min="3841" max="3841" width="17.5546875" style="2" customWidth="1"/>
    <col min="3842" max="3842" width="8.88671875" style="2"/>
    <col min="3843" max="3843" width="27.109375" style="2" bestFit="1" customWidth="1"/>
    <col min="3844" max="3844" width="16.33203125" style="2" bestFit="1" customWidth="1"/>
    <col min="3845" max="3847" width="8.88671875" style="2"/>
    <col min="3848" max="3848" width="23.6640625" style="2" bestFit="1" customWidth="1"/>
    <col min="3849" max="4096" width="8.88671875" style="2"/>
    <col min="4097" max="4097" width="17.5546875" style="2" customWidth="1"/>
    <col min="4098" max="4098" width="8.88671875" style="2"/>
    <col min="4099" max="4099" width="27.109375" style="2" bestFit="1" customWidth="1"/>
    <col min="4100" max="4100" width="16.33203125" style="2" bestFit="1" customWidth="1"/>
    <col min="4101" max="4103" width="8.88671875" style="2"/>
    <col min="4104" max="4104" width="23.6640625" style="2" bestFit="1" customWidth="1"/>
    <col min="4105" max="4352" width="8.88671875" style="2"/>
    <col min="4353" max="4353" width="17.5546875" style="2" customWidth="1"/>
    <col min="4354" max="4354" width="8.88671875" style="2"/>
    <col min="4355" max="4355" width="27.109375" style="2" bestFit="1" customWidth="1"/>
    <col min="4356" max="4356" width="16.33203125" style="2" bestFit="1" customWidth="1"/>
    <col min="4357" max="4359" width="8.88671875" style="2"/>
    <col min="4360" max="4360" width="23.6640625" style="2" bestFit="1" customWidth="1"/>
    <col min="4361" max="4608" width="8.88671875" style="2"/>
    <col min="4609" max="4609" width="17.5546875" style="2" customWidth="1"/>
    <col min="4610" max="4610" width="8.88671875" style="2"/>
    <col min="4611" max="4611" width="27.109375" style="2" bestFit="1" customWidth="1"/>
    <col min="4612" max="4612" width="16.33203125" style="2" bestFit="1" customWidth="1"/>
    <col min="4613" max="4615" width="8.88671875" style="2"/>
    <col min="4616" max="4616" width="23.6640625" style="2" bestFit="1" customWidth="1"/>
    <col min="4617" max="4864" width="8.88671875" style="2"/>
    <col min="4865" max="4865" width="17.5546875" style="2" customWidth="1"/>
    <col min="4866" max="4866" width="8.88671875" style="2"/>
    <col min="4867" max="4867" width="27.109375" style="2" bestFit="1" customWidth="1"/>
    <col min="4868" max="4868" width="16.33203125" style="2" bestFit="1" customWidth="1"/>
    <col min="4869" max="4871" width="8.88671875" style="2"/>
    <col min="4872" max="4872" width="23.6640625" style="2" bestFit="1" customWidth="1"/>
    <col min="4873" max="5120" width="8.88671875" style="2"/>
    <col min="5121" max="5121" width="17.5546875" style="2" customWidth="1"/>
    <col min="5122" max="5122" width="8.88671875" style="2"/>
    <col min="5123" max="5123" width="27.109375" style="2" bestFit="1" customWidth="1"/>
    <col min="5124" max="5124" width="16.33203125" style="2" bestFit="1" customWidth="1"/>
    <col min="5125" max="5127" width="8.88671875" style="2"/>
    <col min="5128" max="5128" width="23.6640625" style="2" bestFit="1" customWidth="1"/>
    <col min="5129" max="5376" width="8.88671875" style="2"/>
    <col min="5377" max="5377" width="17.5546875" style="2" customWidth="1"/>
    <col min="5378" max="5378" width="8.88671875" style="2"/>
    <col min="5379" max="5379" width="27.109375" style="2" bestFit="1" customWidth="1"/>
    <col min="5380" max="5380" width="16.33203125" style="2" bestFit="1" customWidth="1"/>
    <col min="5381" max="5383" width="8.88671875" style="2"/>
    <col min="5384" max="5384" width="23.6640625" style="2" bestFit="1" customWidth="1"/>
    <col min="5385" max="5632" width="8.88671875" style="2"/>
    <col min="5633" max="5633" width="17.5546875" style="2" customWidth="1"/>
    <col min="5634" max="5634" width="8.88671875" style="2"/>
    <col min="5635" max="5635" width="27.109375" style="2" bestFit="1" customWidth="1"/>
    <col min="5636" max="5636" width="16.33203125" style="2" bestFit="1" customWidth="1"/>
    <col min="5637" max="5639" width="8.88671875" style="2"/>
    <col min="5640" max="5640" width="23.6640625" style="2" bestFit="1" customWidth="1"/>
    <col min="5641" max="5888" width="8.88671875" style="2"/>
    <col min="5889" max="5889" width="17.5546875" style="2" customWidth="1"/>
    <col min="5890" max="5890" width="8.88671875" style="2"/>
    <col min="5891" max="5891" width="27.109375" style="2" bestFit="1" customWidth="1"/>
    <col min="5892" max="5892" width="16.33203125" style="2" bestFit="1" customWidth="1"/>
    <col min="5893" max="5895" width="8.88671875" style="2"/>
    <col min="5896" max="5896" width="23.6640625" style="2" bestFit="1" customWidth="1"/>
    <col min="5897" max="6144" width="8.88671875" style="2"/>
    <col min="6145" max="6145" width="17.5546875" style="2" customWidth="1"/>
    <col min="6146" max="6146" width="8.88671875" style="2"/>
    <col min="6147" max="6147" width="27.109375" style="2" bestFit="1" customWidth="1"/>
    <col min="6148" max="6148" width="16.33203125" style="2" bestFit="1" customWidth="1"/>
    <col min="6149" max="6151" width="8.88671875" style="2"/>
    <col min="6152" max="6152" width="23.6640625" style="2" bestFit="1" customWidth="1"/>
    <col min="6153" max="6400" width="8.88671875" style="2"/>
    <col min="6401" max="6401" width="17.5546875" style="2" customWidth="1"/>
    <col min="6402" max="6402" width="8.88671875" style="2"/>
    <col min="6403" max="6403" width="27.109375" style="2" bestFit="1" customWidth="1"/>
    <col min="6404" max="6404" width="16.33203125" style="2" bestFit="1" customWidth="1"/>
    <col min="6405" max="6407" width="8.88671875" style="2"/>
    <col min="6408" max="6408" width="23.6640625" style="2" bestFit="1" customWidth="1"/>
    <col min="6409" max="6656" width="8.88671875" style="2"/>
    <col min="6657" max="6657" width="17.5546875" style="2" customWidth="1"/>
    <col min="6658" max="6658" width="8.88671875" style="2"/>
    <col min="6659" max="6659" width="27.109375" style="2" bestFit="1" customWidth="1"/>
    <col min="6660" max="6660" width="16.33203125" style="2" bestFit="1" customWidth="1"/>
    <col min="6661" max="6663" width="8.88671875" style="2"/>
    <col min="6664" max="6664" width="23.6640625" style="2" bestFit="1" customWidth="1"/>
    <col min="6665" max="6912" width="8.88671875" style="2"/>
    <col min="6913" max="6913" width="17.5546875" style="2" customWidth="1"/>
    <col min="6914" max="6914" width="8.88671875" style="2"/>
    <col min="6915" max="6915" width="27.109375" style="2" bestFit="1" customWidth="1"/>
    <col min="6916" max="6916" width="16.33203125" style="2" bestFit="1" customWidth="1"/>
    <col min="6917" max="6919" width="8.88671875" style="2"/>
    <col min="6920" max="6920" width="23.6640625" style="2" bestFit="1" customWidth="1"/>
    <col min="6921" max="7168" width="8.88671875" style="2"/>
    <col min="7169" max="7169" width="17.5546875" style="2" customWidth="1"/>
    <col min="7170" max="7170" width="8.88671875" style="2"/>
    <col min="7171" max="7171" width="27.109375" style="2" bestFit="1" customWidth="1"/>
    <col min="7172" max="7172" width="16.33203125" style="2" bestFit="1" customWidth="1"/>
    <col min="7173" max="7175" width="8.88671875" style="2"/>
    <col min="7176" max="7176" width="23.6640625" style="2" bestFit="1" customWidth="1"/>
    <col min="7177" max="7424" width="8.88671875" style="2"/>
    <col min="7425" max="7425" width="17.5546875" style="2" customWidth="1"/>
    <col min="7426" max="7426" width="8.88671875" style="2"/>
    <col min="7427" max="7427" width="27.109375" style="2" bestFit="1" customWidth="1"/>
    <col min="7428" max="7428" width="16.33203125" style="2" bestFit="1" customWidth="1"/>
    <col min="7429" max="7431" width="8.88671875" style="2"/>
    <col min="7432" max="7432" width="23.6640625" style="2" bestFit="1" customWidth="1"/>
    <col min="7433" max="7680" width="8.88671875" style="2"/>
    <col min="7681" max="7681" width="17.5546875" style="2" customWidth="1"/>
    <col min="7682" max="7682" width="8.88671875" style="2"/>
    <col min="7683" max="7683" width="27.109375" style="2" bestFit="1" customWidth="1"/>
    <col min="7684" max="7684" width="16.33203125" style="2" bestFit="1" customWidth="1"/>
    <col min="7685" max="7687" width="8.88671875" style="2"/>
    <col min="7688" max="7688" width="23.6640625" style="2" bestFit="1" customWidth="1"/>
    <col min="7689" max="7936" width="8.88671875" style="2"/>
    <col min="7937" max="7937" width="17.5546875" style="2" customWidth="1"/>
    <col min="7938" max="7938" width="8.88671875" style="2"/>
    <col min="7939" max="7939" width="27.109375" style="2" bestFit="1" customWidth="1"/>
    <col min="7940" max="7940" width="16.33203125" style="2" bestFit="1" customWidth="1"/>
    <col min="7941" max="7943" width="8.88671875" style="2"/>
    <col min="7944" max="7944" width="23.6640625" style="2" bestFit="1" customWidth="1"/>
    <col min="7945" max="8192" width="8.88671875" style="2"/>
    <col min="8193" max="8193" width="17.5546875" style="2" customWidth="1"/>
    <col min="8194" max="8194" width="8.88671875" style="2"/>
    <col min="8195" max="8195" width="27.109375" style="2" bestFit="1" customWidth="1"/>
    <col min="8196" max="8196" width="16.33203125" style="2" bestFit="1" customWidth="1"/>
    <col min="8197" max="8199" width="8.88671875" style="2"/>
    <col min="8200" max="8200" width="23.6640625" style="2" bestFit="1" customWidth="1"/>
    <col min="8201" max="8448" width="8.88671875" style="2"/>
    <col min="8449" max="8449" width="17.5546875" style="2" customWidth="1"/>
    <col min="8450" max="8450" width="8.88671875" style="2"/>
    <col min="8451" max="8451" width="27.109375" style="2" bestFit="1" customWidth="1"/>
    <col min="8452" max="8452" width="16.33203125" style="2" bestFit="1" customWidth="1"/>
    <col min="8453" max="8455" width="8.88671875" style="2"/>
    <col min="8456" max="8456" width="23.6640625" style="2" bestFit="1" customWidth="1"/>
    <col min="8457" max="8704" width="8.88671875" style="2"/>
    <col min="8705" max="8705" width="17.5546875" style="2" customWidth="1"/>
    <col min="8706" max="8706" width="8.88671875" style="2"/>
    <col min="8707" max="8707" width="27.109375" style="2" bestFit="1" customWidth="1"/>
    <col min="8708" max="8708" width="16.33203125" style="2" bestFit="1" customWidth="1"/>
    <col min="8709" max="8711" width="8.88671875" style="2"/>
    <col min="8712" max="8712" width="23.6640625" style="2" bestFit="1" customWidth="1"/>
    <col min="8713" max="8960" width="8.88671875" style="2"/>
    <col min="8961" max="8961" width="17.5546875" style="2" customWidth="1"/>
    <col min="8962" max="8962" width="8.88671875" style="2"/>
    <col min="8963" max="8963" width="27.109375" style="2" bestFit="1" customWidth="1"/>
    <col min="8964" max="8964" width="16.33203125" style="2" bestFit="1" customWidth="1"/>
    <col min="8965" max="8967" width="8.88671875" style="2"/>
    <col min="8968" max="8968" width="23.6640625" style="2" bestFit="1" customWidth="1"/>
    <col min="8969" max="9216" width="8.88671875" style="2"/>
    <col min="9217" max="9217" width="17.5546875" style="2" customWidth="1"/>
    <col min="9218" max="9218" width="8.88671875" style="2"/>
    <col min="9219" max="9219" width="27.109375" style="2" bestFit="1" customWidth="1"/>
    <col min="9220" max="9220" width="16.33203125" style="2" bestFit="1" customWidth="1"/>
    <col min="9221" max="9223" width="8.88671875" style="2"/>
    <col min="9224" max="9224" width="23.6640625" style="2" bestFit="1" customWidth="1"/>
    <col min="9225" max="9472" width="8.88671875" style="2"/>
    <col min="9473" max="9473" width="17.5546875" style="2" customWidth="1"/>
    <col min="9474" max="9474" width="8.88671875" style="2"/>
    <col min="9475" max="9475" width="27.109375" style="2" bestFit="1" customWidth="1"/>
    <col min="9476" max="9476" width="16.33203125" style="2" bestFit="1" customWidth="1"/>
    <col min="9477" max="9479" width="8.88671875" style="2"/>
    <col min="9480" max="9480" width="23.6640625" style="2" bestFit="1" customWidth="1"/>
    <col min="9481" max="9728" width="8.88671875" style="2"/>
    <col min="9729" max="9729" width="17.5546875" style="2" customWidth="1"/>
    <col min="9730" max="9730" width="8.88671875" style="2"/>
    <col min="9731" max="9731" width="27.109375" style="2" bestFit="1" customWidth="1"/>
    <col min="9732" max="9732" width="16.33203125" style="2" bestFit="1" customWidth="1"/>
    <col min="9733" max="9735" width="8.88671875" style="2"/>
    <col min="9736" max="9736" width="23.6640625" style="2" bestFit="1" customWidth="1"/>
    <col min="9737" max="9984" width="8.88671875" style="2"/>
    <col min="9985" max="9985" width="17.5546875" style="2" customWidth="1"/>
    <col min="9986" max="9986" width="8.88671875" style="2"/>
    <col min="9987" max="9987" width="27.109375" style="2" bestFit="1" customWidth="1"/>
    <col min="9988" max="9988" width="16.33203125" style="2" bestFit="1" customWidth="1"/>
    <col min="9989" max="9991" width="8.88671875" style="2"/>
    <col min="9992" max="9992" width="23.6640625" style="2" bestFit="1" customWidth="1"/>
    <col min="9993" max="10240" width="8.88671875" style="2"/>
    <col min="10241" max="10241" width="17.5546875" style="2" customWidth="1"/>
    <col min="10242" max="10242" width="8.88671875" style="2"/>
    <col min="10243" max="10243" width="27.109375" style="2" bestFit="1" customWidth="1"/>
    <col min="10244" max="10244" width="16.33203125" style="2" bestFit="1" customWidth="1"/>
    <col min="10245" max="10247" width="8.88671875" style="2"/>
    <col min="10248" max="10248" width="23.6640625" style="2" bestFit="1" customWidth="1"/>
    <col min="10249" max="10496" width="8.88671875" style="2"/>
    <col min="10497" max="10497" width="17.5546875" style="2" customWidth="1"/>
    <col min="10498" max="10498" width="8.88671875" style="2"/>
    <col min="10499" max="10499" width="27.109375" style="2" bestFit="1" customWidth="1"/>
    <col min="10500" max="10500" width="16.33203125" style="2" bestFit="1" customWidth="1"/>
    <col min="10501" max="10503" width="8.88671875" style="2"/>
    <col min="10504" max="10504" width="23.6640625" style="2" bestFit="1" customWidth="1"/>
    <col min="10505" max="10752" width="8.88671875" style="2"/>
    <col min="10753" max="10753" width="17.5546875" style="2" customWidth="1"/>
    <col min="10754" max="10754" width="8.88671875" style="2"/>
    <col min="10755" max="10755" width="27.109375" style="2" bestFit="1" customWidth="1"/>
    <col min="10756" max="10756" width="16.33203125" style="2" bestFit="1" customWidth="1"/>
    <col min="10757" max="10759" width="8.88671875" style="2"/>
    <col min="10760" max="10760" width="23.6640625" style="2" bestFit="1" customWidth="1"/>
    <col min="10761" max="11008" width="8.88671875" style="2"/>
    <col min="11009" max="11009" width="17.5546875" style="2" customWidth="1"/>
    <col min="11010" max="11010" width="8.88671875" style="2"/>
    <col min="11011" max="11011" width="27.109375" style="2" bestFit="1" customWidth="1"/>
    <col min="11012" max="11012" width="16.33203125" style="2" bestFit="1" customWidth="1"/>
    <col min="11013" max="11015" width="8.88671875" style="2"/>
    <col min="11016" max="11016" width="23.6640625" style="2" bestFit="1" customWidth="1"/>
    <col min="11017" max="11264" width="8.88671875" style="2"/>
    <col min="11265" max="11265" width="17.5546875" style="2" customWidth="1"/>
    <col min="11266" max="11266" width="8.88671875" style="2"/>
    <col min="11267" max="11267" width="27.109375" style="2" bestFit="1" customWidth="1"/>
    <col min="11268" max="11268" width="16.33203125" style="2" bestFit="1" customWidth="1"/>
    <col min="11269" max="11271" width="8.88671875" style="2"/>
    <col min="11272" max="11272" width="23.6640625" style="2" bestFit="1" customWidth="1"/>
    <col min="11273" max="11520" width="8.88671875" style="2"/>
    <col min="11521" max="11521" width="17.5546875" style="2" customWidth="1"/>
    <col min="11522" max="11522" width="8.88671875" style="2"/>
    <col min="11523" max="11523" width="27.109375" style="2" bestFit="1" customWidth="1"/>
    <col min="11524" max="11524" width="16.33203125" style="2" bestFit="1" customWidth="1"/>
    <col min="11525" max="11527" width="8.88671875" style="2"/>
    <col min="11528" max="11528" width="23.6640625" style="2" bestFit="1" customWidth="1"/>
    <col min="11529" max="11776" width="8.88671875" style="2"/>
    <col min="11777" max="11777" width="17.5546875" style="2" customWidth="1"/>
    <col min="11778" max="11778" width="8.88671875" style="2"/>
    <col min="11779" max="11779" width="27.109375" style="2" bestFit="1" customWidth="1"/>
    <col min="11780" max="11780" width="16.33203125" style="2" bestFit="1" customWidth="1"/>
    <col min="11781" max="11783" width="8.88671875" style="2"/>
    <col min="11784" max="11784" width="23.6640625" style="2" bestFit="1" customWidth="1"/>
    <col min="11785" max="12032" width="8.88671875" style="2"/>
    <col min="12033" max="12033" width="17.5546875" style="2" customWidth="1"/>
    <col min="12034" max="12034" width="8.88671875" style="2"/>
    <col min="12035" max="12035" width="27.109375" style="2" bestFit="1" customWidth="1"/>
    <col min="12036" max="12036" width="16.33203125" style="2" bestFit="1" customWidth="1"/>
    <col min="12037" max="12039" width="8.88671875" style="2"/>
    <col min="12040" max="12040" width="23.6640625" style="2" bestFit="1" customWidth="1"/>
    <col min="12041" max="12288" width="8.88671875" style="2"/>
    <col min="12289" max="12289" width="17.5546875" style="2" customWidth="1"/>
    <col min="12290" max="12290" width="8.88671875" style="2"/>
    <col min="12291" max="12291" width="27.109375" style="2" bestFit="1" customWidth="1"/>
    <col min="12292" max="12292" width="16.33203125" style="2" bestFit="1" customWidth="1"/>
    <col min="12293" max="12295" width="8.88671875" style="2"/>
    <col min="12296" max="12296" width="23.6640625" style="2" bestFit="1" customWidth="1"/>
    <col min="12297" max="12544" width="8.88671875" style="2"/>
    <col min="12545" max="12545" width="17.5546875" style="2" customWidth="1"/>
    <col min="12546" max="12546" width="8.88671875" style="2"/>
    <col min="12547" max="12547" width="27.109375" style="2" bestFit="1" customWidth="1"/>
    <col min="12548" max="12548" width="16.33203125" style="2" bestFit="1" customWidth="1"/>
    <col min="12549" max="12551" width="8.88671875" style="2"/>
    <col min="12552" max="12552" width="23.6640625" style="2" bestFit="1" customWidth="1"/>
    <col min="12553" max="12800" width="8.88671875" style="2"/>
    <col min="12801" max="12801" width="17.5546875" style="2" customWidth="1"/>
    <col min="12802" max="12802" width="8.88671875" style="2"/>
    <col min="12803" max="12803" width="27.109375" style="2" bestFit="1" customWidth="1"/>
    <col min="12804" max="12804" width="16.33203125" style="2" bestFit="1" customWidth="1"/>
    <col min="12805" max="12807" width="8.88671875" style="2"/>
    <col min="12808" max="12808" width="23.6640625" style="2" bestFit="1" customWidth="1"/>
    <col min="12809" max="13056" width="8.88671875" style="2"/>
    <col min="13057" max="13057" width="17.5546875" style="2" customWidth="1"/>
    <col min="13058" max="13058" width="8.88671875" style="2"/>
    <col min="13059" max="13059" width="27.109375" style="2" bestFit="1" customWidth="1"/>
    <col min="13060" max="13060" width="16.33203125" style="2" bestFit="1" customWidth="1"/>
    <col min="13061" max="13063" width="8.88671875" style="2"/>
    <col min="13064" max="13064" width="23.6640625" style="2" bestFit="1" customWidth="1"/>
    <col min="13065" max="13312" width="8.88671875" style="2"/>
    <col min="13313" max="13313" width="17.5546875" style="2" customWidth="1"/>
    <col min="13314" max="13314" width="8.88671875" style="2"/>
    <col min="13315" max="13315" width="27.109375" style="2" bestFit="1" customWidth="1"/>
    <col min="13316" max="13316" width="16.33203125" style="2" bestFit="1" customWidth="1"/>
    <col min="13317" max="13319" width="8.88671875" style="2"/>
    <col min="13320" max="13320" width="23.6640625" style="2" bestFit="1" customWidth="1"/>
    <col min="13321" max="13568" width="8.88671875" style="2"/>
    <col min="13569" max="13569" width="17.5546875" style="2" customWidth="1"/>
    <col min="13570" max="13570" width="8.88671875" style="2"/>
    <col min="13571" max="13571" width="27.109375" style="2" bestFit="1" customWidth="1"/>
    <col min="13572" max="13572" width="16.33203125" style="2" bestFit="1" customWidth="1"/>
    <col min="13573" max="13575" width="8.88671875" style="2"/>
    <col min="13576" max="13576" width="23.6640625" style="2" bestFit="1" customWidth="1"/>
    <col min="13577" max="13824" width="8.88671875" style="2"/>
    <col min="13825" max="13825" width="17.5546875" style="2" customWidth="1"/>
    <col min="13826" max="13826" width="8.88671875" style="2"/>
    <col min="13827" max="13827" width="27.109375" style="2" bestFit="1" customWidth="1"/>
    <col min="13828" max="13828" width="16.33203125" style="2" bestFit="1" customWidth="1"/>
    <col min="13829" max="13831" width="8.88671875" style="2"/>
    <col min="13832" max="13832" width="23.6640625" style="2" bestFit="1" customWidth="1"/>
    <col min="13833" max="14080" width="8.88671875" style="2"/>
    <col min="14081" max="14081" width="17.5546875" style="2" customWidth="1"/>
    <col min="14082" max="14082" width="8.88671875" style="2"/>
    <col min="14083" max="14083" width="27.109375" style="2" bestFit="1" customWidth="1"/>
    <col min="14084" max="14084" width="16.33203125" style="2" bestFit="1" customWidth="1"/>
    <col min="14085" max="14087" width="8.88671875" style="2"/>
    <col min="14088" max="14088" width="23.6640625" style="2" bestFit="1" customWidth="1"/>
    <col min="14089" max="14336" width="8.88671875" style="2"/>
    <col min="14337" max="14337" width="17.5546875" style="2" customWidth="1"/>
    <col min="14338" max="14338" width="8.88671875" style="2"/>
    <col min="14339" max="14339" width="27.109375" style="2" bestFit="1" customWidth="1"/>
    <col min="14340" max="14340" width="16.33203125" style="2" bestFit="1" customWidth="1"/>
    <col min="14341" max="14343" width="8.88671875" style="2"/>
    <col min="14344" max="14344" width="23.6640625" style="2" bestFit="1" customWidth="1"/>
    <col min="14345" max="14592" width="8.88671875" style="2"/>
    <col min="14593" max="14593" width="17.5546875" style="2" customWidth="1"/>
    <col min="14594" max="14594" width="8.88671875" style="2"/>
    <col min="14595" max="14595" width="27.109375" style="2" bestFit="1" customWidth="1"/>
    <col min="14596" max="14596" width="16.33203125" style="2" bestFit="1" customWidth="1"/>
    <col min="14597" max="14599" width="8.88671875" style="2"/>
    <col min="14600" max="14600" width="23.6640625" style="2" bestFit="1" customWidth="1"/>
    <col min="14601" max="14848" width="8.88671875" style="2"/>
    <col min="14849" max="14849" width="17.5546875" style="2" customWidth="1"/>
    <col min="14850" max="14850" width="8.88671875" style="2"/>
    <col min="14851" max="14851" width="27.109375" style="2" bestFit="1" customWidth="1"/>
    <col min="14852" max="14852" width="16.33203125" style="2" bestFit="1" customWidth="1"/>
    <col min="14853" max="14855" width="8.88671875" style="2"/>
    <col min="14856" max="14856" width="23.6640625" style="2" bestFit="1" customWidth="1"/>
    <col min="14857" max="15104" width="8.88671875" style="2"/>
    <col min="15105" max="15105" width="17.5546875" style="2" customWidth="1"/>
    <col min="15106" max="15106" width="8.88671875" style="2"/>
    <col min="15107" max="15107" width="27.109375" style="2" bestFit="1" customWidth="1"/>
    <col min="15108" max="15108" width="16.33203125" style="2" bestFit="1" customWidth="1"/>
    <col min="15109" max="15111" width="8.88671875" style="2"/>
    <col min="15112" max="15112" width="23.6640625" style="2" bestFit="1" customWidth="1"/>
    <col min="15113" max="15360" width="8.88671875" style="2"/>
    <col min="15361" max="15361" width="17.5546875" style="2" customWidth="1"/>
    <col min="15362" max="15362" width="8.88671875" style="2"/>
    <col min="15363" max="15363" width="27.109375" style="2" bestFit="1" customWidth="1"/>
    <col min="15364" max="15364" width="16.33203125" style="2" bestFit="1" customWidth="1"/>
    <col min="15365" max="15367" width="8.88671875" style="2"/>
    <col min="15368" max="15368" width="23.6640625" style="2" bestFit="1" customWidth="1"/>
    <col min="15369" max="15616" width="8.88671875" style="2"/>
    <col min="15617" max="15617" width="17.5546875" style="2" customWidth="1"/>
    <col min="15618" max="15618" width="8.88671875" style="2"/>
    <col min="15619" max="15619" width="27.109375" style="2" bestFit="1" customWidth="1"/>
    <col min="15620" max="15620" width="16.33203125" style="2" bestFit="1" customWidth="1"/>
    <col min="15621" max="15623" width="8.88671875" style="2"/>
    <col min="15624" max="15624" width="23.6640625" style="2" bestFit="1" customWidth="1"/>
    <col min="15625" max="15872" width="8.88671875" style="2"/>
    <col min="15873" max="15873" width="17.5546875" style="2" customWidth="1"/>
    <col min="15874" max="15874" width="8.88671875" style="2"/>
    <col min="15875" max="15875" width="27.109375" style="2" bestFit="1" customWidth="1"/>
    <col min="15876" max="15876" width="16.33203125" style="2" bestFit="1" customWidth="1"/>
    <col min="15877" max="15879" width="8.88671875" style="2"/>
    <col min="15880" max="15880" width="23.6640625" style="2" bestFit="1" customWidth="1"/>
    <col min="15881" max="16128" width="8.88671875" style="2"/>
    <col min="16129" max="16129" width="17.5546875" style="2" customWidth="1"/>
    <col min="16130" max="16130" width="8.88671875" style="2"/>
    <col min="16131" max="16131" width="27.109375" style="2" bestFit="1" customWidth="1"/>
    <col min="16132" max="16132" width="16.33203125" style="2" bestFit="1" customWidth="1"/>
    <col min="16133" max="16135" width="8.88671875" style="2"/>
    <col min="16136" max="16136" width="23.6640625" style="2" bestFit="1" customWidth="1"/>
    <col min="16137" max="16384" width="8.88671875" style="2"/>
  </cols>
  <sheetData>
    <row r="1" spans="1:8" ht="45" customHeight="1" x14ac:dyDescent="0.25">
      <c r="A1" s="1" t="s">
        <v>0</v>
      </c>
      <c r="B1" s="1"/>
      <c r="C1" s="1"/>
      <c r="D1" s="1"/>
    </row>
    <row r="2" spans="1:8" x14ac:dyDescent="0.25">
      <c r="A2" s="3" t="s">
        <v>1</v>
      </c>
      <c r="B2" s="3">
        <f>COUNTA(A10:A61)</f>
        <v>52</v>
      </c>
      <c r="C2" s="2" t="str">
        <f ca="1">[1]!getformula(B2)</f>
        <v>&lt;--  =COUNTA(A10:A61)</v>
      </c>
    </row>
    <row r="3" spans="1:8" x14ac:dyDescent="0.25">
      <c r="A3" s="3" t="s">
        <v>2</v>
      </c>
      <c r="B3" s="3">
        <f>COUNTIF(C10:C61,"&gt;2%")</f>
        <v>13</v>
      </c>
      <c r="C3" s="2" t="str">
        <f ca="1">[1]!getformula(B3)</f>
        <v>&lt;--  =COUNTIF(C10:C61,"&gt;2%")</v>
      </c>
      <c r="F3" s="4" t="s">
        <v>3</v>
      </c>
    </row>
    <row r="5" spans="1:8" x14ac:dyDescent="0.25">
      <c r="A5" s="3" t="s">
        <v>4</v>
      </c>
      <c r="B5" s="5">
        <v>0.05</v>
      </c>
      <c r="F5" s="2" t="s">
        <v>4</v>
      </c>
      <c r="G5" s="6">
        <f>B6</f>
        <v>2</v>
      </c>
      <c r="H5" s="2" t="str">
        <f ca="1">[1]!getformula(G5)&amp;", data table header"</f>
        <v>&lt;--  =B6, data table header</v>
      </c>
    </row>
    <row r="6" spans="1:8" x14ac:dyDescent="0.25">
      <c r="A6" s="3" t="s">
        <v>5</v>
      </c>
      <c r="B6" s="3">
        <f>COUNTIF(C10:C61,"&gt;"&amp;TEXT(B5,"0.00%"))</f>
        <v>2</v>
      </c>
      <c r="C6" s="2" t="str">
        <f ca="1">[1]!getformula(B6)</f>
        <v>&lt;--  =COUNTIF(C10:C61,"&gt;"&amp;TEXT(B5,"0.00%"))</v>
      </c>
      <c r="F6" s="7">
        <v>0</v>
      </c>
      <c r="G6" s="6">
        <f t="dataTable" ref="G6:G16" dt2D="0" dtr="0" r1="B5"/>
        <v>30</v>
      </c>
    </row>
    <row r="7" spans="1:8" x14ac:dyDescent="0.25">
      <c r="F7" s="7">
        <v>0.01</v>
      </c>
      <c r="G7" s="6">
        <v>21</v>
      </c>
    </row>
    <row r="8" spans="1:8" ht="26.4" x14ac:dyDescent="0.25">
      <c r="A8" s="8" t="s">
        <v>6</v>
      </c>
      <c r="B8" s="9" t="s">
        <v>7</v>
      </c>
      <c r="C8" s="8" t="s">
        <v>8</v>
      </c>
      <c r="F8" s="7">
        <v>0.02</v>
      </c>
      <c r="G8" s="6">
        <v>13</v>
      </c>
    </row>
    <row r="9" spans="1:8" x14ac:dyDescent="0.25">
      <c r="A9" s="10">
        <v>38720</v>
      </c>
      <c r="B9" s="2">
        <v>31.82</v>
      </c>
      <c r="C9" s="11"/>
      <c r="F9" s="7">
        <v>0.03</v>
      </c>
      <c r="G9" s="6">
        <v>8</v>
      </c>
    </row>
    <row r="10" spans="1:8" ht="13.8" x14ac:dyDescent="0.25">
      <c r="A10" s="10">
        <v>38726</v>
      </c>
      <c r="B10" s="2">
        <v>32.15</v>
      </c>
      <c r="C10" s="12">
        <f>LN(B10/B9)</f>
        <v>1.0317427773987489E-2</v>
      </c>
      <c r="D10" s="2" t="e">
        <f ca="1">getformula(C10)</f>
        <v>#NAME?</v>
      </c>
      <c r="F10" s="7">
        <v>0.04</v>
      </c>
      <c r="G10" s="6">
        <v>6</v>
      </c>
    </row>
    <row r="11" spans="1:8" ht="13.8" x14ac:dyDescent="0.25">
      <c r="A11" s="10">
        <v>38734</v>
      </c>
      <c r="B11" s="2">
        <v>31.94</v>
      </c>
      <c r="C11" s="12">
        <f t="shared" ref="C11:C61" si="0">LN(B11/B10)</f>
        <v>-6.553307896761988E-3</v>
      </c>
      <c r="F11" s="7">
        <v>0.05</v>
      </c>
      <c r="G11" s="6">
        <v>2</v>
      </c>
    </row>
    <row r="12" spans="1:8" ht="13.8" x14ac:dyDescent="0.25">
      <c r="A12" s="10">
        <v>38740</v>
      </c>
      <c r="B12" s="2">
        <v>33.33</v>
      </c>
      <c r="C12" s="12">
        <f t="shared" si="0"/>
        <v>4.2598749532781831E-2</v>
      </c>
      <c r="F12" s="7">
        <v>0.06</v>
      </c>
      <c r="G12" s="6">
        <v>1</v>
      </c>
    </row>
    <row r="13" spans="1:8" ht="13.8" x14ac:dyDescent="0.25">
      <c r="A13" s="10">
        <v>38747</v>
      </c>
      <c r="B13" s="2">
        <v>33.04</v>
      </c>
      <c r="C13" s="12">
        <f t="shared" si="0"/>
        <v>-8.7389436668710071E-3</v>
      </c>
      <c r="F13" s="7">
        <v>7.0000000000000007E-2</v>
      </c>
      <c r="G13" s="6">
        <v>1</v>
      </c>
    </row>
    <row r="14" spans="1:8" ht="13.8" x14ac:dyDescent="0.25">
      <c r="A14" s="10">
        <v>38754</v>
      </c>
      <c r="B14" s="2">
        <v>32.96</v>
      </c>
      <c r="C14" s="12">
        <f t="shared" si="0"/>
        <v>-2.42424361150628E-3</v>
      </c>
      <c r="F14" s="7">
        <v>0.08</v>
      </c>
      <c r="G14" s="6">
        <v>1</v>
      </c>
    </row>
    <row r="15" spans="1:8" ht="13.8" x14ac:dyDescent="0.25">
      <c r="A15" s="10">
        <v>38761</v>
      </c>
      <c r="B15" s="2">
        <v>34.630000000000003</v>
      </c>
      <c r="C15" s="12">
        <f t="shared" si="0"/>
        <v>4.9425653373059639E-2</v>
      </c>
      <c r="F15" s="7">
        <v>0.09</v>
      </c>
      <c r="G15" s="6">
        <v>1</v>
      </c>
    </row>
    <row r="16" spans="1:8" ht="13.8" x14ac:dyDescent="0.25">
      <c r="A16" s="10">
        <v>38769</v>
      </c>
      <c r="B16" s="2">
        <v>33.72</v>
      </c>
      <c r="C16" s="12">
        <f t="shared" si="0"/>
        <v>-2.6629225280676027E-2</v>
      </c>
      <c r="F16" s="7">
        <v>0.1</v>
      </c>
      <c r="G16" s="6">
        <v>0</v>
      </c>
    </row>
    <row r="17" spans="1:6" ht="13.8" x14ac:dyDescent="0.25">
      <c r="A17" s="10">
        <v>38775</v>
      </c>
      <c r="B17" s="2">
        <v>33.81</v>
      </c>
      <c r="C17" s="12">
        <f t="shared" si="0"/>
        <v>2.6654835861401023E-3</v>
      </c>
      <c r="F17" s="13"/>
    </row>
    <row r="18" spans="1:6" ht="13.8" x14ac:dyDescent="0.25">
      <c r="A18" s="10">
        <v>38782</v>
      </c>
      <c r="B18" s="2">
        <v>33.76</v>
      </c>
      <c r="C18" s="12">
        <f t="shared" si="0"/>
        <v>-1.4799469920384154E-3</v>
      </c>
    </row>
    <row r="19" spans="1:6" ht="13.8" x14ac:dyDescent="0.25">
      <c r="A19" s="10">
        <v>38789</v>
      </c>
      <c r="B19" s="2">
        <v>34.61</v>
      </c>
      <c r="C19" s="12">
        <f t="shared" si="0"/>
        <v>2.4865987919496589E-2</v>
      </c>
    </row>
    <row r="20" spans="1:6" ht="13.8" x14ac:dyDescent="0.25">
      <c r="A20" s="10">
        <v>38796</v>
      </c>
      <c r="B20" s="2">
        <v>35.01</v>
      </c>
      <c r="C20" s="12">
        <f t="shared" si="0"/>
        <v>1.149107731932136E-2</v>
      </c>
    </row>
    <row r="21" spans="1:6" ht="13.8" x14ac:dyDescent="0.25">
      <c r="A21" s="10">
        <v>38803</v>
      </c>
      <c r="B21" s="2">
        <v>34.22</v>
      </c>
      <c r="C21" s="12">
        <f t="shared" si="0"/>
        <v>-2.2823466502526826E-2</v>
      </c>
    </row>
    <row r="22" spans="1:6" ht="13.8" x14ac:dyDescent="0.25">
      <c r="A22" s="10">
        <v>38810</v>
      </c>
      <c r="B22" s="2">
        <v>33.479999999999997</v>
      </c>
      <c r="C22" s="12">
        <f t="shared" si="0"/>
        <v>-2.1862022842772857E-2</v>
      </c>
    </row>
    <row r="23" spans="1:6" ht="13.8" x14ac:dyDescent="0.25">
      <c r="A23" s="10">
        <v>38817</v>
      </c>
      <c r="B23" s="2">
        <v>32.96</v>
      </c>
      <c r="C23" s="12">
        <f t="shared" si="0"/>
        <v>-1.5653540580003469E-2</v>
      </c>
    </row>
    <row r="24" spans="1:6" ht="13.8" x14ac:dyDescent="0.25">
      <c r="A24" s="10">
        <v>38824</v>
      </c>
      <c r="B24" s="2">
        <v>33.74</v>
      </c>
      <c r="C24" s="12">
        <f t="shared" si="0"/>
        <v>2.3389372076551309E-2</v>
      </c>
    </row>
    <row r="25" spans="1:6" ht="13.8" x14ac:dyDescent="0.25">
      <c r="A25" s="10">
        <v>38831</v>
      </c>
      <c r="B25" s="2">
        <v>33.43</v>
      </c>
      <c r="C25" s="12">
        <f t="shared" si="0"/>
        <v>-9.2303766858150785E-3</v>
      </c>
    </row>
    <row r="26" spans="1:6" ht="13.8" x14ac:dyDescent="0.25">
      <c r="A26" s="10">
        <v>38838</v>
      </c>
      <c r="B26" s="2">
        <v>33.49</v>
      </c>
      <c r="C26" s="12">
        <f t="shared" si="0"/>
        <v>1.7931863741059879E-3</v>
      </c>
    </row>
    <row r="27" spans="1:6" ht="13.8" x14ac:dyDescent="0.25">
      <c r="A27" s="10">
        <v>38845</v>
      </c>
      <c r="B27" s="2">
        <v>33.299999999999997</v>
      </c>
      <c r="C27" s="12">
        <f t="shared" si="0"/>
        <v>-5.6894898197151714E-3</v>
      </c>
    </row>
    <row r="28" spans="1:6" ht="13.8" x14ac:dyDescent="0.25">
      <c r="A28" s="10">
        <v>38852</v>
      </c>
      <c r="B28" s="2">
        <v>33.43</v>
      </c>
      <c r="C28" s="12">
        <f t="shared" si="0"/>
        <v>3.8963034456091328E-3</v>
      </c>
    </row>
    <row r="29" spans="1:6" ht="13.8" x14ac:dyDescent="0.25">
      <c r="A29" s="10">
        <v>38859</v>
      </c>
      <c r="B29" s="2">
        <v>33.57</v>
      </c>
      <c r="C29" s="12">
        <f t="shared" si="0"/>
        <v>4.1791105599363393E-3</v>
      </c>
    </row>
    <row r="30" spans="1:6" ht="13.8" x14ac:dyDescent="0.25">
      <c r="A30" s="10">
        <v>38867</v>
      </c>
      <c r="B30" s="2">
        <v>33.36</v>
      </c>
      <c r="C30" s="12">
        <f t="shared" si="0"/>
        <v>-6.2752335013975891E-3</v>
      </c>
    </row>
    <row r="31" spans="1:6" ht="13.8" x14ac:dyDescent="0.25">
      <c r="A31" s="10">
        <v>38873</v>
      </c>
      <c r="B31" s="2">
        <v>33.22</v>
      </c>
      <c r="C31" s="12">
        <f t="shared" si="0"/>
        <v>-4.205473305397168E-3</v>
      </c>
    </row>
    <row r="32" spans="1:6" ht="13.8" x14ac:dyDescent="0.25">
      <c r="A32" s="10">
        <v>38880</v>
      </c>
      <c r="B32" s="2">
        <v>33.81</v>
      </c>
      <c r="C32" s="12">
        <f t="shared" si="0"/>
        <v>1.7604512534645927E-2</v>
      </c>
    </row>
    <row r="33" spans="1:3" ht="13.8" x14ac:dyDescent="0.25">
      <c r="A33" s="10">
        <v>38887</v>
      </c>
      <c r="B33" s="2">
        <v>34.33</v>
      </c>
      <c r="C33" s="12">
        <f t="shared" si="0"/>
        <v>1.5262990749805956E-2</v>
      </c>
    </row>
    <row r="34" spans="1:3" ht="13.8" x14ac:dyDescent="0.25">
      <c r="A34" s="10">
        <v>38894</v>
      </c>
      <c r="B34" s="2">
        <v>35.79</v>
      </c>
      <c r="C34" s="12">
        <f t="shared" si="0"/>
        <v>4.1648917308333845E-2</v>
      </c>
    </row>
    <row r="35" spans="1:3" ht="13.8" x14ac:dyDescent="0.25">
      <c r="A35" s="10">
        <v>38901</v>
      </c>
      <c r="B35" s="2">
        <v>36.32</v>
      </c>
      <c r="C35" s="12">
        <f t="shared" si="0"/>
        <v>1.4700028955158076E-2</v>
      </c>
    </row>
    <row r="36" spans="1:3" ht="13.8" x14ac:dyDescent="0.25">
      <c r="A36" s="10">
        <v>38908</v>
      </c>
      <c r="B36" s="2">
        <v>35.520000000000003</v>
      </c>
      <c r="C36" s="12">
        <f t="shared" si="0"/>
        <v>-2.2272635609123178E-2</v>
      </c>
    </row>
    <row r="37" spans="1:3" ht="13.8" x14ac:dyDescent="0.25">
      <c r="A37" s="10">
        <v>38915</v>
      </c>
      <c r="B37" s="2">
        <v>36.71</v>
      </c>
      <c r="C37" s="12">
        <f t="shared" si="0"/>
        <v>3.2953279384773479E-2</v>
      </c>
    </row>
    <row r="38" spans="1:3" ht="13.8" x14ac:dyDescent="0.25">
      <c r="A38" s="10">
        <v>38922</v>
      </c>
      <c r="B38" s="2">
        <v>40.4</v>
      </c>
      <c r="C38" s="12">
        <f t="shared" si="0"/>
        <v>9.5780587458361419E-2</v>
      </c>
    </row>
    <row r="39" spans="1:3" ht="13.8" x14ac:dyDescent="0.25">
      <c r="A39" s="10">
        <v>38929</v>
      </c>
      <c r="B39" s="2">
        <v>40.630000000000003</v>
      </c>
      <c r="C39" s="12">
        <f t="shared" si="0"/>
        <v>5.6769250325311091E-3</v>
      </c>
    </row>
    <row r="40" spans="1:3" ht="13.8" x14ac:dyDescent="0.25">
      <c r="A40" s="10">
        <v>38936</v>
      </c>
      <c r="B40" s="2">
        <v>39.89</v>
      </c>
      <c r="C40" s="12">
        <f t="shared" si="0"/>
        <v>-1.8381044082320216E-2</v>
      </c>
    </row>
    <row r="41" spans="1:3" ht="13.8" x14ac:dyDescent="0.25">
      <c r="A41" s="10">
        <v>38943</v>
      </c>
      <c r="B41" s="2">
        <v>38.83</v>
      </c>
      <c r="C41" s="12">
        <f t="shared" si="0"/>
        <v>-2.6932522173739405E-2</v>
      </c>
    </row>
    <row r="42" spans="1:3" ht="13.8" x14ac:dyDescent="0.25">
      <c r="A42" s="10">
        <v>38950</v>
      </c>
      <c r="B42" s="2">
        <v>39.729999999999997</v>
      </c>
      <c r="C42" s="12">
        <f t="shared" si="0"/>
        <v>2.2913426082931558E-2</v>
      </c>
    </row>
    <row r="43" spans="1:3" ht="13.8" x14ac:dyDescent="0.25">
      <c r="A43" s="10">
        <v>38957</v>
      </c>
      <c r="B43" s="2">
        <v>40.619999999999997</v>
      </c>
      <c r="C43" s="12">
        <f t="shared" si="0"/>
        <v>2.2153986325731134E-2</v>
      </c>
    </row>
    <row r="44" spans="1:3" ht="13.8" x14ac:dyDescent="0.25">
      <c r="A44" s="10">
        <v>38965</v>
      </c>
      <c r="B44" s="2">
        <v>40.72</v>
      </c>
      <c r="C44" s="12">
        <f t="shared" si="0"/>
        <v>2.4588160900287748E-3</v>
      </c>
    </row>
    <row r="45" spans="1:3" ht="13.8" x14ac:dyDescent="0.25">
      <c r="A45" s="10">
        <v>38971</v>
      </c>
      <c r="B45" s="2">
        <v>40.76</v>
      </c>
      <c r="C45" s="12">
        <f t="shared" si="0"/>
        <v>9.8183611225663827E-4</v>
      </c>
    </row>
    <row r="46" spans="1:3" ht="13.8" x14ac:dyDescent="0.25">
      <c r="A46" s="10">
        <v>38978</v>
      </c>
      <c r="B46" s="2">
        <v>41.69</v>
      </c>
      <c r="C46" s="12">
        <f t="shared" si="0"/>
        <v>2.2560083538181414E-2</v>
      </c>
    </row>
    <row r="47" spans="1:3" ht="13.8" x14ac:dyDescent="0.25">
      <c r="A47" s="10">
        <v>38985</v>
      </c>
      <c r="B47" s="2">
        <v>41.55</v>
      </c>
      <c r="C47" s="12">
        <f t="shared" si="0"/>
        <v>-3.3637705912483331E-3</v>
      </c>
    </row>
    <row r="48" spans="1:3" ht="13.8" x14ac:dyDescent="0.25">
      <c r="A48" s="10">
        <v>38992</v>
      </c>
      <c r="B48" s="2">
        <v>41.51</v>
      </c>
      <c r="C48" s="12">
        <f t="shared" si="0"/>
        <v>-9.6315923650974787E-4</v>
      </c>
    </row>
    <row r="49" spans="1:3" ht="13.8" x14ac:dyDescent="0.25">
      <c r="A49" s="10">
        <v>38999</v>
      </c>
      <c r="B49" s="2">
        <v>42.84</v>
      </c>
      <c r="C49" s="12">
        <f t="shared" si="0"/>
        <v>3.1537883514600733E-2</v>
      </c>
    </row>
    <row r="50" spans="1:3" ht="13.8" x14ac:dyDescent="0.25">
      <c r="A50" s="10">
        <v>39006</v>
      </c>
      <c r="B50" s="2">
        <v>45.26</v>
      </c>
      <c r="C50" s="12">
        <f t="shared" si="0"/>
        <v>5.4951394625843107E-2</v>
      </c>
    </row>
    <row r="51" spans="1:3" ht="13.8" x14ac:dyDescent="0.25">
      <c r="A51" s="10">
        <v>39013</v>
      </c>
      <c r="B51" s="2">
        <v>45.7</v>
      </c>
      <c r="C51" s="12">
        <f t="shared" si="0"/>
        <v>9.6746576947678645E-3</v>
      </c>
    </row>
    <row r="52" spans="1:3" ht="13.8" x14ac:dyDescent="0.25">
      <c r="A52" s="10">
        <v>39020</v>
      </c>
      <c r="B52" s="2">
        <v>44.72</v>
      </c>
      <c r="C52" s="12">
        <f t="shared" si="0"/>
        <v>-2.1677469053315374E-2</v>
      </c>
    </row>
    <row r="53" spans="1:3" ht="13.8" x14ac:dyDescent="0.25">
      <c r="A53" s="10">
        <v>39027</v>
      </c>
      <c r="B53" s="2">
        <v>42.76</v>
      </c>
      <c r="C53" s="12">
        <f t="shared" si="0"/>
        <v>-4.4817742689999253E-2</v>
      </c>
    </row>
    <row r="54" spans="1:3" ht="13.8" x14ac:dyDescent="0.25">
      <c r="A54" s="10">
        <v>39034</v>
      </c>
      <c r="B54" s="2">
        <v>44.68</v>
      </c>
      <c r="C54" s="12">
        <f t="shared" si="0"/>
        <v>4.3922888044155513E-2</v>
      </c>
    </row>
    <row r="55" spans="1:3" ht="13.8" x14ac:dyDescent="0.25">
      <c r="A55" s="10">
        <v>39041</v>
      </c>
      <c r="B55" s="2">
        <v>43.81</v>
      </c>
      <c r="C55" s="12">
        <f t="shared" si="0"/>
        <v>-1.9663872375192782E-2</v>
      </c>
    </row>
    <row r="56" spans="1:3" ht="13.8" x14ac:dyDescent="0.25">
      <c r="A56" s="10">
        <v>39048</v>
      </c>
      <c r="B56" s="2">
        <v>44.68</v>
      </c>
      <c r="C56" s="12">
        <f t="shared" si="0"/>
        <v>1.9663872375192827E-2</v>
      </c>
    </row>
    <row r="57" spans="1:3" ht="13.8" x14ac:dyDescent="0.25">
      <c r="A57" s="10">
        <v>39055</v>
      </c>
      <c r="B57" s="2">
        <v>43.93</v>
      </c>
      <c r="C57" s="12">
        <f t="shared" si="0"/>
        <v>-1.6928516213311734E-2</v>
      </c>
    </row>
    <row r="58" spans="1:3" ht="13.8" x14ac:dyDescent="0.25">
      <c r="A58" s="10">
        <v>39062</v>
      </c>
      <c r="B58" s="2">
        <v>44</v>
      </c>
      <c r="C58" s="12">
        <f t="shared" si="0"/>
        <v>1.5921759305728943E-3</v>
      </c>
    </row>
    <row r="59" spans="1:3" ht="13.8" x14ac:dyDescent="0.25">
      <c r="A59" s="10">
        <v>39069</v>
      </c>
      <c r="B59" s="2">
        <v>42.83</v>
      </c>
      <c r="C59" s="12">
        <f t="shared" si="0"/>
        <v>-2.6950842290981571E-2</v>
      </c>
    </row>
    <row r="60" spans="1:3" ht="13.8" x14ac:dyDescent="0.25">
      <c r="A60" s="10">
        <v>39077</v>
      </c>
      <c r="B60" s="2">
        <v>43.6</v>
      </c>
      <c r="C60" s="12">
        <f t="shared" si="0"/>
        <v>1.7818358727709097E-2</v>
      </c>
    </row>
    <row r="61" spans="1:3" ht="13.8" x14ac:dyDescent="0.25">
      <c r="A61" s="10">
        <v>39085</v>
      </c>
      <c r="B61" s="2">
        <v>44.3</v>
      </c>
      <c r="C61" s="12">
        <f t="shared" si="0"/>
        <v>1.5927526696101278E-2</v>
      </c>
    </row>
  </sheetData>
  <mergeCells count="1">
    <mergeCell ref="A1:D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817-18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2024-12-30T05:24:26Z</dcterms:modified>
</cp:coreProperties>
</file>