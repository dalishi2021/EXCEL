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12627977-3E06-4EAC-B387-9EFCD96ADC1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08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2" l="1"/>
  <c r="F28" i="2"/>
  <c r="C28" i="2"/>
  <c r="F27" i="2"/>
  <c r="C27" i="2"/>
  <c r="F26" i="2"/>
  <c r="C26" i="2"/>
  <c r="F25" i="2"/>
  <c r="C25" i="2"/>
  <c r="F24" i="2"/>
  <c r="C24" i="2"/>
  <c r="F23" i="2"/>
  <c r="C23" i="2"/>
  <c r="F22" i="2"/>
  <c r="C22" i="2"/>
  <c r="F21" i="2"/>
  <c r="C21" i="2"/>
  <c r="F20" i="2"/>
  <c r="C20" i="2"/>
  <c r="F19" i="2"/>
  <c r="C19" i="2"/>
  <c r="F18" i="2"/>
  <c r="C18" i="2"/>
  <c r="F17" i="2"/>
  <c r="C17" i="2"/>
  <c r="F16" i="2"/>
  <c r="C16" i="2"/>
  <c r="F15" i="2"/>
  <c r="C15" i="2"/>
  <c r="F14" i="2"/>
  <c r="C14" i="2"/>
  <c r="F13" i="2"/>
  <c r="C13" i="2"/>
  <c r="F12" i="2"/>
  <c r="C12" i="2"/>
  <c r="F11" i="2"/>
  <c r="C11" i="2"/>
  <c r="F10" i="2"/>
  <c r="C10" i="2"/>
  <c r="F9" i="2"/>
  <c r="C9" i="2"/>
  <c r="F8" i="2"/>
  <c r="C8" i="2"/>
  <c r="F7" i="2"/>
  <c r="C7" i="2"/>
  <c r="F6" i="2"/>
  <c r="C6" i="2"/>
  <c r="F5" i="2"/>
  <c r="B34" i="2" s="1"/>
  <c r="C5" i="2"/>
  <c r="C34" i="2"/>
  <c r="C33" i="2"/>
  <c r="C30" i="2"/>
  <c r="G5" i="2"/>
  <c r="B33" i="2" l="1"/>
</calcChain>
</file>

<file path=xl/sharedStrings.xml><?xml version="1.0" encoding="utf-8"?>
<sst xmlns="http://schemas.openxmlformats.org/spreadsheetml/2006/main" count="12" uniqueCount="10">
  <si>
    <t>COMPUTING COVARIANCE AND CORRELATION FOR MCDONALD'S (MCD) 
AND WENDY'S (WEN)</t>
  </si>
  <si>
    <t>MCD</t>
  </si>
  <si>
    <t>WEN</t>
  </si>
  <si>
    <t>Date</t>
  </si>
  <si>
    <t>Stock
price</t>
  </si>
  <si>
    <t>Return</t>
  </si>
  <si>
    <t>Covariance</t>
  </si>
  <si>
    <t>Correlation</t>
  </si>
  <si>
    <r>
      <t xml:space="preserve">Using Excel </t>
    </r>
    <r>
      <rPr>
        <b/>
        <sz val="10"/>
        <rFont val="Arial"/>
        <family val="2"/>
      </rPr>
      <t xml:space="preserve">Correl </t>
    </r>
    <r>
      <rPr>
        <sz val="10"/>
        <rFont val="Arial"/>
        <family val="2"/>
      </rPr>
      <t>function</t>
    </r>
  </si>
  <si>
    <r>
      <t>Correlation = Covar(MCD,WEN)/(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MCD</t>
    </r>
    <r>
      <rPr>
        <sz val="11"/>
        <color theme="1"/>
        <rFont val="等线"/>
        <family val="2"/>
        <charset val="134"/>
        <scheme val="minor"/>
      </rPr>
      <t>*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WEN</t>
    </r>
    <r>
      <rPr>
        <sz val="11"/>
        <color theme="1"/>
        <rFont val="等线"/>
        <family val="2"/>
        <charset val="134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</si>
</sst>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d\-mmm\-yy;@"/>
    <numFmt numFmtId="177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2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4" fillId="0" borderId="0" xfId="1" applyFont="1" applyAlignment="1">
      <alignment horizontal="center"/>
    </xf>
    <xf numFmtId="0" fontId="2" fillId="0" borderId="0" xfId="1" applyAlignment="1">
      <alignment horizontal="center" vertical="center"/>
    </xf>
    <xf numFmtId="0" fontId="2" fillId="0" borderId="0" xfId="1" applyAlignment="1">
      <alignment horizontal="center" vertical="center" wrapText="1"/>
    </xf>
    <xf numFmtId="176" fontId="2" fillId="0" borderId="0" xfId="1" applyNumberFormat="1" applyAlignment="1">
      <alignment horizontal="center"/>
    </xf>
    <xf numFmtId="10" fontId="0" fillId="0" borderId="0" xfId="2" applyNumberFormat="1" applyFont="1"/>
    <xf numFmtId="0" fontId="2" fillId="2" borderId="0" xfId="1" applyFill="1"/>
    <xf numFmtId="177" fontId="2" fillId="2" borderId="0" xfId="1" applyNumberFormat="1" applyFill="1"/>
    <xf numFmtId="177" fontId="2" fillId="0" borderId="0" xfId="1" applyNumberFormat="1"/>
    <xf numFmtId="0" fontId="2" fillId="2" borderId="0" xfId="1" applyFill="1" applyAlignment="1">
      <alignment horizontal="left" indent="1"/>
    </xf>
  </cellXfs>
  <cellStyles count="3">
    <cellStyle name="百分比 2" xfId="2" xr:uid="{759AB922-541A-47FA-A9B1-B77D82E21CBA}"/>
    <cellStyle name="常规" xfId="0" builtinId="0"/>
    <cellStyle name="常规 2" xfId="1" xr:uid="{A88CB774-B2B5-432C-B3F3-2F78CFE86B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419100</xdr:colOff>
      <xdr:row>2</xdr:row>
      <xdr:rowOff>19050</xdr:rowOff>
    </xdr:from>
    <xdr:to>
      <xdr:col>26</xdr:col>
      <xdr:colOff>58630</xdr:colOff>
      <xdr:row>46</xdr:row>
      <xdr:rowOff>56331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A2067C38-467E-6DFB-1941-BC69AF49E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53425" y="723900"/>
          <a:ext cx="10604710" cy="778301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7C6A-AC81-4646-828D-384BF5860DE9}">
  <sheetPr codeName="Sheet41"/>
  <dimension ref="A1:G34"/>
  <sheetViews>
    <sheetView tabSelected="1" workbookViewId="0">
      <selection activeCell="B34" sqref="B34"/>
    </sheetView>
  </sheetViews>
  <sheetFormatPr defaultRowHeight="13.2" x14ac:dyDescent="0.25"/>
  <cols>
    <col min="1" max="1" width="40.33203125" style="2" bestFit="1" customWidth="1"/>
    <col min="2" max="6" width="8.88671875" style="2"/>
    <col min="7" max="7" width="22.109375" style="2" customWidth="1"/>
    <col min="8" max="256" width="8.88671875" style="2"/>
    <col min="257" max="257" width="40.33203125" style="2" bestFit="1" customWidth="1"/>
    <col min="258" max="262" width="8.88671875" style="2"/>
    <col min="263" max="263" width="22.109375" style="2" customWidth="1"/>
    <col min="264" max="512" width="8.88671875" style="2"/>
    <col min="513" max="513" width="40.33203125" style="2" bestFit="1" customWidth="1"/>
    <col min="514" max="518" width="8.88671875" style="2"/>
    <col min="519" max="519" width="22.109375" style="2" customWidth="1"/>
    <col min="520" max="768" width="8.88671875" style="2"/>
    <col min="769" max="769" width="40.33203125" style="2" bestFit="1" customWidth="1"/>
    <col min="770" max="774" width="8.88671875" style="2"/>
    <col min="775" max="775" width="22.109375" style="2" customWidth="1"/>
    <col min="776" max="1024" width="8.88671875" style="2"/>
    <col min="1025" max="1025" width="40.33203125" style="2" bestFit="1" customWidth="1"/>
    <col min="1026" max="1030" width="8.88671875" style="2"/>
    <col min="1031" max="1031" width="22.109375" style="2" customWidth="1"/>
    <col min="1032" max="1280" width="8.88671875" style="2"/>
    <col min="1281" max="1281" width="40.33203125" style="2" bestFit="1" customWidth="1"/>
    <col min="1282" max="1286" width="8.88671875" style="2"/>
    <col min="1287" max="1287" width="22.109375" style="2" customWidth="1"/>
    <col min="1288" max="1536" width="8.88671875" style="2"/>
    <col min="1537" max="1537" width="40.33203125" style="2" bestFit="1" customWidth="1"/>
    <col min="1538" max="1542" width="8.88671875" style="2"/>
    <col min="1543" max="1543" width="22.109375" style="2" customWidth="1"/>
    <col min="1544" max="1792" width="8.88671875" style="2"/>
    <col min="1793" max="1793" width="40.33203125" style="2" bestFit="1" customWidth="1"/>
    <col min="1794" max="1798" width="8.88671875" style="2"/>
    <col min="1799" max="1799" width="22.109375" style="2" customWidth="1"/>
    <col min="1800" max="2048" width="8.88671875" style="2"/>
    <col min="2049" max="2049" width="40.33203125" style="2" bestFit="1" customWidth="1"/>
    <col min="2050" max="2054" width="8.88671875" style="2"/>
    <col min="2055" max="2055" width="22.109375" style="2" customWidth="1"/>
    <col min="2056" max="2304" width="8.88671875" style="2"/>
    <col min="2305" max="2305" width="40.33203125" style="2" bestFit="1" customWidth="1"/>
    <col min="2306" max="2310" width="8.88671875" style="2"/>
    <col min="2311" max="2311" width="22.109375" style="2" customWidth="1"/>
    <col min="2312" max="2560" width="8.88671875" style="2"/>
    <col min="2561" max="2561" width="40.33203125" style="2" bestFit="1" customWidth="1"/>
    <col min="2562" max="2566" width="8.88671875" style="2"/>
    <col min="2567" max="2567" width="22.109375" style="2" customWidth="1"/>
    <col min="2568" max="2816" width="8.88671875" style="2"/>
    <col min="2817" max="2817" width="40.33203125" style="2" bestFit="1" customWidth="1"/>
    <col min="2818" max="2822" width="8.88671875" style="2"/>
    <col min="2823" max="2823" width="22.109375" style="2" customWidth="1"/>
    <col min="2824" max="3072" width="8.88671875" style="2"/>
    <col min="3073" max="3073" width="40.33203125" style="2" bestFit="1" customWidth="1"/>
    <col min="3074" max="3078" width="8.88671875" style="2"/>
    <col min="3079" max="3079" width="22.109375" style="2" customWidth="1"/>
    <col min="3080" max="3328" width="8.88671875" style="2"/>
    <col min="3329" max="3329" width="40.33203125" style="2" bestFit="1" customWidth="1"/>
    <col min="3330" max="3334" width="8.88671875" style="2"/>
    <col min="3335" max="3335" width="22.109375" style="2" customWidth="1"/>
    <col min="3336" max="3584" width="8.88671875" style="2"/>
    <col min="3585" max="3585" width="40.33203125" style="2" bestFit="1" customWidth="1"/>
    <col min="3586" max="3590" width="8.88671875" style="2"/>
    <col min="3591" max="3591" width="22.109375" style="2" customWidth="1"/>
    <col min="3592" max="3840" width="8.88671875" style="2"/>
    <col min="3841" max="3841" width="40.33203125" style="2" bestFit="1" customWidth="1"/>
    <col min="3842" max="3846" width="8.88671875" style="2"/>
    <col min="3847" max="3847" width="22.109375" style="2" customWidth="1"/>
    <col min="3848" max="4096" width="8.88671875" style="2"/>
    <col min="4097" max="4097" width="40.33203125" style="2" bestFit="1" customWidth="1"/>
    <col min="4098" max="4102" width="8.88671875" style="2"/>
    <col min="4103" max="4103" width="22.109375" style="2" customWidth="1"/>
    <col min="4104" max="4352" width="8.88671875" style="2"/>
    <col min="4353" max="4353" width="40.33203125" style="2" bestFit="1" customWidth="1"/>
    <col min="4354" max="4358" width="8.88671875" style="2"/>
    <col min="4359" max="4359" width="22.109375" style="2" customWidth="1"/>
    <col min="4360" max="4608" width="8.88671875" style="2"/>
    <col min="4609" max="4609" width="40.33203125" style="2" bestFit="1" customWidth="1"/>
    <col min="4610" max="4614" width="8.88671875" style="2"/>
    <col min="4615" max="4615" width="22.109375" style="2" customWidth="1"/>
    <col min="4616" max="4864" width="8.88671875" style="2"/>
    <col min="4865" max="4865" width="40.33203125" style="2" bestFit="1" customWidth="1"/>
    <col min="4866" max="4870" width="8.88671875" style="2"/>
    <col min="4871" max="4871" width="22.109375" style="2" customWidth="1"/>
    <col min="4872" max="5120" width="8.88671875" style="2"/>
    <col min="5121" max="5121" width="40.33203125" style="2" bestFit="1" customWidth="1"/>
    <col min="5122" max="5126" width="8.88671875" style="2"/>
    <col min="5127" max="5127" width="22.109375" style="2" customWidth="1"/>
    <col min="5128" max="5376" width="8.88671875" style="2"/>
    <col min="5377" max="5377" width="40.33203125" style="2" bestFit="1" customWidth="1"/>
    <col min="5378" max="5382" width="8.88671875" style="2"/>
    <col min="5383" max="5383" width="22.109375" style="2" customWidth="1"/>
    <col min="5384" max="5632" width="8.88671875" style="2"/>
    <col min="5633" max="5633" width="40.33203125" style="2" bestFit="1" customWidth="1"/>
    <col min="5634" max="5638" width="8.88671875" style="2"/>
    <col min="5639" max="5639" width="22.109375" style="2" customWidth="1"/>
    <col min="5640" max="5888" width="8.88671875" style="2"/>
    <col min="5889" max="5889" width="40.33203125" style="2" bestFit="1" customWidth="1"/>
    <col min="5890" max="5894" width="8.88671875" style="2"/>
    <col min="5895" max="5895" width="22.109375" style="2" customWidth="1"/>
    <col min="5896" max="6144" width="8.88671875" style="2"/>
    <col min="6145" max="6145" width="40.33203125" style="2" bestFit="1" customWidth="1"/>
    <col min="6146" max="6150" width="8.88671875" style="2"/>
    <col min="6151" max="6151" width="22.109375" style="2" customWidth="1"/>
    <col min="6152" max="6400" width="8.88671875" style="2"/>
    <col min="6401" max="6401" width="40.33203125" style="2" bestFit="1" customWidth="1"/>
    <col min="6402" max="6406" width="8.88671875" style="2"/>
    <col min="6407" max="6407" width="22.109375" style="2" customWidth="1"/>
    <col min="6408" max="6656" width="8.88671875" style="2"/>
    <col min="6657" max="6657" width="40.33203125" style="2" bestFit="1" customWidth="1"/>
    <col min="6658" max="6662" width="8.88671875" style="2"/>
    <col min="6663" max="6663" width="22.109375" style="2" customWidth="1"/>
    <col min="6664" max="6912" width="8.88671875" style="2"/>
    <col min="6913" max="6913" width="40.33203125" style="2" bestFit="1" customWidth="1"/>
    <col min="6914" max="6918" width="8.88671875" style="2"/>
    <col min="6919" max="6919" width="22.109375" style="2" customWidth="1"/>
    <col min="6920" max="7168" width="8.88671875" style="2"/>
    <col min="7169" max="7169" width="40.33203125" style="2" bestFit="1" customWidth="1"/>
    <col min="7170" max="7174" width="8.88671875" style="2"/>
    <col min="7175" max="7175" width="22.109375" style="2" customWidth="1"/>
    <col min="7176" max="7424" width="8.88671875" style="2"/>
    <col min="7425" max="7425" width="40.33203125" style="2" bestFit="1" customWidth="1"/>
    <col min="7426" max="7430" width="8.88671875" style="2"/>
    <col min="7431" max="7431" width="22.109375" style="2" customWidth="1"/>
    <col min="7432" max="7680" width="8.88671875" style="2"/>
    <col min="7681" max="7681" width="40.33203125" style="2" bestFit="1" customWidth="1"/>
    <col min="7682" max="7686" width="8.88671875" style="2"/>
    <col min="7687" max="7687" width="22.109375" style="2" customWidth="1"/>
    <col min="7688" max="7936" width="8.88671875" style="2"/>
    <col min="7937" max="7937" width="40.33203125" style="2" bestFit="1" customWidth="1"/>
    <col min="7938" max="7942" width="8.88671875" style="2"/>
    <col min="7943" max="7943" width="22.109375" style="2" customWidth="1"/>
    <col min="7944" max="8192" width="8.88671875" style="2"/>
    <col min="8193" max="8193" width="40.33203125" style="2" bestFit="1" customWidth="1"/>
    <col min="8194" max="8198" width="8.88671875" style="2"/>
    <col min="8199" max="8199" width="22.109375" style="2" customWidth="1"/>
    <col min="8200" max="8448" width="8.88671875" style="2"/>
    <col min="8449" max="8449" width="40.33203125" style="2" bestFit="1" customWidth="1"/>
    <col min="8450" max="8454" width="8.88671875" style="2"/>
    <col min="8455" max="8455" width="22.109375" style="2" customWidth="1"/>
    <col min="8456" max="8704" width="8.88671875" style="2"/>
    <col min="8705" max="8705" width="40.33203125" style="2" bestFit="1" customWidth="1"/>
    <col min="8706" max="8710" width="8.88671875" style="2"/>
    <col min="8711" max="8711" width="22.109375" style="2" customWidth="1"/>
    <col min="8712" max="8960" width="8.88671875" style="2"/>
    <col min="8961" max="8961" width="40.33203125" style="2" bestFit="1" customWidth="1"/>
    <col min="8962" max="8966" width="8.88671875" style="2"/>
    <col min="8967" max="8967" width="22.109375" style="2" customWidth="1"/>
    <col min="8968" max="9216" width="8.88671875" style="2"/>
    <col min="9217" max="9217" width="40.33203125" style="2" bestFit="1" customWidth="1"/>
    <col min="9218" max="9222" width="8.88671875" style="2"/>
    <col min="9223" max="9223" width="22.109375" style="2" customWidth="1"/>
    <col min="9224" max="9472" width="8.88671875" style="2"/>
    <col min="9473" max="9473" width="40.33203125" style="2" bestFit="1" customWidth="1"/>
    <col min="9474" max="9478" width="8.88671875" style="2"/>
    <col min="9479" max="9479" width="22.109375" style="2" customWidth="1"/>
    <col min="9480" max="9728" width="8.88671875" style="2"/>
    <col min="9729" max="9729" width="40.33203125" style="2" bestFit="1" customWidth="1"/>
    <col min="9730" max="9734" width="8.88671875" style="2"/>
    <col min="9735" max="9735" width="22.109375" style="2" customWidth="1"/>
    <col min="9736" max="9984" width="8.88671875" style="2"/>
    <col min="9985" max="9985" width="40.33203125" style="2" bestFit="1" customWidth="1"/>
    <col min="9986" max="9990" width="8.88671875" style="2"/>
    <col min="9991" max="9991" width="22.109375" style="2" customWidth="1"/>
    <col min="9992" max="10240" width="8.88671875" style="2"/>
    <col min="10241" max="10241" width="40.33203125" style="2" bestFit="1" customWidth="1"/>
    <col min="10242" max="10246" width="8.88671875" style="2"/>
    <col min="10247" max="10247" width="22.109375" style="2" customWidth="1"/>
    <col min="10248" max="10496" width="8.88671875" style="2"/>
    <col min="10497" max="10497" width="40.33203125" style="2" bestFit="1" customWidth="1"/>
    <col min="10498" max="10502" width="8.88671875" style="2"/>
    <col min="10503" max="10503" width="22.109375" style="2" customWidth="1"/>
    <col min="10504" max="10752" width="8.88671875" style="2"/>
    <col min="10753" max="10753" width="40.33203125" style="2" bestFit="1" customWidth="1"/>
    <col min="10754" max="10758" width="8.88671875" style="2"/>
    <col min="10759" max="10759" width="22.109375" style="2" customWidth="1"/>
    <col min="10760" max="11008" width="8.88671875" style="2"/>
    <col min="11009" max="11009" width="40.33203125" style="2" bestFit="1" customWidth="1"/>
    <col min="11010" max="11014" width="8.88671875" style="2"/>
    <col min="11015" max="11015" width="22.109375" style="2" customWidth="1"/>
    <col min="11016" max="11264" width="8.88671875" style="2"/>
    <col min="11265" max="11265" width="40.33203125" style="2" bestFit="1" customWidth="1"/>
    <col min="11266" max="11270" width="8.88671875" style="2"/>
    <col min="11271" max="11271" width="22.109375" style="2" customWidth="1"/>
    <col min="11272" max="11520" width="8.88671875" style="2"/>
    <col min="11521" max="11521" width="40.33203125" style="2" bestFit="1" customWidth="1"/>
    <col min="11522" max="11526" width="8.88671875" style="2"/>
    <col min="11527" max="11527" width="22.109375" style="2" customWidth="1"/>
    <col min="11528" max="11776" width="8.88671875" style="2"/>
    <col min="11777" max="11777" width="40.33203125" style="2" bestFit="1" customWidth="1"/>
    <col min="11778" max="11782" width="8.88671875" style="2"/>
    <col min="11783" max="11783" width="22.109375" style="2" customWidth="1"/>
    <col min="11784" max="12032" width="8.88671875" style="2"/>
    <col min="12033" max="12033" width="40.33203125" style="2" bestFit="1" customWidth="1"/>
    <col min="12034" max="12038" width="8.88671875" style="2"/>
    <col min="12039" max="12039" width="22.109375" style="2" customWidth="1"/>
    <col min="12040" max="12288" width="8.88671875" style="2"/>
    <col min="12289" max="12289" width="40.33203125" style="2" bestFit="1" customWidth="1"/>
    <col min="12290" max="12294" width="8.88671875" style="2"/>
    <col min="12295" max="12295" width="22.109375" style="2" customWidth="1"/>
    <col min="12296" max="12544" width="8.88671875" style="2"/>
    <col min="12545" max="12545" width="40.33203125" style="2" bestFit="1" customWidth="1"/>
    <col min="12546" max="12550" width="8.88671875" style="2"/>
    <col min="12551" max="12551" width="22.109375" style="2" customWidth="1"/>
    <col min="12552" max="12800" width="8.88671875" style="2"/>
    <col min="12801" max="12801" width="40.33203125" style="2" bestFit="1" customWidth="1"/>
    <col min="12802" max="12806" width="8.88671875" style="2"/>
    <col min="12807" max="12807" width="22.109375" style="2" customWidth="1"/>
    <col min="12808" max="13056" width="8.88671875" style="2"/>
    <col min="13057" max="13057" width="40.33203125" style="2" bestFit="1" customWidth="1"/>
    <col min="13058" max="13062" width="8.88671875" style="2"/>
    <col min="13063" max="13063" width="22.109375" style="2" customWidth="1"/>
    <col min="13064" max="13312" width="8.88671875" style="2"/>
    <col min="13313" max="13313" width="40.33203125" style="2" bestFit="1" customWidth="1"/>
    <col min="13314" max="13318" width="8.88671875" style="2"/>
    <col min="13319" max="13319" width="22.109375" style="2" customWidth="1"/>
    <col min="13320" max="13568" width="8.88671875" style="2"/>
    <col min="13569" max="13569" width="40.33203125" style="2" bestFit="1" customWidth="1"/>
    <col min="13570" max="13574" width="8.88671875" style="2"/>
    <col min="13575" max="13575" width="22.109375" style="2" customWidth="1"/>
    <col min="13576" max="13824" width="8.88671875" style="2"/>
    <col min="13825" max="13825" width="40.33203125" style="2" bestFit="1" customWidth="1"/>
    <col min="13826" max="13830" width="8.88671875" style="2"/>
    <col min="13831" max="13831" width="22.109375" style="2" customWidth="1"/>
    <col min="13832" max="14080" width="8.88671875" style="2"/>
    <col min="14081" max="14081" width="40.33203125" style="2" bestFit="1" customWidth="1"/>
    <col min="14082" max="14086" width="8.88671875" style="2"/>
    <col min="14087" max="14087" width="22.109375" style="2" customWidth="1"/>
    <col min="14088" max="14336" width="8.88671875" style="2"/>
    <col min="14337" max="14337" width="40.33203125" style="2" bestFit="1" customWidth="1"/>
    <col min="14338" max="14342" width="8.88671875" style="2"/>
    <col min="14343" max="14343" width="22.109375" style="2" customWidth="1"/>
    <col min="14344" max="14592" width="8.88671875" style="2"/>
    <col min="14593" max="14593" width="40.33203125" style="2" bestFit="1" customWidth="1"/>
    <col min="14594" max="14598" width="8.88671875" style="2"/>
    <col min="14599" max="14599" width="22.109375" style="2" customWidth="1"/>
    <col min="14600" max="14848" width="8.88671875" style="2"/>
    <col min="14849" max="14849" width="40.33203125" style="2" bestFit="1" customWidth="1"/>
    <col min="14850" max="14854" width="8.88671875" style="2"/>
    <col min="14855" max="14855" width="22.109375" style="2" customWidth="1"/>
    <col min="14856" max="15104" width="8.88671875" style="2"/>
    <col min="15105" max="15105" width="40.33203125" style="2" bestFit="1" customWidth="1"/>
    <col min="15106" max="15110" width="8.88671875" style="2"/>
    <col min="15111" max="15111" width="22.109375" style="2" customWidth="1"/>
    <col min="15112" max="15360" width="8.88671875" style="2"/>
    <col min="15361" max="15361" width="40.33203125" style="2" bestFit="1" customWidth="1"/>
    <col min="15362" max="15366" width="8.88671875" style="2"/>
    <col min="15367" max="15367" width="22.109375" style="2" customWidth="1"/>
    <col min="15368" max="15616" width="8.88671875" style="2"/>
    <col min="15617" max="15617" width="40.33203125" style="2" bestFit="1" customWidth="1"/>
    <col min="15618" max="15622" width="8.88671875" style="2"/>
    <col min="15623" max="15623" width="22.109375" style="2" customWidth="1"/>
    <col min="15624" max="15872" width="8.88671875" style="2"/>
    <col min="15873" max="15873" width="40.33203125" style="2" bestFit="1" customWidth="1"/>
    <col min="15874" max="15878" width="8.88671875" style="2"/>
    <col min="15879" max="15879" width="22.109375" style="2" customWidth="1"/>
    <col min="15880" max="16128" width="8.88671875" style="2"/>
    <col min="16129" max="16129" width="40.33203125" style="2" bestFit="1" customWidth="1"/>
    <col min="16130" max="16134" width="8.88671875" style="2"/>
    <col min="16135" max="16135" width="22.109375" style="2" customWidth="1"/>
    <col min="16136" max="16384" width="8.88671875" style="2"/>
  </cols>
  <sheetData>
    <row r="1" spans="1:7" ht="42" customHeight="1" x14ac:dyDescent="0.25">
      <c r="A1" s="1" t="s">
        <v>0</v>
      </c>
      <c r="B1" s="1"/>
      <c r="C1" s="1"/>
      <c r="D1" s="1"/>
      <c r="E1" s="1"/>
      <c r="F1" s="1"/>
      <c r="G1" s="1"/>
    </row>
    <row r="2" spans="1:7" x14ac:dyDescent="0.25">
      <c r="B2" s="3" t="s">
        <v>1</v>
      </c>
      <c r="C2" s="3"/>
      <c r="E2" s="3" t="s">
        <v>2</v>
      </c>
      <c r="F2" s="3"/>
    </row>
    <row r="3" spans="1:7" s="5" customFormat="1" ht="26.4" x14ac:dyDescent="0.25">
      <c r="A3" s="4" t="s">
        <v>3</v>
      </c>
      <c r="B3" s="5" t="s">
        <v>4</v>
      </c>
      <c r="C3" s="5" t="s">
        <v>5</v>
      </c>
      <c r="E3" s="5" t="s">
        <v>4</v>
      </c>
      <c r="F3" s="5" t="s">
        <v>5</v>
      </c>
    </row>
    <row r="4" spans="1:7" x14ac:dyDescent="0.25">
      <c r="A4" s="6">
        <v>38558</v>
      </c>
      <c r="B4" s="2">
        <v>29.82</v>
      </c>
      <c r="E4" s="2">
        <v>23.66</v>
      </c>
    </row>
    <row r="5" spans="1:7" ht="13.8" x14ac:dyDescent="0.25">
      <c r="A5" s="6">
        <v>38565</v>
      </c>
      <c r="B5" s="2">
        <v>31.04</v>
      </c>
      <c r="C5" s="7">
        <f>LN(B5/B4)</f>
        <v>4.0097385978425507E-2</v>
      </c>
      <c r="E5" s="2">
        <v>21.63</v>
      </c>
      <c r="F5" s="7">
        <f>LN(E5/E4)</f>
        <v>-8.9704618585273316E-2</v>
      </c>
      <c r="G5" s="2" t="str">
        <f ca="1">[1]!getformula(F5)</f>
        <v>&lt;--  =LN(E5/E4)</v>
      </c>
    </row>
    <row r="6" spans="1:7" ht="13.8" x14ac:dyDescent="0.25">
      <c r="A6" s="6">
        <v>38596</v>
      </c>
      <c r="B6" s="2">
        <v>32.03</v>
      </c>
      <c r="C6" s="7">
        <f t="shared" ref="C6:C28" si="0">LN(B6/B5)</f>
        <v>3.1396268306048775E-2</v>
      </c>
      <c r="E6" s="2">
        <v>20.72</v>
      </c>
      <c r="F6" s="7">
        <f t="shared" ref="F6:F28" si="1">LN(E6/E5)</f>
        <v>-4.2981822573685144E-2</v>
      </c>
    </row>
    <row r="7" spans="1:7" ht="13.8" x14ac:dyDescent="0.25">
      <c r="A7" s="6">
        <v>38628</v>
      </c>
      <c r="B7" s="2">
        <v>30.23</v>
      </c>
      <c r="C7" s="7">
        <f t="shared" si="0"/>
        <v>-5.7838154829700089E-2</v>
      </c>
      <c r="E7" s="2">
        <v>21.44</v>
      </c>
      <c r="F7" s="7">
        <f t="shared" si="1"/>
        <v>3.4158918811319078E-2</v>
      </c>
    </row>
    <row r="8" spans="1:7" ht="13.8" x14ac:dyDescent="0.25">
      <c r="A8" s="6">
        <v>38657</v>
      </c>
      <c r="B8" s="2">
        <v>33.04</v>
      </c>
      <c r="C8" s="7">
        <f t="shared" si="0"/>
        <v>8.8884139861410597E-2</v>
      </c>
      <c r="E8" s="2">
        <v>23.39</v>
      </c>
      <c r="F8" s="7">
        <f t="shared" si="1"/>
        <v>8.7050244393486367E-2</v>
      </c>
    </row>
    <row r="9" spans="1:7" ht="13.8" x14ac:dyDescent="0.25">
      <c r="A9" s="6">
        <v>38687</v>
      </c>
      <c r="B9" s="2">
        <v>32.92</v>
      </c>
      <c r="C9" s="7">
        <f t="shared" si="0"/>
        <v>-3.63857284390818E-3</v>
      </c>
      <c r="E9" s="2">
        <v>25.45</v>
      </c>
      <c r="F9" s="7">
        <f t="shared" si="1"/>
        <v>8.4407162400444102E-2</v>
      </c>
    </row>
    <row r="10" spans="1:7" ht="13.8" x14ac:dyDescent="0.25">
      <c r="A10" s="6">
        <v>38720</v>
      </c>
      <c r="B10" s="2">
        <v>34.18</v>
      </c>
      <c r="C10" s="7">
        <f t="shared" si="0"/>
        <v>3.7560301878575605E-2</v>
      </c>
      <c r="E10" s="2">
        <v>27.15</v>
      </c>
      <c r="F10" s="7">
        <f t="shared" si="1"/>
        <v>6.4661303383412763E-2</v>
      </c>
    </row>
    <row r="11" spans="1:7" ht="13.8" x14ac:dyDescent="0.25">
      <c r="A11" s="6">
        <v>38749</v>
      </c>
      <c r="B11" s="2">
        <v>34.08</v>
      </c>
      <c r="C11" s="7">
        <f t="shared" si="0"/>
        <v>-2.9299757263299415E-3</v>
      </c>
      <c r="E11" s="2">
        <v>26.74</v>
      </c>
      <c r="F11" s="7">
        <f t="shared" si="1"/>
        <v>-1.5216474706147332E-2</v>
      </c>
    </row>
    <row r="12" spans="1:7" ht="13.8" x14ac:dyDescent="0.25">
      <c r="A12" s="6">
        <v>38777</v>
      </c>
      <c r="B12" s="2">
        <v>33.54</v>
      </c>
      <c r="C12" s="7">
        <f t="shared" si="0"/>
        <v>-1.5971945566052113E-2</v>
      </c>
      <c r="E12" s="2">
        <v>28.67</v>
      </c>
      <c r="F12" s="7">
        <f t="shared" si="1"/>
        <v>6.9690708221481407E-2</v>
      </c>
    </row>
    <row r="13" spans="1:7" ht="13.8" x14ac:dyDescent="0.25">
      <c r="A13" s="6">
        <v>38810</v>
      </c>
      <c r="B13" s="2">
        <v>33.75</v>
      </c>
      <c r="C13" s="7">
        <f t="shared" si="0"/>
        <v>6.2416609234761337E-3</v>
      </c>
      <c r="E13" s="2">
        <v>28.54</v>
      </c>
      <c r="F13" s="7">
        <f t="shared" si="1"/>
        <v>-4.5446678465881924E-3</v>
      </c>
    </row>
    <row r="14" spans="1:7" ht="13.8" x14ac:dyDescent="0.25">
      <c r="A14" s="6">
        <v>38838</v>
      </c>
      <c r="B14" s="2">
        <v>32.380000000000003</v>
      </c>
      <c r="C14" s="7">
        <f t="shared" si="0"/>
        <v>-4.1439469069049675E-2</v>
      </c>
      <c r="E14" s="2">
        <v>27.92</v>
      </c>
      <c r="F14" s="7">
        <f t="shared" si="1"/>
        <v>-2.1963334154518552E-2</v>
      </c>
    </row>
    <row r="15" spans="1:7" ht="13.8" x14ac:dyDescent="0.25">
      <c r="A15" s="6">
        <v>38869</v>
      </c>
      <c r="B15" s="2">
        <v>32.799999999999997</v>
      </c>
      <c r="C15" s="7">
        <f t="shared" si="0"/>
        <v>1.288756714060884E-2</v>
      </c>
      <c r="E15" s="2">
        <v>27</v>
      </c>
      <c r="F15" s="7">
        <f t="shared" si="1"/>
        <v>-3.3506411889842699E-2</v>
      </c>
    </row>
    <row r="16" spans="1:7" ht="13.8" x14ac:dyDescent="0.25">
      <c r="A16" s="6">
        <v>38901</v>
      </c>
      <c r="B16" s="2">
        <v>34.549999999999997</v>
      </c>
      <c r="C16" s="7">
        <f t="shared" si="0"/>
        <v>5.1979034823580954E-2</v>
      </c>
      <c r="E16" s="2">
        <v>27.87</v>
      </c>
      <c r="F16" s="7">
        <f t="shared" si="1"/>
        <v>3.1713975489527702E-2</v>
      </c>
    </row>
    <row r="17" spans="1:6" ht="13.8" x14ac:dyDescent="0.25">
      <c r="A17" s="6">
        <v>38930</v>
      </c>
      <c r="B17" s="2">
        <v>35.04</v>
      </c>
      <c r="C17" s="7">
        <f t="shared" si="0"/>
        <v>1.4082715854511953E-2</v>
      </c>
      <c r="E17" s="2">
        <v>29.68</v>
      </c>
      <c r="F17" s="7">
        <f t="shared" si="1"/>
        <v>6.2922576805322705E-2</v>
      </c>
    </row>
    <row r="18" spans="1:6" ht="13.8" x14ac:dyDescent="0.25">
      <c r="A18" s="6">
        <v>38961</v>
      </c>
      <c r="B18" s="2">
        <v>38.19</v>
      </c>
      <c r="C18" s="7">
        <f t="shared" si="0"/>
        <v>8.6083435169234043E-2</v>
      </c>
      <c r="E18" s="2">
        <v>31.12</v>
      </c>
      <c r="F18" s="7">
        <f t="shared" si="1"/>
        <v>4.7377281011011116E-2</v>
      </c>
    </row>
    <row r="19" spans="1:6" ht="13.8" x14ac:dyDescent="0.25">
      <c r="A19" s="6">
        <v>38992</v>
      </c>
      <c r="B19" s="2">
        <v>40.92</v>
      </c>
      <c r="C19" s="7">
        <f t="shared" si="0"/>
        <v>6.9045239846001E-2</v>
      </c>
      <c r="E19" s="2">
        <v>34.31</v>
      </c>
      <c r="F19" s="7">
        <f t="shared" si="1"/>
        <v>9.7586157560167475E-2</v>
      </c>
    </row>
    <row r="20" spans="1:6" ht="13.8" x14ac:dyDescent="0.25">
      <c r="A20" s="6">
        <v>39022</v>
      </c>
      <c r="B20" s="2">
        <v>41.97</v>
      </c>
      <c r="C20" s="7">
        <f t="shared" si="0"/>
        <v>2.5336136262073743E-2</v>
      </c>
      <c r="E20" s="2">
        <v>32.380000000000003</v>
      </c>
      <c r="F20" s="7">
        <f t="shared" si="1"/>
        <v>-5.7895908620869282E-2</v>
      </c>
    </row>
    <row r="21" spans="1:6" ht="13.8" x14ac:dyDescent="0.25">
      <c r="A21" s="6">
        <v>39052</v>
      </c>
      <c r="B21" s="2">
        <v>44.33</v>
      </c>
      <c r="C21" s="7">
        <f t="shared" si="0"/>
        <v>5.4706571411462721E-2</v>
      </c>
      <c r="E21" s="2">
        <v>32.9</v>
      </c>
      <c r="F21" s="7">
        <f t="shared" si="1"/>
        <v>1.5931709521836937E-2</v>
      </c>
    </row>
    <row r="22" spans="1:6" ht="13.8" x14ac:dyDescent="0.25">
      <c r="A22" s="6">
        <v>39085</v>
      </c>
      <c r="B22" s="2">
        <v>44.35</v>
      </c>
      <c r="C22" s="7">
        <f t="shared" si="0"/>
        <v>4.5105999862642392E-4</v>
      </c>
      <c r="E22" s="2">
        <v>33.76</v>
      </c>
      <c r="F22" s="7">
        <f t="shared" si="1"/>
        <v>2.5804011956430211E-2</v>
      </c>
    </row>
    <row r="23" spans="1:6" ht="13.8" x14ac:dyDescent="0.25">
      <c r="A23" s="6">
        <v>39114</v>
      </c>
      <c r="B23" s="2">
        <v>43.69</v>
      </c>
      <c r="C23" s="7">
        <f t="shared" si="0"/>
        <v>-1.4993465792244113E-2</v>
      </c>
      <c r="E23" s="2">
        <v>31.95</v>
      </c>
      <c r="F23" s="7">
        <f t="shared" si="1"/>
        <v>-5.5104488904212476E-2</v>
      </c>
    </row>
    <row r="24" spans="1:6" ht="13.8" x14ac:dyDescent="0.25">
      <c r="A24" s="6">
        <v>39142</v>
      </c>
      <c r="B24" s="2">
        <v>45.05</v>
      </c>
      <c r="C24" s="7">
        <f t="shared" si="0"/>
        <v>3.0653741091002305E-2</v>
      </c>
      <c r="E24" s="2">
        <v>31.2</v>
      </c>
      <c r="F24" s="7">
        <f t="shared" si="1"/>
        <v>-2.3754086008107144E-2</v>
      </c>
    </row>
    <row r="25" spans="1:6" ht="13.8" x14ac:dyDescent="0.25">
      <c r="A25" s="6">
        <v>39174</v>
      </c>
      <c r="B25" s="2">
        <v>48.28</v>
      </c>
      <c r="C25" s="7">
        <f t="shared" si="0"/>
        <v>6.924441217498381E-2</v>
      </c>
      <c r="E25" s="2">
        <v>37.58</v>
      </c>
      <c r="F25" s="7">
        <f t="shared" si="1"/>
        <v>0.18605389916988255</v>
      </c>
    </row>
    <row r="26" spans="1:6" ht="13.8" x14ac:dyDescent="0.25">
      <c r="A26" s="6">
        <v>39203</v>
      </c>
      <c r="B26" s="2">
        <v>50.55</v>
      </c>
      <c r="C26" s="7">
        <f t="shared" si="0"/>
        <v>4.5945549237149656E-2</v>
      </c>
      <c r="E26" s="2">
        <v>40.130000000000003</v>
      </c>
      <c r="F26" s="7">
        <f t="shared" si="1"/>
        <v>6.5652190293506246E-2</v>
      </c>
    </row>
    <row r="27" spans="1:6" ht="13.8" x14ac:dyDescent="0.25">
      <c r="A27" s="6">
        <v>39234</v>
      </c>
      <c r="B27" s="2">
        <v>50.76</v>
      </c>
      <c r="C27" s="7">
        <f t="shared" si="0"/>
        <v>4.1456973797065659E-3</v>
      </c>
      <c r="E27" s="2">
        <v>36.75</v>
      </c>
      <c r="F27" s="7">
        <f t="shared" si="1"/>
        <v>-8.7985958619979751E-2</v>
      </c>
    </row>
    <row r="28" spans="1:6" ht="13.8" x14ac:dyDescent="0.25">
      <c r="A28" s="6">
        <v>39265</v>
      </c>
      <c r="B28" s="2">
        <v>52.5</v>
      </c>
      <c r="C28" s="7">
        <f t="shared" si="0"/>
        <v>3.3704526751391253E-2</v>
      </c>
      <c r="E28" s="2">
        <v>37.159999999999997</v>
      </c>
      <c r="F28" s="7">
        <f t="shared" si="1"/>
        <v>1.1094688286792071E-2</v>
      </c>
    </row>
    <row r="30" spans="1:6" ht="13.8" x14ac:dyDescent="0.25">
      <c r="A30" s="8" t="s">
        <v>6</v>
      </c>
      <c r="B30" s="9">
        <f>COVAR(C5:C28,F5:F28)</f>
        <v>8.521934511695311E-4</v>
      </c>
      <c r="C30" s="7" t="str">
        <f ca="1">[1]!getformula(B30)</f>
        <v>&lt;--  =COVAR(C5:C28,F5:F28)</v>
      </c>
    </row>
    <row r="31" spans="1:6" ht="13.8" x14ac:dyDescent="0.25">
      <c r="B31" s="10"/>
      <c r="C31" s="7"/>
    </row>
    <row r="32" spans="1:6" x14ac:dyDescent="0.25">
      <c r="A32" s="2" t="s">
        <v>7</v>
      </c>
    </row>
    <row r="33" spans="1:3" ht="13.8" x14ac:dyDescent="0.25">
      <c r="A33" s="11" t="s">
        <v>8</v>
      </c>
      <c r="B33" s="9">
        <f>CORREL(C5:C28,F5:F28)</f>
        <v>0.36204085547924947</v>
      </c>
      <c r="C33" s="7" t="str">
        <f ca="1">[1]!getformula(B33)</f>
        <v>&lt;--  =CORREL(C5:C28,F5:F28)</v>
      </c>
    </row>
    <row r="34" spans="1:3" ht="15.6" x14ac:dyDescent="0.35">
      <c r="A34" s="11" t="s">
        <v>9</v>
      </c>
      <c r="B34" s="9">
        <f>COVAR(C5:C28,F5:F28)/(STDEVP(C5:C28)*STDEVP(F5:F28))</f>
        <v>0.36204085547924947</v>
      </c>
      <c r="C34" s="7" t="str">
        <f ca="1">[1]!getformula(B34)</f>
        <v>&lt;--  =COVAR(C5:C28,F5:F28)/(STDEVP(C5:C28)*STDEVP(F5:F28))</v>
      </c>
    </row>
  </sheetData>
  <mergeCells count="3">
    <mergeCell ref="A1:G1"/>
    <mergeCell ref="B2:C2"/>
    <mergeCell ref="E2:F2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808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2024-12-30T02:35:22Z</dcterms:modified>
</cp:coreProperties>
</file>